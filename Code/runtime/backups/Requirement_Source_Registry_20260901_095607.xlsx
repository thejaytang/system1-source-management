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Categories" sheetId="2" state="visible" r:id="rId2"/>
    <sheet name="Source Register" sheetId="3" state="visible" r:id="rId3"/>
    <sheet name="Dashboard" sheetId="4" state="visible" r:id="rId4"/>
    <sheet name="Human Operation Desktop" sheetId="5" state="visible" r:id="rId5"/>
  </sheets>
  <definedNames/>
  <calcPr calcId="124519" calcMode="auto" fullCalcOnLoad="1" forceFullCalc="1"/>
</workbook>
</file>

<file path=xl/styles.xml><?xml version="1.0" encoding="utf-8"?>
<styleSheet xmlns="http://schemas.openxmlformats.org/spreadsheetml/2006/main">
  <numFmts count="3">
    <numFmt numFmtId="164" formatCode="yyyy-mm-dd"/>
    <numFmt numFmtId="165" formatCode="yyyy-mm-dd hh:mm"/>
    <numFmt numFmtId="166" formatCode="0.0%"/>
  </numFmts>
  <fonts count="59">
    <font>
      <name val="Carlito"/>
      <sz val="11"/>
    </font>
    <font>
      <name val="Aptos Display"/>
      <b val="1"/>
      <color rgb="FFFFFFFF"/>
      <sz val="18"/>
    </font>
    <font>
      <name val="Carlito"/>
      <i val="1"/>
      <color rgb="FF0B1F3A"/>
      <sz val="11"/>
    </font>
    <font>
      <name val="Carlito"/>
      <b val="1"/>
      <color rgb="FF0B1F3A"/>
      <sz val="11"/>
    </font>
    <font>
      <name val="Carlito"/>
      <b val="1"/>
      <color rgb="FF0B1F3A"/>
      <sz val="12"/>
    </font>
    <font>
      <name val="Carlito"/>
      <b val="1"/>
      <color rgb="FFFFFFFF"/>
      <sz val="11"/>
    </font>
    <font>
      <name val="Carlito"/>
      <color rgb="FF1565C0"/>
      <sz val="11"/>
    </font>
    <font>
      <name val="Aptos Display"/>
      <b val="1"/>
      <color rgb="FFFFFFFF"/>
      <sz val="15"/>
    </font>
    <font>
      <name val="Carlito"/>
      <b val="1"/>
      <color rgb="FF475467"/>
      <sz val="10"/>
    </font>
    <font>
      <name val="Carlito"/>
      <b val="1"/>
      <color rgb="FF0B1F3A"/>
      <sz val="22"/>
    </font>
    <font>
      <name val="Carlito"/>
      <b val="1"/>
      <color rgb="FF206A3B"/>
      <sz val="22"/>
    </font>
    <font>
      <name val="Carlito"/>
      <b val="1"/>
      <color rgb="FFB42318"/>
      <sz val="22"/>
    </font>
    <font>
      <name val="Carlito"/>
      <b val="1"/>
      <color rgb="FF2563EB"/>
      <sz val="22"/>
    </font>
    <font>
      <name val="Carlito"/>
      <b val="1"/>
      <color rgb="FF7C3AED"/>
      <sz val="22"/>
    </font>
    <font>
      <name val="Carlito"/>
      <b val="1"/>
      <color rgb="FF8A5A00"/>
      <sz val="22"/>
    </font>
    <font>
      <name val="Carlito"/>
      <color rgb="FF0B1F3A"/>
      <sz val="11"/>
    </font>
    <font>
      <name val="Carlito"/>
      <b val="1"/>
      <color rgb="FFFFFFFF"/>
      <sz val="13"/>
    </font>
    <font>
      <name val="Carlito"/>
      <color rgb="FFF8FAFC"/>
      <sz val="1"/>
    </font>
    <font>
      <name val="Carlito"/>
      <color rgb="FF0B1F3A"/>
      <sz val="9"/>
    </font>
    <font>
      <name val="Carlito"/>
      <b val="1"/>
      <color rgb="FFFFFFFF"/>
      <sz val="12"/>
    </font>
    <font>
      <name val="Carlito"/>
      <b val="1"/>
      <color rgb="FF0B1F3A"/>
      <sz val="13"/>
    </font>
    <font>
      <name val="Carlito"/>
      <b val="1"/>
      <color rgb="FF0B1F3A"/>
      <sz val="10"/>
    </font>
    <font>
      <name val="Carlito"/>
      <b val="1"/>
      <color rgb="FFFFFFFF"/>
      <sz val="10"/>
    </font>
    <font>
      <name val="Carlito"/>
      <b val="1"/>
      <color rgb="FF0B1F3A"/>
      <sz val="16"/>
    </font>
    <font>
      <name val="Carlito"/>
      <b val="1"/>
      <i val="1"/>
      <color rgb="FF0B1F3A"/>
      <sz val="11"/>
    </font>
    <font>
      <name val="Carlito"/>
      <b val="1"/>
      <color rgb="FF206A3B"/>
      <sz val="16"/>
    </font>
    <font>
      <name val="Carlito"/>
      <b val="1"/>
      <color rgb="FF8A5A00"/>
      <sz val="16"/>
    </font>
    <font>
      <name val="Carlito"/>
      <i val="1"/>
      <color rgb="FF0B1F3A"/>
      <sz val="9"/>
    </font>
    <font>
      <name val="Carlito"/>
      <color rgb="FF1565C0"/>
      <sz val="9"/>
    </font>
    <font>
      <name val="Carlito"/>
      <color rgb="FF0B1F3A"/>
      <sz val="10"/>
    </font>
    <font>
      <name val="Aptos"/>
      <b val="1"/>
      <color rgb="FFFFFFFF"/>
      <sz val="11"/>
    </font>
    <font>
      <name val="Aptos"/>
      <sz val="11"/>
    </font>
    <font>
      <name val="Aptos"/>
      <b val="1"/>
      <color rgb="FFFFFFFF"/>
      <sz val="18"/>
    </font>
    <font>
      <name val="Aptos"/>
      <i val="1"/>
      <color rgb="FF0B1F3A"/>
      <sz val="11"/>
    </font>
    <font>
      <name val="Aptos"/>
      <b val="1"/>
      <color rgb="FF0B1F3A"/>
      <sz val="11"/>
    </font>
    <font>
      <name val="Aptos"/>
      <b val="1"/>
      <color rgb="FF0B1F3A"/>
      <sz val="12"/>
    </font>
    <font>
      <name val="Aptos"/>
      <color rgb="FF0B1F3A"/>
      <sz val="11"/>
    </font>
    <font>
      <name val="Aptos"/>
      <color rgb="FF0B1F3A"/>
      <sz val="9"/>
    </font>
    <font>
      <name val="Aptos Display"/>
      <b val="1"/>
      <color rgb="FFFFFFFF"/>
      <sz val="11"/>
    </font>
    <font>
      <name val="Aptos"/>
      <i val="1"/>
      <color rgb="FF334155"/>
      <sz val="11"/>
    </font>
    <font>
      <name val="Aptos"/>
      <color rgb="FF334155"/>
      <sz val="11"/>
    </font>
    <font>
      <name val="Aptos"/>
      <b val="1"/>
      <color rgb="FFFFFFFF"/>
      <sz val="12"/>
    </font>
    <font>
      <name val="Aptos"/>
      <i val="1"/>
      <color rgb="FF334155"/>
      <sz val="9"/>
    </font>
    <font>
      <name val="Aptos"/>
      <color rgb="FF0F172A"/>
      <sz val="11"/>
    </font>
    <font>
      <name val="Aptos"/>
      <color rgb="FF0F172A"/>
      <sz val="11"/>
    </font>
    <font>
      <name val="Carlito"/>
      <b val="1"/>
      <color rgb="FF17365D"/>
      <sz val="9"/>
    </font>
    <font>
      <name val="Carlito"/>
      <b val="1"/>
      <color rgb="FF666666"/>
      <sz val="9"/>
    </font>
    <font>
      <name val="Carlito"/>
      <color rgb="FF203040"/>
      <sz val="10"/>
    </font>
    <font>
      <name val="Carlito"/>
      <b val="1"/>
      <color rgb="FF17365D"/>
      <sz val="10"/>
    </font>
    <font>
      <name val="Carlito"/>
      <b val="1"/>
      <color rgb="FFFFFFFF"/>
      <sz val="20"/>
    </font>
    <font>
      <name val="Carlito"/>
      <i val="1"/>
      <color rgb="FF203040"/>
      <sz val="10"/>
    </font>
    <font>
      <name val="Carlito"/>
      <b val="1"/>
      <color rgb="FFFFFFFF"/>
      <sz val="9"/>
    </font>
    <font>
      <name val="Carlito"/>
      <b val="1"/>
      <color rgb="FF17365D"/>
      <sz val="18"/>
    </font>
    <font>
      <name val="Carlito"/>
      <b val="1"/>
      <color rgb="FF17365D"/>
      <sz val="12"/>
    </font>
    <font>
      <name val="Carlito"/>
      <b val="1"/>
      <color rgb="FF17365D"/>
      <sz val="15"/>
    </font>
    <font>
      <name val="Carlito"/>
      <i val="1"/>
      <color rgb="FF7F6000"/>
      <sz val="9"/>
    </font>
    <font>
      <name val="Carlito"/>
      <color rgb="FF203040"/>
      <sz val="9"/>
    </font>
    <font>
      <name val="Carlito"/>
      <sz val="9"/>
    </font>
    <font>
      <name val="Aptos"/>
      <b val="1"/>
      <color rgb="FFFFFFFF"/>
      <sz val="10"/>
    </font>
  </fonts>
  <fills count="103">
    <fill>
      <patternFill/>
    </fill>
    <fill>
      <patternFill patternType="gray125"/>
    </fill>
    <fill>
      <patternFill patternType="solid">
        <fgColor rgb="FF0B1F3A"/>
      </patternFill>
    </fill>
    <fill>
      <patternFill patternType="solid">
        <fgColor rgb="FFE8F1FB"/>
      </patternFill>
    </fill>
    <fill>
      <patternFill patternType="solid">
        <fgColor rgb="FFFFF4D6"/>
      </patternFill>
    </fill>
    <fill>
      <patternFill patternType="solid">
        <fgColor rgb="FFDDF5F1"/>
      </patternFill>
    </fill>
    <fill>
      <patternFill patternType="solid">
        <fgColor rgb="FF0F766E"/>
      </patternFill>
    </fill>
    <fill>
      <patternFill patternType="solid">
        <fgColor rgb="FF2563EB"/>
      </patternFill>
    </fill>
    <fill>
      <patternFill patternType="solid">
        <fgColor rgb="FF7C3AED"/>
      </patternFill>
    </fill>
    <fill>
      <patternFill patternType="solid">
        <fgColor rgb="FFB7791F"/>
      </patternFill>
    </fill>
    <fill>
      <patternFill patternType="solid">
        <fgColor rgb="FF0E7490"/>
      </patternFill>
    </fill>
    <fill>
      <patternFill patternType="solid">
        <fgColor rgb="FF475467"/>
      </patternFill>
    </fill>
    <fill>
      <patternFill patternType="solid">
        <fgColor rgb="FFF8FAFC"/>
      </patternFill>
    </fill>
    <fill>
      <patternFill patternType="solid">
        <fgColor rgb="FFFFFFFF"/>
      </patternFill>
    </fill>
    <fill>
      <patternFill patternType="solid">
        <fgColor rgb="FFE6F4EA"/>
      </patternFill>
    </fill>
    <fill>
      <patternFill patternType="solid">
        <fgColor rgb="FFFDE8E7"/>
      </patternFill>
    </fill>
    <fill>
      <patternFill patternType="solid">
        <fgColor rgb="FFF3F5F7"/>
      </patternFill>
    </fill>
    <fill>
      <patternFill patternType="solid">
        <fgColor rgb="FF0B1F3A"/>
      </patternFill>
    </fill>
    <fill>
      <patternFill patternType="solid">
        <fgColor rgb="FF0F766E"/>
      </patternFill>
    </fill>
    <fill>
      <patternFill patternType="solid">
        <fgColor rgb="FF0E7490"/>
      </patternFill>
    </fill>
    <fill>
      <patternFill patternType="solid">
        <fgColor rgb="FF475467"/>
      </patternFill>
    </fill>
    <fill>
      <patternFill patternType="solid">
        <fgColor rgb="FFFFFFFF"/>
      </patternFill>
    </fill>
    <fill>
      <patternFill patternType="solid">
        <fgColor rgb="FFE8F1FB"/>
      </patternFill>
    </fill>
    <fill>
      <patternFill patternType="solid">
        <fgColor rgb="FFF3F5F7"/>
      </patternFill>
    </fill>
    <fill>
      <patternFill patternType="solid">
        <fgColor rgb="FFDDF5F1"/>
      </patternFill>
    </fill>
    <fill>
      <patternFill patternType="solid">
        <fgColor rgb="FFE6F4EA"/>
      </patternFill>
    </fill>
    <fill>
      <patternFill patternType="solid">
        <fgColor rgb="FFFFF4D6"/>
      </patternFill>
    </fill>
    <fill>
      <patternFill patternType="solid">
        <fgColor rgb="FF0B1F3A"/>
      </patternFill>
    </fill>
    <fill>
      <patternFill patternType="solid">
        <fgColor rgb="FF0B1F3A"/>
      </patternFill>
    </fill>
    <fill>
      <patternFill patternType="solid">
        <fgColor rgb="FF0F766E"/>
      </patternFill>
    </fill>
    <fill>
      <patternFill patternType="solid">
        <fgColor rgb="FF0E7490"/>
      </patternFill>
    </fill>
    <fill>
      <patternFill patternType="solid">
        <fgColor rgb="FF475467"/>
      </patternFill>
    </fill>
    <fill>
      <patternFill patternType="solid">
        <fgColor rgb="FFFFFFFF"/>
      </patternFill>
    </fill>
    <fill>
      <patternFill patternType="solid">
        <fgColor rgb="FF0E7490"/>
      </patternFill>
    </fill>
    <fill>
      <patternFill patternType="solid">
        <fgColor rgb="FFB7791F"/>
      </patternFill>
    </fill>
    <fill>
      <patternFill patternType="solid">
        <fgColor rgb="FF0B1F3A"/>
      </patternFill>
    </fill>
    <fill>
      <patternFill patternType="solid">
        <fgColor rgb="FFE8F4F8"/>
      </patternFill>
    </fill>
    <fill>
      <patternFill patternType="solid">
        <fgColor rgb="FFFFF9E8"/>
      </patternFill>
    </fill>
    <fill>
      <patternFill patternType="solid">
        <fgColor rgb="FF334155"/>
      </patternFill>
    </fill>
    <fill>
      <patternFill patternType="solid">
        <fgColor rgb="FF0F766E"/>
      </patternFill>
    </fill>
    <fill>
      <patternFill patternType="solid">
        <fgColor rgb="FF2563EB"/>
      </patternFill>
    </fill>
    <fill>
      <patternFill patternType="solid">
        <fgColor rgb="FFF1F5F9"/>
      </patternFill>
    </fill>
    <fill>
      <patternFill patternType="solid">
        <fgColor rgb="FFFFF3CD"/>
      </patternFill>
    </fill>
    <fill>
      <patternFill patternType="solid">
        <fgColor rgb="FFE8F5F2"/>
      </patternFill>
    </fill>
    <fill>
      <patternFill patternType="solid">
        <fgColor rgb="FFEEF4FF"/>
      </patternFill>
    </fill>
    <fill>
      <patternFill patternType="solid">
        <fgColor rgb="FF334155"/>
      </patternFill>
    </fill>
    <fill>
      <patternFill patternType="solid">
        <fgColor rgb="FFB7791F"/>
      </patternFill>
    </fill>
    <fill>
      <patternFill patternType="solid">
        <fgColor rgb="FF0F766E"/>
      </patternFill>
    </fill>
    <fill>
      <patternFill patternType="solid">
        <fgColor rgb="FF2563EB"/>
      </patternFill>
    </fill>
    <fill>
      <patternFill patternType="solid">
        <fgColor rgb="FF0B1F3A"/>
      </patternFill>
    </fill>
    <fill>
      <patternFill patternType="solid">
        <fgColor rgb="FFF1F5F9"/>
      </patternFill>
    </fill>
    <fill>
      <patternFill patternType="solid">
        <fgColor rgb="FFFFF3CD"/>
      </patternFill>
    </fill>
    <fill>
      <patternFill patternType="solid">
        <fgColor rgb="FFE8F5F2"/>
      </patternFill>
    </fill>
    <fill>
      <patternFill patternType="solid">
        <fgColor rgb="FFEEF4FF"/>
      </patternFill>
    </fill>
    <fill>
      <patternFill patternType="solid">
        <fgColor rgb="FFEEF4FF"/>
      </patternFill>
    </fill>
    <fill>
      <patternFill patternType="solid">
        <fgColor rgb="FF334155"/>
      </patternFill>
    </fill>
    <fill>
      <patternFill patternType="solid">
        <fgColor rgb="FFB7791F"/>
      </patternFill>
    </fill>
    <fill>
      <patternFill patternType="solid">
        <fgColor rgb="FF0F766E"/>
      </patternFill>
    </fill>
    <fill>
      <patternFill patternType="solid">
        <fgColor rgb="FF2563EB"/>
      </patternFill>
    </fill>
    <fill>
      <patternFill patternType="solid">
        <fgColor rgb="FF64748B"/>
      </patternFill>
    </fill>
    <fill>
      <patternFill patternType="solid">
        <fgColor rgb="FF0B1F3A"/>
      </patternFill>
    </fill>
    <fill>
      <patternFill patternType="solid">
        <fgColor rgb="FFF1F5F9"/>
      </patternFill>
    </fill>
    <fill>
      <patternFill patternType="solid">
        <fgColor rgb="FFFFF3CD"/>
      </patternFill>
    </fill>
    <fill>
      <patternFill patternType="solid">
        <fgColor rgb="FFE8F5F2"/>
      </patternFill>
    </fill>
    <fill>
      <patternFill patternType="solid">
        <fgColor rgb="FFFFF9E8"/>
      </patternFill>
    </fill>
    <fill>
      <patternFill patternType="solid">
        <fgColor rgb="FFFFFFFF"/>
      </patternFill>
    </fill>
    <fill>
      <patternFill patternType="solid">
        <fgColor rgb="FFF8FAFC"/>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s>
  <borders count="50">
    <border/>
    <border>
      <left style="thin">
        <color rgb="FFE7B84B"/>
      </left>
      <top style="thin">
        <color rgb="FFE7B84B"/>
      </top>
      <bottom style="thin">
        <color rgb="FFE7B84B"/>
      </bottom>
    </border>
    <border>
      <right style="thin">
        <color rgb="FFE7B84B"/>
      </right>
      <top style="thin">
        <color rgb="FFE7B84B"/>
      </top>
      <bottom style="thin">
        <color rgb="FFE7B84B"/>
      </bottom>
    </border>
    <border>
      <right style="thin">
        <color rgb="FF52657A"/>
      </right>
    </border>
    <border>
      <left style="thin">
        <color rgb="FF52657A"/>
      </left>
      <right style="thin">
        <color rgb="FF52657A"/>
      </right>
    </border>
    <border>
      <left style="thin">
        <color rgb="FF52657A"/>
      </left>
    </border>
    <border>
      <left style="thin">
        <color rgb="FFD0D5DD"/>
      </left>
      <right style="thin">
        <color rgb="FF52657A"/>
      </right>
      <top style="thin">
        <color rgb="FFD0D5DD"/>
      </top>
    </border>
    <border>
      <left style="thin">
        <color rgb="FF52657A"/>
      </left>
      <right style="thin">
        <color rgb="FF52657A"/>
      </right>
      <top style="thin">
        <color rgb="FFD0D5DD"/>
      </top>
    </border>
    <border>
      <left style="thin">
        <color rgb="FF52657A"/>
      </left>
      <right style="thin">
        <color rgb="FFD0D5DD"/>
      </right>
      <top style="thin">
        <color rgb="FFD0D5DD"/>
      </top>
    </border>
    <border>
      <left style="thin">
        <color rgb="FFD0D5DD"/>
      </left>
    </border>
    <border>
      <right style="thin">
        <color rgb="FFD0D5DD"/>
      </right>
    </border>
    <border>
      <left style="thin">
        <color rgb="FFD0D5DD"/>
      </left>
      <bottom style="thin">
        <color rgb="FFD0D5DD"/>
      </bottom>
    </border>
    <border>
      <bottom style="thin">
        <color rgb="FFD0D5DD"/>
      </bottom>
    </border>
    <border>
      <right style="thin">
        <color rgb="FFD0D5DD"/>
      </right>
      <bottom style="thin">
        <color rgb="FFD0D5DD"/>
      </bottom>
    </border>
    <border>
      <left style="thin">
        <color rgb="FFD0D5DD"/>
      </left>
      <top style="thin">
        <color rgb="FFD0D5DD"/>
      </top>
    </border>
    <border>
      <right style="thin">
        <color rgb="FFD0D5DD"/>
      </right>
      <top style="thin">
        <color rgb="FFD0D5DD"/>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D0D5DD"/>
      </left>
      <top style="thin">
        <color rgb="FFD0D5DD"/>
      </top>
      <bottom style="thin">
        <color rgb="FFD0D5DD"/>
      </bottom>
    </border>
    <border>
      <top style="thin">
        <color rgb="FFD0D5DD"/>
      </top>
      <bottom style="thin">
        <color rgb="FFD0D5DD"/>
      </bottom>
    </border>
    <border>
      <right style="thin">
        <color rgb="FFD0D5DD"/>
      </right>
      <top style="thin">
        <color rgb="FFD0D5DD"/>
      </top>
      <bottom style="thin">
        <color rgb="FFD0D5DD"/>
      </bottom>
    </border>
    <border>
      <top style="thin">
        <color rgb="FFD0D5DD"/>
      </top>
    </border>
    <border>
      <left style="thin">
        <color rgb="FFD0D5DD"/>
      </left>
      <right style="thin">
        <color rgb="FFD0D5DD"/>
      </right>
      <top style="thin">
        <color rgb="FFD0D5DD"/>
      </top>
      <bottom style="thin">
        <color rgb="FFD0D5DD"/>
      </bottom>
    </border>
    <border>
      <left style="thin">
        <color rgb="FFD0D5DD"/>
      </left>
      <right style="thin">
        <color rgb="FF52657A"/>
      </right>
      <top style="thin">
        <color rgb="FFD0D5DD"/>
      </top>
      <bottom style="thin">
        <color rgb="FFD0D5DD"/>
      </bottom>
    </border>
    <border>
      <left style="thin">
        <color rgb="FF52657A"/>
      </left>
      <right style="thin">
        <color rgb="FFD0D5DD"/>
      </right>
      <top style="thin">
        <color rgb="FFD0D5DD"/>
      </top>
      <bottom style="thin">
        <color rgb="FFD0D5DD"/>
      </bottom>
    </border>
    <border>
      <left style="thin">
        <color rgb="FFFFFFFF"/>
      </left>
      <right style="thin">
        <color rgb="FFFFFFFF"/>
      </right>
      <top style="thin">
        <color rgb="FFFFFFFF"/>
      </top>
      <bottom style="thin">
        <color rgb="FFFFFFFF"/>
      </bottom>
    </border>
    <border>
      <top style="thin">
        <color rgb="FFFFFFFF"/>
      </top>
    </border>
    <border>
      <right style="thin">
        <color rgb="FFFFFFFF"/>
      </right>
      <top style="thin">
        <color rgb="FFFFFFFF"/>
      </top>
    </border>
    <border>
      <left style="thin">
        <color rgb="FF52657A"/>
      </left>
      <right style="thin">
        <color rgb="FF52657A"/>
      </right>
      <top style="thin">
        <color rgb="FF52657A"/>
      </top>
      <bottom style="thin">
        <color rgb="FF52657A"/>
      </bottom>
    </border>
    <border>
      <left style="thin">
        <color rgb="FF52657A"/>
      </left>
      <right style="thin">
        <color rgb="FF52657A"/>
      </right>
      <top style="thin">
        <color rgb="FFD0D5DD"/>
      </top>
      <bottom style="thin">
        <color rgb="FFD0D5DD"/>
      </bottom>
    </border>
    <border>
      <right style="thin">
        <color rgb="FF52657A"/>
      </right>
      <top style="thin">
        <color rgb="FFD0D5DD"/>
      </top>
    </border>
    <border>
      <right style="thin">
        <color rgb="FF52657A"/>
      </right>
      <top style="thin">
        <color rgb="FFD0D5DD"/>
      </top>
      <bottom style="thin">
        <color rgb="FFD0D5DD"/>
      </bottom>
    </border>
    <border>
      <bottom style="thin">
        <color rgb="FFD9E2EC"/>
      </bottom>
    </border>
    <border>
      <top style="thin">
        <color rgb="FFD9E2EC"/>
      </top>
      <bottom style="thin">
        <color rgb="FFD9E2EC"/>
      </bottom>
    </border>
    <border>
      <top style="thin">
        <color rgb="FFD9E2EC"/>
      </top>
    </border>
    <border>
      <left style="thin">
        <color rgb="FFD0D5DD"/>
      </left>
      <right style="thin">
        <color rgb="FFD0D5DD"/>
      </right>
      <top style="thin">
        <color rgb="FFD0D5DD"/>
      </top>
      <bottom style="thin">
        <color rgb="FFD9E2EC"/>
      </bottom>
    </border>
    <border>
      <left style="thin">
        <color rgb="FFD9E2F3"/>
      </left>
      <right style="thin">
        <color rgb="FFD9E2F3"/>
      </right>
      <top style="thin">
        <color rgb="FFD9E2F3"/>
      </top>
      <bottom style="thin">
        <color rgb="FFD9E2F3"/>
      </bottom>
    </border>
    <border>
      <left style="thin">
        <color rgb="FF9FBAD0"/>
      </left>
      <top style="thin">
        <color rgb="FF9FBAD0"/>
      </top>
    </border>
    <border>
      <right style="thin">
        <color rgb="FF9FBAD0"/>
      </right>
      <top style="thin">
        <color rgb="FF9FBAD0"/>
      </top>
    </border>
    <border>
      <left style="thin">
        <color rgb="FF9FBAD0"/>
      </left>
      <bottom style="thin">
        <color rgb="FF9FBAD0"/>
      </bottom>
    </border>
    <border>
      <right style="thin">
        <color rgb="FF9FBAD0"/>
      </right>
      <bottom style="thin">
        <color rgb="FF9FBAD0"/>
      </bottom>
    </border>
    <border>
      <left style="thin">
        <color rgb="FF9FBAD0"/>
      </left>
      <right style="thin">
        <color rgb="FF9FBAD0"/>
      </right>
      <top style="thin">
        <color rgb="FF9FBAD0"/>
      </top>
      <bottom style="thin">
        <color rgb="FF9FBAD0"/>
      </bottom>
    </border>
    <border>
      <top style="thin">
        <color rgb="FF9FBAD0"/>
      </top>
    </border>
    <border>
      <left style="thin">
        <color rgb="FF9FBAD0"/>
      </left>
    </border>
    <border>
      <right style="thin">
        <color rgb="FF9FBAD0"/>
      </right>
    </border>
    <border>
      <top style="thin">
        <color rgb="FFD9E2F3"/>
      </top>
    </border>
    <border>
      <right style="thin">
        <color rgb="FFD9E2F3"/>
      </right>
      <top style="thin">
        <color rgb="FFD9E2F3"/>
      </top>
    </border>
    <border>
      <top style="thin">
        <color rgb="FFD9E2F3"/>
      </top>
      <bottom style="thin">
        <color rgb="FFD9E2F3"/>
      </bottom>
    </border>
    <border>
      <right style="thin">
        <color rgb="FFD9E2F3"/>
      </right>
      <top style="thin">
        <color rgb="FFD9E2F3"/>
      </top>
      <bottom style="thin">
        <color rgb="FFD9E2F3"/>
      </bottom>
    </border>
  </borders>
  <cellStyleXfs count="1">
    <xf numFmtId="0" fontId="0" fillId="0" borderId="0"/>
  </cellStyleXfs>
  <cellXfs count="1230">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164" fontId="0" fillId="0" borderId="0" pivotButton="0" quotePrefix="0" xfId="0"/>
    <xf numFmtId="0" fontId="0" fillId="4" borderId="0" pivotButton="0" quotePrefix="0" xfId="0"/>
    <xf numFmtId="164" fontId="0" fillId="4" borderId="0" pivotButton="0" quotePrefix="0" xfId="0"/>
    <xf numFmtId="0" fontId="3" fillId="4" borderId="0" pivotButton="0" quotePrefix="0" xfId="0"/>
    <xf numFmtId="164" fontId="3" fillId="4" borderId="0" pivotButton="0" quotePrefix="0" xfId="0"/>
    <xf numFmtId="0" fontId="3" fillId="4" borderId="1" pivotButton="0" quotePrefix="0" xfId="0"/>
    <xf numFmtId="164" fontId="3" fillId="4" borderId="2" pivotButton="0" quotePrefix="0" xfId="0"/>
    <xf numFmtId="0" fontId="0" fillId="5" borderId="0" pivotButton="0" quotePrefix="0" xfId="0"/>
    <xf numFmtId="0" fontId="4" fillId="5" borderId="0" pivotButton="0" quotePrefix="0" xfId="0"/>
    <xf numFmtId="0" fontId="4" fillId="5" borderId="0" applyAlignment="1" pivotButton="0" quotePrefix="0" xfId="0">
      <alignment vertical="center"/>
    </xf>
    <xf numFmtId="0" fontId="5" fillId="2" borderId="0" pivotButton="0" quotePrefix="0" xfId="0"/>
    <xf numFmtId="0" fontId="5" fillId="2" borderId="3" pivotButton="0" quotePrefix="0" xfId="0"/>
    <xf numFmtId="0" fontId="5" fillId="2" borderId="4" pivotButton="0" quotePrefix="0" xfId="0"/>
    <xf numFmtId="0" fontId="5" fillId="2" borderId="5" pivotButton="0" quotePrefix="0" xfId="0"/>
    <xf numFmtId="0" fontId="5" fillId="2" borderId="3" applyAlignment="1" pivotButton="0" quotePrefix="0" xfId="0">
      <alignment wrapText="1"/>
    </xf>
    <xf numFmtId="0" fontId="5" fillId="2" borderId="4" applyAlignment="1" pivotButton="0" quotePrefix="0" xfId="0">
      <alignment wrapText="1"/>
    </xf>
    <xf numFmtId="0" fontId="5" fillId="2" borderId="5" applyAlignment="1" pivotButton="0" quotePrefix="0" xfId="0">
      <alignment wrapText="1"/>
    </xf>
    <xf numFmtId="0" fontId="5" fillId="2" borderId="3" applyAlignment="1" pivotButton="0" quotePrefix="0" xfId="0">
      <alignment horizontal="left" wrapText="1"/>
    </xf>
    <xf numFmtId="0" fontId="5" fillId="2" borderId="4" applyAlignment="1" pivotButton="0" quotePrefix="0" xfId="0">
      <alignment horizontal="left" wrapText="1"/>
    </xf>
    <xf numFmtId="0" fontId="5" fillId="2" borderId="5" applyAlignment="1" pivotButton="0" quotePrefix="0" xfId="0">
      <alignment horizontal="left" wrapText="1"/>
    </xf>
    <xf numFmtId="0" fontId="5" fillId="2" borderId="3" applyAlignment="1" pivotButton="0" quotePrefix="0" xfId="0">
      <alignment horizontal="left" vertical="center" wrapText="1"/>
    </xf>
    <xf numFmtId="0" fontId="5" fillId="2" borderId="4" applyAlignment="1" pivotButton="0" quotePrefix="0" xfId="0">
      <alignment horizontal="left" vertical="center" wrapText="1"/>
    </xf>
    <xf numFmtId="0" fontId="5" fillId="2" borderId="5" applyAlignment="1" pivotButton="0" quotePrefix="0" xfId="0">
      <alignment horizontal="left" vertical="center" wrapText="1"/>
    </xf>
    <xf numFmtId="0" fontId="5" fillId="2" borderId="6" applyAlignment="1" pivotButton="0" quotePrefix="0" xfId="0">
      <alignment horizontal="left" vertical="center" wrapText="1"/>
    </xf>
    <xf numFmtId="0" fontId="5" fillId="2" borderId="7" applyAlignment="1" pivotButton="0" quotePrefix="0" xfId="0">
      <alignment horizontal="left" vertical="center" wrapText="1"/>
    </xf>
    <xf numFmtId="0" fontId="5" fillId="2" borderId="8" applyAlignment="1" pivotButton="0" quotePrefix="0" xfId="0">
      <alignment horizontal="left" vertical="center" wrapText="1"/>
    </xf>
    <xf numFmtId="0" fontId="0" fillId="0" borderId="9" pivotButton="0" quotePrefix="0" xfId="0"/>
    <xf numFmtId="0" fontId="0" fillId="0" borderId="0"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9" applyAlignment="1" pivotButton="0" quotePrefix="0" xfId="0">
      <alignment wrapText="1"/>
    </xf>
    <xf numFmtId="0" fontId="0" fillId="0" borderId="0"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5" fillId="2" borderId="6" applyAlignment="1" pivotButton="0" quotePrefix="0" xfId="0">
      <alignment horizontal="left" vertical="top" wrapText="1"/>
    </xf>
    <xf numFmtId="0" fontId="5" fillId="2" borderId="7" applyAlignment="1" pivotButton="0" quotePrefix="0" xfId="0">
      <alignment horizontal="left" vertical="top" wrapText="1"/>
    </xf>
    <xf numFmtId="0" fontId="5" fillId="2" borderId="8" applyAlignment="1" pivotButton="0" quotePrefix="0" xfId="0">
      <alignment horizontal="left" vertical="top" wrapText="1"/>
    </xf>
    <xf numFmtId="0" fontId="0" fillId="0" borderId="9" applyAlignment="1" pivotButton="0" quotePrefix="0" xfId="0">
      <alignment vertical="top" wrapText="1"/>
    </xf>
    <xf numFmtId="0" fontId="0" fillId="0" borderId="0"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0" fillId="0" borderId="14" pivotButton="0" quotePrefix="0" xfId="0"/>
    <xf numFmtId="0" fontId="0" fillId="0" borderId="15" pivotButton="0" quotePrefix="0" xfId="0"/>
    <xf numFmtId="0" fontId="0" fillId="0" borderId="14" applyAlignment="1" pivotButton="0" quotePrefix="0" xfId="0">
      <alignment wrapText="1"/>
    </xf>
    <xf numFmtId="0" fontId="0" fillId="0" borderId="15" applyAlignment="1" pivotButton="0" quotePrefix="0" xfId="0">
      <alignment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6" borderId="0" pivotButton="0" quotePrefix="0" xfId="0"/>
    <xf numFmtId="0" fontId="5" fillId="6" borderId="0" pivotButton="0" quotePrefix="0" xfId="0"/>
    <xf numFmtId="0" fontId="5" fillId="6" borderId="16" pivotButton="0" quotePrefix="0" xfId="0"/>
    <xf numFmtId="0" fontId="5" fillId="6" borderId="17" pivotButton="0" quotePrefix="0" xfId="0"/>
    <xf numFmtId="0" fontId="5" fillId="6" borderId="18" pivotButton="0" quotePrefix="0" xfId="0"/>
    <xf numFmtId="0" fontId="5" fillId="6" borderId="16" applyAlignment="1" pivotButton="0" quotePrefix="0" xfId="0">
      <alignment horizontal="center"/>
    </xf>
    <xf numFmtId="0" fontId="5" fillId="6" borderId="17" applyAlignment="1" pivotButton="0" quotePrefix="0" xfId="0">
      <alignment horizontal="center"/>
    </xf>
    <xf numFmtId="0" fontId="5" fillId="6" borderId="18" applyAlignment="1" pivotButton="0" quotePrefix="0" xfId="0">
      <alignment horizont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5" fillId="6" borderId="18" applyAlignment="1" pivotButton="0" quotePrefix="0" xfId="0">
      <alignment horizontal="center" vertical="center"/>
    </xf>
    <xf numFmtId="0" fontId="0" fillId="7" borderId="0" pivotButton="0" quotePrefix="0" xfId="0"/>
    <xf numFmtId="0" fontId="5" fillId="7" borderId="0" pivotButton="0" quotePrefix="0" xfId="0"/>
    <xf numFmtId="0" fontId="5" fillId="7" borderId="16" pivotButton="0" quotePrefix="0" xfId="0"/>
    <xf numFmtId="0" fontId="5" fillId="7" borderId="17" pivotButton="0" quotePrefix="0" xfId="0"/>
    <xf numFmtId="0" fontId="5" fillId="7" borderId="18" pivotButton="0" quotePrefix="0" xfId="0"/>
    <xf numFmtId="0" fontId="5" fillId="7" borderId="16" applyAlignment="1" pivotButton="0" quotePrefix="0" xfId="0">
      <alignment horizontal="center"/>
    </xf>
    <xf numFmtId="0" fontId="5" fillId="7" borderId="17" applyAlignment="1" pivotButton="0" quotePrefix="0" xfId="0">
      <alignment horizontal="center"/>
    </xf>
    <xf numFmtId="0" fontId="5" fillId="7" borderId="18" applyAlignment="1" pivotButton="0" quotePrefix="0" xfId="0">
      <alignment horizontal="center"/>
    </xf>
    <xf numFmtId="0" fontId="5" fillId="7" borderId="16" applyAlignment="1" pivotButton="0" quotePrefix="0" xfId="0">
      <alignment horizontal="center" vertical="center"/>
    </xf>
    <xf numFmtId="0" fontId="5" fillId="7" borderId="17" applyAlignment="1" pivotButton="0" quotePrefix="0" xfId="0">
      <alignment horizontal="center" vertical="center"/>
    </xf>
    <xf numFmtId="0" fontId="5" fillId="7" borderId="18" applyAlignment="1" pivotButton="0" quotePrefix="0" xfId="0">
      <alignment horizontal="center" vertical="center"/>
    </xf>
    <xf numFmtId="0" fontId="0" fillId="8" borderId="0" pivotButton="0" quotePrefix="0" xfId="0"/>
    <xf numFmtId="0" fontId="5" fillId="8" borderId="0" pivotButton="0" quotePrefix="0" xfId="0"/>
    <xf numFmtId="0" fontId="5" fillId="8" borderId="16" pivotButton="0" quotePrefix="0" xfId="0"/>
    <xf numFmtId="0" fontId="5" fillId="8" borderId="17" pivotButton="0" quotePrefix="0" xfId="0"/>
    <xf numFmtId="0" fontId="5" fillId="8" borderId="18" pivotButton="0" quotePrefix="0" xfId="0"/>
    <xf numFmtId="0" fontId="5" fillId="8" borderId="16" applyAlignment="1" pivotButton="0" quotePrefix="0" xfId="0">
      <alignment horizontal="center"/>
    </xf>
    <xf numFmtId="0" fontId="5" fillId="8" borderId="17" applyAlignment="1" pivotButton="0" quotePrefix="0" xfId="0">
      <alignment horizontal="center"/>
    </xf>
    <xf numFmtId="0" fontId="5" fillId="8" borderId="18" applyAlignment="1" pivotButton="0" quotePrefix="0" xfId="0">
      <alignment horizontal="center"/>
    </xf>
    <xf numFmtId="0" fontId="5" fillId="8" borderId="16" applyAlignment="1" pivotButton="0" quotePrefix="0" xfId="0">
      <alignment horizontal="center" vertical="center"/>
    </xf>
    <xf numFmtId="0" fontId="5" fillId="8" borderId="17" applyAlignment="1" pivotButton="0" quotePrefix="0" xfId="0">
      <alignment horizontal="center" vertical="center"/>
    </xf>
    <xf numFmtId="0" fontId="5" fillId="8" borderId="18" applyAlignment="1" pivotButton="0" quotePrefix="0" xfId="0">
      <alignment horizontal="center" vertical="center"/>
    </xf>
    <xf numFmtId="0" fontId="0" fillId="9" borderId="0" pivotButton="0" quotePrefix="0" xfId="0"/>
    <xf numFmtId="0" fontId="5" fillId="9" borderId="0" pivotButton="0" quotePrefix="0" xfId="0"/>
    <xf numFmtId="0" fontId="5" fillId="9" borderId="16" pivotButton="0" quotePrefix="0" xfId="0"/>
    <xf numFmtId="0" fontId="5" fillId="9" borderId="17" pivotButton="0" quotePrefix="0" xfId="0"/>
    <xf numFmtId="0" fontId="5" fillId="9" borderId="18" pivotButton="0" quotePrefix="0" xfId="0"/>
    <xf numFmtId="0" fontId="5" fillId="9" borderId="16" applyAlignment="1" pivotButton="0" quotePrefix="0" xfId="0">
      <alignment horizontal="center"/>
    </xf>
    <xf numFmtId="0" fontId="5" fillId="9" borderId="17" applyAlignment="1" pivotButton="0" quotePrefix="0" xfId="0">
      <alignment horizontal="center"/>
    </xf>
    <xf numFmtId="0" fontId="5" fillId="9" borderId="18" applyAlignment="1" pivotButton="0" quotePrefix="0" xfId="0">
      <alignment horizontal="center"/>
    </xf>
    <xf numFmtId="0" fontId="5" fillId="9" borderId="16" applyAlignment="1" pivotButton="0" quotePrefix="0" xfId="0">
      <alignment horizontal="center" vertical="center"/>
    </xf>
    <xf numFmtId="0" fontId="5" fillId="9" borderId="17" applyAlignment="1" pivotButton="0" quotePrefix="0" xfId="0">
      <alignment horizontal="center" vertical="center"/>
    </xf>
    <xf numFmtId="0" fontId="5" fillId="9" borderId="18" applyAlignment="1" pivotButton="0" quotePrefix="0" xfId="0">
      <alignment horizontal="center" vertical="center"/>
    </xf>
    <xf numFmtId="0" fontId="0" fillId="10" borderId="0" pivotButton="0" quotePrefix="0" xfId="0"/>
    <xf numFmtId="0" fontId="5" fillId="10" borderId="0" pivotButton="0" quotePrefix="0" xfId="0"/>
    <xf numFmtId="0" fontId="5" fillId="10" borderId="16" pivotButton="0" quotePrefix="0" xfId="0"/>
    <xf numFmtId="0" fontId="5" fillId="10" borderId="17" pivotButton="0" quotePrefix="0" xfId="0"/>
    <xf numFmtId="0" fontId="5" fillId="10" borderId="18" pivotButton="0" quotePrefix="0" xfId="0"/>
    <xf numFmtId="0" fontId="5" fillId="10" borderId="16" applyAlignment="1" pivotButton="0" quotePrefix="0" xfId="0">
      <alignment horizontal="center"/>
    </xf>
    <xf numFmtId="0" fontId="5" fillId="10" borderId="17" applyAlignment="1" pivotButton="0" quotePrefix="0" xfId="0">
      <alignment horizontal="center"/>
    </xf>
    <xf numFmtId="0" fontId="5" fillId="10" borderId="18" applyAlignment="1" pivotButton="0" quotePrefix="0" xfId="0">
      <alignment horizontal="center"/>
    </xf>
    <xf numFmtId="0" fontId="5" fillId="10" borderId="16" applyAlignment="1" pivotButton="0" quotePrefix="0" xfId="0">
      <alignment horizontal="center" vertical="center"/>
    </xf>
    <xf numFmtId="0" fontId="5" fillId="10" borderId="17" applyAlignment="1" pivotButton="0" quotePrefix="0" xfId="0">
      <alignment horizontal="center" vertical="center"/>
    </xf>
    <xf numFmtId="0" fontId="5" fillId="10" borderId="18" applyAlignment="1" pivotButton="0" quotePrefix="0" xfId="0">
      <alignment horizontal="center" vertical="center"/>
    </xf>
    <xf numFmtId="0" fontId="0" fillId="11" borderId="0" pivotButton="0" quotePrefix="0" xfId="0"/>
    <xf numFmtId="0" fontId="5" fillId="11" borderId="0" pivotButton="0" quotePrefix="0" xfId="0"/>
    <xf numFmtId="0" fontId="5" fillId="11" borderId="16" pivotButton="0" quotePrefix="0" xfId="0"/>
    <xf numFmtId="0" fontId="5" fillId="11" borderId="17" pivotButton="0" quotePrefix="0" xfId="0"/>
    <xf numFmtId="0" fontId="5" fillId="11" borderId="18" pivotButton="0" quotePrefix="0" xfId="0"/>
    <xf numFmtId="0" fontId="5" fillId="11" borderId="16" applyAlignment="1" pivotButton="0" quotePrefix="0" xfId="0">
      <alignment horizontal="center"/>
    </xf>
    <xf numFmtId="0" fontId="5" fillId="11" borderId="17" applyAlignment="1" pivotButton="0" quotePrefix="0" xfId="0">
      <alignment horizontal="center"/>
    </xf>
    <xf numFmtId="0" fontId="5" fillId="11" borderId="18" applyAlignment="1" pivotButton="0" quotePrefix="0" xfId="0">
      <alignment horizontal="center"/>
    </xf>
    <xf numFmtId="0" fontId="5" fillId="11" borderId="16" applyAlignment="1" pivotButton="0" quotePrefix="0" xfId="0">
      <alignment horizontal="center" vertical="center"/>
    </xf>
    <xf numFmtId="0" fontId="5" fillId="11" borderId="17" applyAlignment="1" pivotButton="0" quotePrefix="0" xfId="0">
      <alignment horizontal="center" vertical="center"/>
    </xf>
    <xf numFmtId="0" fontId="5" fillId="11" borderId="18" applyAlignment="1" pivotButton="0" quotePrefix="0" xfId="0">
      <alignment horizontal="center" vertical="center"/>
    </xf>
    <xf numFmtId="165" fontId="0" fillId="0" borderId="0" pivotButton="0" quotePrefix="0" xfId="0"/>
    <xf numFmtId="0" fontId="6" fillId="0" borderId="0" pivotButton="0" quotePrefix="0" xfId="0"/>
    <xf numFmtId="0" fontId="7" fillId="2" borderId="0" pivotButton="0" quotePrefix="0" xfId="0"/>
    <xf numFmtId="0" fontId="7" fillId="2" borderId="0" applyAlignment="1" pivotButton="0" quotePrefix="0" xfId="0">
      <alignment horizontal="left"/>
    </xf>
    <xf numFmtId="0" fontId="7" fillId="2" borderId="0" applyAlignment="1" pivotButton="0" quotePrefix="0" xfId="0">
      <alignment horizontal="left" vertical="center"/>
    </xf>
    <xf numFmtId="0" fontId="0" fillId="12" borderId="0" pivotButton="0" quotePrefix="0" xfId="0"/>
    <xf numFmtId="0" fontId="8" fillId="3" borderId="0" pivotButton="0" quotePrefix="0" xfId="0"/>
    <xf numFmtId="0" fontId="8" fillId="3" borderId="19" pivotButton="0" quotePrefix="0" xfId="0"/>
    <xf numFmtId="0" fontId="8" fillId="3" borderId="20" pivotButton="0" quotePrefix="0" xfId="0"/>
    <xf numFmtId="0" fontId="8" fillId="3" borderId="21" pivotButton="0" quotePrefix="0" xfId="0"/>
    <xf numFmtId="0" fontId="8" fillId="3" borderId="19" applyAlignment="1" pivotButton="0" quotePrefix="0" xfId="0">
      <alignment horizontal="center"/>
    </xf>
    <xf numFmtId="0" fontId="8" fillId="3" borderId="20" applyAlignment="1" pivotButton="0" quotePrefix="0" xfId="0">
      <alignment horizontal="center"/>
    </xf>
    <xf numFmtId="0" fontId="8" fillId="3" borderId="21" applyAlignment="1" pivotButton="0" quotePrefix="0" xfId="0">
      <alignment horizontal="center"/>
    </xf>
    <xf numFmtId="0" fontId="8" fillId="3" borderId="19" applyAlignment="1" pivotButton="0" quotePrefix="0" xfId="0">
      <alignment horizontal="center" vertical="center"/>
    </xf>
    <xf numFmtId="0" fontId="8" fillId="3" borderId="20" applyAlignment="1" pivotButton="0" quotePrefix="0" xfId="0">
      <alignment horizontal="center" vertical="center"/>
    </xf>
    <xf numFmtId="0" fontId="8" fillId="3" borderId="21" applyAlignment="1" pivotButton="0" quotePrefix="0" xfId="0">
      <alignment horizontal="center" vertical="center"/>
    </xf>
    <xf numFmtId="0" fontId="0" fillId="13" borderId="0" pivotButton="0" quotePrefix="0" xfId="0"/>
    <xf numFmtId="0" fontId="9" fillId="13" borderId="0" pivotButton="0" quotePrefix="0" xfId="0"/>
    <xf numFmtId="0" fontId="9" fillId="13" borderId="14" pivotButton="0" quotePrefix="0" xfId="0"/>
    <xf numFmtId="0" fontId="9" fillId="13" borderId="22" pivotButton="0" quotePrefix="0" xfId="0"/>
    <xf numFmtId="0" fontId="9" fillId="13" borderId="15" pivotButton="0" quotePrefix="0" xfId="0"/>
    <xf numFmtId="0" fontId="9" fillId="13" borderId="11" pivotButton="0" quotePrefix="0" xfId="0"/>
    <xf numFmtId="0" fontId="9" fillId="13" borderId="12" pivotButton="0" quotePrefix="0" xfId="0"/>
    <xf numFmtId="0" fontId="9" fillId="13" borderId="13" pivotButton="0" quotePrefix="0" xfId="0"/>
    <xf numFmtId="1" fontId="9" fillId="13" borderId="14" pivotButton="0" quotePrefix="0" xfId="0"/>
    <xf numFmtId="1" fontId="9" fillId="13" borderId="22" pivotButton="0" quotePrefix="0" xfId="0"/>
    <xf numFmtId="1" fontId="9" fillId="13" borderId="15" pivotButton="0" quotePrefix="0" xfId="0"/>
    <xf numFmtId="1" fontId="9" fillId="13" borderId="11" pivotButton="0" quotePrefix="0" xfId="0"/>
    <xf numFmtId="1" fontId="9" fillId="13" borderId="12" pivotButton="0" quotePrefix="0" xfId="0"/>
    <xf numFmtId="1" fontId="9" fillId="13" borderId="13" pivotButton="0" quotePrefix="0" xfId="0"/>
    <xf numFmtId="1" fontId="9" fillId="13" borderId="14" applyAlignment="1" pivotButton="0" quotePrefix="0" xfId="0">
      <alignment horizontal="center"/>
    </xf>
    <xf numFmtId="1" fontId="9" fillId="13" borderId="22" applyAlignment="1" pivotButton="0" quotePrefix="0" xfId="0">
      <alignment horizontal="center"/>
    </xf>
    <xf numFmtId="1" fontId="9" fillId="13" borderId="15" applyAlignment="1" pivotButton="0" quotePrefix="0" xfId="0">
      <alignment horizontal="center"/>
    </xf>
    <xf numFmtId="1" fontId="9" fillId="13" borderId="11" applyAlignment="1" pivotButton="0" quotePrefix="0" xfId="0">
      <alignment horizontal="center"/>
    </xf>
    <xf numFmtId="1" fontId="9" fillId="13" borderId="12" applyAlignment="1" pivotButton="0" quotePrefix="0" xfId="0">
      <alignment horizontal="center"/>
    </xf>
    <xf numFmtId="1" fontId="9" fillId="13" borderId="13" applyAlignment="1" pivotButton="0" quotePrefix="0" xfId="0">
      <alignment horizontal="center"/>
    </xf>
    <xf numFmtId="1" fontId="9" fillId="13" borderId="14" applyAlignment="1" pivotButton="0" quotePrefix="0" xfId="0">
      <alignment horizontal="center" vertical="center"/>
    </xf>
    <xf numFmtId="1" fontId="9" fillId="13" borderId="22" applyAlignment="1" pivotButton="0" quotePrefix="0" xfId="0">
      <alignment horizontal="center" vertical="center"/>
    </xf>
    <xf numFmtId="1" fontId="9" fillId="13" borderId="15" applyAlignment="1" pivotButton="0" quotePrefix="0" xfId="0">
      <alignment horizontal="center" vertical="center"/>
    </xf>
    <xf numFmtId="1" fontId="9" fillId="13" borderId="11" applyAlignment="1" pivotButton="0" quotePrefix="0" xfId="0">
      <alignment horizontal="center" vertical="center"/>
    </xf>
    <xf numFmtId="1" fontId="9" fillId="13" borderId="12" applyAlignment="1" pivotButton="0" quotePrefix="0" xfId="0">
      <alignment horizontal="center" vertical="center"/>
    </xf>
    <xf numFmtId="1" fontId="9" fillId="13" borderId="13" applyAlignment="1" pivotButton="0" quotePrefix="0" xfId="0">
      <alignment horizontal="center" vertical="center"/>
    </xf>
    <xf numFmtId="0" fontId="0" fillId="14" borderId="0" pivotButton="0" quotePrefix="0" xfId="0"/>
    <xf numFmtId="0" fontId="8" fillId="14" borderId="0" pivotButton="0" quotePrefix="0" xfId="0"/>
    <xf numFmtId="0" fontId="8" fillId="14" borderId="19" pivotButton="0" quotePrefix="0" xfId="0"/>
    <xf numFmtId="0" fontId="8" fillId="14" borderId="20" pivotButton="0" quotePrefix="0" xfId="0"/>
    <xf numFmtId="0" fontId="8" fillId="14" borderId="21" pivotButton="0" quotePrefix="0" xfId="0"/>
    <xf numFmtId="0" fontId="8" fillId="14" borderId="19" applyAlignment="1" pivotButton="0" quotePrefix="0" xfId="0">
      <alignment horizontal="center"/>
    </xf>
    <xf numFmtId="0" fontId="8" fillId="14" borderId="20" applyAlignment="1" pivotButton="0" quotePrefix="0" xfId="0">
      <alignment horizontal="center"/>
    </xf>
    <xf numFmtId="0" fontId="8" fillId="14" borderId="21" applyAlignment="1" pivotButton="0" quotePrefix="0" xfId="0">
      <alignment horizontal="center"/>
    </xf>
    <xf numFmtId="0" fontId="8" fillId="14" borderId="19" applyAlignment="1" pivotButton="0" quotePrefix="0" xfId="0">
      <alignment horizontal="center" vertical="center"/>
    </xf>
    <xf numFmtId="0" fontId="8" fillId="14" borderId="20" applyAlignment="1" pivotButton="0" quotePrefix="0" xfId="0">
      <alignment horizontal="center" vertical="center"/>
    </xf>
    <xf numFmtId="0" fontId="8" fillId="14" borderId="21" applyAlignment="1" pivotButton="0" quotePrefix="0" xfId="0">
      <alignment horizontal="center" vertical="center"/>
    </xf>
    <xf numFmtId="0" fontId="10" fillId="13" borderId="0" pivotButton="0" quotePrefix="0" xfId="0"/>
    <xf numFmtId="0" fontId="10" fillId="13" borderId="14" pivotButton="0" quotePrefix="0" xfId="0"/>
    <xf numFmtId="0" fontId="10" fillId="13" borderId="22" pivotButton="0" quotePrefix="0" xfId="0"/>
    <xf numFmtId="0" fontId="10" fillId="13" borderId="15" pivotButton="0" quotePrefix="0" xfId="0"/>
    <xf numFmtId="0" fontId="10" fillId="13" borderId="11" pivotButton="0" quotePrefix="0" xfId="0"/>
    <xf numFmtId="0" fontId="10" fillId="13" borderId="12" pivotButton="0" quotePrefix="0" xfId="0"/>
    <xf numFmtId="0" fontId="10" fillId="13" borderId="13" pivotButton="0" quotePrefix="0" xfId="0"/>
    <xf numFmtId="1" fontId="10" fillId="13" borderId="14" pivotButton="0" quotePrefix="0" xfId="0"/>
    <xf numFmtId="1" fontId="10" fillId="13" borderId="22" pivotButton="0" quotePrefix="0" xfId="0"/>
    <xf numFmtId="1" fontId="10" fillId="13" borderId="15" pivotButton="0" quotePrefix="0" xfId="0"/>
    <xf numFmtId="1" fontId="10" fillId="13" borderId="11" pivotButton="0" quotePrefix="0" xfId="0"/>
    <xf numFmtId="1" fontId="10" fillId="13" borderId="12" pivotButton="0" quotePrefix="0" xfId="0"/>
    <xf numFmtId="1" fontId="10" fillId="13" borderId="13" pivotButton="0" quotePrefix="0" xfId="0"/>
    <xf numFmtId="1" fontId="10" fillId="13" borderId="14" applyAlignment="1" pivotButton="0" quotePrefix="0" xfId="0">
      <alignment horizontal="center"/>
    </xf>
    <xf numFmtId="1" fontId="10" fillId="13" borderId="22" applyAlignment="1" pivotButton="0" quotePrefix="0" xfId="0">
      <alignment horizontal="center"/>
    </xf>
    <xf numFmtId="1" fontId="10" fillId="13" borderId="15" applyAlignment="1" pivotButton="0" quotePrefix="0" xfId="0">
      <alignment horizontal="center"/>
    </xf>
    <xf numFmtId="1" fontId="10" fillId="13" borderId="11" applyAlignment="1" pivotButton="0" quotePrefix="0" xfId="0">
      <alignment horizontal="center"/>
    </xf>
    <xf numFmtId="1" fontId="10" fillId="13" borderId="12" applyAlignment="1" pivotButton="0" quotePrefix="0" xfId="0">
      <alignment horizontal="center"/>
    </xf>
    <xf numFmtId="1" fontId="10" fillId="13" borderId="13" applyAlignment="1" pivotButton="0" quotePrefix="0" xfId="0">
      <alignment horizontal="center"/>
    </xf>
    <xf numFmtId="1" fontId="10" fillId="13" borderId="14" applyAlignment="1" pivotButton="0" quotePrefix="0" xfId="0">
      <alignment horizontal="center" vertical="center"/>
    </xf>
    <xf numFmtId="1" fontId="10" fillId="13" borderId="22" applyAlignment="1" pivotButton="0" quotePrefix="0" xfId="0">
      <alignment horizontal="center" vertical="center"/>
    </xf>
    <xf numFmtId="1" fontId="10" fillId="13" borderId="15" applyAlignment="1" pivotButton="0" quotePrefix="0" xfId="0">
      <alignment horizontal="center" vertical="center"/>
    </xf>
    <xf numFmtId="1" fontId="10" fillId="13" borderId="11" applyAlignment="1" pivotButton="0" quotePrefix="0" xfId="0">
      <alignment horizontal="center" vertical="center"/>
    </xf>
    <xf numFmtId="1" fontId="10" fillId="13" borderId="12" applyAlignment="1" pivotButton="0" quotePrefix="0" xfId="0">
      <alignment horizontal="center" vertical="center"/>
    </xf>
    <xf numFmtId="1" fontId="10" fillId="13" borderId="13" applyAlignment="1" pivotButton="0" quotePrefix="0" xfId="0">
      <alignment horizontal="center" vertical="center"/>
    </xf>
    <xf numFmtId="0" fontId="0" fillId="15" borderId="0" pivotButton="0" quotePrefix="0" xfId="0"/>
    <xf numFmtId="0" fontId="8" fillId="15" borderId="0" pivotButton="0" quotePrefix="0" xfId="0"/>
    <xf numFmtId="0" fontId="8" fillId="15" borderId="19" pivotButton="0" quotePrefix="0" xfId="0"/>
    <xf numFmtId="0" fontId="8" fillId="15" borderId="20" pivotButton="0" quotePrefix="0" xfId="0"/>
    <xf numFmtId="0" fontId="8" fillId="15" borderId="21" pivotButton="0" quotePrefix="0" xfId="0"/>
    <xf numFmtId="0" fontId="8" fillId="15" borderId="19" applyAlignment="1" pivotButton="0" quotePrefix="0" xfId="0">
      <alignment horizontal="center"/>
    </xf>
    <xf numFmtId="0" fontId="8" fillId="15" borderId="20" applyAlignment="1" pivotButton="0" quotePrefix="0" xfId="0">
      <alignment horizontal="center"/>
    </xf>
    <xf numFmtId="0" fontId="8" fillId="15" borderId="21" applyAlignment="1" pivotButton="0" quotePrefix="0" xfId="0">
      <alignment horizontal="center"/>
    </xf>
    <xf numFmtId="0" fontId="8" fillId="15" borderId="19" applyAlignment="1" pivotButton="0" quotePrefix="0" xfId="0">
      <alignment horizontal="center" vertical="center"/>
    </xf>
    <xf numFmtId="0" fontId="8" fillId="15" borderId="20" applyAlignment="1" pivotButton="0" quotePrefix="0" xfId="0">
      <alignment horizontal="center" vertical="center"/>
    </xf>
    <xf numFmtId="0" fontId="8" fillId="15" borderId="21" applyAlignment="1" pivotButton="0" quotePrefix="0" xfId="0">
      <alignment horizontal="center" vertical="center"/>
    </xf>
    <xf numFmtId="0" fontId="11" fillId="13" borderId="0" pivotButton="0" quotePrefix="0" xfId="0"/>
    <xf numFmtId="0" fontId="11" fillId="13" borderId="14" pivotButton="0" quotePrefix="0" xfId="0"/>
    <xf numFmtId="0" fontId="11" fillId="13" borderId="22" pivotButton="0" quotePrefix="0" xfId="0"/>
    <xf numFmtId="0" fontId="11" fillId="13" borderId="15" pivotButton="0" quotePrefix="0" xfId="0"/>
    <xf numFmtId="0" fontId="11" fillId="13" borderId="11" pivotButton="0" quotePrefix="0" xfId="0"/>
    <xf numFmtId="0" fontId="11" fillId="13" borderId="12" pivotButton="0" quotePrefix="0" xfId="0"/>
    <xf numFmtId="0" fontId="11" fillId="13" borderId="13" pivotButton="0" quotePrefix="0" xfId="0"/>
    <xf numFmtId="1" fontId="11" fillId="13" borderId="14" pivotButton="0" quotePrefix="0" xfId="0"/>
    <xf numFmtId="1" fontId="11" fillId="13" borderId="22" pivotButton="0" quotePrefix="0" xfId="0"/>
    <xf numFmtId="1" fontId="11" fillId="13" borderId="15" pivotButton="0" quotePrefix="0" xfId="0"/>
    <xf numFmtId="1" fontId="11" fillId="13" borderId="11" pivotButton="0" quotePrefix="0" xfId="0"/>
    <xf numFmtId="1" fontId="11" fillId="13" borderId="12" pivotButton="0" quotePrefix="0" xfId="0"/>
    <xf numFmtId="1" fontId="11" fillId="13" borderId="13" pivotButton="0" quotePrefix="0" xfId="0"/>
    <xf numFmtId="1" fontId="11" fillId="13" borderId="14" applyAlignment="1" pivotButton="0" quotePrefix="0" xfId="0">
      <alignment horizontal="center"/>
    </xf>
    <xf numFmtId="1" fontId="11" fillId="13" borderId="22" applyAlignment="1" pivotButton="0" quotePrefix="0" xfId="0">
      <alignment horizontal="center"/>
    </xf>
    <xf numFmtId="1" fontId="11" fillId="13" borderId="15" applyAlignment="1" pivotButton="0" quotePrefix="0" xfId="0">
      <alignment horizontal="center"/>
    </xf>
    <xf numFmtId="1" fontId="11" fillId="13" borderId="11" applyAlignment="1" pivotButton="0" quotePrefix="0" xfId="0">
      <alignment horizontal="center"/>
    </xf>
    <xf numFmtId="1" fontId="11" fillId="13" borderId="12" applyAlignment="1" pivotButton="0" quotePrefix="0" xfId="0">
      <alignment horizontal="center"/>
    </xf>
    <xf numFmtId="1" fontId="11" fillId="13" borderId="13" applyAlignment="1" pivotButton="0" quotePrefix="0" xfId="0">
      <alignment horizontal="center"/>
    </xf>
    <xf numFmtId="1" fontId="11" fillId="13" borderId="14" applyAlignment="1" pivotButton="0" quotePrefix="0" xfId="0">
      <alignment horizontal="center" vertical="center"/>
    </xf>
    <xf numFmtId="1" fontId="11" fillId="13" borderId="22" applyAlignment="1" pivotButton="0" quotePrefix="0" xfId="0">
      <alignment horizontal="center" vertical="center"/>
    </xf>
    <xf numFmtId="1" fontId="11" fillId="13" borderId="15" applyAlignment="1" pivotButton="0" quotePrefix="0" xfId="0">
      <alignment horizontal="center" vertical="center"/>
    </xf>
    <xf numFmtId="1" fontId="11" fillId="13" borderId="11" applyAlignment="1" pivotButton="0" quotePrefix="0" xfId="0">
      <alignment horizontal="center" vertical="center"/>
    </xf>
    <xf numFmtId="1" fontId="11" fillId="13" borderId="12" applyAlignment="1" pivotButton="0" quotePrefix="0" xfId="0">
      <alignment horizontal="center" vertical="center"/>
    </xf>
    <xf numFmtId="1" fontId="11" fillId="13" borderId="13" applyAlignment="1" pivotButton="0" quotePrefix="0" xfId="0">
      <alignment horizontal="center" vertical="center"/>
    </xf>
    <xf numFmtId="0" fontId="0" fillId="16" borderId="0" pivotButton="0" quotePrefix="0" xfId="0"/>
    <xf numFmtId="0" fontId="8" fillId="16" borderId="0" pivotButton="0" quotePrefix="0" xfId="0"/>
    <xf numFmtId="0" fontId="8" fillId="16" borderId="19" pivotButton="0" quotePrefix="0" xfId="0"/>
    <xf numFmtId="0" fontId="8" fillId="16" borderId="20" pivotButton="0" quotePrefix="0" xfId="0"/>
    <xf numFmtId="0" fontId="8" fillId="16" borderId="21" pivotButton="0" quotePrefix="0" xfId="0"/>
    <xf numFmtId="0" fontId="8" fillId="16" borderId="19" applyAlignment="1" pivotButton="0" quotePrefix="0" xfId="0">
      <alignment horizontal="center"/>
    </xf>
    <xf numFmtId="0" fontId="8" fillId="16" borderId="20" applyAlignment="1" pivotButton="0" quotePrefix="0" xfId="0">
      <alignment horizontal="center"/>
    </xf>
    <xf numFmtId="0" fontId="8" fillId="16" borderId="21" applyAlignment="1" pivotButton="0" quotePrefix="0" xfId="0">
      <alignment horizontal="center"/>
    </xf>
    <xf numFmtId="0" fontId="8" fillId="16" borderId="19" applyAlignment="1" pivotButton="0" quotePrefix="0" xfId="0">
      <alignment horizontal="center" vertical="center"/>
    </xf>
    <xf numFmtId="0" fontId="8" fillId="16" borderId="20" applyAlignment="1" pivotButton="0" quotePrefix="0" xfId="0">
      <alignment horizontal="center" vertical="center"/>
    </xf>
    <xf numFmtId="0" fontId="8" fillId="16" borderId="21" applyAlignment="1" pivotButton="0" quotePrefix="0" xfId="0">
      <alignment horizontal="center" vertical="center"/>
    </xf>
    <xf numFmtId="0" fontId="12" fillId="13" borderId="0" pivotButton="0" quotePrefix="0" xfId="0"/>
    <xf numFmtId="0" fontId="12" fillId="13" borderId="14" pivotButton="0" quotePrefix="0" xfId="0"/>
    <xf numFmtId="0" fontId="12" fillId="13" borderId="22" pivotButton="0" quotePrefix="0" xfId="0"/>
    <xf numFmtId="0" fontId="12" fillId="13" borderId="15" pivotButton="0" quotePrefix="0" xfId="0"/>
    <xf numFmtId="0" fontId="12" fillId="13" borderId="11" pivotButton="0" quotePrefix="0" xfId="0"/>
    <xf numFmtId="0" fontId="12" fillId="13" borderId="12" pivotButton="0" quotePrefix="0" xfId="0"/>
    <xf numFmtId="0" fontId="12" fillId="13" borderId="13" pivotButton="0" quotePrefix="0" xfId="0"/>
    <xf numFmtId="1" fontId="12" fillId="13" borderId="14" pivotButton="0" quotePrefix="0" xfId="0"/>
    <xf numFmtId="1" fontId="12" fillId="13" borderId="22" pivotButton="0" quotePrefix="0" xfId="0"/>
    <xf numFmtId="1" fontId="12" fillId="13" borderId="15" pivotButton="0" quotePrefix="0" xfId="0"/>
    <xf numFmtId="1" fontId="12" fillId="13" borderId="11" pivotButton="0" quotePrefix="0" xfId="0"/>
    <xf numFmtId="1" fontId="12" fillId="13" borderId="12" pivotButton="0" quotePrefix="0" xfId="0"/>
    <xf numFmtId="1" fontId="12" fillId="13" borderId="13" pivotButton="0" quotePrefix="0" xfId="0"/>
    <xf numFmtId="1" fontId="12" fillId="13" borderId="14" applyAlignment="1" pivotButton="0" quotePrefix="0" xfId="0">
      <alignment horizontal="center"/>
    </xf>
    <xf numFmtId="1" fontId="12" fillId="13" borderId="22" applyAlignment="1" pivotButton="0" quotePrefix="0" xfId="0">
      <alignment horizontal="center"/>
    </xf>
    <xf numFmtId="1" fontId="12" fillId="13" borderId="15" applyAlignment="1" pivotButton="0" quotePrefix="0" xfId="0">
      <alignment horizontal="center"/>
    </xf>
    <xf numFmtId="1" fontId="12" fillId="13" borderId="11" applyAlignment="1" pivotButton="0" quotePrefix="0" xfId="0">
      <alignment horizontal="center"/>
    </xf>
    <xf numFmtId="1" fontId="12" fillId="13" borderId="12" applyAlignment="1" pivotButton="0" quotePrefix="0" xfId="0">
      <alignment horizontal="center"/>
    </xf>
    <xf numFmtId="1" fontId="12" fillId="13" borderId="13" applyAlignment="1" pivotButton="0" quotePrefix="0" xfId="0">
      <alignment horizontal="center"/>
    </xf>
    <xf numFmtId="1" fontId="12" fillId="13" borderId="14" applyAlignment="1" pivotButton="0" quotePrefix="0" xfId="0">
      <alignment horizontal="center" vertical="center"/>
    </xf>
    <xf numFmtId="1" fontId="12" fillId="13" borderId="22" applyAlignment="1" pivotButton="0" quotePrefix="0" xfId="0">
      <alignment horizontal="center" vertical="center"/>
    </xf>
    <xf numFmtId="1" fontId="12" fillId="13" borderId="15" applyAlignment="1" pivotButton="0" quotePrefix="0" xfId="0">
      <alignment horizontal="center" vertical="center"/>
    </xf>
    <xf numFmtId="1" fontId="12" fillId="13" borderId="11" applyAlignment="1" pivotButton="0" quotePrefix="0" xfId="0">
      <alignment horizontal="center" vertical="center"/>
    </xf>
    <xf numFmtId="1" fontId="12" fillId="13" borderId="12" applyAlignment="1" pivotButton="0" quotePrefix="0" xfId="0">
      <alignment horizontal="center" vertical="center"/>
    </xf>
    <xf numFmtId="1" fontId="12" fillId="13" borderId="13" applyAlignment="1" pivotButton="0" quotePrefix="0" xfId="0">
      <alignment horizontal="center" vertical="center"/>
    </xf>
    <xf numFmtId="0" fontId="13" fillId="13" borderId="0" pivotButton="0" quotePrefix="0" xfId="0"/>
    <xf numFmtId="0" fontId="13" fillId="13" borderId="14" pivotButton="0" quotePrefix="0" xfId="0"/>
    <xf numFmtId="0" fontId="13" fillId="13" borderId="22" pivotButton="0" quotePrefix="0" xfId="0"/>
    <xf numFmtId="0" fontId="13" fillId="13" borderId="15" pivotButton="0" quotePrefix="0" xfId="0"/>
    <xf numFmtId="0" fontId="13" fillId="13" borderId="11" pivotButton="0" quotePrefix="0" xfId="0"/>
    <xf numFmtId="0" fontId="13" fillId="13" borderId="12" pivotButton="0" quotePrefix="0" xfId="0"/>
    <xf numFmtId="0" fontId="13" fillId="13" borderId="13" pivotButton="0" quotePrefix="0" xfId="0"/>
    <xf numFmtId="1" fontId="13" fillId="13" borderId="14" pivotButton="0" quotePrefix="0" xfId="0"/>
    <xf numFmtId="1" fontId="13" fillId="13" borderId="22" pivotButton="0" quotePrefix="0" xfId="0"/>
    <xf numFmtId="1" fontId="13" fillId="13" borderId="15" pivotButton="0" quotePrefix="0" xfId="0"/>
    <xf numFmtId="1" fontId="13" fillId="13" borderId="11" pivotButton="0" quotePrefix="0" xfId="0"/>
    <xf numFmtId="1" fontId="13" fillId="13" borderId="12" pivotButton="0" quotePrefix="0" xfId="0"/>
    <xf numFmtId="1" fontId="13" fillId="13" borderId="13" pivotButton="0" quotePrefix="0" xfId="0"/>
    <xf numFmtId="1" fontId="13" fillId="13" borderId="14" applyAlignment="1" pivotButton="0" quotePrefix="0" xfId="0">
      <alignment horizontal="center"/>
    </xf>
    <xf numFmtId="1" fontId="13" fillId="13" borderId="22" applyAlignment="1" pivotButton="0" quotePrefix="0" xfId="0">
      <alignment horizontal="center"/>
    </xf>
    <xf numFmtId="1" fontId="13" fillId="13" borderId="15" applyAlignment="1" pivotButton="0" quotePrefix="0" xfId="0">
      <alignment horizontal="center"/>
    </xf>
    <xf numFmtId="1" fontId="13" fillId="13" borderId="11" applyAlignment="1" pivotButton="0" quotePrefix="0" xfId="0">
      <alignment horizontal="center"/>
    </xf>
    <xf numFmtId="1" fontId="13" fillId="13" borderId="12" applyAlignment="1" pivotButton="0" quotePrefix="0" xfId="0">
      <alignment horizontal="center"/>
    </xf>
    <xf numFmtId="1" fontId="13" fillId="13" borderId="13" applyAlignment="1" pivotButton="0" quotePrefix="0" xfId="0">
      <alignment horizontal="center"/>
    </xf>
    <xf numFmtId="1" fontId="13" fillId="13" borderId="14" applyAlignment="1" pivotButton="0" quotePrefix="0" xfId="0">
      <alignment horizontal="center" vertical="center"/>
    </xf>
    <xf numFmtId="1" fontId="13" fillId="13" borderId="22" applyAlignment="1" pivotButton="0" quotePrefix="0" xfId="0">
      <alignment horizontal="center" vertical="center"/>
    </xf>
    <xf numFmtId="1" fontId="13" fillId="13" borderId="15" applyAlignment="1" pivotButton="0" quotePrefix="0" xfId="0">
      <alignment horizontal="center" vertical="center"/>
    </xf>
    <xf numFmtId="1" fontId="13" fillId="13" borderId="11" applyAlignment="1" pivotButton="0" quotePrefix="0" xfId="0">
      <alignment horizontal="center" vertical="center"/>
    </xf>
    <xf numFmtId="1" fontId="13" fillId="13" borderId="12" applyAlignment="1" pivotButton="0" quotePrefix="0" xfId="0">
      <alignment horizontal="center" vertical="center"/>
    </xf>
    <xf numFmtId="1" fontId="13" fillId="13" borderId="13" applyAlignment="1" pivotButton="0" quotePrefix="0" xfId="0">
      <alignment horizontal="center" vertical="center"/>
    </xf>
    <xf numFmtId="0" fontId="8" fillId="4" borderId="0" pivotButton="0" quotePrefix="0" xfId="0"/>
    <xf numFmtId="0" fontId="8" fillId="4" borderId="19" pivotButton="0" quotePrefix="0" xfId="0"/>
    <xf numFmtId="0" fontId="8" fillId="4" borderId="20" pivotButton="0" quotePrefix="0" xfId="0"/>
    <xf numFmtId="0" fontId="8" fillId="4" borderId="21" pivotButton="0" quotePrefix="0" xfId="0"/>
    <xf numFmtId="0" fontId="8" fillId="4" borderId="19" applyAlignment="1" pivotButton="0" quotePrefix="0" xfId="0">
      <alignment horizontal="center"/>
    </xf>
    <xf numFmtId="0" fontId="8" fillId="4" borderId="20" applyAlignment="1" pivotButton="0" quotePrefix="0" xfId="0">
      <alignment horizontal="center"/>
    </xf>
    <xf numFmtId="0" fontId="8" fillId="4" borderId="21" applyAlignment="1" pivotButton="0" quotePrefix="0" xfId="0">
      <alignment horizontal="center"/>
    </xf>
    <xf numFmtId="0" fontId="8" fillId="4" borderId="19" applyAlignment="1" pivotButton="0" quotePrefix="0" xfId="0">
      <alignment horizontal="center" vertical="center"/>
    </xf>
    <xf numFmtId="0" fontId="8" fillId="4" borderId="20" applyAlignment="1" pivotButton="0" quotePrefix="0" xfId="0">
      <alignment horizontal="center" vertical="center"/>
    </xf>
    <xf numFmtId="0" fontId="8" fillId="4" borderId="21" applyAlignment="1" pivotButton="0" quotePrefix="0" xfId="0">
      <alignment horizontal="center" vertical="center"/>
    </xf>
    <xf numFmtId="0" fontId="14" fillId="13" borderId="0" pivotButton="0" quotePrefix="0" xfId="0"/>
    <xf numFmtId="0" fontId="14" fillId="13" borderId="14" pivotButton="0" quotePrefix="0" xfId="0"/>
    <xf numFmtId="0" fontId="14" fillId="13" borderId="22" pivotButton="0" quotePrefix="0" xfId="0"/>
    <xf numFmtId="0" fontId="14" fillId="13" borderId="15" pivotButton="0" quotePrefix="0" xfId="0"/>
    <xf numFmtId="0" fontId="14" fillId="13" borderId="11" pivotButton="0" quotePrefix="0" xfId="0"/>
    <xf numFmtId="0" fontId="14" fillId="13" borderId="12" pivotButton="0" quotePrefix="0" xfId="0"/>
    <xf numFmtId="0" fontId="14" fillId="13" borderId="13" pivotButton="0" quotePrefix="0" xfId="0"/>
    <xf numFmtId="1" fontId="14" fillId="13" borderId="14" pivotButton="0" quotePrefix="0" xfId="0"/>
    <xf numFmtId="1" fontId="14" fillId="13" borderId="22" pivotButton="0" quotePrefix="0" xfId="0"/>
    <xf numFmtId="1" fontId="14" fillId="13" borderId="15" pivotButton="0" quotePrefix="0" xfId="0"/>
    <xf numFmtId="1" fontId="14" fillId="13" borderId="11" pivotButton="0" quotePrefix="0" xfId="0"/>
    <xf numFmtId="1" fontId="14" fillId="13" borderId="12" pivotButton="0" quotePrefix="0" xfId="0"/>
    <xf numFmtId="1" fontId="14" fillId="13" borderId="13" pivotButton="0" quotePrefix="0" xfId="0"/>
    <xf numFmtId="1" fontId="14" fillId="13" borderId="14" applyAlignment="1" pivotButton="0" quotePrefix="0" xfId="0">
      <alignment horizontal="center"/>
    </xf>
    <xf numFmtId="1" fontId="14" fillId="13" borderId="22" applyAlignment="1" pivotButton="0" quotePrefix="0" xfId="0">
      <alignment horizontal="center"/>
    </xf>
    <xf numFmtId="1" fontId="14" fillId="13" borderId="15" applyAlignment="1" pivotButton="0" quotePrefix="0" xfId="0">
      <alignment horizontal="center"/>
    </xf>
    <xf numFmtId="1" fontId="14" fillId="13" borderId="11" applyAlignment="1" pivotButton="0" quotePrefix="0" xfId="0">
      <alignment horizontal="center"/>
    </xf>
    <xf numFmtId="1" fontId="14" fillId="13" borderId="12" applyAlignment="1" pivotButton="0" quotePrefix="0" xfId="0">
      <alignment horizontal="center"/>
    </xf>
    <xf numFmtId="1" fontId="14" fillId="13" borderId="13" applyAlignment="1" pivotButton="0" quotePrefix="0" xfId="0">
      <alignment horizontal="center"/>
    </xf>
    <xf numFmtId="1" fontId="14" fillId="13" borderId="14" applyAlignment="1" pivotButton="0" quotePrefix="0" xfId="0">
      <alignment horizontal="center" vertical="center"/>
    </xf>
    <xf numFmtId="1" fontId="14" fillId="13" borderId="22" applyAlignment="1" pivotButton="0" quotePrefix="0" xfId="0">
      <alignment horizontal="center" vertical="center"/>
    </xf>
    <xf numFmtId="1" fontId="14" fillId="13" borderId="15" applyAlignment="1" pivotButton="0" quotePrefix="0" xfId="0">
      <alignment horizontal="center" vertical="center"/>
    </xf>
    <xf numFmtId="1" fontId="14" fillId="13" borderId="11" applyAlignment="1" pivotButton="0" quotePrefix="0" xfId="0">
      <alignment horizontal="center" vertical="center"/>
    </xf>
    <xf numFmtId="1" fontId="14" fillId="13" borderId="12" applyAlignment="1" pivotButton="0" quotePrefix="0" xfId="0">
      <alignment horizontal="center" vertical="center"/>
    </xf>
    <xf numFmtId="1" fontId="14" fillId="13" borderId="13" applyAlignment="1" pivotButton="0" quotePrefix="0" xfId="0">
      <alignment horizontal="center" vertical="center"/>
    </xf>
    <xf numFmtId="0" fontId="5" fillId="13" borderId="3" applyAlignment="1" pivotButton="0" quotePrefix="0" xfId="0">
      <alignment horizontal="left" vertical="center" wrapText="1"/>
    </xf>
    <xf numFmtId="0" fontId="5" fillId="13" borderId="5" applyAlignment="1" pivotButton="0" quotePrefix="0" xfId="0">
      <alignment horizontal="left" vertical="center" wrapText="1"/>
    </xf>
    <xf numFmtId="0" fontId="3" fillId="13" borderId="3" applyAlignment="1" pivotButton="0" quotePrefix="0" xfId="0">
      <alignment horizontal="left" vertical="center" wrapText="1"/>
    </xf>
    <xf numFmtId="0" fontId="3" fillId="13" borderId="5" applyAlignment="1" pivotButton="0" quotePrefix="0" xfId="0">
      <alignment horizontal="left" vertical="center" wrapText="1"/>
    </xf>
    <xf numFmtId="0" fontId="15" fillId="13" borderId="0" pivotButton="0" quotePrefix="0" xfId="0"/>
    <xf numFmtId="0" fontId="3" fillId="13" borderId="23" applyAlignment="1" pivotButton="0" quotePrefix="0" xfId="0">
      <alignment horizontal="left" vertical="center" wrapText="1"/>
    </xf>
    <xf numFmtId="0" fontId="15" fillId="13" borderId="23" pivotButton="0" quotePrefix="0" xfId="0"/>
    <xf numFmtId="0" fontId="3" fillId="2" borderId="23" applyAlignment="1" pivotButton="0" quotePrefix="0" xfId="0">
      <alignment horizontal="left" vertical="center" wrapText="1"/>
    </xf>
    <xf numFmtId="0" fontId="5" fillId="2" borderId="23" applyAlignment="1" pivotButton="0" quotePrefix="0" xfId="0">
      <alignment horizontal="left" vertical="center" wrapText="1"/>
    </xf>
    <xf numFmtId="0" fontId="5" fillId="2" borderId="24" applyAlignment="1" pivotButton="0" quotePrefix="0" xfId="0">
      <alignment horizontal="left" vertical="center" wrapText="1"/>
    </xf>
    <xf numFmtId="0" fontId="5" fillId="2" borderId="25" applyAlignment="1" pivotButton="0" quotePrefix="0" xfId="0">
      <alignment horizontal="left" vertical="center" wrapText="1"/>
    </xf>
    <xf numFmtId="1" fontId="15" fillId="13" borderId="23" pivotButton="0" quotePrefix="0" xfId="0"/>
    <xf numFmtId="0" fontId="16" fillId="2" borderId="0" pivotButton="0" quotePrefix="0" xfId="0"/>
    <xf numFmtId="0" fontId="16" fillId="2" borderId="0" applyAlignment="1" pivotButton="0" quotePrefix="0" xfId="0">
      <alignment horizontal="left"/>
    </xf>
    <xf numFmtId="0" fontId="16" fillId="2" borderId="0" applyAlignment="1" pivotButton="0" quotePrefix="0" xfId="0">
      <alignment horizontal="left" vertical="center"/>
    </xf>
    <xf numFmtId="0" fontId="3" fillId="13" borderId="0" pivotButton="0" quotePrefix="0" xfId="0"/>
    <xf numFmtId="0" fontId="3" fillId="13" borderId="14" pivotButton="0" quotePrefix="0" xfId="0"/>
    <xf numFmtId="0" fontId="3" fillId="13" borderId="22" pivotButton="0" quotePrefix="0" xfId="0"/>
    <xf numFmtId="0" fontId="3" fillId="13" borderId="15" pivotButton="0" quotePrefix="0" xfId="0"/>
    <xf numFmtId="0" fontId="3" fillId="13" borderId="11" pivotButton="0" quotePrefix="0" xfId="0"/>
    <xf numFmtId="0" fontId="3" fillId="13" borderId="12" pivotButton="0" quotePrefix="0" xfId="0"/>
    <xf numFmtId="0" fontId="3" fillId="13" borderId="13" pivotButton="0" quotePrefix="0" xfId="0"/>
    <xf numFmtId="0" fontId="3" fillId="13" borderId="14" applyAlignment="1" pivotButton="0" quotePrefix="0" xfId="0">
      <alignment wrapText="1"/>
    </xf>
    <xf numFmtId="0" fontId="3" fillId="13" borderId="22" applyAlignment="1" pivotButton="0" quotePrefix="0" xfId="0">
      <alignment wrapText="1"/>
    </xf>
    <xf numFmtId="0" fontId="3" fillId="13" borderId="15" applyAlignment="1" pivotButton="0" quotePrefix="0" xfId="0">
      <alignment wrapText="1"/>
    </xf>
    <xf numFmtId="0" fontId="3" fillId="13" borderId="11" applyAlignment="1" pivotButton="0" quotePrefix="0" xfId="0">
      <alignment wrapText="1"/>
    </xf>
    <xf numFmtId="0" fontId="3" fillId="13" borderId="12" applyAlignment="1" pivotButton="0" quotePrefix="0" xfId="0">
      <alignment wrapText="1"/>
    </xf>
    <xf numFmtId="0" fontId="3" fillId="13" borderId="13" applyAlignment="1" pivotButton="0" quotePrefix="0" xfId="0">
      <alignment wrapText="1"/>
    </xf>
    <xf numFmtId="0" fontId="3" fillId="13" borderId="14" applyAlignment="1" pivotButton="0" quotePrefix="0" xfId="0">
      <alignment horizontal="left" wrapText="1"/>
    </xf>
    <xf numFmtId="0" fontId="3" fillId="13" borderId="22" applyAlignment="1" pivotButton="0" quotePrefix="0" xfId="0">
      <alignment horizontal="left" wrapText="1"/>
    </xf>
    <xf numFmtId="0" fontId="3" fillId="13" borderId="15" applyAlignment="1" pivotButton="0" quotePrefix="0" xfId="0">
      <alignment horizontal="left" wrapText="1"/>
    </xf>
    <xf numFmtId="0" fontId="3" fillId="13" borderId="11" applyAlignment="1" pivotButton="0" quotePrefix="0" xfId="0">
      <alignment horizontal="left" wrapText="1"/>
    </xf>
    <xf numFmtId="0" fontId="3" fillId="13" borderId="12" applyAlignment="1" pivotButton="0" quotePrefix="0" xfId="0">
      <alignment horizontal="left" wrapText="1"/>
    </xf>
    <xf numFmtId="0" fontId="3" fillId="13" borderId="13" applyAlignment="1" pivotButton="0" quotePrefix="0" xfId="0">
      <alignment horizontal="left" wrapText="1"/>
    </xf>
    <xf numFmtId="0" fontId="3" fillId="13" borderId="14" applyAlignment="1" pivotButton="0" quotePrefix="0" xfId="0">
      <alignment horizontal="left" vertical="center" wrapText="1"/>
    </xf>
    <xf numFmtId="0" fontId="3" fillId="13" borderId="22" applyAlignment="1" pivotButton="0" quotePrefix="0" xfId="0">
      <alignment horizontal="left" vertical="center" wrapText="1"/>
    </xf>
    <xf numFmtId="0" fontId="3" fillId="13" borderId="15" applyAlignment="1" pivotButton="0" quotePrefix="0" xfId="0">
      <alignment horizontal="left" vertical="center" wrapText="1"/>
    </xf>
    <xf numFmtId="0" fontId="3" fillId="13" borderId="11" applyAlignment="1" pivotButton="0" quotePrefix="0" xfId="0">
      <alignment horizontal="left" vertical="center" wrapText="1"/>
    </xf>
    <xf numFmtId="0" fontId="3" fillId="13" borderId="12" applyAlignment="1" pivotButton="0" quotePrefix="0" xfId="0">
      <alignment horizontal="left" vertical="center" wrapText="1"/>
    </xf>
    <xf numFmtId="0" fontId="3" fillId="13" borderId="13" applyAlignment="1" pivotButton="0" quotePrefix="0" xfId="0">
      <alignment horizontal="left" vertical="center" wrapText="1"/>
    </xf>
    <xf numFmtId="0" fontId="3" fillId="5" borderId="0" pivotButton="0" quotePrefix="0" xfId="0"/>
    <xf numFmtId="0" fontId="3" fillId="5" borderId="0" applyAlignment="1" pivotButton="0" quotePrefix="0" xfId="0">
      <alignment horizontal="left"/>
    </xf>
    <xf numFmtId="0" fontId="3" fillId="5" borderId="0" applyAlignment="1" pivotButton="0" quotePrefix="0" xfId="0">
      <alignment horizontal="left" vertical="center"/>
    </xf>
    <xf numFmtId="0" fontId="17" fillId="0" borderId="0" pivotButton="0" quotePrefix="0" xfId="0"/>
    <xf numFmtId="0" fontId="18" fillId="13" borderId="0" pivotButton="0" quotePrefix="0" xfId="0"/>
    <xf numFmtId="0" fontId="18" fillId="13" borderId="23" pivotButton="0" quotePrefix="0" xfId="0"/>
    <xf numFmtId="0" fontId="18" fillId="13" borderId="23" applyAlignment="1" pivotButton="0" quotePrefix="0" xfId="0">
      <alignment wrapText="1"/>
    </xf>
    <xf numFmtId="0" fontId="18" fillId="13" borderId="23" applyAlignment="1" pivotButton="0" quotePrefix="0" xfId="0">
      <alignment vertical="top" wrapText="1"/>
    </xf>
    <xf numFmtId="164" fontId="18" fillId="13" borderId="23" applyAlignment="1" pivotButton="0" quotePrefix="0" xfId="0">
      <alignment vertical="top" wrapText="1"/>
    </xf>
    <xf numFmtId="1" fontId="18" fillId="13" borderId="23" applyAlignment="1" pivotButton="0" quotePrefix="0" xfId="0">
      <alignment vertical="top" wrapText="1"/>
    </xf>
    <xf numFmtId="164" fontId="3" fillId="4" borderId="2" pivotButton="0" quotePrefix="0" xfId="0"/>
    <xf numFmtId="0" fontId="5" fillId="6" borderId="26" applyAlignment="1" pivotButton="0" quotePrefix="0" xfId="0">
      <alignment horizontal="center" vertical="center"/>
    </xf>
    <xf numFmtId="0" fontId="0" fillId="0" borderId="17" pivotButton="0" quotePrefix="0" xfId="0"/>
    <xf numFmtId="0" fontId="0" fillId="0" borderId="18" pivotButton="0" quotePrefix="0" xfId="0"/>
    <xf numFmtId="0" fontId="5" fillId="7" borderId="26" applyAlignment="1" pivotButton="0" quotePrefix="0" xfId="0">
      <alignment horizontal="center" vertical="center"/>
    </xf>
    <xf numFmtId="0" fontId="5" fillId="8" borderId="26" applyAlignment="1" pivotButton="0" quotePrefix="0" xfId="0">
      <alignment horizontal="center" vertical="center"/>
    </xf>
    <xf numFmtId="0" fontId="5" fillId="9" borderId="26" applyAlignment="1" pivotButton="0" quotePrefix="0" xfId="0">
      <alignment horizontal="center" vertical="center"/>
    </xf>
    <xf numFmtId="0" fontId="5" fillId="10" borderId="26" applyAlignment="1" pivotButton="0" quotePrefix="0" xfId="0">
      <alignment horizontal="center" vertical="center"/>
    </xf>
    <xf numFmtId="0" fontId="5" fillId="11" borderId="26" applyAlignment="1" pivotButton="0" quotePrefix="0" xfId="0">
      <alignment horizontal="center" vertical="center"/>
    </xf>
    <xf numFmtId="164" fontId="0" fillId="0" borderId="0" pivotButton="0" quotePrefix="0" xfId="0"/>
    <xf numFmtId="165" fontId="0" fillId="0" borderId="0" pivotButton="0" quotePrefix="0" xfId="0"/>
    <xf numFmtId="0" fontId="8" fillId="3" borderId="23" applyAlignment="1" pivotButton="0" quotePrefix="0" xfId="0">
      <alignment horizontal="center" vertical="center"/>
    </xf>
    <xf numFmtId="0" fontId="0" fillId="0" borderId="20" pivotButton="0" quotePrefix="0" xfId="0"/>
    <xf numFmtId="0" fontId="0" fillId="0" borderId="21" pivotButton="0" quotePrefix="0" xfId="0"/>
    <xf numFmtId="0" fontId="8" fillId="14" borderId="23" applyAlignment="1" pivotButton="0" quotePrefix="0" xfId="0">
      <alignment horizontal="center" vertical="center"/>
    </xf>
    <xf numFmtId="0" fontId="8" fillId="15" borderId="23" applyAlignment="1" pivotButton="0" quotePrefix="0" xfId="0">
      <alignment horizontal="center" vertical="center"/>
    </xf>
    <xf numFmtId="1" fontId="9" fillId="13" borderId="23" applyAlignment="1" pivotButton="0" quotePrefix="0" xfId="0">
      <alignment horizontal="center" vertical="center"/>
    </xf>
    <xf numFmtId="0" fontId="0" fillId="0" borderId="22" pivotButton="0" quotePrefix="0" xfId="0"/>
    <xf numFmtId="1" fontId="10" fillId="13" borderId="23" applyAlignment="1" pivotButton="0" quotePrefix="0" xfId="0">
      <alignment horizontal="center" vertical="center"/>
    </xf>
    <xf numFmtId="1" fontId="11" fillId="13" borderId="23" applyAlignment="1" pivotButton="0" quotePrefix="0" xfId="0">
      <alignment horizontal="center" vertical="center"/>
    </xf>
    <xf numFmtId="0" fontId="8" fillId="16" borderId="23" applyAlignment="1" pivotButton="0" quotePrefix="0" xfId="0">
      <alignment horizontal="center" vertical="center"/>
    </xf>
    <xf numFmtId="0" fontId="8" fillId="4" borderId="23" applyAlignment="1" pivotButton="0" quotePrefix="0" xfId="0">
      <alignment horizontal="center" vertical="center"/>
    </xf>
    <xf numFmtId="1" fontId="12" fillId="13" borderId="23" applyAlignment="1" pivotButton="0" quotePrefix="0" xfId="0">
      <alignment horizontal="center" vertical="center"/>
    </xf>
    <xf numFmtId="1" fontId="13" fillId="13" borderId="23" applyAlignment="1" pivotButton="0" quotePrefix="0" xfId="0">
      <alignment horizontal="center" vertical="center"/>
    </xf>
    <xf numFmtId="1" fontId="14" fillId="13" borderId="23" applyAlignment="1" pivotButton="0" quotePrefix="0" xfId="0">
      <alignment horizontal="center" vertical="center"/>
    </xf>
    <xf numFmtId="1" fontId="15" fillId="13" borderId="23" pivotButton="0" quotePrefix="0" xfId="0"/>
    <xf numFmtId="164" fontId="18" fillId="13" borderId="23" applyAlignment="1" pivotButton="0" quotePrefix="0" xfId="0">
      <alignment vertical="top" wrapText="1"/>
    </xf>
    <xf numFmtId="1" fontId="18" fillId="13" borderId="23" applyAlignment="1" pivotButton="0" quotePrefix="0" xfId="0">
      <alignment vertical="top" wrapText="1"/>
    </xf>
    <xf numFmtId="0" fontId="0" fillId="17" borderId="0" pivotButton="0" quotePrefix="0" xfId="0"/>
    <xf numFmtId="0" fontId="19" fillId="17" borderId="0" pivotButton="0" quotePrefix="0" xfId="0"/>
    <xf numFmtId="0" fontId="19" fillId="17" borderId="19" pivotButton="0" quotePrefix="0" xfId="0"/>
    <xf numFmtId="0" fontId="19" fillId="17" borderId="20" pivotButton="0" quotePrefix="0" xfId="0"/>
    <xf numFmtId="0" fontId="19" fillId="17" borderId="21" pivotButton="0" quotePrefix="0" xfId="0"/>
    <xf numFmtId="0" fontId="19" fillId="17" borderId="19" applyAlignment="1" pivotButton="0" quotePrefix="0" xfId="0">
      <alignment horizontal="center"/>
    </xf>
    <xf numFmtId="0" fontId="19" fillId="17" borderId="20" applyAlignment="1" pivotButton="0" quotePrefix="0" xfId="0">
      <alignment horizontal="center"/>
    </xf>
    <xf numFmtId="0" fontId="19" fillId="17" borderId="21" applyAlignment="1" pivotButton="0" quotePrefix="0" xfId="0">
      <alignment horizontal="center"/>
    </xf>
    <xf numFmtId="0" fontId="19" fillId="17" borderId="19" applyAlignment="1" pivotButton="0" quotePrefix="0" xfId="0">
      <alignment horizontal="center" vertical="center"/>
    </xf>
    <xf numFmtId="0" fontId="19" fillId="17" borderId="20" applyAlignment="1" pivotButton="0" quotePrefix="0" xfId="0">
      <alignment horizontal="center" vertical="center"/>
    </xf>
    <xf numFmtId="0" fontId="19" fillId="17" borderId="21" applyAlignment="1" pivotButton="0" quotePrefix="0" xfId="0">
      <alignment horizontal="center" vertical="center"/>
    </xf>
    <xf numFmtId="0" fontId="0" fillId="18" borderId="0" pivotButton="0" quotePrefix="0" xfId="0"/>
    <xf numFmtId="0" fontId="19" fillId="18" borderId="0" pivotButton="0" quotePrefix="0" xfId="0"/>
    <xf numFmtId="0" fontId="19" fillId="18" borderId="19" pivotButton="0" quotePrefix="0" xfId="0"/>
    <xf numFmtId="0" fontId="19" fillId="18" borderId="20" pivotButton="0" quotePrefix="0" xfId="0"/>
    <xf numFmtId="0" fontId="19" fillId="18" borderId="21" pivotButton="0" quotePrefix="0" xfId="0"/>
    <xf numFmtId="0" fontId="19" fillId="18" borderId="19" applyAlignment="1" pivotButton="0" quotePrefix="0" xfId="0">
      <alignment horizontal="center"/>
    </xf>
    <xf numFmtId="0" fontId="19" fillId="18" borderId="20" applyAlignment="1" pivotButton="0" quotePrefix="0" xfId="0">
      <alignment horizontal="center"/>
    </xf>
    <xf numFmtId="0" fontId="19" fillId="18" borderId="21" applyAlignment="1" pivotButton="0" quotePrefix="0" xfId="0">
      <alignment horizontal="center"/>
    </xf>
    <xf numFmtId="0" fontId="19" fillId="18" borderId="19" applyAlignment="1" pivotButton="0" quotePrefix="0" xfId="0">
      <alignment horizontal="center" vertical="center"/>
    </xf>
    <xf numFmtId="0" fontId="19" fillId="18" borderId="20" applyAlignment="1" pivotButton="0" quotePrefix="0" xfId="0">
      <alignment horizontal="center" vertical="center"/>
    </xf>
    <xf numFmtId="0" fontId="19" fillId="18" borderId="21" applyAlignment="1" pivotButton="0" quotePrefix="0" xfId="0">
      <alignment horizontal="center" vertical="center"/>
    </xf>
    <xf numFmtId="0" fontId="0" fillId="19" borderId="0" pivotButton="0" quotePrefix="0" xfId="0"/>
    <xf numFmtId="0" fontId="19" fillId="19" borderId="0" pivotButton="0" quotePrefix="0" xfId="0"/>
    <xf numFmtId="0" fontId="19" fillId="19" borderId="19" pivotButton="0" quotePrefix="0" xfId="0"/>
    <xf numFmtId="0" fontId="19" fillId="19" borderId="20" pivotButton="0" quotePrefix="0" xfId="0"/>
    <xf numFmtId="0" fontId="19" fillId="19" borderId="21" pivotButton="0" quotePrefix="0" xfId="0"/>
    <xf numFmtId="0" fontId="19" fillId="19" borderId="19" applyAlignment="1" pivotButton="0" quotePrefix="0" xfId="0">
      <alignment horizontal="center"/>
    </xf>
    <xf numFmtId="0" fontId="19" fillId="19" borderId="20" applyAlignment="1" pivotButton="0" quotePrefix="0" xfId="0">
      <alignment horizontal="center"/>
    </xf>
    <xf numFmtId="0" fontId="19" fillId="19" borderId="21" applyAlignment="1" pivotButton="0" quotePrefix="0" xfId="0">
      <alignment horizontal="center"/>
    </xf>
    <xf numFmtId="0" fontId="19" fillId="19" borderId="19" applyAlignment="1" pivotButton="0" quotePrefix="0" xfId="0">
      <alignment horizontal="center" vertical="center"/>
    </xf>
    <xf numFmtId="0" fontId="19" fillId="19" borderId="20" applyAlignment="1" pivotButton="0" quotePrefix="0" xfId="0">
      <alignment horizontal="center" vertical="center"/>
    </xf>
    <xf numFmtId="0" fontId="19" fillId="19" borderId="21" applyAlignment="1" pivotButton="0" quotePrefix="0" xfId="0">
      <alignment horizontal="center" vertical="center"/>
    </xf>
    <xf numFmtId="0" fontId="0" fillId="20" borderId="0" pivotButton="0" quotePrefix="0" xfId="0"/>
    <xf numFmtId="0" fontId="19" fillId="20" borderId="0" pivotButton="0" quotePrefix="0" xfId="0"/>
    <xf numFmtId="0" fontId="19" fillId="20" borderId="19" pivotButton="0" quotePrefix="0" xfId="0"/>
    <xf numFmtId="0" fontId="19" fillId="20" borderId="20" pivotButton="0" quotePrefix="0" xfId="0"/>
    <xf numFmtId="0" fontId="19" fillId="20" borderId="21" pivotButton="0" quotePrefix="0" xfId="0"/>
    <xf numFmtId="0" fontId="19" fillId="20" borderId="19" applyAlignment="1" pivotButton="0" quotePrefix="0" xfId="0">
      <alignment horizontal="center"/>
    </xf>
    <xf numFmtId="0" fontId="19" fillId="20" borderId="20" applyAlignment="1" pivotButton="0" quotePrefix="0" xfId="0">
      <alignment horizontal="center"/>
    </xf>
    <xf numFmtId="0" fontId="19" fillId="20" borderId="21" applyAlignment="1" pivotButton="0" quotePrefix="0" xfId="0">
      <alignment horizontal="center"/>
    </xf>
    <xf numFmtId="0" fontId="19" fillId="20" borderId="19" applyAlignment="1" pivotButton="0" quotePrefix="0" xfId="0">
      <alignment horizontal="center" vertical="center"/>
    </xf>
    <xf numFmtId="0" fontId="19" fillId="20" borderId="20" applyAlignment="1" pivotButton="0" quotePrefix="0" xfId="0">
      <alignment horizontal="center" vertical="center"/>
    </xf>
    <xf numFmtId="0" fontId="19" fillId="20" borderId="21" applyAlignment="1" pivotButton="0" quotePrefix="0" xfId="0">
      <alignment horizontal="center" vertical="center"/>
    </xf>
    <xf numFmtId="0" fontId="5" fillId="17" borderId="0" pivotButton="0" quotePrefix="0" xfId="0"/>
    <xf numFmtId="0" fontId="5" fillId="17" borderId="29" pivotButton="0" quotePrefix="0" xfId="0"/>
    <xf numFmtId="0" fontId="5" fillId="17" borderId="29" applyAlignment="1" pivotButton="0" quotePrefix="0" xfId="0">
      <alignment wrapText="1"/>
    </xf>
    <xf numFmtId="0" fontId="5" fillId="17" borderId="29" applyAlignment="1" pivotButton="0" quotePrefix="0" xfId="0">
      <alignment horizontal="left" wrapText="1"/>
    </xf>
    <xf numFmtId="0" fontId="5" fillId="17" borderId="29" applyAlignment="1" pivotButton="0" quotePrefix="0" xfId="0">
      <alignment horizontal="left" vertical="center" wrapText="1"/>
    </xf>
    <xf numFmtId="0" fontId="0" fillId="21" borderId="0" pivotButton="0" quotePrefix="0" xfId="0"/>
    <xf numFmtId="0" fontId="18" fillId="21" borderId="0" pivotButton="0" quotePrefix="0" xfId="0"/>
    <xf numFmtId="0" fontId="18" fillId="21" borderId="23" pivotButton="0" quotePrefix="0" xfId="0"/>
    <xf numFmtId="0" fontId="18" fillId="21" borderId="23" applyAlignment="1" pivotButton="0" quotePrefix="0" xfId="0">
      <alignment wrapText="1"/>
    </xf>
    <xf numFmtId="0" fontId="18" fillId="21" borderId="23" applyAlignment="1" pivotButton="0" quotePrefix="0" xfId="0">
      <alignment vertical="top" wrapText="1"/>
    </xf>
    <xf numFmtId="165" fontId="18" fillId="21" borderId="23" applyAlignment="1" pivotButton="0" quotePrefix="0" xfId="0">
      <alignment vertical="top" wrapText="1"/>
    </xf>
    <xf numFmtId="0" fontId="16" fillId="21" borderId="0" applyAlignment="1" pivotButton="0" quotePrefix="0" xfId="0">
      <alignment horizontal="left" vertical="center"/>
    </xf>
    <xf numFmtId="0" fontId="8" fillId="21" borderId="23" applyAlignment="1" pivotButton="0" quotePrefix="0" xfId="0">
      <alignment horizontal="center" vertical="center"/>
    </xf>
    <xf numFmtId="0" fontId="0" fillId="21" borderId="20" pivotButton="0" quotePrefix="0" xfId="0"/>
    <xf numFmtId="0" fontId="0" fillId="21" borderId="21" pivotButton="0" quotePrefix="0" xfId="0"/>
    <xf numFmtId="1" fontId="11" fillId="21" borderId="23" applyAlignment="1" pivotButton="0" quotePrefix="0" xfId="0">
      <alignment horizontal="center" vertical="center"/>
    </xf>
    <xf numFmtId="0" fontId="0" fillId="21" borderId="22" pivotButton="0" quotePrefix="0" xfId="0"/>
    <xf numFmtId="0" fontId="0" fillId="21" borderId="15" pivotButton="0" quotePrefix="0" xfId="0"/>
    <xf numFmtId="1" fontId="14" fillId="21" borderId="23" applyAlignment="1" pivotButton="0" quotePrefix="0" xfId="0">
      <alignment horizontal="center" vertical="center"/>
    </xf>
    <xf numFmtId="1" fontId="9" fillId="21" borderId="23" applyAlignment="1" pivotButton="0" quotePrefix="0" xfId="0">
      <alignment horizontal="center" vertical="center"/>
    </xf>
    <xf numFmtId="0" fontId="0" fillId="21" borderId="11" pivotButton="0" quotePrefix="0" xfId="0"/>
    <xf numFmtId="0" fontId="0" fillId="21" borderId="12" pivotButton="0" quotePrefix="0" xfId="0"/>
    <xf numFmtId="0" fontId="0" fillId="21" borderId="13" pivotButton="0" quotePrefix="0" xfId="0"/>
    <xf numFmtId="0" fontId="3" fillId="21" borderId="23" applyAlignment="1" pivotButton="0" quotePrefix="0" xfId="0">
      <alignment horizontal="left" vertical="center" wrapText="1"/>
    </xf>
    <xf numFmtId="0" fontId="3" fillId="21" borderId="0" applyAlignment="1" pivotButton="0" quotePrefix="0" xfId="0">
      <alignment horizontal="left" vertical="center"/>
    </xf>
    <xf numFmtId="0" fontId="5" fillId="21" borderId="3" applyAlignment="1" pivotButton="0" quotePrefix="0" xfId="0">
      <alignment horizontal="left" vertical="center" wrapText="1"/>
    </xf>
    <xf numFmtId="0" fontId="5" fillId="21" borderId="4" applyAlignment="1" pivotButton="0" quotePrefix="0" xfId="0">
      <alignment horizontal="left" vertical="center" wrapText="1"/>
    </xf>
    <xf numFmtId="0" fontId="5" fillId="21" borderId="5" applyAlignment="1" pivotButton="0" quotePrefix="0" xfId="0">
      <alignment horizontal="left" vertical="center" wrapText="1"/>
    </xf>
    <xf numFmtId="164" fontId="18" fillId="21" borderId="23" applyAlignment="1" pivotButton="0" quotePrefix="0" xfId="0">
      <alignment vertical="top" wrapText="1"/>
    </xf>
    <xf numFmtId="1" fontId="18" fillId="21" borderId="23" applyAlignment="1" pivotButton="0" quotePrefix="0" xfId="0">
      <alignment vertical="top" wrapText="1"/>
    </xf>
    <xf numFmtId="0" fontId="20" fillId="21" borderId="0" applyAlignment="1" pivotButton="0" quotePrefix="0" xfId="0">
      <alignment horizontal="left" vertical="center"/>
    </xf>
    <xf numFmtId="0" fontId="15" fillId="21" borderId="0" pivotButton="0" quotePrefix="0" xfId="0"/>
    <xf numFmtId="0" fontId="21" fillId="21" borderId="23" applyAlignment="1" pivotButton="0" quotePrefix="0" xfId="0">
      <alignment horizontal="center" vertical="center"/>
    </xf>
    <xf numFmtId="0" fontId="15" fillId="21" borderId="20" pivotButton="0" quotePrefix="0" xfId="0"/>
    <xf numFmtId="0" fontId="15" fillId="21" borderId="21" pivotButton="0" quotePrefix="0" xfId="0"/>
    <xf numFmtId="0" fontId="15" fillId="21" borderId="22" pivotButton="0" quotePrefix="0" xfId="0"/>
    <xf numFmtId="0" fontId="15" fillId="21" borderId="15" pivotButton="0" quotePrefix="0" xfId="0"/>
    <xf numFmtId="0" fontId="15" fillId="21" borderId="11" pivotButton="0" quotePrefix="0" xfId="0"/>
    <xf numFmtId="0" fontId="15" fillId="21" borderId="12" pivotButton="0" quotePrefix="0" xfId="0"/>
    <xf numFmtId="0" fontId="15" fillId="21" borderId="13" pivotButton="0" quotePrefix="0" xfId="0"/>
    <xf numFmtId="0" fontId="3" fillId="21" borderId="3" applyAlignment="1" pivotButton="0" quotePrefix="0" xfId="0">
      <alignment horizontal="left" vertical="center" wrapText="1"/>
    </xf>
    <xf numFmtId="0" fontId="3" fillId="21" borderId="4" applyAlignment="1" pivotButton="0" quotePrefix="0" xfId="0">
      <alignment horizontal="left" vertical="center" wrapText="1"/>
    </xf>
    <xf numFmtId="0" fontId="3" fillId="21" borderId="5" applyAlignment="1" pivotButton="0" quotePrefix="0" xfId="0">
      <alignment horizontal="left" vertical="center" wrapText="1"/>
    </xf>
    <xf numFmtId="0" fontId="20" fillId="21" borderId="0" applyAlignment="1" pivotButton="0" quotePrefix="0" xfId="0">
      <alignment horizontal="left" vertical="center" wrapText="1"/>
    </xf>
    <xf numFmtId="0" fontId="15" fillId="21" borderId="0" applyAlignment="1" pivotButton="0" quotePrefix="0" xfId="0">
      <alignment wrapText="1"/>
    </xf>
    <xf numFmtId="0" fontId="21" fillId="21" borderId="23" applyAlignment="1" pivotButton="0" quotePrefix="0" xfId="0">
      <alignment horizontal="center" vertical="center" wrapText="1"/>
    </xf>
    <xf numFmtId="0" fontId="15" fillId="21" borderId="20" applyAlignment="1" pivotButton="0" quotePrefix="0" xfId="0">
      <alignment wrapText="1"/>
    </xf>
    <xf numFmtId="0" fontId="15" fillId="21" borderId="21" applyAlignment="1" pivotButton="0" quotePrefix="0" xfId="0">
      <alignment wrapText="1"/>
    </xf>
    <xf numFmtId="1" fontId="9" fillId="21" borderId="23" applyAlignment="1" pivotButton="0" quotePrefix="0" xfId="0">
      <alignment horizontal="center" vertical="center" wrapText="1"/>
    </xf>
    <xf numFmtId="0" fontId="15" fillId="21" borderId="22" applyAlignment="1" pivotButton="0" quotePrefix="0" xfId="0">
      <alignment wrapText="1"/>
    </xf>
    <xf numFmtId="0" fontId="15" fillId="21" borderId="15" applyAlignment="1" pivotButton="0" quotePrefix="0" xfId="0">
      <alignment wrapText="1"/>
    </xf>
    <xf numFmtId="0" fontId="15" fillId="21" borderId="11" applyAlignment="1" pivotButton="0" quotePrefix="0" xfId="0">
      <alignment wrapText="1"/>
    </xf>
    <xf numFmtId="0" fontId="15" fillId="21" borderId="12" applyAlignment="1" pivotButton="0" quotePrefix="0" xfId="0">
      <alignment wrapText="1"/>
    </xf>
    <xf numFmtId="0" fontId="15" fillId="21" borderId="13" applyAlignment="1" pivotButton="0" quotePrefix="0" xfId="0">
      <alignment wrapText="1"/>
    </xf>
    <xf numFmtId="0" fontId="3" fillId="21" borderId="0" applyAlignment="1" pivotButton="0" quotePrefix="0" xfId="0">
      <alignment horizontal="left" vertical="center" wrapText="1"/>
    </xf>
    <xf numFmtId="0" fontId="20" fillId="17" borderId="0" applyAlignment="1" pivotButton="0" quotePrefix="0" xfId="0">
      <alignment horizontal="left" vertical="center" wrapText="1"/>
    </xf>
    <xf numFmtId="0" fontId="15" fillId="17" borderId="0" applyAlignment="1" pivotButton="0" quotePrefix="0" xfId="0">
      <alignment wrapText="1"/>
    </xf>
    <xf numFmtId="0" fontId="16" fillId="17" borderId="0" applyAlignment="1" pivotButton="0" quotePrefix="0" xfId="0">
      <alignment horizontal="left" vertical="center" wrapText="1"/>
    </xf>
    <xf numFmtId="0" fontId="16" fillId="17" borderId="0" applyAlignment="1" pivotButton="0" quotePrefix="0" xfId="0">
      <alignment wrapText="1"/>
    </xf>
    <xf numFmtId="0" fontId="16" fillId="17" borderId="0" applyAlignment="1" pivotButton="0" quotePrefix="0" xfId="0">
      <alignment vertical="center" wrapText="1"/>
    </xf>
    <xf numFmtId="0" fontId="21" fillId="17" borderId="23" applyAlignment="1" pivotButton="0" quotePrefix="0" xfId="0">
      <alignment horizontal="center" vertical="center" wrapText="1"/>
    </xf>
    <xf numFmtId="0" fontId="15" fillId="17" borderId="20" applyAlignment="1" pivotButton="0" quotePrefix="0" xfId="0">
      <alignment wrapText="1"/>
    </xf>
    <xf numFmtId="0" fontId="15" fillId="17" borderId="21" applyAlignment="1" pivotButton="0" quotePrefix="0" xfId="0">
      <alignment wrapText="1"/>
    </xf>
    <xf numFmtId="0" fontId="22" fillId="17" borderId="23" applyAlignment="1" pivotButton="0" quotePrefix="0" xfId="0">
      <alignment horizontal="center" vertical="center" wrapText="1"/>
    </xf>
    <xf numFmtId="0" fontId="22" fillId="17" borderId="20" applyAlignment="1" pivotButton="0" quotePrefix="0" xfId="0">
      <alignment wrapText="1"/>
    </xf>
    <xf numFmtId="0" fontId="22" fillId="17" borderId="21" applyAlignment="1" pivotButton="0" quotePrefix="0" xfId="0">
      <alignment wrapText="1"/>
    </xf>
    <xf numFmtId="0" fontId="22" fillId="17" borderId="20" applyAlignment="1" pivotButton="0" quotePrefix="0" xfId="0">
      <alignment horizontal="center" wrapText="1"/>
    </xf>
    <xf numFmtId="0" fontId="22" fillId="17" borderId="21" applyAlignment="1" pivotButton="0" quotePrefix="0" xfId="0">
      <alignment horizontal="center" wrapText="1"/>
    </xf>
    <xf numFmtId="0" fontId="22" fillId="17" borderId="20" applyAlignment="1" pivotButton="0" quotePrefix="0" xfId="0">
      <alignment horizontal="center" vertical="center" wrapText="1"/>
    </xf>
    <xf numFmtId="0" fontId="22" fillId="17" borderId="21" applyAlignment="1" pivotButton="0" quotePrefix="0" xfId="0">
      <alignment horizontal="center" vertical="center" wrapText="1"/>
    </xf>
    <xf numFmtId="1" fontId="9" fillId="22" borderId="23" applyAlignment="1" pivotButton="0" quotePrefix="0" xfId="0">
      <alignment horizontal="center" vertical="center" wrapText="1"/>
    </xf>
    <xf numFmtId="0" fontId="15" fillId="22" borderId="22" applyAlignment="1" pivotButton="0" quotePrefix="0" xfId="0">
      <alignment wrapText="1"/>
    </xf>
    <xf numFmtId="0" fontId="15" fillId="22" borderId="15" applyAlignment="1" pivotButton="0" quotePrefix="0" xfId="0">
      <alignment wrapText="1"/>
    </xf>
    <xf numFmtId="0" fontId="15" fillId="22" borderId="11" applyAlignment="1" pivotButton="0" quotePrefix="0" xfId="0">
      <alignment wrapText="1"/>
    </xf>
    <xf numFmtId="0" fontId="15" fillId="22" borderId="12" applyAlignment="1" pivotButton="0" quotePrefix="0" xfId="0">
      <alignment wrapText="1"/>
    </xf>
    <xf numFmtId="0" fontId="15" fillId="22" borderId="13" applyAlignment="1" pivotButton="0" quotePrefix="0" xfId="0">
      <alignment wrapText="1"/>
    </xf>
    <xf numFmtId="1" fontId="23" fillId="22" borderId="23" applyAlignment="1" pivotButton="0" quotePrefix="0" xfId="0">
      <alignment horizontal="center" vertical="center" wrapText="1"/>
    </xf>
    <xf numFmtId="0" fontId="23" fillId="22" borderId="22" applyAlignment="1" pivotButton="0" quotePrefix="0" xfId="0">
      <alignment wrapText="1"/>
    </xf>
    <xf numFmtId="0" fontId="23" fillId="22" borderId="15" applyAlignment="1" pivotButton="0" quotePrefix="0" xfId="0">
      <alignment wrapText="1"/>
    </xf>
    <xf numFmtId="0" fontId="23" fillId="22" borderId="11" applyAlignment="1" pivotButton="0" quotePrefix="0" xfId="0">
      <alignment wrapText="1"/>
    </xf>
    <xf numFmtId="0" fontId="23" fillId="22" borderId="12" applyAlignment="1" pivotButton="0" quotePrefix="0" xfId="0">
      <alignment wrapText="1"/>
    </xf>
    <xf numFmtId="0" fontId="23" fillId="22" borderId="13" applyAlignment="1" pivotButton="0" quotePrefix="0" xfId="0">
      <alignment wrapText="1"/>
    </xf>
    <xf numFmtId="0" fontId="23" fillId="22" borderId="22" applyAlignment="1" pivotButton="0" quotePrefix="0" xfId="0">
      <alignment horizontal="center" wrapText="1"/>
    </xf>
    <xf numFmtId="0" fontId="23" fillId="22" borderId="15" applyAlignment="1" pivotButton="0" quotePrefix="0" xfId="0">
      <alignment horizontal="center" wrapText="1"/>
    </xf>
    <xf numFmtId="0" fontId="23" fillId="22" borderId="11" applyAlignment="1" pivotButton="0" quotePrefix="0" xfId="0">
      <alignment horizontal="center" wrapText="1"/>
    </xf>
    <xf numFmtId="0" fontId="23" fillId="22" borderId="12" applyAlignment="1" pivotButton="0" quotePrefix="0" xfId="0">
      <alignment horizontal="center" wrapText="1"/>
    </xf>
    <xf numFmtId="0" fontId="23" fillId="22" borderId="13" applyAlignment="1" pivotButton="0" quotePrefix="0" xfId="0">
      <alignment horizontal="center" wrapText="1"/>
    </xf>
    <xf numFmtId="0" fontId="23" fillId="22" borderId="22" applyAlignment="1" pivotButton="0" quotePrefix="0" xfId="0">
      <alignment horizontal="center" vertical="center" wrapText="1"/>
    </xf>
    <xf numFmtId="0" fontId="23" fillId="22" borderId="15" applyAlignment="1" pivotButton="0" quotePrefix="0" xfId="0">
      <alignment horizontal="center" vertical="center" wrapText="1"/>
    </xf>
    <xf numFmtId="0" fontId="23" fillId="22" borderId="11" applyAlignment="1" pivotButton="0" quotePrefix="0" xfId="0">
      <alignment horizontal="center" vertical="center" wrapText="1"/>
    </xf>
    <xf numFmtId="0" fontId="23" fillId="22" borderId="12" applyAlignment="1" pivotButton="0" quotePrefix="0" xfId="0">
      <alignment horizontal="center" vertical="center" wrapText="1"/>
    </xf>
    <xf numFmtId="0" fontId="23" fillId="22" borderId="13" applyAlignment="1" pivotButton="0" quotePrefix="0" xfId="0">
      <alignment horizontal="center" vertical="center" wrapText="1"/>
    </xf>
    <xf numFmtId="165" fontId="23" fillId="22" borderId="23" applyAlignment="1" pivotButton="0" quotePrefix="0" xfId="0">
      <alignment horizontal="center" vertical="center" wrapText="1"/>
    </xf>
    <xf numFmtId="165" fontId="23" fillId="22" borderId="22" applyAlignment="1" pivotButton="0" quotePrefix="0" xfId="0">
      <alignment horizontal="center" vertical="center" wrapText="1"/>
    </xf>
    <xf numFmtId="165" fontId="23" fillId="22" borderId="15" applyAlignment="1" pivotButton="0" quotePrefix="0" xfId="0">
      <alignment horizontal="center" vertical="center" wrapText="1"/>
    </xf>
    <xf numFmtId="165" fontId="23" fillId="22" borderId="11" applyAlignment="1" pivotButton="0" quotePrefix="0" xfId="0">
      <alignment horizontal="center" vertical="center" wrapText="1"/>
    </xf>
    <xf numFmtId="165" fontId="23" fillId="22" borderId="12" applyAlignment="1" pivotButton="0" quotePrefix="0" xfId="0">
      <alignment horizontal="center" vertical="center" wrapText="1"/>
    </xf>
    <xf numFmtId="165" fontId="23" fillId="22" borderId="13" applyAlignment="1" pivotButton="0" quotePrefix="0" xfId="0">
      <alignment horizontal="center" vertical="center" wrapText="1"/>
    </xf>
    <xf numFmtId="0" fontId="3" fillId="23" borderId="23" applyAlignment="1" pivotButton="0" quotePrefix="0" xfId="0">
      <alignment horizontal="left" vertical="center" wrapText="1"/>
    </xf>
    <xf numFmtId="0" fontId="15" fillId="23" borderId="22" applyAlignment="1" pivotButton="0" quotePrefix="0" xfId="0">
      <alignment wrapText="1"/>
    </xf>
    <xf numFmtId="0" fontId="15" fillId="23" borderId="15" applyAlignment="1" pivotButton="0" quotePrefix="0" xfId="0">
      <alignment wrapText="1"/>
    </xf>
    <xf numFmtId="0" fontId="15" fillId="23" borderId="11" applyAlignment="1" pivotButton="0" quotePrefix="0" xfId="0">
      <alignment wrapText="1"/>
    </xf>
    <xf numFmtId="0" fontId="15" fillId="23" borderId="12" applyAlignment="1" pivotButton="0" quotePrefix="0" xfId="0">
      <alignment wrapText="1"/>
    </xf>
    <xf numFmtId="0" fontId="15" fillId="23" borderId="13" applyAlignment="1" pivotButton="0" quotePrefix="0" xfId="0">
      <alignment wrapText="1"/>
    </xf>
    <xf numFmtId="0" fontId="24" fillId="23" borderId="23" applyAlignment="1" pivotButton="0" quotePrefix="0" xfId="0">
      <alignment horizontal="left" vertical="center" wrapText="1"/>
    </xf>
    <xf numFmtId="0" fontId="2" fillId="23" borderId="22" applyAlignment="1" pivotButton="0" quotePrefix="0" xfId="0">
      <alignment wrapText="1"/>
    </xf>
    <xf numFmtId="0" fontId="2" fillId="23" borderId="15" applyAlignment="1" pivotButton="0" quotePrefix="0" xfId="0">
      <alignment wrapText="1"/>
    </xf>
    <xf numFmtId="0" fontId="2" fillId="23" borderId="11" applyAlignment="1" pivotButton="0" quotePrefix="0" xfId="0">
      <alignment wrapText="1"/>
    </xf>
    <xf numFmtId="0" fontId="2" fillId="23" borderId="12" applyAlignment="1" pivotButton="0" quotePrefix="0" xfId="0">
      <alignment wrapText="1"/>
    </xf>
    <xf numFmtId="0" fontId="2" fillId="23" borderId="13" applyAlignment="1" pivotButton="0" quotePrefix="0" xfId="0">
      <alignment wrapText="1"/>
    </xf>
    <xf numFmtId="0" fontId="2" fillId="23" borderId="22" applyAlignment="1" pivotButton="0" quotePrefix="0" xfId="0">
      <alignment vertical="center" wrapText="1"/>
    </xf>
    <xf numFmtId="0" fontId="2" fillId="23" borderId="15" applyAlignment="1" pivotButton="0" quotePrefix="0" xfId="0">
      <alignment vertical="center" wrapText="1"/>
    </xf>
    <xf numFmtId="0" fontId="2" fillId="23" borderId="11" applyAlignment="1" pivotButton="0" quotePrefix="0" xfId="0">
      <alignment vertical="center" wrapText="1"/>
    </xf>
    <xf numFmtId="0" fontId="2" fillId="23" borderId="12" applyAlignment="1" pivotButton="0" quotePrefix="0" xfId="0">
      <alignment vertical="center" wrapText="1"/>
    </xf>
    <xf numFmtId="0" fontId="2" fillId="23" borderId="13" applyAlignment="1" pivotButton="0" quotePrefix="0" xfId="0">
      <alignment vertical="center" wrapText="1"/>
    </xf>
    <xf numFmtId="0" fontId="3" fillId="24" borderId="0" applyAlignment="1" pivotButton="0" quotePrefix="0" xfId="0">
      <alignment horizontal="left" vertical="center" wrapText="1"/>
    </xf>
    <xf numFmtId="0" fontId="15" fillId="24" borderId="0" applyAlignment="1" pivotButton="0" quotePrefix="0" xfId="0">
      <alignment wrapText="1"/>
    </xf>
    <xf numFmtId="0" fontId="3" fillId="24" borderId="0" applyAlignment="1" pivotButton="0" quotePrefix="0" xfId="0">
      <alignment wrapText="1"/>
    </xf>
    <xf numFmtId="0" fontId="3" fillId="24" borderId="0" applyAlignment="1" pivotButton="0" quotePrefix="0" xfId="0">
      <alignment vertical="center" wrapText="1"/>
    </xf>
    <xf numFmtId="0" fontId="3" fillId="17" borderId="3" applyAlignment="1" pivotButton="0" quotePrefix="0" xfId="0">
      <alignment horizontal="left" vertical="center" wrapText="1"/>
    </xf>
    <xf numFmtId="0" fontId="3" fillId="17" borderId="4" applyAlignment="1" pivotButton="0" quotePrefix="0" xfId="0">
      <alignment horizontal="left" vertical="center" wrapText="1"/>
    </xf>
    <xf numFmtId="0" fontId="22" fillId="17" borderId="3" applyAlignment="1" pivotButton="0" quotePrefix="0" xfId="0">
      <alignment horizontal="left" vertical="center" wrapText="1"/>
    </xf>
    <xf numFmtId="0" fontId="22" fillId="17" borderId="4" applyAlignment="1" pivotButton="0" quotePrefix="0" xfId="0">
      <alignment horizontal="left" vertical="center" wrapText="1"/>
    </xf>
    <xf numFmtId="0" fontId="22" fillId="17" borderId="24" applyAlignment="1" pivotButton="0" quotePrefix="0" xfId="0">
      <alignment horizontal="left" vertical="center" wrapText="1"/>
    </xf>
    <xf numFmtId="0" fontId="22" fillId="17" borderId="30" applyAlignment="1" pivotButton="0" quotePrefix="0" xfId="0">
      <alignment horizontal="left" vertical="center" wrapText="1"/>
    </xf>
    <xf numFmtId="0" fontId="22" fillId="17" borderId="25" applyAlignment="1" pivotButton="0" quotePrefix="0" xfId="0">
      <alignment horizontal="left" vertical="center" wrapText="1"/>
    </xf>
    <xf numFmtId="0" fontId="22" fillId="17" borderId="24" applyAlignment="1" pivotButton="0" quotePrefix="0" xfId="0">
      <alignment horizontal="center" vertical="center" wrapText="1"/>
    </xf>
    <xf numFmtId="0" fontId="22" fillId="17" borderId="30" applyAlignment="1" pivotButton="0" quotePrefix="0" xfId="0">
      <alignment horizontal="center" vertical="center" wrapText="1"/>
    </xf>
    <xf numFmtId="0" fontId="22" fillId="17" borderId="25" applyAlignment="1" pivotButton="0" quotePrefix="0" xfId="0">
      <alignment horizontal="center" vertical="center" wrapText="1"/>
    </xf>
    <xf numFmtId="0" fontId="18" fillId="25" borderId="23" applyAlignment="1" pivotButton="0" quotePrefix="0" xfId="0">
      <alignment vertical="top" wrapText="1"/>
    </xf>
    <xf numFmtId="0" fontId="25" fillId="25" borderId="23" applyAlignment="1" pivotButton="0" quotePrefix="0" xfId="0">
      <alignment vertical="top" wrapText="1"/>
    </xf>
    <xf numFmtId="0" fontId="25" fillId="25" borderId="23" applyAlignment="1" pivotButton="0" quotePrefix="0" xfId="0">
      <alignment horizontal="center" vertical="top" wrapText="1"/>
    </xf>
    <xf numFmtId="0" fontId="25" fillId="25" borderId="23" applyAlignment="1" pivotButton="0" quotePrefix="0" xfId="0">
      <alignment horizontal="center" vertical="center" wrapText="1"/>
    </xf>
    <xf numFmtId="1" fontId="18" fillId="25" borderId="23" applyAlignment="1" pivotButton="0" quotePrefix="0" xfId="0">
      <alignment vertical="top" wrapText="1"/>
    </xf>
    <xf numFmtId="1" fontId="25" fillId="25" borderId="23" applyAlignment="1" pivotButton="0" quotePrefix="0" xfId="0">
      <alignment vertical="top" wrapText="1"/>
    </xf>
    <xf numFmtId="1" fontId="25" fillId="25" borderId="23" applyAlignment="1" pivotButton="0" quotePrefix="0" xfId="0">
      <alignment horizontal="center" vertical="top" wrapText="1"/>
    </xf>
    <xf numFmtId="1" fontId="25" fillId="25" borderId="23" applyAlignment="1" pivotButton="0" quotePrefix="0" xfId="0">
      <alignment horizontal="center" vertical="center" wrapText="1"/>
    </xf>
    <xf numFmtId="9" fontId="25" fillId="25" borderId="23" applyAlignment="1" pivotButton="0" quotePrefix="0" xfId="0">
      <alignment horizontal="center" vertical="center" wrapText="1"/>
    </xf>
    <xf numFmtId="0" fontId="3" fillId="17" borderId="5" applyAlignment="1" pivotButton="0" quotePrefix="0" xfId="0">
      <alignment horizontal="left" vertical="center" wrapText="1"/>
    </xf>
    <xf numFmtId="0" fontId="22" fillId="17" borderId="5" applyAlignment="1" pivotButton="0" quotePrefix="0" xfId="0">
      <alignment horizontal="left" vertical="center" wrapText="1"/>
    </xf>
    <xf numFmtId="0" fontId="18" fillId="26" borderId="23" applyAlignment="1" pivotButton="0" quotePrefix="0" xfId="0">
      <alignment vertical="top" wrapText="1"/>
    </xf>
    <xf numFmtId="0" fontId="26" fillId="26" borderId="23" applyAlignment="1" pivotButton="0" quotePrefix="0" xfId="0">
      <alignment vertical="top" wrapText="1"/>
    </xf>
    <xf numFmtId="0" fontId="26" fillId="26" borderId="23" applyAlignment="1" pivotButton="0" quotePrefix="0" xfId="0">
      <alignment horizontal="center" vertical="top" wrapText="1"/>
    </xf>
    <xf numFmtId="0" fontId="26" fillId="26" borderId="23" applyAlignment="1" pivotButton="0" quotePrefix="0" xfId="0">
      <alignment horizontal="center" vertical="center" wrapText="1"/>
    </xf>
    <xf numFmtId="0" fontId="18" fillId="24" borderId="23" applyAlignment="1" pivotButton="0" quotePrefix="0" xfId="0">
      <alignment vertical="top" wrapText="1"/>
    </xf>
    <xf numFmtId="164" fontId="18" fillId="24" borderId="23" applyAlignment="1" pivotButton="0" quotePrefix="0" xfId="0">
      <alignment vertical="top" wrapText="1"/>
    </xf>
    <xf numFmtId="1" fontId="18" fillId="24" borderId="23" applyAlignment="1" pivotButton="0" quotePrefix="0" xfId="0">
      <alignment vertical="top" wrapText="1"/>
    </xf>
    <xf numFmtId="0" fontId="4" fillId="24" borderId="23" applyAlignment="1" pivotButton="0" quotePrefix="0" xfId="0">
      <alignment vertical="top" wrapText="1"/>
    </xf>
    <xf numFmtId="164" fontId="4" fillId="24" borderId="23" applyAlignment="1" pivotButton="0" quotePrefix="0" xfId="0">
      <alignment vertical="top" wrapText="1"/>
    </xf>
    <xf numFmtId="1" fontId="4" fillId="24" borderId="23" applyAlignment="1" pivotButton="0" quotePrefix="0" xfId="0">
      <alignment vertical="top" wrapText="1"/>
    </xf>
    <xf numFmtId="0" fontId="4" fillId="24" borderId="23" applyAlignment="1" pivotButton="0" quotePrefix="0" xfId="0">
      <alignment horizontal="left" vertical="top" wrapText="1"/>
    </xf>
    <xf numFmtId="164" fontId="4" fillId="24" borderId="23" applyAlignment="1" pivotButton="0" quotePrefix="0" xfId="0">
      <alignment horizontal="left" vertical="top" wrapText="1"/>
    </xf>
    <xf numFmtId="1" fontId="4" fillId="24" borderId="23" applyAlignment="1" pivotButton="0" quotePrefix="0" xfId="0">
      <alignment horizontal="left" vertical="top" wrapText="1"/>
    </xf>
    <xf numFmtId="0" fontId="4" fillId="24" borderId="23" applyAlignment="1" pivotButton="0" quotePrefix="0" xfId="0">
      <alignment horizontal="left" vertical="center" wrapText="1"/>
    </xf>
    <xf numFmtId="164" fontId="4" fillId="24" borderId="23" applyAlignment="1" pivotButton="0" quotePrefix="0" xfId="0">
      <alignment horizontal="left" vertical="center" wrapText="1"/>
    </xf>
    <xf numFmtId="1" fontId="4" fillId="24" borderId="23" applyAlignment="1" pivotButton="0" quotePrefix="0" xfId="0">
      <alignment horizontal="left" vertical="center" wrapText="1"/>
    </xf>
    <xf numFmtId="0" fontId="18" fillId="17" borderId="23" applyAlignment="1" pivotButton="0" quotePrefix="0" xfId="0">
      <alignment vertical="top" wrapText="1"/>
    </xf>
    <xf numFmtId="0" fontId="22" fillId="17" borderId="23" applyAlignment="1" pivotButton="0" quotePrefix="0" xfId="0">
      <alignment vertical="top" wrapText="1"/>
    </xf>
    <xf numFmtId="0" fontId="22" fillId="17" borderId="23" applyAlignment="1" pivotButton="0" quotePrefix="0" xfId="0">
      <alignment horizontal="center" vertical="top" wrapText="1"/>
    </xf>
    <xf numFmtId="1" fontId="18" fillId="17" borderId="23" applyAlignment="1" pivotButton="0" quotePrefix="0" xfId="0">
      <alignment vertical="top" wrapText="1"/>
    </xf>
    <xf numFmtId="1" fontId="22" fillId="17" borderId="23" applyAlignment="1" pivotButton="0" quotePrefix="0" xfId="0">
      <alignment vertical="top" wrapText="1"/>
    </xf>
    <xf numFmtId="1" fontId="22" fillId="17" borderId="23" applyAlignment="1" pivotButton="0" quotePrefix="0" xfId="0">
      <alignment horizontal="center" vertical="top" wrapText="1"/>
    </xf>
    <xf numFmtId="1" fontId="22" fillId="17" borderId="23" applyAlignment="1" pivotButton="0" quotePrefix="0" xfId="0">
      <alignment horizontal="center" vertical="center" wrapText="1"/>
    </xf>
    <xf numFmtId="1" fontId="18" fillId="26" borderId="23" applyAlignment="1" pivotButton="0" quotePrefix="0" xfId="0">
      <alignment vertical="top" wrapText="1"/>
    </xf>
    <xf numFmtId="1" fontId="26" fillId="26" borderId="23" applyAlignment="1" pivotButton="0" quotePrefix="0" xfId="0">
      <alignment vertical="top" wrapText="1"/>
    </xf>
    <xf numFmtId="1" fontId="26" fillId="26" borderId="23" applyAlignment="1" pivotButton="0" quotePrefix="0" xfId="0">
      <alignment horizontal="center" vertical="top" wrapText="1"/>
    </xf>
    <xf numFmtId="1" fontId="26" fillId="26" borderId="23" applyAlignment="1" pivotButton="0" quotePrefix="0" xfId="0">
      <alignment horizontal="center" vertical="center" wrapText="1"/>
    </xf>
    <xf numFmtId="0" fontId="18" fillId="22" borderId="23" applyAlignment="1" pivotButton="0" quotePrefix="0" xfId="0">
      <alignment vertical="top" wrapText="1"/>
    </xf>
    <xf numFmtId="0" fontId="23" fillId="22" borderId="23" applyAlignment="1" pivotButton="0" quotePrefix="0" xfId="0">
      <alignment vertical="top" wrapText="1"/>
    </xf>
    <xf numFmtId="0" fontId="23" fillId="22" borderId="23" applyAlignment="1" pivotButton="0" quotePrefix="0" xfId="0">
      <alignment horizontal="center" vertical="top" wrapText="1"/>
    </xf>
    <xf numFmtId="0" fontId="23" fillId="22" borderId="23" applyAlignment="1" pivotButton="0" quotePrefix="0" xfId="0">
      <alignment horizontal="center" vertical="center" wrapText="1"/>
    </xf>
    <xf numFmtId="0" fontId="18" fillId="23" borderId="23" applyAlignment="1" pivotButton="0" quotePrefix="0" xfId="0">
      <alignment vertical="top" wrapText="1"/>
    </xf>
    <xf numFmtId="164" fontId="18" fillId="23" borderId="23" applyAlignment="1" pivotButton="0" quotePrefix="0" xfId="0">
      <alignment vertical="top" wrapText="1"/>
    </xf>
    <xf numFmtId="1" fontId="18" fillId="23" borderId="23" applyAlignment="1" pivotButton="0" quotePrefix="0" xfId="0">
      <alignment vertical="top" wrapText="1"/>
    </xf>
    <xf numFmtId="0" fontId="27" fillId="23" borderId="23" applyAlignment="1" pivotButton="0" quotePrefix="0" xfId="0">
      <alignment vertical="top" wrapText="1"/>
    </xf>
    <xf numFmtId="164" fontId="27" fillId="23" borderId="23" applyAlignment="1" pivotButton="0" quotePrefix="0" xfId="0">
      <alignment vertical="top" wrapText="1"/>
    </xf>
    <xf numFmtId="1" fontId="27" fillId="23" borderId="23" applyAlignment="1" pivotButton="0" quotePrefix="0" xfId="0">
      <alignment vertical="top" wrapText="1"/>
    </xf>
    <xf numFmtId="0" fontId="27" fillId="23" borderId="23" applyAlignment="1" pivotButton="0" quotePrefix="0" xfId="0">
      <alignment vertical="center" wrapText="1"/>
    </xf>
    <xf numFmtId="164" fontId="27" fillId="23" borderId="23" applyAlignment="1" pivotButton="0" quotePrefix="0" xfId="0">
      <alignment vertical="center" wrapText="1"/>
    </xf>
    <xf numFmtId="1" fontId="27" fillId="23" borderId="23" applyAlignment="1" pivotButton="0" quotePrefix="0" xfId="0">
      <alignment vertical="center" wrapText="1"/>
    </xf>
    <xf numFmtId="0" fontId="0" fillId="21" borderId="9" applyAlignment="1" pivotButton="0" quotePrefix="0" xfId="0">
      <alignment vertical="top" wrapText="1"/>
    </xf>
    <xf numFmtId="0" fontId="0" fillId="21" borderId="0" applyAlignment="1" pivotButton="0" quotePrefix="0" xfId="0">
      <alignment vertical="top" wrapText="1"/>
    </xf>
    <xf numFmtId="0" fontId="0" fillId="21" borderId="10" applyAlignment="1" pivotButton="0" quotePrefix="0" xfId="0">
      <alignment vertical="top" wrapText="1"/>
    </xf>
    <xf numFmtId="0" fontId="0" fillId="21" borderId="11" applyAlignment="1" pivotButton="0" quotePrefix="0" xfId="0">
      <alignment vertical="top" wrapText="1"/>
    </xf>
    <xf numFmtId="0" fontId="0" fillId="21" borderId="12" applyAlignment="1" pivotButton="0" quotePrefix="0" xfId="0">
      <alignment vertical="top" wrapText="1"/>
    </xf>
    <xf numFmtId="0" fontId="0" fillId="21" borderId="13" applyAlignment="1" pivotButton="0" quotePrefix="0" xfId="0">
      <alignment vertical="top" wrapText="1"/>
    </xf>
    <xf numFmtId="0" fontId="15" fillId="21" borderId="9" applyAlignment="1" pivotButton="0" quotePrefix="0" xfId="0">
      <alignment vertical="top" wrapText="1"/>
    </xf>
    <xf numFmtId="0" fontId="15" fillId="21" borderId="0" applyAlignment="1" pivotButton="0" quotePrefix="0" xfId="0">
      <alignment vertical="top" wrapText="1"/>
    </xf>
    <xf numFmtId="0" fontId="15" fillId="21" borderId="10" applyAlignment="1" pivotButton="0" quotePrefix="0" xfId="0">
      <alignment vertical="top" wrapText="1"/>
    </xf>
    <xf numFmtId="0" fontId="15" fillId="21" borderId="11" applyAlignment="1" pivotButton="0" quotePrefix="0" xfId="0">
      <alignment vertical="top" wrapText="1"/>
    </xf>
    <xf numFmtId="0" fontId="15" fillId="21" borderId="12" applyAlignment="1" pivotButton="0" quotePrefix="0" xfId="0">
      <alignment vertical="top" wrapText="1"/>
    </xf>
    <xf numFmtId="0" fontId="15" fillId="21" borderId="13" applyAlignment="1" pivotButton="0" quotePrefix="0" xfId="0">
      <alignment vertical="top" wrapText="1"/>
    </xf>
    <xf numFmtId="0" fontId="15" fillId="21" borderId="23" applyAlignment="1" pivotButton="0" quotePrefix="0" xfId="0">
      <alignment vertical="top" wrapText="1"/>
    </xf>
    <xf numFmtId="0" fontId="15" fillId="21" borderId="23" pivotButton="0" quotePrefix="0" xfId="0"/>
    <xf numFmtId="0" fontId="15" fillId="21" borderId="23" applyAlignment="1" pivotButton="0" quotePrefix="0" xfId="0">
      <alignment wrapText="1"/>
    </xf>
    <xf numFmtId="0" fontId="0" fillId="24" borderId="0" pivotButton="0" quotePrefix="0" xfId="0"/>
    <xf numFmtId="0" fontId="4" fillId="24" borderId="0" pivotButton="0" quotePrefix="0" xfId="0"/>
    <xf numFmtId="0" fontId="4" fillId="24" borderId="0" applyAlignment="1" pivotButton="0" quotePrefix="0" xfId="0">
      <alignment horizontal="left"/>
    </xf>
    <xf numFmtId="0" fontId="4" fillId="24" borderId="0" applyAlignment="1" pivotButton="0" quotePrefix="0" xfId="0">
      <alignment horizontal="left" vertical="center"/>
    </xf>
    <xf numFmtId="9" fontId="25" fillId="25" borderId="23" applyAlignment="1" pivotButton="0" quotePrefix="0" xfId="0">
      <alignment horizontal="center" vertical="center" wrapText="1"/>
    </xf>
    <xf numFmtId="0" fontId="19" fillId="17" borderId="23" applyAlignment="1" pivotButton="0" quotePrefix="0" xfId="0">
      <alignment horizontal="center" vertical="center"/>
    </xf>
    <xf numFmtId="0" fontId="19" fillId="18" borderId="23" applyAlignment="1" pivotButton="0" quotePrefix="0" xfId="0">
      <alignment horizontal="center" vertical="center"/>
    </xf>
    <xf numFmtId="0" fontId="19" fillId="19" borderId="23" applyAlignment="1" pivotButton="0" quotePrefix="0" xfId="0">
      <alignment horizontal="center" vertical="center"/>
    </xf>
    <xf numFmtId="0" fontId="19" fillId="20" borderId="23" applyAlignment="1" pivotButton="0" quotePrefix="0" xfId="0">
      <alignment horizontal="center" vertical="center"/>
    </xf>
    <xf numFmtId="0" fontId="22" fillId="27" borderId="24" applyAlignment="1" pivotButton="0" quotePrefix="0" xfId="0">
      <alignment horizontal="center" vertical="center" wrapText="1"/>
    </xf>
    <xf numFmtId="0" fontId="22" fillId="27" borderId="30" applyAlignment="1" pivotButton="0" quotePrefix="0" xfId="0">
      <alignment horizontal="center" vertical="center" wrapText="1"/>
    </xf>
    <xf numFmtId="0" fontId="22" fillId="27" borderId="25" applyAlignment="1" pivotButton="0" quotePrefix="0" xfId="0">
      <alignment horizontal="center" vertical="center" wrapText="1"/>
    </xf>
    <xf numFmtId="0" fontId="22" fillId="27" borderId="23" applyAlignment="1" pivotButton="0" quotePrefix="0" xfId="0">
      <alignment horizontal="center" vertical="center" wrapText="1"/>
    </xf>
    <xf numFmtId="1" fontId="22" fillId="27" borderId="23" applyAlignment="1" pivotButton="0" quotePrefix="0" xfId="0">
      <alignment horizontal="center" vertical="center" wrapText="1"/>
    </xf>
    <xf numFmtId="0" fontId="6" fillId="0" borderId="0" pivotButton="0" quotePrefix="0" xfId="0"/>
    <xf numFmtId="0" fontId="28" fillId="13" borderId="23" applyAlignment="1" pivotButton="0" quotePrefix="0" xfId="0">
      <alignment vertical="top" wrapText="1"/>
    </xf>
    <xf numFmtId="0" fontId="0" fillId="0" borderId="32" pivotButton="0" quotePrefix="0" xfId="0"/>
    <xf numFmtId="0" fontId="0" fillId="28" borderId="0" pivotButton="0" quotePrefix="0" xfId="0"/>
    <xf numFmtId="0" fontId="19" fillId="28" borderId="0" pivotButton="0" quotePrefix="0" xfId="0"/>
    <xf numFmtId="0" fontId="19" fillId="28" borderId="19" pivotButton="0" quotePrefix="0" xfId="0"/>
    <xf numFmtId="0" fontId="19" fillId="28" borderId="21" pivotButton="0" quotePrefix="0" xfId="0"/>
    <xf numFmtId="0" fontId="19" fillId="28" borderId="19" applyAlignment="1" pivotButton="0" quotePrefix="0" xfId="0">
      <alignment horizontal="center"/>
    </xf>
    <xf numFmtId="0" fontId="19" fillId="28" borderId="21" applyAlignment="1" pivotButton="0" quotePrefix="0" xfId="0">
      <alignment horizontal="center"/>
    </xf>
    <xf numFmtId="0" fontId="19" fillId="28" borderId="19" applyAlignment="1" pivotButton="0" quotePrefix="0" xfId="0">
      <alignment horizontal="center" vertical="center"/>
    </xf>
    <xf numFmtId="0" fontId="19" fillId="28" borderId="21" applyAlignment="1" pivotButton="0" quotePrefix="0" xfId="0">
      <alignment horizontal="center" vertical="center"/>
    </xf>
    <xf numFmtId="0" fontId="0" fillId="29" borderId="0" pivotButton="0" quotePrefix="0" xfId="0"/>
    <xf numFmtId="0" fontId="19" fillId="29" borderId="0" pivotButton="0" quotePrefix="0" xfId="0"/>
    <xf numFmtId="0" fontId="19" fillId="29" borderId="19" pivotButton="0" quotePrefix="0" xfId="0"/>
    <xf numFmtId="0" fontId="19" fillId="29" borderId="20" pivotButton="0" quotePrefix="0" xfId="0"/>
    <xf numFmtId="0" fontId="19" fillId="29" borderId="21" pivotButton="0" quotePrefix="0" xfId="0"/>
    <xf numFmtId="0" fontId="19" fillId="29" borderId="19" applyAlignment="1" pivotButton="0" quotePrefix="0" xfId="0">
      <alignment horizontal="center"/>
    </xf>
    <xf numFmtId="0" fontId="19" fillId="29" borderId="20" applyAlignment="1" pivotButton="0" quotePrefix="0" xfId="0">
      <alignment horizontal="center"/>
    </xf>
    <xf numFmtId="0" fontId="19" fillId="29" borderId="21" applyAlignment="1" pivotButton="0" quotePrefix="0" xfId="0">
      <alignment horizontal="center"/>
    </xf>
    <xf numFmtId="0" fontId="19" fillId="29" borderId="19" applyAlignment="1" pivotButton="0" quotePrefix="0" xfId="0">
      <alignment horizontal="center" vertical="center"/>
    </xf>
    <xf numFmtId="0" fontId="19" fillId="29" borderId="20" applyAlignment="1" pivotButton="0" quotePrefix="0" xfId="0">
      <alignment horizontal="center" vertical="center"/>
    </xf>
    <xf numFmtId="0" fontId="19" fillId="29" borderId="21" applyAlignment="1" pivotButton="0" quotePrefix="0" xfId="0">
      <alignment horizontal="center" vertical="center"/>
    </xf>
    <xf numFmtId="0" fontId="0" fillId="30" borderId="0" pivotButton="0" quotePrefix="0" xfId="0"/>
    <xf numFmtId="0" fontId="19" fillId="30" borderId="0" pivotButton="0" quotePrefix="0" xfId="0"/>
    <xf numFmtId="0" fontId="19" fillId="30" borderId="19" pivotButton="0" quotePrefix="0" xfId="0"/>
    <xf numFmtId="0" fontId="19" fillId="30" borderId="20" pivotButton="0" quotePrefix="0" xfId="0"/>
    <xf numFmtId="0" fontId="19" fillId="30" borderId="21" pivotButton="0" quotePrefix="0" xfId="0"/>
    <xf numFmtId="0" fontId="19" fillId="30" borderId="19" applyAlignment="1" pivotButton="0" quotePrefix="0" xfId="0">
      <alignment horizontal="center"/>
    </xf>
    <xf numFmtId="0" fontId="19" fillId="30" borderId="20" applyAlignment="1" pivotButton="0" quotePrefix="0" xfId="0">
      <alignment horizontal="center"/>
    </xf>
    <xf numFmtId="0" fontId="19" fillId="30" borderId="21" applyAlignment="1" pivotButton="0" quotePrefix="0" xfId="0">
      <alignment horizontal="center"/>
    </xf>
    <xf numFmtId="0" fontId="19" fillId="30" borderId="19" applyAlignment="1" pivotButton="0" quotePrefix="0" xfId="0">
      <alignment horizontal="center" vertical="center"/>
    </xf>
    <xf numFmtId="0" fontId="19" fillId="30" borderId="20" applyAlignment="1" pivotButton="0" quotePrefix="0" xfId="0">
      <alignment horizontal="center" vertical="center"/>
    </xf>
    <xf numFmtId="0" fontId="19" fillId="30" borderId="21" applyAlignment="1" pivotButton="0" quotePrefix="0" xfId="0">
      <alignment horizontal="center" vertical="center"/>
    </xf>
    <xf numFmtId="0" fontId="0" fillId="31" borderId="0" pivotButton="0" quotePrefix="0" xfId="0"/>
    <xf numFmtId="0" fontId="19" fillId="31" borderId="0" pivotButton="0" quotePrefix="0" xfId="0"/>
    <xf numFmtId="0" fontId="19" fillId="31" borderId="19" pivotButton="0" quotePrefix="0" xfId="0"/>
    <xf numFmtId="0" fontId="19" fillId="31" borderId="20" pivotButton="0" quotePrefix="0" xfId="0"/>
    <xf numFmtId="0" fontId="19" fillId="31" borderId="21" pivotButton="0" quotePrefix="0" xfId="0"/>
    <xf numFmtId="0" fontId="19" fillId="31" borderId="19" applyAlignment="1" pivotButton="0" quotePrefix="0" xfId="0">
      <alignment horizontal="center"/>
    </xf>
    <xf numFmtId="0" fontId="19" fillId="31" borderId="20" applyAlignment="1" pivotButton="0" quotePrefix="0" xfId="0">
      <alignment horizontal="center"/>
    </xf>
    <xf numFmtId="0" fontId="19" fillId="31" borderId="21" applyAlignment="1" pivotButton="0" quotePrefix="0" xfId="0">
      <alignment horizontal="center"/>
    </xf>
    <xf numFmtId="0" fontId="19" fillId="31" borderId="19" applyAlignment="1" pivotButton="0" quotePrefix="0" xfId="0">
      <alignment horizontal="center" vertical="center"/>
    </xf>
    <xf numFmtId="0" fontId="19" fillId="31" borderId="20" applyAlignment="1" pivotButton="0" quotePrefix="0" xfId="0">
      <alignment horizontal="center" vertical="center"/>
    </xf>
    <xf numFmtId="0" fontId="19" fillId="31" borderId="21" applyAlignment="1" pivotButton="0" quotePrefix="0" xfId="0">
      <alignment horizontal="center" vertical="center"/>
    </xf>
    <xf numFmtId="0" fontId="5" fillId="28" borderId="0" pivotButton="0" quotePrefix="0" xfId="0"/>
    <xf numFmtId="0" fontId="5" fillId="28" borderId="29" pivotButton="0" quotePrefix="0" xfId="0"/>
    <xf numFmtId="0" fontId="5" fillId="28" borderId="29" applyAlignment="1" pivotButton="0" quotePrefix="0" xfId="0">
      <alignment wrapText="1"/>
    </xf>
    <xf numFmtId="0" fontId="5" fillId="28" borderId="29" applyAlignment="1" pivotButton="0" quotePrefix="0" xfId="0">
      <alignment horizontal="left" wrapText="1"/>
    </xf>
    <xf numFmtId="0" fontId="5" fillId="28" borderId="29" applyAlignment="1" pivotButton="0" quotePrefix="0" xfId="0">
      <alignment horizontal="left" vertical="center" wrapText="1"/>
    </xf>
    <xf numFmtId="0" fontId="0" fillId="32" borderId="0" pivotButton="0" quotePrefix="0" xfId="0"/>
    <xf numFmtId="0" fontId="29" fillId="32" borderId="0" pivotButton="0" quotePrefix="0" xfId="0"/>
    <xf numFmtId="0" fontId="29" fillId="32" borderId="23" pivotButton="0" quotePrefix="0" xfId="0"/>
    <xf numFmtId="0" fontId="29" fillId="32" borderId="23" applyAlignment="1" pivotButton="0" quotePrefix="0" xfId="0">
      <alignment vertical="top"/>
    </xf>
    <xf numFmtId="0" fontId="29" fillId="32" borderId="23" applyAlignment="1" pivotButton="0" quotePrefix="0" xfId="0">
      <alignment vertical="top" wrapText="1"/>
    </xf>
    <xf numFmtId="0" fontId="0" fillId="0" borderId="0" applyAlignment="1" pivotButton="0" quotePrefix="0" xfId="0">
      <alignment wrapText="1"/>
    </xf>
    <xf numFmtId="165" fontId="29" fillId="32" borderId="23" applyAlignment="1" pivotButton="0" quotePrefix="0" xfId="0">
      <alignment vertical="top"/>
    </xf>
    <xf numFmtId="165" fontId="0" fillId="0" borderId="0" pivotButton="0" quotePrefix="0" xfId="0"/>
    <xf numFmtId="166" fontId="29" fillId="32" borderId="23" applyAlignment="1" pivotButton="0" quotePrefix="0" xfId="0">
      <alignment vertical="top"/>
    </xf>
    <xf numFmtId="166" fontId="0" fillId="0" borderId="0" pivotButton="0" quotePrefix="0" xfId="0"/>
    <xf numFmtId="164" fontId="23" fillId="3" borderId="23" applyAlignment="1" pivotButton="0" quotePrefix="0" xfId="0">
      <alignment horizontal="center" vertical="center" wrapText="1"/>
    </xf>
    <xf numFmtId="9" fontId="25" fillId="14" borderId="23" applyAlignment="1" pivotButton="0" quotePrefix="0" xfId="0">
      <alignment horizontal="center" vertical="center" wrapText="1"/>
    </xf>
    <xf numFmtId="165" fontId="29" fillId="13" borderId="23" applyAlignment="1" pivotButton="0" quotePrefix="0" xfId="0">
      <alignment vertical="top"/>
    </xf>
    <xf numFmtId="0" fontId="0" fillId="33" borderId="0" pivotButton="0" quotePrefix="0" xfId="0"/>
    <xf numFmtId="0" fontId="5" fillId="33" borderId="0" pivotButton="0" quotePrefix="0" xfId="0"/>
    <xf numFmtId="0" fontId="5" fillId="33" borderId="0" applyAlignment="1" pivotButton="0" quotePrefix="0" xfId="0">
      <alignment horizontal="center"/>
    </xf>
    <xf numFmtId="0" fontId="0" fillId="34" borderId="0" pivotButton="0" quotePrefix="0" xfId="0"/>
    <xf numFmtId="0" fontId="5" fillId="34" borderId="0" pivotButton="0" quotePrefix="0" xfId="0"/>
    <xf numFmtId="0" fontId="5" fillId="34" borderId="0" applyAlignment="1" pivotButton="0" quotePrefix="0" xfId="0">
      <alignment horizontal="center"/>
    </xf>
    <xf numFmtId="0" fontId="0" fillId="35" borderId="0" pivotButton="0" quotePrefix="0" xfId="0"/>
    <xf numFmtId="0" fontId="5" fillId="35" borderId="0" pivotButton="0" quotePrefix="0" xfId="0"/>
    <xf numFmtId="0" fontId="5" fillId="35" borderId="0" applyAlignment="1" pivotButton="0" quotePrefix="0" xfId="0">
      <alignment wrapText="1"/>
    </xf>
    <xf numFmtId="0" fontId="5" fillId="35" borderId="0" applyAlignment="1" pivotButton="0" quotePrefix="0" xfId="0">
      <alignment horizontal="left" wrapText="1"/>
    </xf>
    <xf numFmtId="0" fontId="0" fillId="36" borderId="0" pivotButton="0" quotePrefix="0" xfId="0"/>
    <xf numFmtId="0" fontId="0" fillId="37" borderId="0" pivotButton="0" quotePrefix="0" xfId="0"/>
    <xf numFmtId="0" fontId="30" fillId="33" borderId="0" applyAlignment="1" pivotButton="0" quotePrefix="0" xfId="0">
      <alignment horizontal="center"/>
    </xf>
    <xf numFmtId="0" fontId="30" fillId="34" borderId="0" applyAlignment="1" pivotButton="0" quotePrefix="0" xfId="0">
      <alignment horizontal="center"/>
    </xf>
    <xf numFmtId="0" fontId="30" fillId="35" borderId="0" applyAlignment="1" pivotButton="0" quotePrefix="0" xfId="0">
      <alignment horizontal="left" wrapText="1"/>
    </xf>
    <xf numFmtId="0" fontId="31" fillId="36" borderId="0" pivotButton="0" quotePrefix="0" xfId="0"/>
    <xf numFmtId="0" fontId="31" fillId="37" borderId="0" pivotButton="0" quotePrefix="0" xfId="0"/>
    <xf numFmtId="0" fontId="30" fillId="33" borderId="33" applyAlignment="1" pivotButton="0" quotePrefix="0" xfId="0">
      <alignment horizontal="center"/>
    </xf>
    <xf numFmtId="0" fontId="30" fillId="34" borderId="33" applyAlignment="1" pivotButton="0" quotePrefix="0" xfId="0">
      <alignment horizontal="center"/>
    </xf>
    <xf numFmtId="0" fontId="30" fillId="35" borderId="34" applyAlignment="1" pivotButton="0" quotePrefix="0" xfId="0">
      <alignment horizontal="left" wrapText="1"/>
    </xf>
    <xf numFmtId="0" fontId="31" fillId="36" borderId="34" pivotButton="0" quotePrefix="0" xfId="0"/>
    <xf numFmtId="0" fontId="31" fillId="37" borderId="34" pivotButton="0" quotePrefix="0" xfId="0"/>
    <xf numFmtId="0" fontId="31" fillId="36" borderId="35" pivotButton="0" quotePrefix="0" xfId="0"/>
    <xf numFmtId="0" fontId="31" fillId="37" borderId="35" pivotButton="0" quotePrefix="0" xfId="0"/>
    <xf numFmtId="165" fontId="31" fillId="36" borderId="34" pivotButton="0" quotePrefix="0" xfId="0"/>
    <xf numFmtId="165" fontId="31" fillId="36" borderId="35" pivotButton="0" quotePrefix="0" xfId="0"/>
    <xf numFmtId="164" fontId="31" fillId="36" borderId="34" pivotButton="0" quotePrefix="0" xfId="0"/>
    <xf numFmtId="164" fontId="31" fillId="36" borderId="35" pivotButton="0" quotePrefix="0" xfId="0"/>
    <xf numFmtId="164" fontId="31" fillId="37" borderId="34" pivotButton="0" quotePrefix="0" xfId="0"/>
    <xf numFmtId="164" fontId="31" fillId="37" borderId="35" pivotButton="0" quotePrefix="0" xfId="0"/>
    <xf numFmtId="0" fontId="0" fillId="38" borderId="0" pivotButton="0" quotePrefix="0" xfId="0"/>
    <xf numFmtId="0" fontId="5" fillId="38" borderId="0" pivotButton="0" quotePrefix="0" xfId="0"/>
    <xf numFmtId="0" fontId="5" fillId="38" borderId="0" applyAlignment="1" pivotButton="0" quotePrefix="0" xfId="0">
      <alignment horizontal="center"/>
    </xf>
    <xf numFmtId="0" fontId="0" fillId="39" borderId="0" pivotButton="0" quotePrefix="0" xfId="0"/>
    <xf numFmtId="0" fontId="5" fillId="39" borderId="0" pivotButton="0" quotePrefix="0" xfId="0"/>
    <xf numFmtId="0" fontId="5" fillId="39" borderId="0" applyAlignment="1" pivotButton="0" quotePrefix="0" xfId="0">
      <alignment horizontal="center"/>
    </xf>
    <xf numFmtId="0" fontId="0" fillId="40" borderId="0" pivotButton="0" quotePrefix="0" xfId="0"/>
    <xf numFmtId="0" fontId="5" fillId="40" borderId="0" pivotButton="0" quotePrefix="0" xfId="0"/>
    <xf numFmtId="0" fontId="5" fillId="40" borderId="0" applyAlignment="1" pivotButton="0" quotePrefix="0" xfId="0">
      <alignment horizontal="center"/>
    </xf>
    <xf numFmtId="0" fontId="0" fillId="41" borderId="0" pivotButton="0" quotePrefix="0" xfId="0"/>
    <xf numFmtId="0" fontId="0" fillId="42" borderId="0" pivotButton="0" quotePrefix="0" xfId="0"/>
    <xf numFmtId="0" fontId="0" fillId="43" borderId="0" pivotButton="0" quotePrefix="0" xfId="0"/>
    <xf numFmtId="0" fontId="0" fillId="44" borderId="0" pivotButton="0" quotePrefix="0" xfId="0"/>
    <xf numFmtId="0" fontId="30" fillId="38" borderId="0" applyAlignment="1" pivotButton="0" quotePrefix="0" xfId="0">
      <alignment horizontal="center"/>
    </xf>
    <xf numFmtId="0" fontId="30" fillId="39" borderId="0" applyAlignment="1" pivotButton="0" quotePrefix="0" xfId="0">
      <alignment horizontal="center"/>
    </xf>
    <xf numFmtId="0" fontId="30" fillId="40" borderId="0" applyAlignment="1" pivotButton="0" quotePrefix="0" xfId="0">
      <alignment horizontal="center"/>
    </xf>
    <xf numFmtId="0" fontId="30" fillId="35" borderId="0" applyAlignment="1" pivotButton="0" quotePrefix="0" xfId="0">
      <alignment wrapText="1"/>
    </xf>
    <xf numFmtId="0" fontId="31" fillId="41" borderId="0" pivotButton="0" quotePrefix="0" xfId="0"/>
    <xf numFmtId="0" fontId="31" fillId="42" borderId="0" pivotButton="0" quotePrefix="0" xfId="0"/>
    <xf numFmtId="0" fontId="31" fillId="43" borderId="0" pivotButton="0" quotePrefix="0" xfId="0"/>
    <xf numFmtId="0" fontId="31" fillId="44" borderId="0" pivotButton="0" quotePrefix="0" xfId="0"/>
    <xf numFmtId="165" fontId="31" fillId="42" borderId="0" pivotButton="0" quotePrefix="0" xfId="0"/>
    <xf numFmtId="165" fontId="31" fillId="43" borderId="0" pivotButton="0" quotePrefix="0" xfId="0"/>
    <xf numFmtId="164" fontId="31" fillId="42" borderId="0" pivotButton="0" quotePrefix="0" xfId="0"/>
    <xf numFmtId="165" fontId="31" fillId="44" borderId="0" pivotButton="0" quotePrefix="0" xfId="0"/>
    <xf numFmtId="0" fontId="32" fillId="2" borderId="0" applyAlignment="1" pivotButton="0" quotePrefix="0" xfId="0">
      <alignment horizontal="left" vertical="center"/>
    </xf>
    <xf numFmtId="0" fontId="31" fillId="0" borderId="0" pivotButton="0" quotePrefix="0" xfId="0"/>
    <xf numFmtId="0" fontId="33" fillId="3" borderId="0" applyAlignment="1" pivotButton="0" quotePrefix="0" xfId="0">
      <alignment vertical="center" wrapText="1"/>
    </xf>
    <xf numFmtId="0" fontId="34" fillId="4" borderId="1" pivotButton="0" quotePrefix="0" xfId="0"/>
    <xf numFmtId="164" fontId="34" fillId="4" borderId="2" pivotButton="0" quotePrefix="0" xfId="0"/>
    <xf numFmtId="0" fontId="35" fillId="5" borderId="0" applyAlignment="1" pivotButton="0" quotePrefix="0" xfId="0">
      <alignment vertical="center"/>
    </xf>
    <xf numFmtId="0" fontId="30" fillId="2" borderId="6" applyAlignment="1" pivotButton="0" quotePrefix="0" xfId="0">
      <alignment horizontal="left" vertical="center" wrapText="1"/>
    </xf>
    <xf numFmtId="0" fontId="30" fillId="2" borderId="7" applyAlignment="1" pivotButton="0" quotePrefix="0" xfId="0">
      <alignment horizontal="left" vertical="center" wrapText="1"/>
    </xf>
    <xf numFmtId="0" fontId="30" fillId="2" borderId="8" applyAlignment="1" pivotButton="0" quotePrefix="0" xfId="0">
      <alignment horizontal="left" vertical="center" wrapText="1"/>
    </xf>
    <xf numFmtId="0" fontId="36" fillId="13" borderId="23" applyAlignment="1" pivotButton="0" quotePrefix="0" xfId="0">
      <alignment vertical="top" wrapText="1"/>
    </xf>
    <xf numFmtId="0" fontId="31" fillId="0" borderId="9" applyAlignment="1" pivotButton="0" quotePrefix="0" xfId="0">
      <alignment vertical="top" wrapText="1"/>
    </xf>
    <xf numFmtId="0" fontId="31" fillId="0" borderId="0" applyAlignment="1" pivotButton="0" quotePrefix="0" xfId="0">
      <alignment vertical="top" wrapText="1"/>
    </xf>
    <xf numFmtId="0" fontId="31" fillId="0" borderId="10" applyAlignment="1" pivotButton="0" quotePrefix="0" xfId="0">
      <alignment vertical="top" wrapText="1"/>
    </xf>
    <xf numFmtId="0" fontId="31" fillId="0" borderId="11" applyAlignment="1" pivotButton="0" quotePrefix="0" xfId="0">
      <alignment vertical="top" wrapText="1"/>
    </xf>
    <xf numFmtId="0" fontId="31" fillId="0" borderId="12" applyAlignment="1" pivotButton="0" quotePrefix="0" xfId="0">
      <alignment vertical="top" wrapText="1"/>
    </xf>
    <xf numFmtId="0" fontId="31" fillId="0" borderId="13" applyAlignment="1" pivotButton="0" quotePrefix="0" xfId="0">
      <alignment vertical="top" wrapText="1"/>
    </xf>
    <xf numFmtId="0" fontId="31" fillId="0" borderId="14" applyAlignment="1" pivotButton="0" quotePrefix="0" xfId="0">
      <alignment vertical="top" wrapText="1"/>
    </xf>
    <xf numFmtId="0" fontId="31" fillId="0" borderId="15" applyAlignment="1" pivotButton="0" quotePrefix="0" xfId="0">
      <alignment vertical="top" wrapText="1"/>
    </xf>
    <xf numFmtId="0" fontId="35" fillId="5" borderId="0" applyAlignment="1" pivotButton="0" quotePrefix="0" xfId="0">
      <alignment horizontal="left" vertical="center"/>
    </xf>
    <xf numFmtId="0" fontId="30" fillId="2" borderId="29" applyAlignment="1" pivotButton="0" quotePrefix="0" xfId="0">
      <alignment horizontal="left" vertical="center" wrapText="1"/>
    </xf>
    <xf numFmtId="0" fontId="37" fillId="13" borderId="23" applyAlignment="1" pivotButton="0" quotePrefix="0" xfId="0">
      <alignment vertical="top" wrapText="1"/>
    </xf>
    <xf numFmtId="0" fontId="32" fillId="35" borderId="0" applyAlignment="1" pivotButton="0" quotePrefix="0" xfId="0">
      <alignment horizontal="left" vertical="center"/>
    </xf>
    <xf numFmtId="0" fontId="31" fillId="35" borderId="0" pivotButton="0" quotePrefix="0" xfId="0"/>
    <xf numFmtId="0" fontId="1" fillId="35" borderId="0" applyAlignment="1" pivotButton="0" quotePrefix="0" xfId="0">
      <alignment horizontal="left" vertical="center"/>
    </xf>
    <xf numFmtId="0" fontId="38" fillId="35" borderId="0" pivotButton="0" quotePrefix="0" xfId="0"/>
    <xf numFmtId="0" fontId="33" fillId="36" borderId="0" applyAlignment="1" pivotButton="0" quotePrefix="0" xfId="0">
      <alignment vertical="center" wrapText="1"/>
    </xf>
    <xf numFmtId="0" fontId="39" fillId="36" borderId="0" applyAlignment="1" pivotButton="0" quotePrefix="0" xfId="0">
      <alignment vertical="center" wrapText="1"/>
    </xf>
    <xf numFmtId="0" fontId="40" fillId="36" borderId="0" pivotButton="0" quotePrefix="0" xfId="0"/>
    <xf numFmtId="0" fontId="40" fillId="36" borderId="0" applyAlignment="1" pivotButton="0" quotePrefix="0" xfId="0">
      <alignment wrapText="1"/>
    </xf>
    <xf numFmtId="0" fontId="35" fillId="39" borderId="0" applyAlignment="1" pivotButton="0" quotePrefix="0" xfId="0">
      <alignment vertical="center"/>
    </xf>
    <xf numFmtId="0" fontId="31" fillId="39" borderId="0" pivotButton="0" quotePrefix="0" xfId="0"/>
    <xf numFmtId="0" fontId="41" fillId="39" borderId="0" applyAlignment="1" pivotButton="0" quotePrefix="0" xfId="0">
      <alignment vertical="center"/>
    </xf>
    <xf numFmtId="0" fontId="30" fillId="39" borderId="0" pivotButton="0" quotePrefix="0" xfId="0"/>
    <xf numFmtId="0" fontId="31" fillId="39" borderId="9" applyAlignment="1" pivotButton="0" quotePrefix="0" xfId="0">
      <alignment vertical="top" wrapText="1"/>
    </xf>
    <xf numFmtId="0" fontId="31" fillId="39" borderId="0" applyAlignment="1" pivotButton="0" quotePrefix="0" xfId="0">
      <alignment vertical="top" wrapText="1"/>
    </xf>
    <xf numFmtId="0" fontId="31" fillId="39" borderId="10" applyAlignment="1" pivotButton="0" quotePrefix="0" xfId="0">
      <alignment vertical="top" wrapText="1"/>
    </xf>
    <xf numFmtId="0" fontId="30" fillId="39" borderId="9" applyAlignment="1" pivotButton="0" quotePrefix="0" xfId="0">
      <alignment vertical="top" wrapText="1"/>
    </xf>
    <xf numFmtId="0" fontId="30" fillId="39" borderId="0" applyAlignment="1" pivotButton="0" quotePrefix="0" xfId="0">
      <alignment vertical="top" wrapText="1"/>
    </xf>
    <xf numFmtId="0" fontId="30" fillId="39" borderId="10" applyAlignment="1" pivotButton="0" quotePrefix="0" xfId="0">
      <alignment vertical="top" wrapText="1"/>
    </xf>
    <xf numFmtId="0" fontId="30" fillId="35" borderId="6" applyAlignment="1" pivotButton="0" quotePrefix="0" xfId="0">
      <alignment horizontal="left" vertical="center" wrapText="1"/>
    </xf>
    <xf numFmtId="0" fontId="30" fillId="35" borderId="7" applyAlignment="1" pivotButton="0" quotePrefix="0" xfId="0">
      <alignment horizontal="left" vertical="center" wrapText="1"/>
    </xf>
    <xf numFmtId="0" fontId="30" fillId="35" borderId="8" applyAlignment="1" pivotButton="0" quotePrefix="0" xfId="0">
      <alignment horizontal="left" vertical="center" wrapText="1"/>
    </xf>
    <xf numFmtId="0" fontId="30" fillId="35" borderId="0" pivotButton="0" quotePrefix="0" xfId="0"/>
    <xf numFmtId="0" fontId="31" fillId="35" borderId="9" applyAlignment="1" pivotButton="0" quotePrefix="0" xfId="0">
      <alignment vertical="top" wrapText="1"/>
    </xf>
    <xf numFmtId="0" fontId="31" fillId="35" borderId="0" applyAlignment="1" pivotButton="0" quotePrefix="0" xfId="0">
      <alignment vertical="top" wrapText="1"/>
    </xf>
    <xf numFmtId="0" fontId="31" fillId="35" borderId="10" applyAlignment="1" pivotButton="0" quotePrefix="0" xfId="0">
      <alignment vertical="top" wrapText="1"/>
    </xf>
    <xf numFmtId="0" fontId="30" fillId="35" borderId="9" applyAlignment="1" pivotButton="0" quotePrefix="0" xfId="0">
      <alignment vertical="top" wrapText="1"/>
    </xf>
    <xf numFmtId="0" fontId="30" fillId="35" borderId="0" applyAlignment="1" pivotButton="0" quotePrefix="0" xfId="0">
      <alignment vertical="top" wrapText="1"/>
    </xf>
    <xf numFmtId="0" fontId="30" fillId="35" borderId="10" applyAlignment="1" pivotButton="0" quotePrefix="0" xfId="0">
      <alignment vertical="top" wrapText="1"/>
    </xf>
    <xf numFmtId="0" fontId="1" fillId="35" borderId="0" applyAlignment="1" pivotButton="0" quotePrefix="0" xfId="0">
      <alignment horizontal="left" vertical="center" wrapText="1"/>
    </xf>
    <xf numFmtId="0" fontId="38" fillId="35" borderId="0" applyAlignment="1" pivotButton="0" quotePrefix="0" xfId="0">
      <alignment wrapText="1"/>
    </xf>
    <xf numFmtId="0" fontId="31" fillId="0" borderId="0" applyAlignment="1" pivotButton="0" quotePrefix="0" xfId="0">
      <alignment wrapText="1"/>
    </xf>
    <xf numFmtId="0" fontId="34" fillId="4" borderId="1" applyAlignment="1" pivotButton="0" quotePrefix="0" xfId="0">
      <alignment wrapText="1"/>
    </xf>
    <xf numFmtId="164" fontId="34" fillId="4" borderId="2" applyAlignment="1" pivotButton="0" quotePrefix="0" xfId="0">
      <alignment wrapText="1"/>
    </xf>
    <xf numFmtId="0" fontId="41" fillId="39" borderId="0" applyAlignment="1" pivotButton="0" quotePrefix="0" xfId="0">
      <alignment vertical="center" wrapText="1"/>
    </xf>
    <xf numFmtId="0" fontId="30" fillId="39" borderId="0" applyAlignment="1" pivotButton="0" quotePrefix="0" xfId="0">
      <alignment wrapText="1"/>
    </xf>
    <xf numFmtId="0" fontId="35" fillId="5" borderId="0" applyAlignment="1" pivotButton="0" quotePrefix="0" xfId="0">
      <alignment vertical="center" wrapText="1"/>
    </xf>
    <xf numFmtId="0" fontId="35" fillId="5" borderId="0" applyAlignment="1" pivotButton="0" quotePrefix="0" xfId="0">
      <alignment horizontal="left" vertical="center" wrapText="1"/>
    </xf>
    <xf numFmtId="164" fontId="0" fillId="0" borderId="11" pivotButton="0" quotePrefix="0" xfId="0"/>
    <xf numFmtId="9" fontId="0" fillId="0" borderId="11" pivotButton="0" quotePrefix="0" xfId="0"/>
    <xf numFmtId="1" fontId="26" fillId="4" borderId="23" applyAlignment="1" pivotButton="0" quotePrefix="0" xfId="0">
      <alignment horizontal="center" vertical="center" wrapText="1"/>
    </xf>
    <xf numFmtId="0" fontId="0" fillId="45" borderId="0" pivotButton="0" quotePrefix="0" xfId="0"/>
    <xf numFmtId="0" fontId="5" fillId="45" borderId="0" pivotButton="0" quotePrefix="0" xfId="0"/>
    <xf numFmtId="0" fontId="5" fillId="45" borderId="0" applyAlignment="1" pivotButton="0" quotePrefix="0" xfId="0">
      <alignment horizontal="center"/>
    </xf>
    <xf numFmtId="0" fontId="0" fillId="46" borderId="0" pivotButton="0" quotePrefix="0" xfId="0"/>
    <xf numFmtId="0" fontId="5" fillId="46" borderId="0" pivotButton="0" quotePrefix="0" xfId="0"/>
    <xf numFmtId="0" fontId="5" fillId="46" borderId="0" applyAlignment="1" pivotButton="0" quotePrefix="0" xfId="0">
      <alignment horizontal="center"/>
    </xf>
    <xf numFmtId="0" fontId="0" fillId="47" borderId="0" pivotButton="0" quotePrefix="0" xfId="0"/>
    <xf numFmtId="0" fontId="5" fillId="47" borderId="0" pivotButton="0" quotePrefix="0" xfId="0"/>
    <xf numFmtId="0" fontId="5" fillId="47" borderId="0" applyAlignment="1" pivotButton="0" quotePrefix="0" xfId="0">
      <alignment horizontal="center"/>
    </xf>
    <xf numFmtId="0" fontId="0" fillId="48" borderId="0" pivotButton="0" quotePrefix="0" xfId="0"/>
    <xf numFmtId="0" fontId="5" fillId="48" borderId="0" pivotButton="0" quotePrefix="0" xfId="0"/>
    <xf numFmtId="0" fontId="5" fillId="48" borderId="0" applyAlignment="1" pivotButton="0" quotePrefix="0" xfId="0">
      <alignment horizontal="center"/>
    </xf>
    <xf numFmtId="0" fontId="0" fillId="49" borderId="0" pivotButton="0" quotePrefix="0" xfId="0"/>
    <xf numFmtId="0" fontId="5" fillId="49" borderId="0" pivotButton="0" quotePrefix="0" xfId="0"/>
    <xf numFmtId="0" fontId="5" fillId="49" borderId="0" applyAlignment="1" pivotButton="0" quotePrefix="0" xfId="0">
      <alignment wrapText="1"/>
    </xf>
    <xf numFmtId="0" fontId="0" fillId="50" borderId="0" pivotButton="0" quotePrefix="0" xfId="0"/>
    <xf numFmtId="0" fontId="0" fillId="51" borderId="0" pivotButton="0" quotePrefix="0" xfId="0"/>
    <xf numFmtId="0" fontId="0" fillId="52" borderId="0" pivotButton="0" quotePrefix="0" xfId="0"/>
    <xf numFmtId="0" fontId="0" fillId="53" borderId="0" pivotButton="0" quotePrefix="0" xfId="0"/>
    <xf numFmtId="0" fontId="30" fillId="45" borderId="0" applyAlignment="1" pivotButton="0" quotePrefix="0" xfId="0">
      <alignment horizontal="center"/>
    </xf>
    <xf numFmtId="0" fontId="30" fillId="46" borderId="0" applyAlignment="1" pivotButton="0" quotePrefix="0" xfId="0">
      <alignment horizontal="center"/>
    </xf>
    <xf numFmtId="0" fontId="30" fillId="47" borderId="0" applyAlignment="1" pivotButton="0" quotePrefix="0" xfId="0">
      <alignment horizontal="center"/>
    </xf>
    <xf numFmtId="0" fontId="30" fillId="48" borderId="0" applyAlignment="1" pivotButton="0" quotePrefix="0" xfId="0">
      <alignment horizontal="center"/>
    </xf>
    <xf numFmtId="0" fontId="30" fillId="49" borderId="0" applyAlignment="1" pivotButton="0" quotePrefix="0" xfId="0">
      <alignment wrapText="1"/>
    </xf>
    <xf numFmtId="0" fontId="31" fillId="50" borderId="0" pivotButton="0" quotePrefix="0" xfId="0"/>
    <xf numFmtId="0" fontId="31" fillId="51" borderId="0" pivotButton="0" quotePrefix="0" xfId="0"/>
    <xf numFmtId="0" fontId="31" fillId="52" borderId="0" pivotButton="0" quotePrefix="0" xfId="0"/>
    <xf numFmtId="0" fontId="31" fillId="53" borderId="0" pivotButton="0" quotePrefix="0" xfId="0"/>
    <xf numFmtId="165" fontId="31" fillId="51" borderId="0" pivotButton="0" quotePrefix="0" xfId="0"/>
    <xf numFmtId="165" fontId="31" fillId="52" borderId="0" pivotButton="0" quotePrefix="0" xfId="0"/>
    <xf numFmtId="164" fontId="31" fillId="51" borderId="0" pivotButton="0" quotePrefix="0" xfId="0"/>
    <xf numFmtId="165" fontId="31" fillId="53" borderId="0" pivotButton="0" quotePrefix="0" xfId="0"/>
    <xf numFmtId="0" fontId="27" fillId="54" borderId="23" applyAlignment="1" pivotButton="0" quotePrefix="0" xfId="0">
      <alignment vertical="center" wrapText="1"/>
    </xf>
    <xf numFmtId="0" fontId="0" fillId="54" borderId="22" pivotButton="0" quotePrefix="0" xfId="0"/>
    <xf numFmtId="0" fontId="0" fillId="54" borderId="15" pivotButton="0" quotePrefix="0" xfId="0"/>
    <xf numFmtId="0" fontId="0" fillId="54" borderId="11" pivotButton="0" quotePrefix="0" xfId="0"/>
    <xf numFmtId="0" fontId="0" fillId="54" borderId="12" pivotButton="0" quotePrefix="0" xfId="0"/>
    <xf numFmtId="0" fontId="0" fillId="54" borderId="13" pivotButton="0" quotePrefix="0" xfId="0"/>
    <xf numFmtId="0" fontId="42" fillId="54" borderId="23" applyAlignment="1" pivotButton="0" quotePrefix="0" xfId="0">
      <alignment vertical="center" wrapText="1"/>
    </xf>
    <xf numFmtId="0" fontId="39" fillId="54" borderId="22" pivotButton="0" quotePrefix="0" xfId="0"/>
    <xf numFmtId="0" fontId="39" fillId="54" borderId="15" pivotButton="0" quotePrefix="0" xfId="0"/>
    <xf numFmtId="0" fontId="39" fillId="54" borderId="11" pivotButton="0" quotePrefix="0" xfId="0"/>
    <xf numFmtId="0" fontId="39" fillId="54" borderId="12" pivotButton="0" quotePrefix="0" xfId="0"/>
    <xf numFmtId="0" fontId="39" fillId="54" borderId="13" pivotButton="0" quotePrefix="0" xfId="0"/>
    <xf numFmtId="0" fontId="39" fillId="54" borderId="22" applyAlignment="1" pivotButton="0" quotePrefix="0" xfId="0">
      <alignment wrapText="1"/>
    </xf>
    <xf numFmtId="0" fontId="39" fillId="54" borderId="15" applyAlignment="1" pivotButton="0" quotePrefix="0" xfId="0">
      <alignment wrapText="1"/>
    </xf>
    <xf numFmtId="0" fontId="39" fillId="54" borderId="11" applyAlignment="1" pivotButton="0" quotePrefix="0" xfId="0">
      <alignment wrapText="1"/>
    </xf>
    <xf numFmtId="0" fontId="39" fillId="54" borderId="12" applyAlignment="1" pivotButton="0" quotePrefix="0" xfId="0">
      <alignment wrapText="1"/>
    </xf>
    <xf numFmtId="0" fontId="39" fillId="54" borderId="13" applyAlignment="1" pivotButton="0" quotePrefix="0" xfId="0">
      <alignment wrapText="1"/>
    </xf>
    <xf numFmtId="0" fontId="39" fillId="54" borderId="22" applyAlignment="1" pivotButton="0" quotePrefix="0" xfId="0">
      <alignment vertical="center" wrapText="1"/>
    </xf>
    <xf numFmtId="0" fontId="39" fillId="54" borderId="15" applyAlignment="1" pivotButton="0" quotePrefix="0" xfId="0">
      <alignment vertical="center" wrapText="1"/>
    </xf>
    <xf numFmtId="0" fontId="39" fillId="54" borderId="11" applyAlignment="1" pivotButton="0" quotePrefix="0" xfId="0">
      <alignment vertical="center" wrapText="1"/>
    </xf>
    <xf numFmtId="0" fontId="39" fillId="54" borderId="12" applyAlignment="1" pivotButton="0" quotePrefix="0" xfId="0">
      <alignment vertical="center" wrapText="1"/>
    </xf>
    <xf numFmtId="0" fontId="39" fillId="54" borderId="13" applyAlignment="1" pivotButton="0" quotePrefix="0" xfId="0">
      <alignment vertical="center" wrapText="1"/>
    </xf>
    <xf numFmtId="0" fontId="0" fillId="55" borderId="0" pivotButton="0" quotePrefix="0" xfId="0"/>
    <xf numFmtId="0" fontId="5" fillId="55" borderId="0" pivotButton="0" quotePrefix="0" xfId="0"/>
    <xf numFmtId="0" fontId="5" fillId="55" borderId="0" applyAlignment="1" pivotButton="0" quotePrefix="0" xfId="0">
      <alignment horizontal="center"/>
    </xf>
    <xf numFmtId="0" fontId="0" fillId="56" borderId="0" pivotButton="0" quotePrefix="0" xfId="0"/>
    <xf numFmtId="0" fontId="5" fillId="56" borderId="0" pivotButton="0" quotePrefix="0" xfId="0"/>
    <xf numFmtId="0" fontId="5" fillId="56" borderId="0" applyAlignment="1" pivotButton="0" quotePrefix="0" xfId="0">
      <alignment horizontal="center"/>
    </xf>
    <xf numFmtId="0" fontId="0" fillId="57" borderId="0" pivotButton="0" quotePrefix="0" xfId="0"/>
    <xf numFmtId="0" fontId="5" fillId="57" borderId="0" pivotButton="0" quotePrefix="0" xfId="0"/>
    <xf numFmtId="0" fontId="5" fillId="57" borderId="0" applyAlignment="1" pivotButton="0" quotePrefix="0" xfId="0">
      <alignment horizontal="center"/>
    </xf>
    <xf numFmtId="0" fontId="0" fillId="58" borderId="0" pivotButton="0" quotePrefix="0" xfId="0"/>
    <xf numFmtId="0" fontId="5" fillId="58" borderId="0" pivotButton="0" quotePrefix="0" xfId="0"/>
    <xf numFmtId="0" fontId="5" fillId="58" borderId="0" applyAlignment="1" pivotButton="0" quotePrefix="0" xfId="0">
      <alignment horizontal="center"/>
    </xf>
    <xf numFmtId="0" fontId="0" fillId="59" borderId="0" pivotButton="0" quotePrefix="0" xfId="0"/>
    <xf numFmtId="0" fontId="5" fillId="59" borderId="0" pivotButton="0" quotePrefix="0" xfId="0"/>
    <xf numFmtId="0" fontId="5" fillId="59" borderId="0" applyAlignment="1" pivotButton="0" quotePrefix="0" xfId="0">
      <alignment horizontal="center"/>
    </xf>
    <xf numFmtId="0" fontId="0" fillId="60" borderId="0" pivotButton="0" quotePrefix="0" xfId="0"/>
    <xf numFmtId="0" fontId="30" fillId="60" borderId="0" pivotButton="0" quotePrefix="0" xfId="0"/>
    <xf numFmtId="0" fontId="30" fillId="60" borderId="0" applyAlignment="1" pivotButton="0" quotePrefix="0" xfId="0">
      <alignment wrapText="1"/>
    </xf>
    <xf numFmtId="0" fontId="0" fillId="61" borderId="0" pivotButton="0" quotePrefix="0" xfId="0"/>
    <xf numFmtId="0" fontId="0" fillId="62" borderId="0" pivotButton="0" quotePrefix="0" xfId="0"/>
    <xf numFmtId="0" fontId="0" fillId="63" borderId="0" pivotButton="0" quotePrefix="0" xfId="0"/>
    <xf numFmtId="0" fontId="0" fillId="64" borderId="0" pivotButton="0" quotePrefix="0" xfId="0"/>
    <xf numFmtId="0" fontId="0" fillId="54" borderId="0" pivotButton="0" quotePrefix="0" xfId="0"/>
    <xf numFmtId="0" fontId="30" fillId="55" borderId="0" applyAlignment="1" pivotButton="0" quotePrefix="0" xfId="0">
      <alignment horizontal="center"/>
    </xf>
    <xf numFmtId="0" fontId="30" fillId="56" borderId="0" applyAlignment="1" pivotButton="0" quotePrefix="0" xfId="0">
      <alignment horizontal="center"/>
    </xf>
    <xf numFmtId="0" fontId="30" fillId="57" borderId="0" applyAlignment="1" pivotButton="0" quotePrefix="0" xfId="0">
      <alignment horizontal="center"/>
    </xf>
    <xf numFmtId="0" fontId="30" fillId="58" borderId="0" applyAlignment="1" pivotButton="0" quotePrefix="0" xfId="0">
      <alignment horizontal="center"/>
    </xf>
    <xf numFmtId="0" fontId="30" fillId="59" borderId="0" applyAlignment="1" pivotButton="0" quotePrefix="0" xfId="0">
      <alignment horizontal="center"/>
    </xf>
    <xf numFmtId="0" fontId="31" fillId="61" borderId="0" pivotButton="0" quotePrefix="0" xfId="0"/>
    <xf numFmtId="0" fontId="31" fillId="62" borderId="0" pivotButton="0" quotePrefix="0" xfId="0"/>
    <xf numFmtId="0" fontId="31" fillId="63" borderId="0" pivotButton="0" quotePrefix="0" xfId="0"/>
    <xf numFmtId="0" fontId="31" fillId="64" borderId="0" pivotButton="0" quotePrefix="0" xfId="0"/>
    <xf numFmtId="0" fontId="31" fillId="54" borderId="0" pivotButton="0" quotePrefix="0" xfId="0"/>
    <xf numFmtId="165" fontId="31" fillId="62" borderId="0" pivotButton="0" quotePrefix="0" xfId="0"/>
    <xf numFmtId="165" fontId="31" fillId="54" borderId="0" pivotButton="0" quotePrefix="0" xfId="0"/>
    <xf numFmtId="164" fontId="31" fillId="54" borderId="0" pivotButton="0" quotePrefix="0" xfId="0"/>
    <xf numFmtId="0" fontId="30" fillId="60" borderId="6" applyAlignment="1" pivotButton="0" quotePrefix="0" xfId="0">
      <alignment horizontal="left" vertical="center" wrapText="1"/>
    </xf>
    <xf numFmtId="0" fontId="30" fillId="60" borderId="7" applyAlignment="1" pivotButton="0" quotePrefix="0" xfId="0">
      <alignment horizontal="left" vertical="center" wrapText="1"/>
    </xf>
    <xf numFmtId="0" fontId="30" fillId="60" borderId="8" applyAlignment="1" pivotButton="0" quotePrefix="0" xfId="0">
      <alignment horizontal="left" vertical="center" wrapText="1"/>
    </xf>
    <xf numFmtId="0" fontId="36" fillId="65" borderId="23" applyAlignment="1" pivotButton="0" quotePrefix="0" xfId="0">
      <alignment vertical="top" wrapText="1"/>
    </xf>
    <xf numFmtId="0" fontId="43" fillId="65" borderId="23" applyAlignment="1" pivotButton="0" quotePrefix="0" xfId="0">
      <alignment vertical="top" wrapText="1"/>
    </xf>
    <xf numFmtId="0" fontId="43" fillId="65" borderId="36" applyAlignment="1" pivotButton="0" quotePrefix="0" xfId="0">
      <alignment vertical="top" wrapText="1"/>
    </xf>
    <xf numFmtId="0" fontId="36" fillId="66" borderId="23" applyAlignment="1" pivotButton="0" quotePrefix="0" xfId="0">
      <alignment vertical="top" wrapText="1"/>
    </xf>
    <xf numFmtId="0" fontId="43" fillId="66" borderId="23" applyAlignment="1" pivotButton="0" quotePrefix="0" xfId="0">
      <alignment vertical="top" wrapText="1"/>
    </xf>
    <xf numFmtId="0" fontId="43" fillId="66" borderId="36" applyAlignment="1" pivotButton="0" quotePrefix="0" xfId="0">
      <alignment vertical="top" wrapText="1"/>
    </xf>
    <xf numFmtId="0" fontId="0" fillId="65" borderId="0" pivotButton="0" quotePrefix="0" xfId="0"/>
    <xf numFmtId="0" fontId="44" fillId="65" borderId="0" pivotButton="0" quotePrefix="0" xfId="0"/>
    <xf numFmtId="0" fontId="44" fillId="65" borderId="33" pivotButton="0" quotePrefix="0" xfId="0"/>
    <xf numFmtId="0" fontId="44" fillId="65" borderId="34" pivotButton="0" quotePrefix="0" xfId="0"/>
    <xf numFmtId="0" fontId="44" fillId="65" borderId="35" pivotButton="0" quotePrefix="0" xfId="0"/>
    <xf numFmtId="0" fontId="44" fillId="65" borderId="33" applyAlignment="1" pivotButton="0" quotePrefix="0" xfId="0">
      <alignment wrapText="1"/>
    </xf>
    <xf numFmtId="0" fontId="44" fillId="65" borderId="34" applyAlignment="1" pivotButton="0" quotePrefix="0" xfId="0">
      <alignment wrapText="1"/>
    </xf>
    <xf numFmtId="0" fontId="44" fillId="65" borderId="35" applyAlignment="1" pivotButton="0" quotePrefix="0" xfId="0">
      <alignment wrapText="1"/>
    </xf>
    <xf numFmtId="0" fontId="44" fillId="65" borderId="33" applyAlignment="1" pivotButton="0" quotePrefix="0" xfId="0">
      <alignment vertical="top" wrapText="1"/>
    </xf>
    <xf numFmtId="0" fontId="44" fillId="65" borderId="34" applyAlignment="1" pivotButton="0" quotePrefix="0" xfId="0">
      <alignment vertical="top" wrapText="1"/>
    </xf>
    <xf numFmtId="0" fontId="44" fillId="65" borderId="35" applyAlignment="1" pivotButton="0" quotePrefix="0" xfId="0">
      <alignment vertical="top" wrapText="1"/>
    </xf>
    <xf numFmtId="0" fontId="44" fillId="57" borderId="33" applyAlignment="1" pivotButton="0" quotePrefix="0" xfId="0">
      <alignment vertical="top" wrapText="1"/>
    </xf>
    <xf numFmtId="0" fontId="30" fillId="57" borderId="33" applyAlignment="1" pivotButton="0" quotePrefix="0" xfId="0">
      <alignment vertical="top" wrapText="1"/>
    </xf>
    <xf numFmtId="0" fontId="30" fillId="57" borderId="33" applyAlignment="1" pivotButton="0" quotePrefix="0" xfId="0">
      <alignment vertical="center" wrapText="1"/>
    </xf>
    <xf numFmtId="0" fontId="44" fillId="57" borderId="34" applyAlignment="1" pivotButton="0" quotePrefix="0" xfId="0">
      <alignment vertical="top" wrapText="1"/>
    </xf>
    <xf numFmtId="0" fontId="30" fillId="57" borderId="34" applyAlignment="1" pivotButton="0" quotePrefix="0" xfId="0">
      <alignment vertical="top" wrapText="1"/>
    </xf>
    <xf numFmtId="0" fontId="30" fillId="57" borderId="34" applyAlignment="1" pivotButton="0" quotePrefix="0" xfId="0">
      <alignment vertical="center" wrapText="1"/>
    </xf>
    <xf numFmtId="0" fontId="44" fillId="60" borderId="34" applyAlignment="1" pivotButton="0" quotePrefix="0" xfId="0">
      <alignment vertical="top" wrapText="1"/>
    </xf>
    <xf numFmtId="0" fontId="30" fillId="60" borderId="34" applyAlignment="1" pivotButton="0" quotePrefix="0" xfId="0">
      <alignment vertical="top" wrapText="1"/>
    </xf>
    <xf numFmtId="0" fontId="30" fillId="60" borderId="34" applyAlignment="1" pivotButton="0" quotePrefix="0" xfId="0">
      <alignment vertical="center" wrapText="1"/>
    </xf>
    <xf numFmtId="0" fontId="44" fillId="66" borderId="34" applyAlignment="1" pivotButton="0" quotePrefix="0" xfId="0">
      <alignment vertical="top" wrapText="1"/>
    </xf>
    <xf numFmtId="0" fontId="0" fillId="67" borderId="0" pivotButton="0" quotePrefix="0" xfId="0"/>
    <xf numFmtId="0" fontId="19" fillId="67" borderId="0" pivotButton="0" quotePrefix="0" xfId="0"/>
    <xf numFmtId="0" fontId="19" fillId="67" borderId="0" applyAlignment="1" pivotButton="0" quotePrefix="0" xfId="0">
      <alignment horizontal="left"/>
    </xf>
    <xf numFmtId="0" fontId="19" fillId="67" borderId="0" applyAlignment="1" pivotButton="0" quotePrefix="0" xfId="0">
      <alignment horizontal="left" vertical="center"/>
    </xf>
    <xf numFmtId="0" fontId="0" fillId="68" borderId="0" pivotButton="0" quotePrefix="0" xfId="0"/>
    <xf numFmtId="0" fontId="22" fillId="68" borderId="0" pivotButton="0" quotePrefix="0" xfId="0"/>
    <xf numFmtId="0" fontId="0" fillId="69" borderId="0" pivotButton="0" quotePrefix="0" xfId="0"/>
    <xf numFmtId="0" fontId="22" fillId="69" borderId="0" pivotButton="0" quotePrefix="0" xfId="0"/>
    <xf numFmtId="0" fontId="0" fillId="70" borderId="0" pivotButton="0" quotePrefix="0" xfId="0"/>
    <xf numFmtId="0" fontId="22" fillId="70" borderId="0" pivotButton="0" quotePrefix="0" xfId="0"/>
    <xf numFmtId="0" fontId="22" fillId="68" borderId="0" applyAlignment="1" pivotButton="0" quotePrefix="0" xfId="0">
      <alignment wrapText="1"/>
    </xf>
    <xf numFmtId="0" fontId="22" fillId="68" borderId="0" applyAlignment="1" pivotButton="0" quotePrefix="0" xfId="0">
      <alignment vertical="center" wrapText="1"/>
    </xf>
    <xf numFmtId="0" fontId="0" fillId="71" borderId="0" pivotButton="0" quotePrefix="0" xfId="0"/>
    <xf numFmtId="0" fontId="45" fillId="71" borderId="0" pivotButton="0" quotePrefix="0" xfId="0"/>
    <xf numFmtId="0" fontId="45" fillId="71" borderId="0" applyAlignment="1" pivotButton="0" quotePrefix="0" xfId="0">
      <alignment wrapText="1"/>
    </xf>
    <xf numFmtId="0" fontId="0" fillId="72" borderId="0" pivotButton="0" quotePrefix="0" xfId="0"/>
    <xf numFmtId="0" fontId="46" fillId="72" borderId="0" pivotButton="0" quotePrefix="0" xfId="0"/>
    <xf numFmtId="0" fontId="46" fillId="72" borderId="0" applyAlignment="1" pivotButton="0" quotePrefix="0" xfId="0">
      <alignment wrapText="1"/>
    </xf>
    <xf numFmtId="0" fontId="47" fillId="0" borderId="0" pivotButton="0" quotePrefix="0" xfId="0"/>
    <xf numFmtId="0" fontId="47" fillId="0" borderId="37" pivotButton="0" quotePrefix="0" xfId="0"/>
    <xf numFmtId="0" fontId="47" fillId="0" borderId="37" applyAlignment="1" pivotButton="0" quotePrefix="0" xfId="0">
      <alignment wrapText="1"/>
    </xf>
    <xf numFmtId="0" fontId="47" fillId="0" borderId="37" applyAlignment="1" pivotButton="0" quotePrefix="0" xfId="0">
      <alignment vertical="top" wrapText="1"/>
    </xf>
    <xf numFmtId="0" fontId="48" fillId="0" borderId="37" applyAlignment="1" pivotButton="0" quotePrefix="0" xfId="0">
      <alignment vertical="top" wrapText="1"/>
    </xf>
    <xf numFmtId="0" fontId="47" fillId="73" borderId="37" applyAlignment="1" pivotButton="0" quotePrefix="0" xfId="0">
      <alignment vertical="top" wrapText="1"/>
    </xf>
    <xf numFmtId="0" fontId="47" fillId="72" borderId="37" applyAlignment="1" pivotButton="0" quotePrefix="0" xfId="0">
      <alignment vertical="top" wrapText="1"/>
    </xf>
    <xf numFmtId="0" fontId="49" fillId="67" borderId="0" pivotButton="0" quotePrefix="0" xfId="0"/>
    <xf numFmtId="0" fontId="49" fillId="67" borderId="0" applyAlignment="1" pivotButton="0" quotePrefix="0" xfId="0">
      <alignment vertical="center"/>
    </xf>
    <xf numFmtId="0" fontId="0" fillId="74" borderId="0" pivotButton="0" quotePrefix="0" xfId="0"/>
    <xf numFmtId="0" fontId="50" fillId="74" borderId="0" pivotButton="0" quotePrefix="0" xfId="0"/>
    <xf numFmtId="0" fontId="50" fillId="74" borderId="0" applyAlignment="1" pivotButton="0" quotePrefix="0" xfId="0">
      <alignment vertical="center"/>
    </xf>
    <xf numFmtId="0" fontId="47" fillId="0" borderId="0" applyAlignment="1" pivotButton="0" quotePrefix="0" xfId="0">
      <alignment wrapText="1"/>
    </xf>
    <xf numFmtId="0" fontId="47" fillId="0" borderId="0" applyAlignment="1" pivotButton="0" quotePrefix="0" xfId="0">
      <alignment vertical="top" wrapText="1"/>
    </xf>
    <xf numFmtId="0" fontId="47" fillId="68" borderId="37" applyAlignment="1" pivotButton="0" quotePrefix="0" xfId="0">
      <alignment vertical="top" wrapText="1"/>
    </xf>
    <xf numFmtId="0" fontId="5" fillId="68" borderId="37" applyAlignment="1" pivotButton="0" quotePrefix="0" xfId="0">
      <alignment vertical="top" wrapText="1"/>
    </xf>
    <xf numFmtId="0" fontId="51" fillId="68" borderId="0" pivotButton="0" quotePrefix="0" xfId="0"/>
    <xf numFmtId="0" fontId="51" fillId="68" borderId="0" applyAlignment="1" pivotButton="0" quotePrefix="0" xfId="0">
      <alignment horizontal="center"/>
    </xf>
    <xf numFmtId="0" fontId="52" fillId="71" borderId="0" pivotButton="0" quotePrefix="0" xfId="0"/>
    <xf numFmtId="0" fontId="52" fillId="71" borderId="38" pivotButton="0" quotePrefix="0" xfId="0"/>
    <xf numFmtId="0" fontId="52" fillId="71" borderId="39" pivotButton="0" quotePrefix="0" xfId="0"/>
    <xf numFmtId="0" fontId="52" fillId="71" borderId="40" pivotButton="0" quotePrefix="0" xfId="0"/>
    <xf numFmtId="0" fontId="52" fillId="71" borderId="41" pivotButton="0" quotePrefix="0" xfId="0"/>
    <xf numFmtId="0" fontId="52" fillId="71" borderId="38" applyAlignment="1" pivotButton="0" quotePrefix="0" xfId="0">
      <alignment horizontal="center"/>
    </xf>
    <xf numFmtId="0" fontId="52" fillId="71" borderId="39" applyAlignment="1" pivotButton="0" quotePrefix="0" xfId="0">
      <alignment horizontal="center"/>
    </xf>
    <xf numFmtId="0" fontId="52" fillId="71" borderId="40" applyAlignment="1" pivotButton="0" quotePrefix="0" xfId="0">
      <alignment horizontal="center"/>
    </xf>
    <xf numFmtId="0" fontId="52" fillId="71" borderId="41" applyAlignment="1" pivotButton="0" quotePrefix="0" xfId="0">
      <alignment horizontal="center"/>
    </xf>
    <xf numFmtId="0" fontId="52" fillId="71" borderId="38" applyAlignment="1" pivotButton="0" quotePrefix="0" xfId="0">
      <alignment horizontal="center" vertical="center"/>
    </xf>
    <xf numFmtId="0" fontId="52" fillId="71" borderId="39" applyAlignment="1" pivotButton="0" quotePrefix="0" xfId="0">
      <alignment horizontal="center" vertical="center"/>
    </xf>
    <xf numFmtId="0" fontId="52" fillId="71" borderId="40" applyAlignment="1" pivotButton="0" quotePrefix="0" xfId="0">
      <alignment horizontal="center" vertical="center"/>
    </xf>
    <xf numFmtId="0" fontId="52" fillId="71" borderId="41" applyAlignment="1" pivotButton="0" quotePrefix="0" xfId="0">
      <alignment horizontal="center" vertical="center"/>
    </xf>
    <xf numFmtId="165" fontId="52" fillId="71" borderId="38" applyAlignment="1" pivotButton="0" quotePrefix="0" xfId="0">
      <alignment horizontal="center" vertical="center"/>
    </xf>
    <xf numFmtId="0" fontId="53" fillId="71" borderId="38" applyAlignment="1" pivotButton="0" quotePrefix="0" xfId="0">
      <alignment horizontal="center" vertical="center"/>
    </xf>
    <xf numFmtId="0" fontId="5" fillId="67" borderId="0" pivotButton="0" quotePrefix="0" xfId="0"/>
    <xf numFmtId="0" fontId="54" fillId="71" borderId="0" pivotButton="0" quotePrefix="0" xfId="0"/>
    <xf numFmtId="0" fontId="54" fillId="71" borderId="42" pivotButton="0" quotePrefix="0" xfId="0"/>
    <xf numFmtId="0" fontId="54" fillId="71" borderId="42" applyAlignment="1" pivotButton="0" quotePrefix="0" xfId="0">
      <alignment horizontal="center"/>
    </xf>
    <xf numFmtId="0" fontId="54" fillId="71" borderId="42" applyAlignment="1" pivotButton="0" quotePrefix="0" xfId="0">
      <alignment horizontal="center" vertical="center"/>
    </xf>
    <xf numFmtId="164" fontId="54" fillId="71" borderId="42" applyAlignment="1" pivotButton="0" quotePrefix="0" xfId="0">
      <alignment horizontal="center" vertical="center"/>
    </xf>
    <xf numFmtId="166" fontId="54" fillId="71" borderId="42" applyAlignment="1" pivotButton="0" quotePrefix="0" xfId="0">
      <alignment horizontal="center" vertical="center"/>
    </xf>
    <xf numFmtId="0" fontId="0" fillId="73" borderId="0" pivotButton="0" quotePrefix="0" xfId="0"/>
    <xf numFmtId="0" fontId="55" fillId="73" borderId="0" pivotButton="0" quotePrefix="0" xfId="0"/>
    <xf numFmtId="0" fontId="55" fillId="73" borderId="0" applyAlignment="1" pivotButton="0" quotePrefix="0" xfId="0">
      <alignment wrapText="1"/>
    </xf>
    <xf numFmtId="0" fontId="51" fillId="68" borderId="0" applyAlignment="1" pivotButton="0" quotePrefix="0" xfId="0">
      <alignment wrapText="1"/>
    </xf>
    <xf numFmtId="0" fontId="56" fillId="0" borderId="0" pivotButton="0" quotePrefix="0" xfId="0"/>
    <xf numFmtId="0" fontId="56" fillId="0" borderId="37" pivotButton="0" quotePrefix="0" xfId="0"/>
    <xf numFmtId="0" fontId="56" fillId="0" borderId="37" applyAlignment="1" pivotButton="0" quotePrefix="0" xfId="0">
      <alignment wrapText="1"/>
    </xf>
    <xf numFmtId="0" fontId="56" fillId="0" borderId="37" applyAlignment="1" pivotButton="0" quotePrefix="0" xfId="0">
      <alignment vertical="top" wrapText="1"/>
    </xf>
    <xf numFmtId="0" fontId="57" fillId="0" borderId="0" pivotButton="0" quotePrefix="0" xfId="0"/>
    <xf numFmtId="0" fontId="57" fillId="0" borderId="42" pivotButton="0" quotePrefix="0" xfId="0"/>
    <xf numFmtId="0" fontId="57" fillId="68" borderId="42" pivotButton="0" quotePrefix="0" xfId="0"/>
    <xf numFmtId="0" fontId="51" fillId="68" borderId="42" pivotButton="0" quotePrefix="0" xfId="0"/>
    <xf numFmtId="0" fontId="30" fillId="75" borderId="33" applyAlignment="1" pivotButton="0" quotePrefix="0" xfId="0">
      <alignment horizontal="center"/>
    </xf>
    <xf numFmtId="0" fontId="58" fillId="75" borderId="33" applyAlignment="1" pivotButton="0" quotePrefix="0" xfId="0">
      <alignment horizontal="center"/>
    </xf>
    <xf numFmtId="0" fontId="30" fillId="68" borderId="33" applyAlignment="1" pivotButton="0" quotePrefix="0" xfId="0">
      <alignment horizontal="center"/>
    </xf>
    <xf numFmtId="0" fontId="58" fillId="68" borderId="33" applyAlignment="1" pivotButton="0" quotePrefix="0" xfId="0">
      <alignment horizontal="center"/>
    </xf>
    <xf numFmtId="0" fontId="0" fillId="76" borderId="0" pivotButton="0" quotePrefix="0" xfId="0"/>
    <xf numFmtId="0" fontId="19" fillId="76" borderId="0" pivotButton="0" quotePrefix="0" xfId="0"/>
    <xf numFmtId="0" fontId="19" fillId="76" borderId="0" applyAlignment="1" pivotButton="0" quotePrefix="0" xfId="0">
      <alignment horizontal="left"/>
    </xf>
    <xf numFmtId="0" fontId="19" fillId="76" borderId="0" applyAlignment="1" pivotButton="0" quotePrefix="0" xfId="0">
      <alignment horizontal="left" vertical="center"/>
    </xf>
    <xf numFmtId="0" fontId="0" fillId="77" borderId="0" pivotButton="0" quotePrefix="0" xfId="0"/>
    <xf numFmtId="0" fontId="22" fillId="77" borderId="0" pivotButton="0" quotePrefix="0" xfId="0"/>
    <xf numFmtId="0" fontId="0" fillId="78" borderId="0" pivotButton="0" quotePrefix="0" xfId="0"/>
    <xf numFmtId="0" fontId="22" fillId="78" borderId="0" pivotButton="0" quotePrefix="0" xfId="0"/>
    <xf numFmtId="0" fontId="0" fillId="79" borderId="0" pivotButton="0" quotePrefix="0" xfId="0"/>
    <xf numFmtId="0" fontId="22" fillId="79" borderId="0" pivotButton="0" quotePrefix="0" xfId="0"/>
    <xf numFmtId="0" fontId="22" fillId="77" borderId="0" applyAlignment="1" pivotButton="0" quotePrefix="0" xfId="0">
      <alignment wrapText="1"/>
    </xf>
    <xf numFmtId="0" fontId="22" fillId="77" borderId="0" applyAlignment="1" pivotButton="0" quotePrefix="0" xfId="0">
      <alignment vertical="center" wrapText="1"/>
    </xf>
    <xf numFmtId="0" fontId="0" fillId="80" borderId="0" pivotButton="0" quotePrefix="0" xfId="0"/>
    <xf numFmtId="0" fontId="45" fillId="80" borderId="0" pivotButton="0" quotePrefix="0" xfId="0"/>
    <xf numFmtId="0" fontId="45" fillId="80" borderId="0" applyAlignment="1" pivotButton="0" quotePrefix="0" xfId="0">
      <alignment wrapText="1"/>
    </xf>
    <xf numFmtId="0" fontId="0" fillId="81" borderId="0" pivotButton="0" quotePrefix="0" xfId="0"/>
    <xf numFmtId="0" fontId="46" fillId="81" borderId="0" pivotButton="0" quotePrefix="0" xfId="0"/>
    <xf numFmtId="0" fontId="46" fillId="81" borderId="0" applyAlignment="1" pivotButton="0" quotePrefix="0" xfId="0">
      <alignment wrapText="1"/>
    </xf>
    <xf numFmtId="0" fontId="47" fillId="82" borderId="37" applyAlignment="1" pivotButton="0" quotePrefix="0" xfId="0">
      <alignment vertical="top" wrapText="1"/>
    </xf>
    <xf numFmtId="0" fontId="47" fillId="81" borderId="37" applyAlignment="1" pivotButton="0" quotePrefix="0" xfId="0">
      <alignment vertical="top" wrapText="1"/>
    </xf>
    <xf numFmtId="0" fontId="49" fillId="76" borderId="0" pivotButton="0" quotePrefix="0" xfId="0"/>
    <xf numFmtId="0" fontId="49" fillId="76" borderId="0" applyAlignment="1" pivotButton="0" quotePrefix="0" xfId="0">
      <alignment vertical="center"/>
    </xf>
    <xf numFmtId="0" fontId="0" fillId="83" borderId="0" pivotButton="0" quotePrefix="0" xfId="0"/>
    <xf numFmtId="0" fontId="50" fillId="83" borderId="0" pivotButton="0" quotePrefix="0" xfId="0"/>
    <xf numFmtId="0" fontId="50" fillId="83" borderId="0" applyAlignment="1" pivotButton="0" quotePrefix="0" xfId="0">
      <alignment vertical="center"/>
    </xf>
    <xf numFmtId="0" fontId="47" fillId="77" borderId="37" applyAlignment="1" pivotButton="0" quotePrefix="0" xfId="0">
      <alignment vertical="top" wrapText="1"/>
    </xf>
    <xf numFmtId="0" fontId="5" fillId="77" borderId="37" applyAlignment="1" pivotButton="0" quotePrefix="0" xfId="0">
      <alignment vertical="top" wrapText="1"/>
    </xf>
    <xf numFmtId="0" fontId="51" fillId="77" borderId="0" pivotButton="0" quotePrefix="0" xfId="0"/>
    <xf numFmtId="0" fontId="51" fillId="77" borderId="0" applyAlignment="1" pivotButton="0" quotePrefix="0" xfId="0">
      <alignment horizontal="center"/>
    </xf>
    <xf numFmtId="0" fontId="52" fillId="80" borderId="0" pivotButton="0" quotePrefix="0" xfId="0"/>
    <xf numFmtId="0" fontId="52" fillId="80" borderId="38" pivotButton="0" quotePrefix="0" xfId="0"/>
    <xf numFmtId="0" fontId="52" fillId="80" borderId="39" pivotButton="0" quotePrefix="0" xfId="0"/>
    <xf numFmtId="0" fontId="52" fillId="80" borderId="40" pivotButton="0" quotePrefix="0" xfId="0"/>
    <xf numFmtId="0" fontId="52" fillId="80" borderId="41" pivotButton="0" quotePrefix="0" xfId="0"/>
    <xf numFmtId="0" fontId="52" fillId="80" borderId="38" applyAlignment="1" pivotButton="0" quotePrefix="0" xfId="0">
      <alignment horizontal="center"/>
    </xf>
    <xf numFmtId="0" fontId="52" fillId="80" borderId="39" applyAlignment="1" pivotButton="0" quotePrefix="0" xfId="0">
      <alignment horizontal="center"/>
    </xf>
    <xf numFmtId="0" fontId="52" fillId="80" borderId="40" applyAlignment="1" pivotButton="0" quotePrefix="0" xfId="0">
      <alignment horizontal="center"/>
    </xf>
    <xf numFmtId="0" fontId="52" fillId="80" borderId="41" applyAlignment="1" pivotButton="0" quotePrefix="0" xfId="0">
      <alignment horizontal="center"/>
    </xf>
    <xf numFmtId="0" fontId="52" fillId="80" borderId="38" applyAlignment="1" pivotButton="0" quotePrefix="0" xfId="0">
      <alignment horizontal="center" vertical="center"/>
    </xf>
    <xf numFmtId="0" fontId="52" fillId="80" borderId="39" applyAlignment="1" pivotButton="0" quotePrefix="0" xfId="0">
      <alignment horizontal="center" vertical="center"/>
    </xf>
    <xf numFmtId="0" fontId="52" fillId="80" borderId="40" applyAlignment="1" pivotButton="0" quotePrefix="0" xfId="0">
      <alignment horizontal="center" vertical="center"/>
    </xf>
    <xf numFmtId="0" fontId="52" fillId="80" borderId="41" applyAlignment="1" pivotButton="0" quotePrefix="0" xfId="0">
      <alignment horizontal="center" vertical="center"/>
    </xf>
    <xf numFmtId="165" fontId="52" fillId="80" borderId="38" applyAlignment="1" pivotButton="0" quotePrefix="0" xfId="0">
      <alignment horizontal="center" vertical="center"/>
    </xf>
    <xf numFmtId="0" fontId="53" fillId="80" borderId="38" applyAlignment="1" pivotButton="0" quotePrefix="0" xfId="0">
      <alignment horizontal="center" vertical="center"/>
    </xf>
    <xf numFmtId="0" fontId="5" fillId="76" borderId="0" pivotButton="0" quotePrefix="0" xfId="0"/>
    <xf numFmtId="0" fontId="54" fillId="80" borderId="0" pivotButton="0" quotePrefix="0" xfId="0"/>
    <xf numFmtId="0" fontId="54" fillId="80" borderId="42" pivotButton="0" quotePrefix="0" xfId="0"/>
    <xf numFmtId="0" fontId="54" fillId="80" borderId="42" applyAlignment="1" pivotButton="0" quotePrefix="0" xfId="0">
      <alignment horizontal="center"/>
    </xf>
    <xf numFmtId="0" fontId="54" fillId="80" borderId="42" applyAlignment="1" pivotButton="0" quotePrefix="0" xfId="0">
      <alignment horizontal="center" vertical="center"/>
    </xf>
    <xf numFmtId="164" fontId="54" fillId="80" borderId="42" applyAlignment="1" pivotButton="0" quotePrefix="0" xfId="0">
      <alignment horizontal="center" vertical="center"/>
    </xf>
    <xf numFmtId="166" fontId="54" fillId="80" borderId="42" applyAlignment="1" pivotButton="0" quotePrefix="0" xfId="0">
      <alignment horizontal="center" vertical="center"/>
    </xf>
    <xf numFmtId="0" fontId="0" fillId="82" borderId="0" pivotButton="0" quotePrefix="0" xfId="0"/>
    <xf numFmtId="0" fontId="55" fillId="82" borderId="0" pivotButton="0" quotePrefix="0" xfId="0"/>
    <xf numFmtId="0" fontId="55" fillId="82" borderId="0" applyAlignment="1" pivotButton="0" quotePrefix="0" xfId="0">
      <alignment wrapText="1"/>
    </xf>
    <xf numFmtId="0" fontId="51" fillId="77" borderId="0" applyAlignment="1" pivotButton="0" quotePrefix="0" xfId="0">
      <alignment wrapText="1"/>
    </xf>
    <xf numFmtId="0" fontId="57" fillId="77" borderId="42" pivotButton="0" quotePrefix="0" xfId="0"/>
    <xf numFmtId="0" fontId="51" fillId="77" borderId="42" pivotButton="0" quotePrefix="0" xfId="0"/>
    <xf numFmtId="0" fontId="58" fillId="84" borderId="33" applyAlignment="1" pivotButton="0" quotePrefix="0" xfId="0">
      <alignment horizontal="center"/>
    </xf>
    <xf numFmtId="0" fontId="58" fillId="77" borderId="33" applyAlignment="1" pivotButton="0" quotePrefix="0" xfId="0">
      <alignment horizontal="center"/>
    </xf>
    <xf numFmtId="0" fontId="0" fillId="85" borderId="0" pivotButton="0" quotePrefix="0" xfId="0"/>
    <xf numFmtId="0" fontId="19" fillId="85" borderId="0" pivotButton="0" quotePrefix="0" xfId="0"/>
    <xf numFmtId="0" fontId="19" fillId="85" borderId="0" applyAlignment="1" pivotButton="0" quotePrefix="0" xfId="0">
      <alignment horizontal="left"/>
    </xf>
    <xf numFmtId="0" fontId="19" fillId="85" borderId="0" applyAlignment="1" pivotButton="0" quotePrefix="0" xfId="0">
      <alignment horizontal="left" vertical="center"/>
    </xf>
    <xf numFmtId="0" fontId="0" fillId="86" borderId="0" pivotButton="0" quotePrefix="0" xfId="0"/>
    <xf numFmtId="0" fontId="22" fillId="86" borderId="0" pivotButton="0" quotePrefix="0" xfId="0"/>
    <xf numFmtId="0" fontId="0" fillId="87" borderId="0" pivotButton="0" quotePrefix="0" xfId="0"/>
    <xf numFmtId="0" fontId="22" fillId="87" borderId="0" pivotButton="0" quotePrefix="0" xfId="0"/>
    <xf numFmtId="0" fontId="0" fillId="88" borderId="0" pivotButton="0" quotePrefix="0" xfId="0"/>
    <xf numFmtId="0" fontId="22" fillId="88" borderId="0" pivotButton="0" quotePrefix="0" xfId="0"/>
    <xf numFmtId="0" fontId="22" fillId="86" borderId="0" applyAlignment="1" pivotButton="0" quotePrefix="0" xfId="0">
      <alignment wrapText="1"/>
    </xf>
    <xf numFmtId="0" fontId="22" fillId="86" borderId="0" applyAlignment="1" pivotButton="0" quotePrefix="0" xfId="0">
      <alignment vertical="center" wrapText="1"/>
    </xf>
    <xf numFmtId="0" fontId="0" fillId="89" borderId="0" pivotButton="0" quotePrefix="0" xfId="0"/>
    <xf numFmtId="0" fontId="45" fillId="89" borderId="0" pivotButton="0" quotePrefix="0" xfId="0"/>
    <xf numFmtId="0" fontId="45" fillId="89" borderId="0" applyAlignment="1" pivotButton="0" quotePrefix="0" xfId="0">
      <alignment wrapText="1"/>
    </xf>
    <xf numFmtId="0" fontId="0" fillId="90" borderId="0" pivotButton="0" quotePrefix="0" xfId="0"/>
    <xf numFmtId="0" fontId="46" fillId="90" borderId="0" pivotButton="0" quotePrefix="0" xfId="0"/>
    <xf numFmtId="0" fontId="46" fillId="90" borderId="0" applyAlignment="1" pivotButton="0" quotePrefix="0" xfId="0">
      <alignment wrapText="1"/>
    </xf>
    <xf numFmtId="0" fontId="47" fillId="91" borderId="37" applyAlignment="1" pivotButton="0" quotePrefix="0" xfId="0">
      <alignment vertical="top" wrapText="1"/>
    </xf>
    <xf numFmtId="0" fontId="47" fillId="90" borderId="37" applyAlignment="1" pivotButton="0" quotePrefix="0" xfId="0">
      <alignment vertical="top" wrapText="1"/>
    </xf>
    <xf numFmtId="0" fontId="49" fillId="85" borderId="0" pivotButton="0" quotePrefix="0" xfId="0"/>
    <xf numFmtId="0" fontId="49" fillId="85" borderId="0" applyAlignment="1" pivotButton="0" quotePrefix="0" xfId="0">
      <alignment vertical="center"/>
    </xf>
    <xf numFmtId="0" fontId="0" fillId="92" borderId="0" pivotButton="0" quotePrefix="0" xfId="0"/>
    <xf numFmtId="0" fontId="50" fillId="92" borderId="0" pivotButton="0" quotePrefix="0" xfId="0"/>
    <xf numFmtId="0" fontId="50" fillId="92" borderId="0" applyAlignment="1" pivotButton="0" quotePrefix="0" xfId="0">
      <alignment vertical="center"/>
    </xf>
    <xf numFmtId="0" fontId="47" fillId="86" borderId="37" applyAlignment="1" pivotButton="0" quotePrefix="0" xfId="0">
      <alignment vertical="top" wrapText="1"/>
    </xf>
    <xf numFmtId="0" fontId="5" fillId="86" borderId="37" applyAlignment="1" pivotButton="0" quotePrefix="0" xfId="0">
      <alignment vertical="top" wrapText="1"/>
    </xf>
    <xf numFmtId="0" fontId="51" fillId="86" borderId="0" pivotButton="0" quotePrefix="0" xfId="0"/>
    <xf numFmtId="0" fontId="51" fillId="86" borderId="0" applyAlignment="1" pivotButton="0" quotePrefix="0" xfId="0">
      <alignment horizontal="center"/>
    </xf>
    <xf numFmtId="0" fontId="52" fillId="89" borderId="0" pivotButton="0" quotePrefix="0" xfId="0"/>
    <xf numFmtId="0" fontId="52" fillId="89" borderId="38" pivotButton="0" quotePrefix="0" xfId="0"/>
    <xf numFmtId="0" fontId="52" fillId="89" borderId="39" pivotButton="0" quotePrefix="0" xfId="0"/>
    <xf numFmtId="0" fontId="52" fillId="89" borderId="40" pivotButton="0" quotePrefix="0" xfId="0"/>
    <xf numFmtId="0" fontId="52" fillId="89" borderId="41" pivotButton="0" quotePrefix="0" xfId="0"/>
    <xf numFmtId="0" fontId="52" fillId="89" borderId="38" applyAlignment="1" pivotButton="0" quotePrefix="0" xfId="0">
      <alignment horizontal="center"/>
    </xf>
    <xf numFmtId="0" fontId="52" fillId="89" borderId="39" applyAlignment="1" pivotButton="0" quotePrefix="0" xfId="0">
      <alignment horizontal="center"/>
    </xf>
    <xf numFmtId="0" fontId="52" fillId="89" borderId="40" applyAlignment="1" pivotButton="0" quotePrefix="0" xfId="0">
      <alignment horizontal="center"/>
    </xf>
    <xf numFmtId="0" fontId="52" fillId="89" borderId="41" applyAlignment="1" pivotButton="0" quotePrefix="0" xfId="0">
      <alignment horizontal="center"/>
    </xf>
    <xf numFmtId="0" fontId="52" fillId="89" borderId="38" applyAlignment="1" pivotButton="0" quotePrefix="0" xfId="0">
      <alignment horizontal="center" vertical="center"/>
    </xf>
    <xf numFmtId="0" fontId="52" fillId="89" borderId="39" applyAlignment="1" pivotButton="0" quotePrefix="0" xfId="0">
      <alignment horizontal="center" vertical="center"/>
    </xf>
    <xf numFmtId="0" fontId="52" fillId="89" borderId="40" applyAlignment="1" pivotButton="0" quotePrefix="0" xfId="0">
      <alignment horizontal="center" vertical="center"/>
    </xf>
    <xf numFmtId="0" fontId="52" fillId="89" borderId="41" applyAlignment="1" pivotButton="0" quotePrefix="0" xfId="0">
      <alignment horizontal="center" vertical="center"/>
    </xf>
    <xf numFmtId="165" fontId="52" fillId="89" borderId="38" applyAlignment="1" pivotButton="0" quotePrefix="0" xfId="0">
      <alignment horizontal="center" vertical="center"/>
    </xf>
    <xf numFmtId="0" fontId="53" fillId="89" borderId="38" applyAlignment="1" pivotButton="0" quotePrefix="0" xfId="0">
      <alignment horizontal="center" vertical="center"/>
    </xf>
    <xf numFmtId="0" fontId="5" fillId="85" borderId="0" pivotButton="0" quotePrefix="0" xfId="0"/>
    <xf numFmtId="0" fontId="54" fillId="89" borderId="0" pivotButton="0" quotePrefix="0" xfId="0"/>
    <xf numFmtId="0" fontId="54" fillId="89" borderId="42" pivotButton="0" quotePrefix="0" xfId="0"/>
    <xf numFmtId="0" fontId="54" fillId="89" borderId="42" applyAlignment="1" pivotButton="0" quotePrefix="0" xfId="0">
      <alignment horizontal="center"/>
    </xf>
    <xf numFmtId="0" fontId="54" fillId="89" borderId="42" applyAlignment="1" pivotButton="0" quotePrefix="0" xfId="0">
      <alignment horizontal="center" vertical="center"/>
    </xf>
    <xf numFmtId="164" fontId="54" fillId="89" borderId="42" applyAlignment="1" pivotButton="0" quotePrefix="0" xfId="0">
      <alignment horizontal="center" vertical="center"/>
    </xf>
    <xf numFmtId="166" fontId="54" fillId="89" borderId="42" applyAlignment="1" pivotButton="0" quotePrefix="0" xfId="0">
      <alignment horizontal="center" vertical="center"/>
    </xf>
    <xf numFmtId="0" fontId="0" fillId="91" borderId="0" pivotButton="0" quotePrefix="0" xfId="0"/>
    <xf numFmtId="0" fontId="55" fillId="91" borderId="0" pivotButton="0" quotePrefix="0" xfId="0"/>
    <xf numFmtId="0" fontId="55" fillId="91" borderId="0" applyAlignment="1" pivotButton="0" quotePrefix="0" xfId="0">
      <alignment wrapText="1"/>
    </xf>
    <xf numFmtId="0" fontId="51" fillId="86" borderId="0" applyAlignment="1" pivotButton="0" quotePrefix="0" xfId="0">
      <alignment wrapText="1"/>
    </xf>
    <xf numFmtId="0" fontId="57" fillId="86" borderId="42" pivotButton="0" quotePrefix="0" xfId="0"/>
    <xf numFmtId="0" fontId="51" fillId="86" borderId="42" pivotButton="0" quotePrefix="0" xfId="0"/>
    <xf numFmtId="0" fontId="58" fillId="93" borderId="33" applyAlignment="1" pivotButton="0" quotePrefix="0" xfId="0">
      <alignment horizontal="center"/>
    </xf>
    <xf numFmtId="0" fontId="58" fillId="86" borderId="33" applyAlignment="1" pivotButton="0" quotePrefix="0" xfId="0">
      <alignment horizontal="center"/>
    </xf>
    <xf numFmtId="0" fontId="0" fillId="94" borderId="0" pivotButton="0" quotePrefix="0" xfId="0"/>
    <xf numFmtId="0" fontId="19" fillId="94" borderId="0" pivotButton="0" quotePrefix="0" xfId="0"/>
    <xf numFmtId="0" fontId="19" fillId="94" borderId="0" applyAlignment="1" pivotButton="0" quotePrefix="0" xfId="0">
      <alignment horizontal="left"/>
    </xf>
    <xf numFmtId="0" fontId="19" fillId="94" borderId="0" applyAlignment="1" pivotButton="0" quotePrefix="0" xfId="0">
      <alignment horizontal="left" vertical="center"/>
    </xf>
    <xf numFmtId="0" fontId="0" fillId="95" borderId="0" pivotButton="0" quotePrefix="0" xfId="0"/>
    <xf numFmtId="0" fontId="22" fillId="95" borderId="0" pivotButton="0" quotePrefix="0" xfId="0"/>
    <xf numFmtId="0" fontId="0" fillId="96" borderId="0" pivotButton="0" quotePrefix="0" xfId="0"/>
    <xf numFmtId="0" fontId="22" fillId="96" borderId="0" pivotButton="0" quotePrefix="0" xfId="0"/>
    <xf numFmtId="0" fontId="0" fillId="97" borderId="0" pivotButton="0" quotePrefix="0" xfId="0"/>
    <xf numFmtId="0" fontId="22" fillId="97" borderId="0" pivotButton="0" quotePrefix="0" xfId="0"/>
    <xf numFmtId="0" fontId="22" fillId="95" borderId="0" applyAlignment="1" pivotButton="0" quotePrefix="0" xfId="0">
      <alignment wrapText="1"/>
    </xf>
    <xf numFmtId="0" fontId="22" fillId="95" borderId="0" applyAlignment="1" pivotButton="0" quotePrefix="0" xfId="0">
      <alignment vertical="center" wrapText="1"/>
    </xf>
    <xf numFmtId="0" fontId="0" fillId="98" borderId="0" pivotButton="0" quotePrefix="0" xfId="0"/>
    <xf numFmtId="0" fontId="45" fillId="98" borderId="0" pivotButton="0" quotePrefix="0" xfId="0"/>
    <xf numFmtId="0" fontId="45" fillId="98" borderId="0" applyAlignment="1" pivotButton="0" quotePrefix="0" xfId="0">
      <alignment wrapText="1"/>
    </xf>
    <xf numFmtId="0" fontId="0" fillId="99" borderId="0" pivotButton="0" quotePrefix="0" xfId="0"/>
    <xf numFmtId="0" fontId="46" fillId="99" borderId="0" pivotButton="0" quotePrefix="0" xfId="0"/>
    <xf numFmtId="0" fontId="46" fillId="99" borderId="0" applyAlignment="1" pivotButton="0" quotePrefix="0" xfId="0">
      <alignment wrapText="1"/>
    </xf>
    <xf numFmtId="0" fontId="47" fillId="100" borderId="37" applyAlignment="1" pivotButton="0" quotePrefix="0" xfId="0">
      <alignment vertical="top" wrapText="1"/>
    </xf>
    <xf numFmtId="0" fontId="47" fillId="99" borderId="37" applyAlignment="1" pivotButton="0" quotePrefix="0" xfId="0">
      <alignment vertical="top" wrapText="1"/>
    </xf>
    <xf numFmtId="0" fontId="49" fillId="94" borderId="0" pivotButton="0" quotePrefix="0" xfId="0"/>
    <xf numFmtId="0" fontId="49" fillId="94" borderId="0" applyAlignment="1" pivotButton="0" quotePrefix="0" xfId="0">
      <alignment vertical="center"/>
    </xf>
    <xf numFmtId="0" fontId="0" fillId="101" borderId="0" pivotButton="0" quotePrefix="0" xfId="0"/>
    <xf numFmtId="0" fontId="50" fillId="101" borderId="0" pivotButton="0" quotePrefix="0" xfId="0"/>
    <xf numFmtId="0" fontId="50" fillId="101" borderId="0" applyAlignment="1" pivotButton="0" quotePrefix="0" xfId="0">
      <alignment vertical="center"/>
    </xf>
    <xf numFmtId="0" fontId="47" fillId="95" borderId="37" applyAlignment="1" pivotButton="0" quotePrefix="0" xfId="0">
      <alignment vertical="top" wrapText="1"/>
    </xf>
    <xf numFmtId="0" fontId="5" fillId="95" borderId="37" applyAlignment="1" pivotButton="0" quotePrefix="0" xfId="0">
      <alignment vertical="top" wrapText="1"/>
    </xf>
    <xf numFmtId="0" fontId="51" fillId="95" borderId="0" pivotButton="0" quotePrefix="0" xfId="0"/>
    <xf numFmtId="0" fontId="51" fillId="95" borderId="0" applyAlignment="1" pivotButton="0" quotePrefix="0" xfId="0">
      <alignment horizontal="center"/>
    </xf>
    <xf numFmtId="0" fontId="52" fillId="98" borderId="0" pivotButton="0" quotePrefix="0" xfId="0"/>
    <xf numFmtId="0" fontId="52" fillId="98" borderId="38" pivotButton="0" quotePrefix="0" xfId="0"/>
    <xf numFmtId="0" fontId="52" fillId="98" borderId="39" pivotButton="0" quotePrefix="0" xfId="0"/>
    <xf numFmtId="0" fontId="52" fillId="98" borderId="40" pivotButton="0" quotePrefix="0" xfId="0"/>
    <xf numFmtId="0" fontId="52" fillId="98" borderId="41" pivotButton="0" quotePrefix="0" xfId="0"/>
    <xf numFmtId="0" fontId="52" fillId="98" borderId="38" applyAlignment="1" pivotButton="0" quotePrefix="0" xfId="0">
      <alignment horizontal="center"/>
    </xf>
    <xf numFmtId="0" fontId="52" fillId="98" borderId="39" applyAlignment="1" pivotButton="0" quotePrefix="0" xfId="0">
      <alignment horizontal="center"/>
    </xf>
    <xf numFmtId="0" fontId="52" fillId="98" borderId="40" applyAlignment="1" pivotButton="0" quotePrefix="0" xfId="0">
      <alignment horizontal="center"/>
    </xf>
    <xf numFmtId="0" fontId="52" fillId="98" borderId="41" applyAlignment="1" pivotButton="0" quotePrefix="0" xfId="0">
      <alignment horizontal="center"/>
    </xf>
    <xf numFmtId="0" fontId="52" fillId="98" borderId="38" applyAlignment="1" pivotButton="0" quotePrefix="0" xfId="0">
      <alignment horizontal="center" vertical="center"/>
    </xf>
    <xf numFmtId="0" fontId="52" fillId="98" borderId="39" applyAlignment="1" pivotButton="0" quotePrefix="0" xfId="0">
      <alignment horizontal="center" vertical="center"/>
    </xf>
    <xf numFmtId="0" fontId="52" fillId="98" borderId="40" applyAlignment="1" pivotButton="0" quotePrefix="0" xfId="0">
      <alignment horizontal="center" vertical="center"/>
    </xf>
    <xf numFmtId="0" fontId="52" fillId="98" borderId="41" applyAlignment="1" pivotButton="0" quotePrefix="0" xfId="0">
      <alignment horizontal="center" vertical="center"/>
    </xf>
    <xf numFmtId="165" fontId="52" fillId="98" borderId="38" applyAlignment="1" pivotButton="0" quotePrefix="0" xfId="0">
      <alignment horizontal="center" vertical="center"/>
    </xf>
    <xf numFmtId="0" fontId="53" fillId="98" borderId="38" applyAlignment="1" pivotButton="0" quotePrefix="0" xfId="0">
      <alignment horizontal="center" vertical="center"/>
    </xf>
    <xf numFmtId="1" fontId="52" fillId="98" borderId="38" applyAlignment="1" pivotButton="0" quotePrefix="0" xfId="0">
      <alignment horizontal="center" vertical="center"/>
    </xf>
    <xf numFmtId="1" fontId="52" fillId="98" borderId="39" applyAlignment="1" pivotButton="0" quotePrefix="0" xfId="0">
      <alignment horizontal="center" vertical="center"/>
    </xf>
    <xf numFmtId="0" fontId="5" fillId="94" borderId="0" pivotButton="0" quotePrefix="0" xfId="0"/>
    <xf numFmtId="0" fontId="54" fillId="98" borderId="0" pivotButton="0" quotePrefix="0" xfId="0"/>
    <xf numFmtId="0" fontId="54" fillId="98" borderId="42" pivotButton="0" quotePrefix="0" xfId="0"/>
    <xf numFmtId="0" fontId="54" fillId="98" borderId="42" applyAlignment="1" pivotButton="0" quotePrefix="0" xfId="0">
      <alignment horizontal="center"/>
    </xf>
    <xf numFmtId="0" fontId="54" fillId="98" borderId="42" applyAlignment="1" pivotButton="0" quotePrefix="0" xfId="0">
      <alignment horizontal="center" vertical="center"/>
    </xf>
    <xf numFmtId="164" fontId="54" fillId="98" borderId="42" applyAlignment="1" pivotButton="0" quotePrefix="0" xfId="0">
      <alignment horizontal="center" vertical="center"/>
    </xf>
    <xf numFmtId="166" fontId="54" fillId="98" borderId="42" applyAlignment="1" pivotButton="0" quotePrefix="0" xfId="0">
      <alignment horizontal="center" vertical="center"/>
    </xf>
    <xf numFmtId="0" fontId="0" fillId="100" borderId="0" pivotButton="0" quotePrefix="0" xfId="0"/>
    <xf numFmtId="0" fontId="55" fillId="100" borderId="0" pivotButton="0" quotePrefix="0" xfId="0"/>
    <xf numFmtId="0" fontId="55" fillId="100" borderId="0" applyAlignment="1" pivotButton="0" quotePrefix="0" xfId="0">
      <alignment wrapText="1"/>
    </xf>
    <xf numFmtId="0" fontId="51" fillId="95" borderId="0" applyAlignment="1" pivotButton="0" quotePrefix="0" xfId="0">
      <alignment wrapText="1"/>
    </xf>
    <xf numFmtId="0" fontId="57" fillId="95" borderId="42" pivotButton="0" quotePrefix="0" xfId="0"/>
    <xf numFmtId="0" fontId="51" fillId="95" borderId="42" pivotButton="0" quotePrefix="0" xfId="0"/>
    <xf numFmtId="0" fontId="58" fillId="102" borderId="33" applyAlignment="1" pivotButton="0" quotePrefix="0" xfId="0">
      <alignment horizontal="center"/>
    </xf>
    <xf numFmtId="0" fontId="58" fillId="95" borderId="33" applyAlignment="1" pivotButton="0" quotePrefix="0" xfId="0">
      <alignment horizontal="center"/>
    </xf>
    <xf numFmtId="0" fontId="0" fillId="0" borderId="33" pivotButton="0" quotePrefix="0" xfId="0"/>
    <xf numFmtId="1" fontId="52" fillId="98" borderId="42" applyAlignment="1" pivotButton="0" quotePrefix="0" xfId="0">
      <alignment horizontal="center" vertical="center"/>
    </xf>
    <xf numFmtId="0" fontId="0" fillId="0" borderId="39" pivotButton="0" quotePrefix="0" xfId="0"/>
    <xf numFmtId="165" fontId="52" fillId="98" borderId="42" applyAlignment="1" pivotButton="0" quotePrefix="0" xfId="0">
      <alignment horizontal="center" vertical="center"/>
    </xf>
    <xf numFmtId="0" fontId="53" fillId="98" borderId="42" applyAlignment="1" pivotButton="0" quotePrefix="0" xfId="0">
      <alignment horizontal="center" vertical="center"/>
    </xf>
    <xf numFmtId="0" fontId="0" fillId="0" borderId="40" pivotButton="0" quotePrefix="0" xfId="0"/>
    <xf numFmtId="0" fontId="0" fillId="0" borderId="41" pivotButton="0" quotePrefix="0" xfId="0"/>
    <xf numFmtId="166" fontId="54" fillId="98" borderId="42" applyAlignment="1" pivotButton="0" quotePrefix="0" xfId="0">
      <alignment horizontal="center" vertical="center"/>
    </xf>
    <xf numFmtId="0" fontId="0" fillId="0" borderId="48" pivotButton="0" quotePrefix="0" xfId="0"/>
    <xf numFmtId="0" fontId="0" fillId="0" borderId="49" pivotButton="0" quotePrefix="0" xfId="0"/>
  </cellXfs>
  <cellStyles count="1">
    <cellStyle name="Normal" xfId="0"/>
  </cellStyles>
  <dxfs count="99">
    <dxf>
      <font>
        <b val="1"/>
        <color rgb="FFB42318"/>
      </font>
      <fill>
        <patternFill>
          <bgColor rgb="FFFDE8E7"/>
        </patternFill>
      </fill>
    </dxf>
    <dxf>
      <font>
        <b val="1"/>
        <color rgb="FFB42318"/>
      </font>
      <fill>
        <patternFill>
          <bgColor rgb="FFFDE8E7"/>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B42318"/>
      </font>
      <fill>
        <patternFill>
          <bgColor rgb="FFFDE8E7"/>
        </patternFill>
      </fill>
    </dxf>
    <dxf>
      <font>
        <color rgb="FF206A3B"/>
      </font>
      <fill>
        <patternFill>
          <bgColor rgb="FFE6F4EA"/>
        </patternFill>
      </fill>
    </dxf>
    <dxf>
      <font>
        <b val="1"/>
        <color rgb="FFB42318"/>
      </font>
      <fill>
        <patternFill>
          <bgColor rgb="FFFDE8E7"/>
        </patternFill>
      </fill>
    </dxf>
    <dxf>
      <font>
        <b val="1"/>
        <color rgb="FF8A5A00"/>
      </font>
      <fill>
        <patternFill>
          <bgColor rgb="FFFFF4D6"/>
        </patternFill>
      </fill>
    </dxf>
    <dxf>
      <font>
        <b val="1"/>
        <color rgb="FFB42318"/>
      </font>
      <fill>
        <patternFill>
          <bgColor rgb="FFFDE8E7"/>
        </patternFill>
      </fill>
    </dxf>
    <dxf>
      <font>
        <b val="1"/>
        <color rgb="FFB42318"/>
      </font>
      <fill>
        <patternFill>
          <bgColor rgb="FFFDE8E7"/>
        </patternFill>
      </fill>
    </dxf>
    <dxf>
      <font>
        <b val="1"/>
        <color rgb="FF8A5A00"/>
      </font>
      <fill>
        <patternFill>
          <bgColor rgb="FFFFF4D6"/>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B42318"/>
      </font>
      <fill>
        <patternFill>
          <bgColor rgb="FFFDE8E7"/>
        </patternFill>
      </fill>
    </dxf>
    <dxf>
      <font>
        <b val="1"/>
        <color rgb="FFB42318"/>
      </font>
      <fill>
        <patternFill>
          <bgColor rgb="FFFDE8E7"/>
        </patternFill>
      </fill>
    </dxf>
    <dxf>
      <font>
        <b val="1"/>
        <color rgb="FF206A3B"/>
      </font>
      <fill>
        <patternFill>
          <bgColor rgb="FFE6F4EA"/>
        </patternFill>
      </fill>
    </dxf>
    <dxf>
      <font>
        <b val="1"/>
        <color rgb="FF667085"/>
      </font>
      <fill>
        <patternFill>
          <bgColor rgb="FFF3F5F7"/>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2563EB"/>
      </font>
      <fill>
        <patternFill>
          <bgColor rgb="FFE8F1FB"/>
        </patternFill>
      </fill>
    </dxf>
    <dxf>
      <font>
        <b val="1"/>
        <color rgb="FF8A5A00"/>
      </font>
      <fill>
        <patternFill>
          <bgColor rgb="FFFFF4D6"/>
        </patternFill>
      </fill>
    </dxf>
    <dxf>
      <font>
        <b val="1"/>
        <color rgb="FF206A3B"/>
      </font>
      <fill>
        <patternFill>
          <bgColor rgb="FFE6F4EA"/>
        </patternFill>
      </fill>
    </dxf>
    <dxf>
      <font>
        <b val="1"/>
        <color rgb="FF8A5A00"/>
      </font>
      <fill>
        <patternFill>
          <bgColor rgb="FFFFF4D6"/>
        </patternFill>
      </fill>
    </dxf>
    <dxf>
      <font>
        <b val="1"/>
        <color rgb="FF8A5A00"/>
      </font>
      <fill>
        <patternFill>
          <bgColor rgb="FFFFF4D6"/>
        </patternFill>
      </fill>
    </dxf>
    <dxf>
      <font>
        <b val="1"/>
        <color rgb="FF206A3B"/>
      </font>
      <fill>
        <patternFill>
          <bgColor rgb="FFE6F4EA"/>
        </patternFill>
      </fill>
    </dxf>
    <dxf>
      <font>
        <b val="1"/>
        <color rgb="FF206A3B"/>
      </font>
      <fill>
        <patternFill>
          <bgColor rgb="FFE6F4EA"/>
        </patternFill>
      </fill>
    </dxf>
    <dxf>
      <font>
        <b val="1"/>
        <color rgb="FF166534"/>
      </font>
      <fill>
        <patternFill>
          <bgColor rgb="FFDCFCE7"/>
        </patternFill>
      </fill>
    </dxf>
    <dxf>
      <font>
        <b val="1"/>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color rgb="FF166534"/>
      </font>
      <fill>
        <patternFill>
          <bgColor rgb="FFDCFCE7"/>
        </patternFill>
      </fill>
    </dxf>
    <dxf>
      <font>
        <color rgb="FF92400E"/>
      </font>
      <fill>
        <patternFill>
          <bgColor rgb="FFFEF3C7"/>
        </patternFill>
      </fill>
    </dxf>
    <dxf>
      <font>
        <color rgb="FF991B1B"/>
      </font>
      <fill>
        <patternFill>
          <bgColor rgb="FFFEE2E2"/>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color rgb="FF92400E"/>
      </font>
      <fill>
        <patternFill>
          <bgColor rgb="FFFEF3C7"/>
        </patternFill>
      </fill>
    </dxf>
    <dxf>
      <font>
        <b val="1"/>
        <color rgb="FF7F6000"/>
      </font>
      <fill>
        <patternFill>
          <bgColor rgb="FFFFF2CC"/>
        </patternFill>
      </fill>
    </dxf>
    <dxf>
      <font>
        <b val="1"/>
        <color rgb="FF375623"/>
      </font>
      <fill>
        <patternFill>
          <bgColor rgb="FFE2F0D9"/>
        </patternFill>
      </fill>
    </dxf>
    <dxf>
      <font>
        <b val="1"/>
        <color rgb="FF375623"/>
      </font>
      <fill>
        <patternFill>
          <bgColor rgb="FFE2F0D9"/>
        </patternFill>
      </fill>
    </dxf>
    <dxf>
      <font>
        <b val="1"/>
        <color rgb="FF375623"/>
      </font>
      <fill>
        <patternFill>
          <bgColor rgb="FFE2F0D9"/>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font>
      <fill>
        <patternFill>
          <bgColor rgb="FFFFF2CC"/>
        </patternFill>
      </fill>
    </dxf>
    <dxf>
      <font>
        <b val="1"/>
        <color rgb="FF9C0006"/>
      </font>
      <fill>
        <patternFill>
          <bgColor rgb="FFFCE4D6"/>
        </patternFill>
      </fill>
    </dxf>
    <dxf>
      <font>
        <b val="1"/>
        <color rgb="FF9C0006"/>
      </font>
      <fill>
        <patternFill>
          <bgColor rgb="FFFCE4D6"/>
        </patternFill>
      </fill>
    </dxf>
    <dxf>
      <font>
        <b val="1"/>
        <color rgb="FF7F6000"/>
      </font>
      <fill>
        <patternFill>
          <bgColor rgb="FFFFF2CC"/>
        </patternFill>
      </fill>
    </dxf>
    <dxf>
      <font>
        <b val="1"/>
        <color rgb="FF375623"/>
      </font>
      <fill>
        <patternFill>
          <bgColor rgb="FFE2F0D9"/>
        </patternFill>
      </fill>
    </dxf>
    <dxf>
      <font>
        <b val="1"/>
        <color rgb="FF375623"/>
      </font>
      <fill>
        <patternFill>
          <bgColor rgb="FFE2F0D9"/>
        </patternFill>
      </fill>
    </dxf>
    <dxf>
      <font>
        <b val="1"/>
        <color rgb="FF375623"/>
      </font>
      <fill>
        <patternFill>
          <bgColor rgb="FFE2F0D9"/>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font>
      <fill>
        <patternFill>
          <bgColor rgb="FFFFF2CC"/>
        </patternFill>
      </fill>
    </dxf>
    <dxf>
      <font>
        <b val="1"/>
        <color rgb="FF9C0006"/>
      </font>
      <fill>
        <patternFill>
          <bgColor rgb="FFFCE4D6"/>
        </patternFill>
      </fill>
    </dxf>
    <dxf>
      <font>
        <b val="1"/>
        <color rgb="FF9C0006"/>
      </font>
      <fill>
        <patternFill>
          <bgColor rgb="FFFCE4D6"/>
        </patternFill>
      </fill>
    </dxf>
    <dxf>
      <font>
        <b val="1"/>
        <color rgb="FF7F6000"/>
      </font>
      <fill>
        <patternFill>
          <bgColor rgb="FFFFF2CC"/>
        </patternFill>
      </fill>
    </dxf>
    <dxf>
      <font>
        <b val="1"/>
        <color rgb="FF375623"/>
      </font>
      <fill>
        <patternFill>
          <bgColor rgb="FFE2F0D9"/>
        </patternFill>
      </fill>
    </dxf>
    <dxf>
      <font>
        <b val="1"/>
        <color rgb="FF375623"/>
      </font>
      <fill>
        <patternFill>
          <bgColor rgb="FFE2F0D9"/>
        </patternFill>
      </fill>
    </dxf>
    <dxf>
      <font>
        <b val="1"/>
        <color rgb="FF375623"/>
      </font>
      <fill>
        <patternFill>
          <bgColor rgb="FFE2F0D9"/>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font>
      <fill>
        <patternFill>
          <bgColor rgb="FFFFF2CC"/>
        </patternFill>
      </fill>
    </dxf>
    <dxf>
      <font>
        <b val="1"/>
        <color rgb="FF9C0006"/>
      </font>
      <fill>
        <patternFill>
          <bgColor rgb="FFFCE4D6"/>
        </patternFill>
      </fill>
    </dxf>
    <dxf>
      <font>
        <b val="1"/>
        <color rgb="FF9C0006"/>
      </font>
      <fill>
        <patternFill>
          <bgColor rgb="FFFCE4D6"/>
        </patternFill>
      </fill>
    </dxf>
    <dxf>
      <font>
        <b val="1"/>
        <color rgb="FF7F6000"/>
      </font>
      <fill>
        <patternFill patternType="solid">
          <bgColor rgb="FFFFF2CC"/>
        </patternFill>
      </fill>
    </dxf>
    <dxf>
      <font>
        <b val="1"/>
        <color rgb="FF375623"/>
      </font>
      <fill>
        <patternFill patternType="solid">
          <bgColor rgb="FFE2F0D9"/>
        </patternFill>
      </fill>
    </dxf>
    <dxf>
      <font>
        <b val="1"/>
        <color rgb="FF375623"/>
      </font>
      <fill>
        <patternFill patternType="solid">
          <bgColor rgb="FFE2F0D9"/>
        </patternFill>
      </fill>
    </dxf>
    <dxf>
      <font>
        <b val="1"/>
        <color rgb="FF375623"/>
      </font>
      <fill>
        <patternFill patternType="solid">
          <bgColor rgb="FFE2F0D9"/>
        </patternFill>
      </fill>
    </dxf>
    <dxf>
      <font>
        <b val="1"/>
        <color rgb="FF9C0006"/>
      </font>
      <fill>
        <patternFill patternType="solid">
          <bgColor rgb="FFFCE4D6"/>
        </patternFill>
      </fill>
    </dxf>
    <dxf>
      <font>
        <b val="1"/>
        <color rgb="FF9C0006"/>
      </font>
      <fill>
        <patternFill patternType="solid">
          <bgColor rgb="FFFCE4D6"/>
        </patternFill>
      </fill>
    </dxf>
    <dxf>
      <font>
        <b val="1"/>
        <color rgb="FF9C0006"/>
      </font>
      <fill>
        <patternFill patternType="solid">
          <bgColor rgb="FFFCE4D6"/>
        </patternFill>
      </fill>
    </dxf>
    <dxf>
      <font>
        <b val="1"/>
      </font>
      <fill>
        <patternFill patternType="solid">
          <bgColor rgb="FFFFF2CC"/>
        </patternFill>
      </fill>
    </dxf>
    <dxf>
      <font>
        <b val="1"/>
        <color rgb="FF9C0006"/>
      </font>
      <fill>
        <patternFill patternType="solid">
          <bgColor rgb="FFFCE4D6"/>
        </patternFill>
      </fill>
    </dxf>
    <dxf>
      <font>
        <b val="1"/>
        <color rgb="FF9C0006"/>
      </font>
      <fill>
        <patternFill patternType="solid">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lstStyle/>
          <a:p>
            <a:r>
              <a:t>Selection Status</a:t>
            </a:r>
          </a:p>
        </rich>
      </tx>
      <overlay val="0"/>
    </title>
    <plotArea>
      <doughnutChart>
        <varyColors val="1"/>
        <ser>
          <idx val="0"/>
          <order val="0"/>
          <tx>
            <v>COUNT</v>
          </tx>
          <spPr>
            <a:ln>
              <a:prstDash val="solid"/>
            </a:ln>
          </spPr>
          <cat>
            <strRef>
              <f>'Dashboard'!$K$17:$K$19</f>
              <strCache>
                <ptCount val="0"/>
              </strCache>
            </strRef>
          </cat>
          <val>
            <numRef>
              <f>'Dashboard'!$L$17:$L$19</f>
              <numCache>
                <formatCode>General</formatCode>
                <ptCount val="0"/>
              </numCache>
            </numRef>
          </val>
        </ser>
        <firstSliceAng val="0"/>
        <holeSize val="10"/>
      </doughnutChart>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15</row>
      <rowOff>0</rowOff>
    </from>
    <to>
      <col>16</col>
      <colOff>0</colOff>
      <row>31</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SourceRegisterTable" displayName="SourceRegisterTable" ref="A2:AS302" headerRowCount="1" totalsRowCount="0"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54" headerRowCount="1" totalsRowCount="0" totalsRowShown="0">
  <autoFilter ref="A2:AR54"/>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102"/>
  <sheetViews>
    <sheetView showGridLines="0" workbookViewId="0">
      <selection activeCell="A1" sqref="A1"/>
    </sheetView>
  </sheetViews>
  <sheetFormatPr baseColWidth="8" defaultRowHeight="15"/>
  <cols>
    <col width="24" customWidth="1" style="36" min="1" max="1"/>
    <col width="28" customWidth="1" style="36" min="2" max="2"/>
    <col width="88" customWidth="1" style="36" min="3" max="3"/>
    <col width="24" customWidth="1" style="36" min="4" max="4"/>
    <col width="34" customWidth="1" style="36" min="5" max="5"/>
    <col width="48" customWidth="1" style="36" min="6" max="6"/>
  </cols>
  <sheetData>
    <row r="1" ht="34" customHeight="1" s="36">
      <c r="A1" s="1180" t="inlineStr">
        <is>
          <t>SYSTEM1 REQUIREMENT SOURCE REGISTRY</t>
        </is>
      </c>
    </row>
    <row r="2" ht="26.39999961853027" customHeight="1" s="36">
      <c r="A2" s="1183" t="inlineStr">
        <is>
          <t>Operator quick start, status definitions, examples, and recovery guidance</t>
        </is>
      </c>
    </row>
    <row r="3" ht="15" customHeight="1" s="36"/>
    <row r="4" ht="15" customHeight="1" s="36">
      <c r="A4" s="1185" t="inlineStr">
        <is>
          <t>QUICK START</t>
        </is>
      </c>
      <c r="B4" s="1185" t="str"/>
      <c r="C4" s="1185" t="str"/>
    </row>
    <row r="5" ht="15" customHeight="1" s="36">
      <c r="A5" s="988" t="inlineStr">
        <is>
          <t>1</t>
        </is>
      </c>
      <c r="B5" s="988" t="inlineStr">
        <is>
          <t>Close Excel</t>
        </is>
      </c>
      <c r="C5" s="988" t="inlineStr">
        <is>
          <t>Save and close this workbook before running System1. If Excel is open, the program safely defers without writing.</t>
        </is>
      </c>
    </row>
    <row r="6" ht="15" customHeight="1" s="36">
      <c r="A6" s="988" t="inlineStr">
        <is>
          <t>2</t>
        </is>
      </c>
      <c r="B6" s="988" t="inlineStr">
        <is>
          <t>Open the work queue</t>
        </is>
      </c>
      <c r="C6" s="988" t="inlineStr">
        <is>
          <t>Use Human Operation Desktop. The Dashboard is status-only and never runs local code.</t>
        </is>
      </c>
    </row>
    <row r="7" ht="15" customHeight="1" s="36">
      <c r="A7" s="988" t="inlineStr">
        <is>
          <t>3</t>
        </is>
      </c>
      <c r="B7" s="988" t="inlineStr">
        <is>
          <t>Complete the yellow cells</t>
        </is>
      </c>
      <c r="C7" s="988" t="inlineStr">
        <is>
          <t>Choose operator_action, enter operator, and add operator_note when rejecting, returning, or reporting an error.</t>
        </is>
      </c>
    </row>
    <row r="8" ht="15" customHeight="1" s="36">
      <c r="A8" s="988" t="inlineStr">
        <is>
          <t>4</t>
        </is>
      </c>
      <c r="B8" s="988" t="inlineStr">
        <is>
          <t>Run Routine Cycle</t>
        </is>
      </c>
      <c r="C8" s="988" t="inlineStr">
        <is>
          <t>Use Run System - macOS.command or Run System - Windows.cmd. checked_at is filled automatically.</t>
        </is>
      </c>
    </row>
    <row r="9" ht="15" customHeight="1" s="36">
      <c r="A9" s="988" t="inlineStr">
        <is>
          <t>5</t>
        </is>
      </c>
      <c r="B9" s="988" t="inlineStr">
        <is>
          <t>Confirm the result</t>
        </is>
      </c>
      <c r="C9" s="988" t="inlineStr">
        <is>
          <t>Review program_status and program_result. Completed rows remain in the audit trail and are hidden.</t>
        </is>
      </c>
    </row>
    <row r="10" ht="15" customHeight="1" s="36">
      <c r="A10" s="988" t="str"/>
      <c r="B10" s="988" t="str"/>
      <c r="C10" s="988" t="str"/>
    </row>
    <row r="11" ht="15" customHeight="1" s="36">
      <c r="A11" s="1185" t="inlineStr">
        <is>
          <t>WORKBOOK STRUCTURE</t>
        </is>
      </c>
      <c r="B11" s="1185" t="str"/>
      <c r="C11" s="1185" t="str"/>
    </row>
    <row r="12" ht="15" customHeight="1" s="36">
      <c r="A12" s="988" t="inlineStr">
        <is>
          <t>Instructions</t>
        </is>
      </c>
      <c r="B12" s="988" t="inlineStr">
        <is>
          <t>This sheet</t>
        </is>
      </c>
      <c r="C12" s="988" t="inlineStr">
        <is>
          <t>Quick Start, statuses, operator cases, examples, and recovery.</t>
        </is>
      </c>
    </row>
    <row r="13" ht="15" customHeight="1" s="36">
      <c r="A13" s="988" t="inlineStr">
        <is>
          <t>Categories</t>
        </is>
      </c>
      <c r="B13" s="988" t="inlineStr">
        <is>
          <t>Controlled vocabulary</t>
        </is>
      </c>
      <c r="C13" s="988" t="inlineStr">
        <is>
          <t>Dropdown values and category definitions used by the registry.</t>
        </is>
      </c>
    </row>
    <row r="14" ht="15" customHeight="1" s="36">
      <c r="A14" s="988" t="inlineStr">
        <is>
          <t>Source Register</t>
        </is>
      </c>
      <c r="B14" s="988" t="inlineStr">
        <is>
          <t>Program-generated source state</t>
        </is>
      </c>
      <c r="C14" s="988" t="inlineStr">
        <is>
          <t>The program-managed block must not be edited directly. Human-governed corrections flow through Human Operation Desktop.</t>
        </is>
      </c>
    </row>
    <row r="15" ht="15" customHeight="1" s="36">
      <c r="A15" s="988" t="inlineStr">
        <is>
          <t>Dashboard</t>
        </is>
      </c>
      <c r="B15" s="988" t="inlineStr">
        <is>
          <t>Read-only status view</t>
        </is>
      </c>
      <c r="C15" s="988" t="inlineStr">
        <is>
          <t>Key source states, open work, automation status, and QA history.</t>
        </is>
      </c>
    </row>
    <row r="16" ht="15" customHeight="1" s="36">
      <c r="A16" s="988" t="inlineStr">
        <is>
          <t>Human Operation Desktop</t>
        </is>
      </c>
      <c r="B16" s="988" t="inlineStr">
        <is>
          <t>Only operator work area</t>
        </is>
      </c>
      <c r="C16" s="988" t="inlineStr">
        <is>
          <t>All human decisions, corrections, candidate acceptance, manual-file actions, and Random QA.</t>
        </is>
      </c>
    </row>
    <row r="17" ht="15" customHeight="1" s="36">
      <c r="A17" s="988" t="str"/>
      <c r="B17" s="988" t="str"/>
      <c r="C17" s="988" t="str"/>
    </row>
    <row r="18" ht="15" customHeight="1" s="36">
      <c r="A18" s="1185" t="inlineStr">
        <is>
          <t>STATUS DEFINITIONS</t>
        </is>
      </c>
      <c r="B18" s="1185" t="str"/>
      <c r="C18" s="1185" t="str"/>
    </row>
    <row r="19" ht="15" customHeight="1" s="36">
      <c r="A19" s="988" t="inlineStr">
        <is>
          <t>download_status</t>
        </is>
      </c>
      <c r="B19" s="988" t="inlineStr">
        <is>
          <t>SUCCESS / FAIL / PAYWALL_BLOCKED</t>
        </is>
      </c>
      <c r="C19" s="988" t="inlineStr">
        <is>
          <t>Collection result. Selection and download remain independent.</t>
        </is>
      </c>
    </row>
    <row r="20" ht="15" customHeight="1" s="36">
      <c r="A20" s="988" t="inlineStr">
        <is>
          <t>selection_status</t>
        </is>
      </c>
      <c r="B20" s="988" t="inlineStr">
        <is>
          <t>INCLUDE / PENDING / EXCLUDE</t>
        </is>
      </c>
      <c r="C20" s="988" t="inlineStr">
        <is>
          <t>Effective source-list state. INCLUDE requires a valid current snapshot and completed governance checks.</t>
        </is>
      </c>
    </row>
    <row r="21" ht="24" customHeight="1" s="36">
      <c r="A21" s="988" t="inlineStr">
        <is>
          <t>program_status</t>
        </is>
      </c>
      <c r="B21" s="988" t="inlineStr">
        <is>
          <t>PENDING / WAITING_FOR_HUMAN / NEEDS_REPLAN / APPLIED / REJECTED</t>
        </is>
      </c>
      <c r="C21" s="988" t="inlineStr">
        <is>
          <t>Open statuses remain visible. Final statuses remain stored but hidden.</t>
        </is>
      </c>
    </row>
    <row r="22" ht="24" customHeight="1" s="36">
      <c r="A22" s="988" t="inlineStr">
        <is>
          <t>operator_action</t>
        </is>
      </c>
      <c r="B22" s="988" t="inlineStr">
        <is>
          <t>Varies by task type</t>
        </is>
      </c>
      <c r="C22" s="988" t="inlineStr">
        <is>
          <t>Source/selection review: APPLY or RETURN. Candidate/manual intake: ACCEPT or REJECT. Random QA: CORRECT or INCORRECT.</t>
        </is>
      </c>
    </row>
    <row r="23" ht="15" customHeight="1" s="36">
      <c r="A23" s="988" t="str"/>
      <c r="B23" s="988" t="str"/>
      <c r="C23" s="988" t="str"/>
    </row>
    <row r="24" ht="15" customHeight="1" s="36">
      <c r="A24" s="1185" t="inlineStr">
        <is>
          <t>OPERATOR CASES</t>
        </is>
      </c>
      <c r="B24" s="1185" t="str"/>
      <c r="C24" s="1185" t="str"/>
    </row>
    <row r="25" ht="24" customHeight="1" s="36">
      <c r="A25" s="988" t="inlineStr">
        <is>
          <t>Existing source review</t>
        </is>
      </c>
      <c r="B25" s="988" t="inlineStr">
        <is>
          <t>Inspect the source and requested correction</t>
        </is>
      </c>
      <c r="C25" s="988" t="inlineStr">
        <is>
          <t>Unhide SOURCE CORRECTIONS only when the task asks for field changes, then choose APPLY or RETURN.</t>
        </is>
      </c>
    </row>
    <row r="26" ht="24" customHeight="1" s="36">
      <c r="A26" s="988" t="inlineStr">
        <is>
          <t>Selection review</t>
        </is>
      </c>
      <c r="B26" s="988" t="inlineStr">
        <is>
          <t>Choose INCLUDE, PENDING, or EXCLUDE</t>
        </is>
      </c>
      <c r="C26" s="988" t="inlineStr">
        <is>
          <t>Unhide SOURCE CORRECTIONS, complete operator_selection_decision, and add a note when remaining PENDING.</t>
        </is>
      </c>
    </row>
    <row r="27" ht="15" customHeight="1" s="36">
      <c r="A27" s="988" t="inlineStr">
        <is>
          <t>New source candidate</t>
        </is>
      </c>
      <c r="B27" s="988" t="inlineStr">
        <is>
          <t>Accept or reject the candidate</t>
        </is>
      </c>
      <c r="C27" s="988" t="inlineStr">
        <is>
          <t>Unhide CANDIDATE DETAILS, complete missing fields, then choose ACCEPT or REJECT. No new source is auto-accepted.</t>
        </is>
      </c>
    </row>
    <row r="28" ht="15" customHeight="1" s="36">
      <c r="A28" s="988" t="inlineStr">
        <is>
          <t>Manual file intake</t>
        </is>
      </c>
      <c r="B28" s="988" t="inlineStr">
        <is>
          <t>Drop a file into Data/00_Human_Intake</t>
        </is>
      </c>
      <c r="C28" s="988" t="inlineStr">
        <is>
          <t>Routine Cycle identifies it, searches registered metadata for an official route, and creates a task for missing information.</t>
        </is>
      </c>
    </row>
    <row r="29" ht="15" customHeight="1" s="36">
      <c r="A29" s="988" t="inlineStr">
        <is>
          <t>Manual replacement/paywall</t>
        </is>
      </c>
      <c r="B29" s="988" t="inlineStr">
        <is>
          <t>Provide only an authorised file</t>
        </is>
      </c>
      <c r="C29" s="988" t="inlineStr">
        <is>
          <t>The current valid source is retained unless the replacement validates successfully. System1 never bypasses a paywall.</t>
        </is>
      </c>
    </row>
    <row r="30" ht="15" customHeight="1" s="36">
      <c r="A30" s="988" t="inlineStr">
        <is>
          <t>Random QA</t>
        </is>
      </c>
      <c r="B30" s="988" t="inlineStr">
        <is>
          <t>Verify the sampled source record and file</t>
        </is>
      </c>
      <c r="C30" s="988" t="inlineStr">
        <is>
          <t>Choose CORRECT or INCORRECT. An incorrect result creates a correction task.</t>
        </is>
      </c>
    </row>
    <row r="31" ht="15" customHeight="1" s="36">
      <c r="A31" s="988" t="str"/>
      <c r="B31" s="988" t="str"/>
      <c r="C31" s="988" t="str"/>
    </row>
    <row r="32" ht="15" customHeight="1" s="36">
      <c r="A32" s="1185" t="inlineStr">
        <is>
          <t>EXAMPLES</t>
        </is>
      </c>
      <c r="B32" s="1185" t="str"/>
      <c r="C32" s="1185" t="str"/>
    </row>
    <row r="33" ht="15" customHeight="1" s="36">
      <c r="A33" s="988" t="inlineStr">
        <is>
          <t>Example 1</t>
        </is>
      </c>
      <c r="B33" s="988" t="inlineStr">
        <is>
          <t>Selection review</t>
        </is>
      </c>
      <c r="C33" s="988" t="inlineStr">
        <is>
          <t>Unhide SOURCE CORRECTIONS, choose operator_selection_decision, select APPLY, enter your name, and run Routine Cycle.</t>
        </is>
      </c>
    </row>
    <row r="34" ht="24" customHeight="1" s="36">
      <c r="A34" s="988" t="inlineStr">
        <is>
          <t>Example 2</t>
        </is>
      </c>
      <c r="B34" s="988" t="inlineStr">
        <is>
          <t>Failed retrieval</t>
        </is>
      </c>
      <c r="C34" s="988" t="inlineStr">
        <is>
          <t>Verify the official URL, add a corrected retrieval URL if available, select APPLY, and run Routine Cycle. A failed retry preserves the current valid file.</t>
        </is>
      </c>
    </row>
    <row r="35" ht="24" customHeight="1" s="36">
      <c r="A35" s="988" t="inlineStr">
        <is>
          <t>Example 3</t>
        </is>
      </c>
      <c r="B35" s="988" t="inlineStr">
        <is>
          <t>New manual file</t>
        </is>
      </c>
      <c r="C35" s="988" t="inlineStr">
        <is>
          <t>Copy the file to Data/00_Human_Intake, run Routine Cycle, complete the candidate task, and choose ACCEPT only after provenance and applicability are confirmed.</t>
        </is>
      </c>
    </row>
    <row r="36" ht="15" customHeight="1" s="36">
      <c r="A36" s="988" t="str"/>
      <c r="B36" s="988" t="str"/>
      <c r="C36" s="988" t="str"/>
    </row>
    <row r="37" ht="15" customHeight="1" s="36">
      <c r="A37" s="1185" t="inlineStr">
        <is>
          <t>SETUP AND AUTOMATION</t>
        </is>
      </c>
      <c r="B37" s="1185" t="str"/>
      <c r="C37" s="1185" t="str"/>
    </row>
    <row r="38" ht="15" customHeight="1" s="36">
      <c r="A38" s="988" t="inlineStr">
        <is>
          <t>Environment</t>
        </is>
      </c>
      <c r="B38" s="988" t="inlineStr">
        <is>
          <t>User-managed</t>
        </is>
      </c>
      <c r="C38" s="988" t="inlineStr">
        <is>
          <t>Install Python 3.11+, run the platform setup script, copy config templates, then run python -m system1 doctor.</t>
        </is>
      </c>
    </row>
    <row r="39" ht="15" customHeight="1" s="36">
      <c r="A39" s="988" t="inlineStr">
        <is>
          <t>Automation</t>
        </is>
      </c>
      <c r="B39" s="988" t="inlineStr">
        <is>
          <t>Opt-in only</t>
        </is>
      </c>
      <c r="C39" s="988" t="inlineStr">
        <is>
          <t>Edit schedule.json and register it with the platform script. Moving the System1 folder requires unregistering and registering again.</t>
        </is>
      </c>
    </row>
    <row r="40" ht="15" customHeight="1" s="36">
      <c r="A40" s="988" t="inlineStr">
        <is>
          <t>Concurrent editing</t>
        </is>
      </c>
      <c r="B40" s="988" t="inlineStr">
        <is>
          <t>Do not edit while System1 writes</t>
        </is>
      </c>
      <c r="C40" s="988" t="inlineStr">
        <is>
          <t>When making manual changes, pause or avoid the scheduled run. Excel-open and process locks prevent unsafe writes.</t>
        </is>
      </c>
    </row>
    <row r="41" ht="15" customHeight="1" s="36">
      <c r="A41" s="988" t="str"/>
      <c r="B41" s="988" t="str"/>
      <c r="C41" s="988" t="str"/>
    </row>
    <row r="42" ht="15" customHeight="1" s="36">
      <c r="A42" s="1185" t="inlineStr">
        <is>
          <t>RECOVERY</t>
        </is>
      </c>
      <c r="B42" s="1185" t="str"/>
      <c r="C42" s="1185" t="str"/>
    </row>
    <row r="43" ht="15" customHeight="1" s="36">
      <c r="A43" s="988" t="inlineStr">
        <is>
          <t>Workbook repair prompt</t>
        </is>
      </c>
      <c r="B43" s="988" t="inlineStr">
        <is>
          <t>Choose No first</t>
        </is>
      </c>
      <c r="C43" s="988" t="inlineStr">
        <is>
          <t>Keep Excel closed, copy the latest backup from Code/runtime/backups, and run Validate Environment before retrying.</t>
        </is>
      </c>
    </row>
    <row r="44" ht="15" customHeight="1" s="36">
      <c r="A44" s="988" t="inlineStr">
        <is>
          <t>DEFERRED_WORKBOOK_OPEN</t>
        </is>
      </c>
      <c r="B44" s="988" t="inlineStr">
        <is>
          <t>No data was changed</t>
        </is>
      </c>
      <c r="C44" s="988" t="inlineStr">
        <is>
          <t>Close Excel and run again.</t>
        </is>
      </c>
    </row>
    <row r="45" ht="15" customHeight="1" s="36">
      <c r="A45" s="988" t="inlineStr">
        <is>
          <t>DEFERRED_ALREADY_RUNNING</t>
        </is>
      </c>
      <c r="B45" s="988" t="inlineStr">
        <is>
          <t>No second updater was started</t>
        </is>
      </c>
      <c r="C45" s="988" t="inlineStr">
        <is>
          <t>Wait for the current run to finish, then use View Last Run.</t>
        </is>
      </c>
    </row>
    <row r="46" ht="15" customHeight="1" s="36">
      <c r="A46" s="988" t="inlineStr">
        <is>
          <t>FAIL or PAYWALL_BLOCKED</t>
        </is>
      </c>
      <c r="B46" s="988" t="inlineStr">
        <is>
          <t>Current valid file is preserved</t>
        </is>
      </c>
      <c r="C46" s="988" t="inlineStr">
        <is>
          <t>Use Human Operation Desktop for a corrected route or an authorised manual replacement.</t>
        </is>
      </c>
    </row>
    <row r="47" ht="26.39999961853027" customHeight="1" s="36"/>
    <row r="48" ht="26.39999961853027" customHeight="1" s="36"/>
    <row r="49" ht="26.39999961853027" customHeight="1" s="36"/>
    <row r="50" ht="26.39999961853027" customHeight="1" s="36"/>
    <row r="51" ht="26.39999961853027" customHeight="1" s="36"/>
    <row r="52" ht="26.39999961853027" customHeight="1" s="36"/>
    <row r="53" ht="26.39999961853027" customHeight="1" s="36"/>
    <row r="54" ht="26.39999961853027" customHeight="1" s="36"/>
    <row r="55" ht="26.39999961853027" customHeight="1" s="36"/>
    <row r="56" ht="26.39999961853027" customHeight="1" s="36"/>
    <row r="57" ht="26.39999961853027" customHeight="1" s="36"/>
    <row r="58" ht="26.39999961853027" customHeight="1" s="36"/>
    <row r="59" ht="15" customHeight="1" s="36"/>
    <row r="60" ht="15" customHeight="1" s="36"/>
    <row r="61" ht="15" customHeight="1" s="36"/>
    <row r="62" ht="15" customHeight="1" s="36"/>
    <row r="63" ht="26.39999961853027" customHeight="1" s="36"/>
    <row r="64" ht="15" customHeight="1" s="36"/>
    <row r="65" ht="15" customHeight="1" s="36"/>
    <row r="66" ht="15" customHeight="1" s="36"/>
    <row r="67" ht="26.39999961853027" customHeight="1" s="36"/>
    <row r="68" ht="26.39999961853027" customHeight="1" s="36"/>
    <row r="69" ht="15" customHeight="1" s="36"/>
    <row r="70" ht="15" customHeight="1" s="36"/>
    <row r="71" ht="15" customHeight="1" s="36"/>
    <row r="72" ht="15" customHeight="1" s="36"/>
    <row r="73" ht="26.39999961853027" customHeight="1" s="36"/>
    <row r="74" ht="15" customHeight="1" s="36"/>
    <row r="75" ht="26.39999961853027" customHeight="1" s="36"/>
    <row r="76" ht="26.39999961853027" customHeight="1" s="36"/>
    <row r="77" ht="15" customHeight="1" s="36"/>
    <row r="78" ht="26" customHeight="1" s="36"/>
    <row r="79" ht="30" customHeight="1" s="36"/>
    <row r="80" ht="46" customHeight="1" s="36"/>
    <row r="81" ht="46" customHeight="1" s="36"/>
    <row r="82" ht="46" customHeight="1" s="36"/>
    <row r="83" ht="46" customHeight="1" s="36"/>
    <row r="84" ht="46" customHeight="1" s="36"/>
    <row r="85" ht="46" customHeight="1" s="36"/>
    <row r="86" ht="15" customHeight="1" s="36"/>
    <row r="87" ht="26" customHeight="1" s="36"/>
    <row r="88" ht="30" customHeight="1" s="36"/>
    <row r="89" ht="50" customHeight="1" s="36"/>
    <row r="90" ht="50" customHeight="1" s="36"/>
    <row r="91" ht="50" customHeight="1" s="36"/>
    <row r="92" ht="50" customHeight="1" s="36"/>
    <row r="93" ht="50" customHeight="1" s="36"/>
    <row r="94" ht="50" customHeight="1" s="36"/>
    <row r="95" ht="50" customHeight="1" s="36"/>
    <row r="96" ht="50" customHeight="1" s="36"/>
    <row r="97" ht="12" customHeight="1" s="36"/>
    <row r="98" ht="12" customHeight="1" s="36"/>
    <row r="99" ht="15" customHeight="1" s="36"/>
    <row r="100" ht="15" customHeight="1" s="36"/>
    <row r="101" ht="15" customHeight="1" s="36"/>
    <row r="102" ht="15" customHeight="1" s="36"/>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selection activeCell="A1" sqref="A1"/>
    </sheetView>
  </sheetViews>
  <sheetFormatPr baseColWidth="8" defaultRowHeight="15"/>
  <cols>
    <col width="14" customWidth="1" style="36" min="1" max="1"/>
    <col width="30" customWidth="1" style="36" min="2" max="2"/>
    <col width="62" customWidth="1" style="36" min="3" max="3"/>
    <col width="34" customWidth="1" style="36" min="4" max="4"/>
  </cols>
  <sheetData>
    <row r="1" ht="34" customHeight="1" s="36">
      <c r="A1" s="4" t="inlineStr">
        <is>
          <t>Categories and Controlled Values</t>
        </is>
      </c>
    </row>
    <row r="2">
      <c r="A2" s="7" t="inlineStr">
        <is>
          <t>Program-generated controlled values. Do not edit this sheet directly; update approved configuration and regenerate.</t>
        </is>
      </c>
    </row>
    <row r="3"/>
    <row r="4" ht="25" customHeight="1" s="36">
      <c r="A4" s="18" t="inlineStr">
        <is>
          <t>Classification dimension | Source family and identifier prefix</t>
        </is>
      </c>
    </row>
    <row r="5" ht="32" customHeight="1" s="36">
      <c r="A5" s="47" t="inlineStr">
        <is>
          <t>Code</t>
        </is>
      </c>
      <c r="B5" s="48" t="inlineStr">
        <is>
          <t>Option value</t>
        </is>
      </c>
      <c r="C5" s="48" t="inlineStr">
        <is>
          <t>Definition</t>
        </is>
      </c>
      <c r="D5" s="49" t="inlineStr">
        <is>
          <t>Folder code</t>
        </is>
      </c>
    </row>
    <row r="6">
      <c r="A6" s="50" t="inlineStr">
        <is>
          <t>PA</t>
        </is>
      </c>
      <c r="B6" s="51" t="inlineStr">
        <is>
          <t>Public authority</t>
        </is>
      </c>
      <c r="C6" s="51" t="inlineStr">
        <is>
          <t>Government, regulator or permitting authority</t>
        </is>
      </c>
      <c r="D6" s="52" t="inlineStr">
        <is>
          <t>A_Public_Authority</t>
        </is>
      </c>
    </row>
    <row r="7">
      <c r="A7" s="50" t="inlineStr">
        <is>
          <t>SB</t>
        </is>
      </c>
      <c r="B7" s="51" t="inlineStr">
        <is>
          <t>Standards body</t>
        </is>
      </c>
      <c r="C7" s="51" t="inlineStr">
        <is>
          <t>Standards organisation such as NS, EN or ISO</t>
        </is>
      </c>
      <c r="D7" s="52" t="inlineStr">
        <is>
          <t>B_Standards_Body</t>
        </is>
      </c>
    </row>
    <row r="8">
      <c r="A8" s="50" t="inlineStr">
        <is>
          <t>CS</t>
        </is>
      </c>
      <c r="B8" s="51" t="inlineStr">
        <is>
          <t>Certification scheme</t>
        </is>
      </c>
      <c r="C8" s="51" t="inlineStr">
        <is>
          <t>Certification scheme such as ASC or GLOBALG.A.P.</t>
        </is>
      </c>
      <c r="D8" s="52" t="inlineStr">
        <is>
          <t>C_Certification_Scheme</t>
        </is>
      </c>
    </row>
    <row r="9">
      <c r="A9" s="50" t="inlineStr">
        <is>
          <t>MS</t>
        </is>
      </c>
      <c r="B9" s="51" t="inlineStr">
        <is>
          <t>Manufacturer / supplier</t>
        </is>
      </c>
      <c r="C9" s="51" t="inlineStr">
        <is>
          <t>Equipment manufacturer or supplier</t>
        </is>
      </c>
      <c r="D9" s="52" t="inlineStr">
        <is>
          <t>D_Manufacturer_Supplier</t>
        </is>
      </c>
    </row>
    <row r="10">
      <c r="A10" s="50" t="inlineStr">
        <is>
          <t>PE</t>
        </is>
      </c>
      <c r="B10" s="51" t="inlineStr">
        <is>
          <t>Project / engineering</t>
        </is>
      </c>
      <c r="C10" s="51" t="inlineStr">
        <is>
          <t>Site, design or engineering source</t>
        </is>
      </c>
      <c r="D10" s="52" t="inlineStr">
        <is>
          <t>E_Project_Engineering</t>
        </is>
      </c>
    </row>
    <row r="11">
      <c r="A11" s="50" t="inlineStr">
        <is>
          <t>CI</t>
        </is>
      </c>
      <c r="B11" s="51" t="inlineStr">
        <is>
          <t>Client / internal</t>
        </is>
      </c>
      <c r="C11" s="51" t="inlineStr">
        <is>
          <t>Client, contract or internal rule</t>
        </is>
      </c>
      <c r="D11" s="52" t="inlineStr">
        <is>
          <t>F_Client_Internal</t>
        </is>
      </c>
    </row>
    <row r="12">
      <c r="A12" s="53" t="inlineStr">
        <is>
          <t>PC</t>
        </is>
      </c>
      <c r="B12" s="54" t="inlineStr">
        <is>
          <t>Pending classification</t>
        </is>
      </c>
      <c r="C12" s="54" t="inlineStr">
        <is>
          <t>Temporary category; cannot be directly included</t>
        </is>
      </c>
      <c r="D12" s="55" t="inlineStr">
        <is>
          <t>Z_Pending_Classification</t>
        </is>
      </c>
    </row>
    <row r="13"/>
    <row r="14" ht="25" customHeight="1" s="36">
      <c r="A14" s="18" t="inlineStr">
        <is>
          <t>Classification dimension | Document type</t>
        </is>
      </c>
    </row>
    <row r="15" ht="32" customHeight="1" s="36">
      <c r="A15" s="47" t="inlineStr">
        <is>
          <t>Code</t>
        </is>
      </c>
      <c r="B15" s="48" t="inlineStr">
        <is>
          <t>Option value</t>
        </is>
      </c>
      <c r="C15" s="48" t="inlineStr">
        <is>
          <t>Definition</t>
        </is>
      </c>
      <c r="D15" s="49" t="inlineStr">
        <is>
          <t>Notes</t>
        </is>
      </c>
    </row>
    <row r="16">
      <c r="A16" s="50" t="inlineStr">
        <is>
          <t>LAW</t>
        </is>
      </c>
      <c r="B16" s="51" t="inlineStr">
        <is>
          <t>Law</t>
        </is>
      </c>
      <c r="C16" s="51" t="inlineStr">
        <is>
          <t>Primary legislation</t>
        </is>
      </c>
      <c r="D16" s="52" t="n"/>
    </row>
    <row r="17">
      <c r="A17" s="50" t="inlineStr">
        <is>
          <t>REG</t>
        </is>
      </c>
      <c r="B17" s="51" t="inlineStr">
        <is>
          <t>Regulation</t>
        </is>
      </c>
      <c r="C17" s="51" t="inlineStr">
        <is>
          <t>Secondary legislation or regulation</t>
        </is>
      </c>
      <c r="D17" s="52" t="n"/>
    </row>
    <row r="18">
      <c r="A18" s="50" t="inlineStr">
        <is>
          <t>PER</t>
        </is>
      </c>
      <c r="B18" s="51" t="inlineStr">
        <is>
          <t>Permit / authority decision</t>
        </is>
      </c>
      <c r="C18" s="51" t="inlineStr">
        <is>
          <t>Permit or site-specific administrative decision</t>
        </is>
      </c>
      <c r="D18" s="52" t="n"/>
    </row>
    <row r="19">
      <c r="A19" s="50" t="inlineStr">
        <is>
          <t>STD</t>
        </is>
      </c>
      <c r="B19" s="51" t="inlineStr">
        <is>
          <t>Technical standard</t>
        </is>
      </c>
      <c r="C19" s="51" t="inlineStr">
        <is>
          <t>NS, EN, ISO or industry technical standard</t>
        </is>
      </c>
      <c r="D19" s="52" t="n"/>
    </row>
    <row r="20">
      <c r="A20" s="50" t="inlineStr">
        <is>
          <t>SCH</t>
        </is>
      </c>
      <c r="B20" s="51" t="inlineStr">
        <is>
          <t>Scheme standard</t>
        </is>
      </c>
      <c r="C20" s="51" t="inlineStr">
        <is>
          <t>Primary certification scheme standard</t>
        </is>
      </c>
      <c r="D20" s="52" t="n"/>
    </row>
    <row r="21">
      <c r="A21" s="50" t="inlineStr">
        <is>
          <t>INT</t>
        </is>
      </c>
      <c r="B21" s="51" t="inlineStr">
        <is>
          <t>Interpretation document</t>
        </is>
      </c>
      <c r="C21" s="51" t="inlineStr">
        <is>
          <t>Interpretation manual or guidance</t>
        </is>
      </c>
      <c r="D21" s="52" t="n"/>
    </row>
    <row r="22">
      <c r="A22" s="50" t="inlineStr">
        <is>
          <t>AUD</t>
        </is>
      </c>
      <c r="B22" s="51" t="inlineStr">
        <is>
          <t>Audit / assessment document</t>
        </is>
      </c>
      <c r="C22" s="51" t="inlineStr">
        <is>
          <t>Audit manual, checklist or assessment tool</t>
        </is>
      </c>
      <c r="D22" s="52" t="n"/>
    </row>
    <row r="23">
      <c r="A23" s="50" t="inlineStr">
        <is>
          <t>MAN</t>
        </is>
      </c>
      <c r="B23" s="51" t="inlineStr">
        <is>
          <t>Equipment manual / OEM instruction</t>
        </is>
      </c>
      <c r="C23" s="51" t="inlineStr">
        <is>
          <t>Manufacturer installation, operation, maintenance or safety instruction</t>
        </is>
      </c>
      <c r="D23" s="52" t="n"/>
    </row>
    <row r="24">
      <c r="A24" s="50" t="inlineStr">
        <is>
          <t>ENG</t>
        </is>
      </c>
      <c r="B24" s="51" t="inlineStr">
        <is>
          <t>Design / engineering document</t>
        </is>
      </c>
      <c r="C24" s="51" t="inlineStr">
        <is>
          <t>Design basis, analysis or engineering report</t>
        </is>
      </c>
      <c r="D24" s="52" t="n"/>
    </row>
    <row r="25">
      <c r="A25" s="50" t="inlineStr">
        <is>
          <t>CON</t>
        </is>
      </c>
      <c r="B25" s="51" t="inlineStr">
        <is>
          <t>Internal policy / contract</t>
        </is>
      </c>
      <c r="C25" s="51" t="inlineStr">
        <is>
          <t>Client, contract or internal normative document</t>
        </is>
      </c>
      <c r="D25" s="52" t="n"/>
    </row>
    <row r="26">
      <c r="A26" s="53" t="inlineStr">
        <is>
          <t>OTH</t>
        </is>
      </c>
      <c r="B26" s="54" t="inlineStr">
        <is>
          <t>Other</t>
        </is>
      </c>
      <c r="C26" s="54" t="inlineStr">
        <is>
          <t>Use only when no controlled document type applies</t>
        </is>
      </c>
      <c r="D26" s="55" t="n"/>
    </row>
    <row r="27"/>
    <row r="28" ht="25" customHeight="1" s="36">
      <c r="A28" s="18" t="inlineStr">
        <is>
          <t>Classification dimension | Requirement role</t>
        </is>
      </c>
    </row>
    <row r="29" ht="32" customHeight="1" s="36">
      <c r="A29" s="47" t="inlineStr">
        <is>
          <t>Code</t>
        </is>
      </c>
      <c r="B29" s="48" t="inlineStr">
        <is>
          <t>Option value</t>
        </is>
      </c>
      <c r="C29" s="48" t="inlineStr">
        <is>
          <t>Definition</t>
        </is>
      </c>
      <c r="D29" s="49" t="inlineStr">
        <is>
          <t>Notes</t>
        </is>
      </c>
    </row>
    <row r="30">
      <c r="A30" s="50" t="inlineStr">
        <is>
          <t>PN</t>
        </is>
      </c>
      <c r="B30" s="51" t="inlineStr">
        <is>
          <t>Primary normative</t>
        </is>
      </c>
      <c r="C30" s="51" t="inlineStr">
        <is>
          <t>Directly creates requirements within the approved scope</t>
        </is>
      </c>
      <c r="D30" s="52" t="n"/>
    </row>
    <row r="31">
      <c r="A31" s="50" t="inlineStr">
        <is>
          <t>RN</t>
        </is>
      </c>
      <c r="B31" s="51" t="inlineStr">
        <is>
          <t>Referenced normative</t>
        </is>
      </c>
      <c r="C31" s="51" t="inlineStr">
        <is>
          <t>Applies through citation by law, contract or a primary source</t>
        </is>
      </c>
      <c r="D31" s="52" t="n"/>
    </row>
    <row r="32">
      <c r="A32" s="50" t="inlineStr">
        <is>
          <t>AN</t>
        </is>
      </c>
      <c r="B32" s="51" t="inlineStr">
        <is>
          <t>Asset-specific normative</t>
        </is>
      </c>
      <c r="C32" s="51" t="inlineStr">
        <is>
          <t>Creates requirements only for confirmed applicable equipment, model, asset or configuration</t>
        </is>
      </c>
      <c r="D32" s="52" t="n"/>
    </row>
    <row r="33">
      <c r="A33" s="50" t="inlineStr">
        <is>
          <t>GI</t>
        </is>
      </c>
      <c r="B33" s="51" t="inlineStr">
        <is>
          <t>Guidance / interpretation</t>
        </is>
      </c>
      <c r="C33" s="51" t="inlineStr">
        <is>
          <t>Helps interpretation but does not independently create requirements</t>
        </is>
      </c>
      <c r="D33" s="52" t="n"/>
    </row>
    <row r="34">
      <c r="A34" s="50" t="inlineStr">
        <is>
          <t>AT</t>
        </is>
      </c>
      <c r="B34" s="51" t="inlineStr">
        <is>
          <t>Audit / assessment tool</t>
        </is>
      </c>
      <c r="C34" s="51" t="inlineStr">
        <is>
          <t>Supports verification and should link to a primary source</t>
        </is>
      </c>
      <c r="D34" s="52" t="n"/>
    </row>
    <row r="35">
      <c r="A35" s="50" t="inlineStr">
        <is>
          <t>CE</t>
        </is>
      </c>
      <c r="B35" s="51" t="inlineStr">
        <is>
          <t>Context / evidence</t>
        </is>
      </c>
      <c r="C35" s="51" t="inlineStr">
        <is>
          <t>Provides facts or proof; only normative statements may become requirements</t>
        </is>
      </c>
      <c r="D35" s="52" t="n"/>
    </row>
    <row r="36">
      <c r="A36" s="53" t="inlineStr">
        <is>
          <t>DW</t>
        </is>
      </c>
      <c r="B36" s="54" t="inlineStr">
        <is>
          <t>Draft working material</t>
        </is>
      </c>
      <c r="C36" s="54" t="inlineStr">
        <is>
          <t>Working material that cannot be treated as formal authority</t>
        </is>
      </c>
      <c r="D36" s="55" t="n"/>
    </row>
    <row r="37"/>
    <row r="38" ht="25" customHeight="1" s="36">
      <c r="A38" s="18" t="inlineStr">
        <is>
          <t>Authoritative language</t>
        </is>
      </c>
    </row>
    <row r="39" ht="32" customHeight="1" s="36">
      <c r="A39" s="47" t="inlineStr">
        <is>
          <t>Code</t>
        </is>
      </c>
      <c r="B39" s="48" t="inlineStr">
        <is>
          <t>Option value</t>
        </is>
      </c>
      <c r="C39" s="48" t="inlineStr">
        <is>
          <t>Definition</t>
        </is>
      </c>
      <c r="D39" s="49" t="inlineStr">
        <is>
          <t>Notes</t>
        </is>
      </c>
    </row>
    <row r="40">
      <c r="A40" s="50" t="inlineStr">
        <is>
          <t>EN</t>
        </is>
      </c>
      <c r="B40" s="51" t="inlineStr">
        <is>
          <t>English</t>
        </is>
      </c>
      <c r="C40" s="51" t="inlineStr">
        <is>
          <t>English is authoritative</t>
        </is>
      </c>
      <c r="D40" s="52" t="inlineStr">
        <is>
          <t>Use the authoritative language first; among equivalent official versions the working preference is English, then Norwegian, then Other</t>
        </is>
      </c>
    </row>
    <row r="41">
      <c r="A41" s="50" t="inlineStr">
        <is>
          <t>NO</t>
        </is>
      </c>
      <c r="B41" s="51" t="inlineStr">
        <is>
          <t>Norwegian</t>
        </is>
      </c>
      <c r="C41" s="51" t="inlineStr">
        <is>
          <t>Norwegian is authoritative</t>
        </is>
      </c>
      <c r="D41" s="52" t="n"/>
    </row>
    <row r="42">
      <c r="A42" s="53" t="inlineStr">
        <is>
          <t>OT</t>
        </is>
      </c>
      <c r="B42" s="54" t="inlineStr">
        <is>
          <t>Other</t>
        </is>
      </c>
      <c r="C42" s="54" t="inlineStr">
        <is>
          <t>Another language is authoritative; specify details in notes</t>
        </is>
      </c>
      <c r="D42" s="55" t="n"/>
    </row>
    <row r="43"/>
    <row r="44" ht="25" customHeight="1" s="36">
      <c r="A44" s="18" t="inlineStr">
        <is>
          <t>Jurisdiction</t>
        </is>
      </c>
    </row>
    <row r="45" ht="32" customHeight="1" s="36">
      <c r="A45" s="47" t="inlineStr">
        <is>
          <t>Code</t>
        </is>
      </c>
      <c r="B45" s="48" t="inlineStr">
        <is>
          <t>Option value</t>
        </is>
      </c>
      <c r="C45" s="48" t="inlineStr">
        <is>
          <t>Definition</t>
        </is>
      </c>
      <c r="D45" s="49" t="inlineStr">
        <is>
          <t>Notes</t>
        </is>
      </c>
    </row>
    <row r="46">
      <c r="A46" s="50" t="inlineStr">
        <is>
          <t>NO</t>
        </is>
      </c>
      <c r="B46" s="51" t="inlineStr">
        <is>
          <t>Norway</t>
        </is>
      </c>
      <c r="C46" s="51" t="inlineStr">
        <is>
          <t>Norwegian jurisdiction</t>
        </is>
      </c>
      <c r="D46" s="52" t="n"/>
    </row>
    <row r="47">
      <c r="A47" s="50" t="inlineStr">
        <is>
          <t>EU</t>
        </is>
      </c>
      <c r="B47" s="51" t="inlineStr">
        <is>
          <t>EU / EEA</t>
        </is>
      </c>
      <c r="C47" s="51" t="inlineStr">
        <is>
          <t>European Union or European Economic Area</t>
        </is>
      </c>
      <c r="D47" s="52" t="n"/>
    </row>
    <row r="48">
      <c r="A48" s="50" t="inlineStr">
        <is>
          <t>INT</t>
        </is>
      </c>
      <c r="B48" s="51" t="inlineStr">
        <is>
          <t>International</t>
        </is>
      </c>
      <c r="C48" s="51" t="inlineStr">
        <is>
          <t>International or scheme-wide scope</t>
        </is>
      </c>
      <c r="D48" s="52" t="n"/>
    </row>
    <row r="49">
      <c r="A49" s="50" t="inlineStr">
        <is>
          <t>MULTI</t>
        </is>
      </c>
      <c r="B49" s="51" t="inlineStr">
        <is>
          <t>Multi-jurisdiction</t>
        </is>
      </c>
      <c r="C49" s="51" t="inlineStr">
        <is>
          <t>Applies across more than one defined jurisdiction</t>
        </is>
      </c>
      <c r="D49" s="52" t="n"/>
    </row>
    <row r="50">
      <c r="A50" s="50" t="inlineStr">
        <is>
          <t>SITE</t>
        </is>
      </c>
      <c r="B50" s="51" t="inlineStr">
        <is>
          <t>Site-specific</t>
        </is>
      </c>
      <c r="C50" s="51" t="inlineStr">
        <is>
          <t>Applies to one site, permit or location</t>
        </is>
      </c>
      <c r="D50" s="52" t="n"/>
    </row>
    <row r="51">
      <c r="A51" s="53" t="inlineStr">
        <is>
          <t>OTH</t>
        </is>
      </c>
      <c r="B51" s="54" t="inlineStr">
        <is>
          <t>Other</t>
        </is>
      </c>
      <c r="C51" s="54" t="inlineStr">
        <is>
          <t>Another jurisdiction; specify details in notes</t>
        </is>
      </c>
      <c r="D51" s="55" t="n"/>
    </row>
    <row r="52"/>
    <row r="53" ht="25" customHeight="1" s="36">
      <c r="A53" s="18" t="inlineStr">
        <is>
          <t>File format</t>
        </is>
      </c>
    </row>
    <row r="54" ht="32" customHeight="1" s="36">
      <c r="A54" s="47" t="inlineStr">
        <is>
          <t>Code</t>
        </is>
      </c>
      <c r="B54" s="48" t="inlineStr">
        <is>
          <t>Option value</t>
        </is>
      </c>
      <c r="C54" s="48" t="inlineStr">
        <is>
          <t>Definition</t>
        </is>
      </c>
      <c r="D54" s="49" t="inlineStr">
        <is>
          <t>Notes</t>
        </is>
      </c>
    </row>
    <row r="55">
      <c r="A55" s="50" t="inlineStr">
        <is>
          <t>PDF</t>
        </is>
      </c>
      <c r="B55" s="51" t="inlineStr">
        <is>
          <t>pdf</t>
        </is>
      </c>
      <c r="C55" s="51" t="inlineStr">
        <is>
          <t>Use when no equivalent official HTML version contains the full source content</t>
        </is>
      </c>
      <c r="D55" s="52" t="n"/>
    </row>
    <row r="56">
      <c r="A56" s="50" t="inlineStr">
        <is>
          <t>HTML</t>
        </is>
      </c>
      <c r="B56" s="51" t="inlineStr">
        <is>
          <t>html</t>
        </is>
      </c>
      <c r="C56" s="51" t="inlineStr">
        <is>
          <t>Preferred format whenever an equivalent official HTML source contains the full authoritative content</t>
        </is>
      </c>
      <c r="D56" s="52" t="n"/>
    </row>
    <row r="57">
      <c r="A57" s="50" t="inlineStr">
        <is>
          <t>XLSX</t>
        </is>
      </c>
      <c r="B57" s="51" t="inlineStr">
        <is>
          <t>xlsx</t>
        </is>
      </c>
      <c r="C57" s="51" t="inlineStr">
        <is>
          <t>Original Excel workbook</t>
        </is>
      </c>
      <c r="D57" s="52" t="n"/>
    </row>
    <row r="58">
      <c r="A58" s="53" t="inlineStr">
        <is>
          <t>ZIP</t>
        </is>
      </c>
      <c r="B58" s="54" t="inlineStr">
        <is>
          <t>zip</t>
        </is>
      </c>
      <c r="C58" s="54" t="inlineStr">
        <is>
          <t>Original ZIP package; extraction requires an explicit rule</t>
        </is>
      </c>
      <c r="D58" s="55" t="n"/>
    </row>
    <row r="59"/>
    <row r="60" ht="25" customHeight="1" s="36">
      <c r="A60" s="18" t="inlineStr">
        <is>
          <t>Assessment score</t>
        </is>
      </c>
    </row>
    <row r="61" ht="32" customHeight="1" s="36">
      <c r="A61" s="47" t="inlineStr">
        <is>
          <t>Code</t>
        </is>
      </c>
      <c r="B61" s="48" t="inlineStr">
        <is>
          <t>Option value</t>
        </is>
      </c>
      <c r="C61" s="48" t="inlineStr">
        <is>
          <t>Definition</t>
        </is>
      </c>
      <c r="D61" s="49" t="inlineStr">
        <is>
          <t>Notes</t>
        </is>
      </c>
    </row>
    <row r="62">
      <c r="A62" s="50" t="inlineStr">
        <is>
          <t>L</t>
        </is>
      </c>
      <c r="B62" s="51" t="inlineStr">
        <is>
          <t>LOW</t>
        </is>
      </c>
      <c r="C62" s="51" t="inlineStr">
        <is>
          <t>Does not meet the criterion or evidence is materially insufficient</t>
        </is>
      </c>
      <c r="D62" s="52" t="n"/>
    </row>
    <row r="63">
      <c r="A63" s="50" t="inlineStr">
        <is>
          <t>M</t>
        </is>
      </c>
      <c r="B63" s="51" t="inlineStr">
        <is>
          <t>MEDIUM</t>
        </is>
      </c>
      <c r="C63" s="51" t="inlineStr">
        <is>
          <t>May meet the criterion but requires confirmation</t>
        </is>
      </c>
      <c r="D63" s="52" t="n"/>
    </row>
    <row r="64">
      <c r="A64" s="53" t="inlineStr">
        <is>
          <t>H</t>
        </is>
      </c>
      <c r="B64" s="54" t="inlineStr">
        <is>
          <t>HIGH</t>
        </is>
      </c>
      <c r="C64" s="54" t="inlineStr">
        <is>
          <t>Verified and supported by sufficient evidence</t>
        </is>
      </c>
      <c r="D64" s="55" t="n"/>
    </row>
    <row r="65"/>
    <row r="66" ht="25" customHeight="1" s="36">
      <c r="A66" s="18" t="inlineStr">
        <is>
          <t>Selection status</t>
        </is>
      </c>
    </row>
    <row r="67" ht="32" customHeight="1" s="36">
      <c r="A67" s="47" t="inlineStr">
        <is>
          <t>Code</t>
        </is>
      </c>
      <c r="B67" s="48" t="inlineStr">
        <is>
          <t>Option value</t>
        </is>
      </c>
      <c r="C67" s="48" t="inlineStr">
        <is>
          <t>Definition</t>
        </is>
      </c>
      <c r="D67" s="49" t="inlineStr">
        <is>
          <t>Notes</t>
        </is>
      </c>
    </row>
    <row r="68">
      <c r="A68" s="50" t="inlineStr">
        <is>
          <t>P</t>
        </is>
      </c>
      <c r="B68" s="51" t="inlineStr">
        <is>
          <t>PENDING</t>
        </is>
      </c>
      <c r="C68" s="51" t="inlineStr">
        <is>
          <t>Not yet selected, a gate is incomplete, or no validated current file with SUCCESS is available</t>
        </is>
      </c>
      <c r="D68" s="52" t="n"/>
    </row>
    <row r="69">
      <c r="A69" s="50" t="inlineStr">
        <is>
          <t>I</t>
        </is>
      </c>
      <c r="B69" s="51" t="inlineStr">
        <is>
          <t>INCLUDE</t>
        </is>
      </c>
      <c r="C69" s="51" t="inlineStr">
        <is>
          <t>Operator decision is INCLUDE, all mandatory gates are HIGH, and the current file is STORED with download_status SUCCESS</t>
        </is>
      </c>
      <c r="D69" s="52" t="n"/>
    </row>
    <row r="70">
      <c r="A70" s="53" t="inlineStr">
        <is>
          <t>E</t>
        </is>
      </c>
      <c r="B70" s="54" t="inlineStr">
        <is>
          <t>EXCLUDE</t>
        </is>
      </c>
      <c r="C70" s="54" t="inlineStr">
        <is>
          <t>Operator decision is EXCLUDE or at least one mandatory criterion is LOW</t>
        </is>
      </c>
      <c r="D70" s="55" t="n"/>
    </row>
    <row r="71"/>
    <row r="72" ht="25" customHeight="1" s="36">
      <c r="A72" s="18" t="inlineStr">
        <is>
          <t>Snapshot status</t>
        </is>
      </c>
    </row>
    <row r="73" ht="32" customHeight="1" s="36">
      <c r="A73" s="47" t="inlineStr">
        <is>
          <t>Code</t>
        </is>
      </c>
      <c r="B73" s="48" t="inlineStr">
        <is>
          <t>Option value</t>
        </is>
      </c>
      <c r="C73" s="48" t="inlineStr">
        <is>
          <t>Definition</t>
        </is>
      </c>
      <c r="D73" s="49" t="inlineStr">
        <is>
          <t>Notes</t>
        </is>
      </c>
    </row>
    <row r="74">
      <c r="A74" s="50" t="inlineStr">
        <is>
          <t>NC</t>
        </is>
      </c>
      <c r="B74" s="51" t="inlineStr">
        <is>
          <t>NOT_COLLECTED</t>
        </is>
      </c>
      <c r="C74" s="51" t="inlineStr">
        <is>
          <t>No current file has been collected</t>
        </is>
      </c>
      <c r="D74" s="52" t="n"/>
    </row>
    <row r="75">
      <c r="A75" s="50" t="inlineStr">
        <is>
          <t>ST</t>
        </is>
      </c>
      <c r="B75" s="51" t="inlineStr">
        <is>
          <t>STORED</t>
        </is>
      </c>
      <c r="C75" s="51" t="inlineStr">
        <is>
          <t>Current file is stored and locatable</t>
        </is>
      </c>
      <c r="D75" s="52" t="n"/>
    </row>
    <row r="76">
      <c r="A76" s="53" t="inlineStr">
        <is>
          <t>MI</t>
        </is>
      </c>
      <c r="B76" s="54" t="inlineStr">
        <is>
          <t>MISSING</t>
        </is>
      </c>
      <c r="C76" s="54" t="inlineStr">
        <is>
          <t>A registry record exists but the file is missing</t>
        </is>
      </c>
      <c r="D76" s="55" t="n"/>
    </row>
    <row r="77"/>
    <row r="78" ht="25" customHeight="1" s="36">
      <c r="A78" s="18" t="inlineStr">
        <is>
          <t>Download status</t>
        </is>
      </c>
    </row>
    <row r="79" ht="32" customHeight="1" s="36">
      <c r="A79" s="47" t="inlineStr">
        <is>
          <t>Code</t>
        </is>
      </c>
      <c r="B79" s="48" t="inlineStr">
        <is>
          <t>Option value</t>
        </is>
      </c>
      <c r="C79" s="48" t="inlineStr">
        <is>
          <t>Definition</t>
        </is>
      </c>
      <c r="D79" s="49" t="inlineStr">
        <is>
          <t>Notes</t>
        </is>
      </c>
    </row>
    <row r="80">
      <c r="A80" s="50" t="inlineStr">
        <is>
          <t>NR</t>
        </is>
      </c>
      <c r="B80" s="51" t="inlineStr">
        <is>
          <t>NOT_RUN</t>
        </is>
      </c>
      <c r="C80" s="51" t="inlineStr">
        <is>
          <t>Automated retrieval has not run</t>
        </is>
      </c>
      <c r="D80" s="52" t="n"/>
    </row>
    <row r="81">
      <c r="A81" s="50" t="inlineStr">
        <is>
          <t>PB</t>
        </is>
      </c>
      <c r="B81" s="51" t="inlineStr">
        <is>
          <t>PAYWALL_BLOCKED</t>
        </is>
      </c>
      <c r="C81" s="51" t="inlineStr">
        <is>
          <t>The official source is restricted by a paywall or licence; an authorised copy or route is required</t>
        </is>
      </c>
      <c r="D81" s="52" t="n"/>
    </row>
    <row r="82">
      <c r="A82" s="50" t="inlineStr">
        <is>
          <t>SU</t>
        </is>
      </c>
      <c r="B82" s="51" t="inlineStr">
        <is>
          <t>SUCCESS</t>
        </is>
      </c>
      <c r="C82" s="51" t="inlineStr">
        <is>
          <t>Download, validation and safe storage succeeded</t>
        </is>
      </c>
      <c r="D82" s="52" t="n"/>
    </row>
    <row r="83">
      <c r="A83" s="53" t="inlineStr">
        <is>
          <t>FA</t>
        </is>
      </c>
      <c r="B83" s="54" t="inlineStr">
        <is>
          <t>FAIL</t>
        </is>
      </c>
      <c r="C83" s="54" t="inlineStr">
        <is>
          <t>At least one stage failed and requires a recorded reason</t>
        </is>
      </c>
      <c r="D83" s="55" t="n"/>
    </row>
    <row r="84"/>
    <row r="85" ht="25" customHeight="1" s="36">
      <c r="A85" s="18" t="inlineStr">
        <is>
          <t>Content change</t>
        </is>
      </c>
    </row>
    <row r="86" ht="32" customHeight="1" s="36">
      <c r="A86" s="47" t="inlineStr">
        <is>
          <t>Code</t>
        </is>
      </c>
      <c r="B86" s="48" t="inlineStr">
        <is>
          <t>Option value</t>
        </is>
      </c>
      <c r="C86" s="48" t="inlineStr">
        <is>
          <t>Definition</t>
        </is>
      </c>
      <c r="D86" s="49" t="inlineStr">
        <is>
          <t>Notes</t>
        </is>
      </c>
    </row>
    <row r="87">
      <c r="A87" s="50" t="inlineStr">
        <is>
          <t>UK</t>
        </is>
      </c>
      <c r="B87" s="51" t="inlineStr">
        <is>
          <t>UNKNOWN</t>
        </is>
      </c>
      <c r="C87" s="51" t="inlineStr">
        <is>
          <t>Content has not been compared</t>
        </is>
      </c>
      <c r="D87" s="52" t="n"/>
    </row>
    <row r="88">
      <c r="A88" s="50" t="inlineStr">
        <is>
          <t>IN</t>
        </is>
      </c>
      <c r="B88" s="51" t="inlineStr">
        <is>
          <t>INITIAL</t>
        </is>
      </c>
      <c r="C88" s="51" t="inlineStr">
        <is>
          <t>First validated collection; no earlier snapshot exists</t>
        </is>
      </c>
      <c r="D88" s="52" t="n"/>
    </row>
    <row r="89">
      <c r="A89" s="50" t="inlineStr">
        <is>
          <t>UN</t>
        </is>
      </c>
      <c r="B89" s="51" t="inlineStr">
        <is>
          <t>UNCHANGED</t>
        </is>
      </c>
      <c r="C89" s="51" t="inlineStr">
        <is>
          <t>Hash matches the current valid file</t>
        </is>
      </c>
      <c r="D89" s="52" t="n"/>
    </row>
    <row r="90">
      <c r="A90" s="53" t="inlineStr">
        <is>
          <t>CH</t>
        </is>
      </c>
      <c r="B90" s="54" t="inlineStr">
        <is>
          <t>CHANGED</t>
        </is>
      </c>
      <c r="C90" s="54" t="inlineStr">
        <is>
          <t>Hash differs and creates a new snapshot</t>
        </is>
      </c>
      <c r="D90" s="55" t="n"/>
    </row>
    <row r="91"/>
    <row r="92" ht="25" customHeight="1" s="36">
      <c r="A92" s="18" t="inlineStr">
        <is>
          <t>Current origin</t>
        </is>
      </c>
    </row>
    <row r="93" ht="32" customHeight="1" s="36">
      <c r="A93" s="47" t="inlineStr">
        <is>
          <t>Code</t>
        </is>
      </c>
      <c r="B93" s="48" t="inlineStr">
        <is>
          <t>Option value</t>
        </is>
      </c>
      <c r="C93" s="48" t="inlineStr">
        <is>
          <t>Definition</t>
        </is>
      </c>
      <c r="D93" s="49" t="inlineStr">
        <is>
          <t>Notes</t>
        </is>
      </c>
    </row>
    <row r="94">
      <c r="A94" s="50" t="inlineStr">
        <is>
          <t>NO</t>
        </is>
      </c>
      <c r="B94" s="51" t="inlineStr">
        <is>
          <t>NONE</t>
        </is>
      </c>
      <c r="C94" s="51" t="inlineStr">
        <is>
          <t>No valid file exists</t>
        </is>
      </c>
      <c r="D94" s="52" t="n"/>
    </row>
    <row r="95">
      <c r="A95" s="50" t="inlineStr">
        <is>
          <t>AU</t>
        </is>
      </c>
      <c r="B95" s="51" t="inlineStr">
        <is>
          <t>AUTO</t>
        </is>
      </c>
      <c r="C95" s="51" t="inlineStr">
        <is>
          <t>Current file came from successful automated retrieval</t>
        </is>
      </c>
      <c r="D95" s="52" t="n"/>
    </row>
    <row r="96">
      <c r="A96" s="53" t="inlineStr">
        <is>
          <t>MA</t>
        </is>
      </c>
      <c r="B96" s="54" t="inlineStr">
        <is>
          <t>MANUAL</t>
        </is>
      </c>
      <c r="C96" s="54" t="inlineStr">
        <is>
          <t>Current file came from manual fallback</t>
        </is>
      </c>
      <c r="D96" s="55" t="n"/>
    </row>
    <row r="97"/>
    <row r="98" ht="25" customHeight="1" s="36">
      <c r="A98" s="18" t="inlineStr">
        <is>
          <t>Failure stage</t>
        </is>
      </c>
    </row>
    <row r="99" ht="32" customHeight="1" s="36">
      <c r="A99" s="47" t="inlineStr">
        <is>
          <t>Code</t>
        </is>
      </c>
      <c r="B99" s="48" t="inlineStr">
        <is>
          <t>Option value</t>
        </is>
      </c>
      <c r="C99" s="48" t="inlineStr">
        <is>
          <t>Definition</t>
        </is>
      </c>
      <c r="D99" s="49" t="inlineStr">
        <is>
          <t>Notes</t>
        </is>
      </c>
    </row>
    <row r="100">
      <c r="A100" s="50" t="inlineStr">
        <is>
          <t>NON</t>
        </is>
      </c>
      <c r="B100" s="51" t="inlineStr">
        <is>
          <t>NONE</t>
        </is>
      </c>
      <c r="C100" s="51" t="inlineStr">
        <is>
          <t>No failure</t>
        </is>
      </c>
      <c r="D100" s="52" t="n"/>
    </row>
    <row r="101">
      <c r="A101" s="50" t="inlineStr">
        <is>
          <t>CFG</t>
        </is>
      </c>
      <c r="B101" s="51" t="inlineStr">
        <is>
          <t>CONFIG</t>
        </is>
      </c>
      <c r="C101" s="51" t="inlineStr">
        <is>
          <t>Required field, URL, format or folder configuration is invalid</t>
        </is>
      </c>
      <c r="D101" s="52" t="n"/>
    </row>
    <row r="102">
      <c r="A102" s="50" t="inlineStr">
        <is>
          <t>CON</t>
        </is>
      </c>
      <c r="B102" s="51" t="inlineStr">
        <is>
          <t>CONNECTION</t>
        </is>
      </c>
      <c r="C102" s="51" t="inlineStr">
        <is>
          <t>DNS, network or connection failure</t>
        </is>
      </c>
      <c r="D102" s="52" t="n"/>
    </row>
    <row r="103">
      <c r="A103" s="50" t="inlineStr">
        <is>
          <t>HTT</t>
        </is>
      </c>
      <c r="B103" s="51" t="inlineStr">
        <is>
          <t>HTTP</t>
        </is>
      </c>
      <c r="C103" s="51" t="inlineStr">
        <is>
          <t>HTTP status, redirect or permission failure</t>
        </is>
      </c>
      <c r="D103" s="52" t="n"/>
    </row>
    <row r="104">
      <c r="A104" s="50" t="inlineStr">
        <is>
          <t>DOW</t>
        </is>
      </c>
      <c r="B104" s="51" t="inlineStr">
        <is>
          <t>DOWNLOAD</t>
        </is>
      </c>
      <c r="C104" s="51" t="inlineStr">
        <is>
          <t>Interrupted, timed-out or incomplete download</t>
        </is>
      </c>
      <c r="D104" s="52" t="n"/>
    </row>
    <row r="105">
      <c r="A105" s="50" t="inlineStr">
        <is>
          <t>FOR</t>
        </is>
      </c>
      <c r="B105" s="51" t="inlineStr">
        <is>
          <t>FORMAT</t>
        </is>
      </c>
      <c r="C105" s="51" t="inlineStr">
        <is>
          <t>Extension, MIME type or file signature mismatch</t>
        </is>
      </c>
      <c r="D105" s="52" t="n"/>
    </row>
    <row r="106">
      <c r="A106" s="50" t="inlineStr">
        <is>
          <t>CNT</t>
        </is>
      </c>
      <c r="B106" s="51" t="inlineStr">
        <is>
          <t>CONTENT</t>
        </is>
      </c>
      <c r="C106" s="51" t="inlineStr">
        <is>
          <t>Empty file, error page, login page or unreadable content</t>
        </is>
      </c>
      <c r="D106" s="52" t="n"/>
    </row>
    <row r="107">
      <c r="A107" s="50" t="inlineStr">
        <is>
          <t>STO</t>
        </is>
      </c>
      <c r="B107" s="51" t="inlineStr">
        <is>
          <t>STORAGE</t>
        </is>
      </c>
      <c r="C107" s="51" t="inlineStr">
        <is>
          <t>Write, rename or archive failure</t>
        </is>
      </c>
      <c r="D107" s="52" t="n"/>
    </row>
    <row r="108">
      <c r="A108" s="53" t="inlineStr">
        <is>
          <t>UNK</t>
        </is>
      </c>
      <c r="B108" s="54" t="inlineStr">
        <is>
          <t>UNKNOWN</t>
        </is>
      </c>
      <c r="C108" s="54" t="inlineStr">
        <is>
          <t>Failure stage not yet identified</t>
        </is>
      </c>
      <c r="D108" s="55" t="n"/>
    </row>
    <row r="109"/>
    <row r="110" ht="25" customHeight="1" s="36">
      <c r="A110" s="18" t="inlineStr">
        <is>
          <t>Source status</t>
        </is>
      </c>
    </row>
    <row r="111" ht="32" customHeight="1" s="36">
      <c r="A111" s="47" t="inlineStr">
        <is>
          <t>Code</t>
        </is>
      </c>
      <c r="B111" s="48" t="inlineStr">
        <is>
          <t>Option value</t>
        </is>
      </c>
      <c r="C111" s="48" t="inlineStr">
        <is>
          <t>Definition</t>
        </is>
      </c>
      <c r="D111" s="49" t="inlineStr">
        <is>
          <t>Notes</t>
        </is>
      </c>
    </row>
    <row r="112">
      <c r="A112" s="50" t="inlineStr">
        <is>
          <t>CU</t>
        </is>
      </c>
      <c r="B112" s="51" t="inlineStr">
        <is>
          <t>CURRENT</t>
        </is>
      </c>
      <c r="C112" s="51" t="inlineStr">
        <is>
          <t>Currently valid source</t>
        </is>
      </c>
      <c r="D112" s="52" t="n"/>
    </row>
    <row r="113">
      <c r="A113" s="50" t="inlineStr">
        <is>
          <t>SU</t>
        </is>
      </c>
      <c r="B113" s="51" t="inlineStr">
        <is>
          <t>SUPERSEDED</t>
        </is>
      </c>
      <c r="C113" s="51" t="inlineStr">
        <is>
          <t>Replaced by a later source or version</t>
        </is>
      </c>
      <c r="D113" s="52" t="n"/>
    </row>
    <row r="114">
      <c r="A114" s="53" t="inlineStr">
        <is>
          <t>WI</t>
        </is>
      </c>
      <c r="B114" s="54" t="inlineStr">
        <is>
          <t>WITHDRAWN</t>
        </is>
      </c>
      <c r="C114" s="54" t="inlineStr">
        <is>
          <t>Withdrawn by the issuer or no longer applicable</t>
        </is>
      </c>
      <c r="D114" s="55" t="n"/>
    </row>
    <row r="115"/>
    <row r="116" ht="25" customHeight="1" s="36">
      <c r="A116" s="18" t="inlineStr">
        <is>
          <t>Acquisition channel</t>
        </is>
      </c>
    </row>
    <row r="117" ht="32" customHeight="1" s="36">
      <c r="A117" s="47" t="inlineStr">
        <is>
          <t>Code</t>
        </is>
      </c>
      <c r="B117" s="48" t="inlineStr">
        <is>
          <t>Option value</t>
        </is>
      </c>
      <c r="C117" s="48" t="inlineStr">
        <is>
          <t>Definition</t>
        </is>
      </c>
      <c r="D117" s="49" t="inlineStr">
        <is>
          <t>Notes</t>
        </is>
      </c>
    </row>
    <row r="118">
      <c r="A118" s="50" t="inlineStr">
        <is>
          <t>OW</t>
        </is>
      </c>
      <c r="B118" s="51" t="inlineStr">
        <is>
          <t>OFFICIAL_WEBSITE</t>
        </is>
      </c>
      <c r="C118" s="51" t="inlineStr">
        <is>
          <t>Retrieved from an official public issuer or scheme website</t>
        </is>
      </c>
      <c r="D118" s="52" t="n"/>
    </row>
    <row r="119">
      <c r="A119" s="50" t="inlineStr">
        <is>
          <t>CL</t>
        </is>
      </c>
      <c r="B119" s="51" t="inlineStr">
        <is>
          <t>CLIENT_OR_SITE</t>
        </is>
      </c>
      <c r="C119" s="51" t="inlineStr">
        <is>
          <t>Provided through a client or site-controlled channel</t>
        </is>
      </c>
      <c r="D119" s="52" t="n"/>
    </row>
    <row r="120">
      <c r="A120" s="50" t="inlineStr">
        <is>
          <t>SI</t>
        </is>
      </c>
      <c r="B120" s="51" t="inlineStr">
        <is>
          <t>SUPPLIER_OR_INTEGRATOR</t>
        </is>
      </c>
      <c r="C120" s="51" t="inlineStr">
        <is>
          <t>Provided by a supplier, OEM representative or system integrator</t>
        </is>
      </c>
      <c r="D120" s="52" t="n"/>
    </row>
    <row r="121">
      <c r="A121" s="50" t="inlineStr">
        <is>
          <t>IR</t>
        </is>
      </c>
      <c r="B121" s="51" t="inlineStr">
        <is>
          <t>INTERNAL_REPOSITORY</t>
        </is>
      </c>
      <c r="C121" s="51" t="inlineStr">
        <is>
          <t>Obtained from an authorised controlled internal repository</t>
        </is>
      </c>
      <c r="D121" s="52" t="n"/>
    </row>
    <row r="122">
      <c r="A122" s="53" t="inlineStr">
        <is>
          <t>OT</t>
        </is>
      </c>
      <c r="B122" s="54" t="inlineStr">
        <is>
          <t>OTHER</t>
        </is>
      </c>
      <c r="C122" s="54" t="inlineStr">
        <is>
          <t>Another documented acquisition route</t>
        </is>
      </c>
      <c r="D122" s="55" t="n"/>
    </row>
    <row r="123"/>
    <row r="124" ht="25" customHeight="1" s="36">
      <c r="A124" s="18" t="inlineStr">
        <is>
          <t>Provenance status</t>
        </is>
      </c>
    </row>
    <row r="125" ht="32" customHeight="1" s="36">
      <c r="A125" s="47" t="inlineStr">
        <is>
          <t>Code</t>
        </is>
      </c>
      <c r="B125" s="48" t="inlineStr">
        <is>
          <t>Option value</t>
        </is>
      </c>
      <c r="C125" s="48" t="inlineStr">
        <is>
          <t>Definition</t>
        </is>
      </c>
      <c r="D125" s="49" t="inlineStr">
        <is>
          <t>Notes</t>
        </is>
      </c>
    </row>
    <row r="126">
      <c r="A126" s="50" t="inlineStr">
        <is>
          <t>OO</t>
        </is>
      </c>
      <c r="B126" s="51" t="inlineStr">
        <is>
          <t>OFFICIAL_ORIGINAL</t>
        </is>
      </c>
      <c r="C126" s="51" t="inlineStr">
        <is>
          <t>Direct official original or issuer-controlled copy</t>
        </is>
      </c>
      <c r="D126" s="52" t="n"/>
    </row>
    <row r="127">
      <c r="A127" s="50" t="inlineStr">
        <is>
          <t>AC</t>
        </is>
      </c>
      <c r="B127" s="51" t="inlineStr">
        <is>
          <t>AUTHORISED_COPY</t>
        </is>
      </c>
      <c r="C127" s="51" t="inlineStr">
        <is>
          <t>Copy confirmed by the issuer or an authorised responsible party</t>
        </is>
      </c>
      <c r="D127" s="52" t="n"/>
    </row>
    <row r="128">
      <c r="A128" s="50" t="inlineStr">
        <is>
          <t>CC</t>
        </is>
      </c>
      <c r="B128" s="51" t="inlineStr">
        <is>
          <t>CLIENT_PROVIDED_COPY</t>
        </is>
      </c>
      <c r="C128" s="51" t="inlineStr">
        <is>
          <t>Client-provided copy with provenance recorded but authority still assessed separately</t>
        </is>
      </c>
      <c r="D128" s="52" t="n"/>
    </row>
    <row r="129">
      <c r="A129" s="53" t="inlineStr">
        <is>
          <t>UV</t>
        </is>
      </c>
      <c r="B129" s="54" t="inlineStr">
        <is>
          <t>UNVERIFIED</t>
        </is>
      </c>
      <c r="C129" s="54" t="inlineStr">
        <is>
          <t>Authenticity, completeness or authorisation has not been confirmed</t>
        </is>
      </c>
      <c r="D129" s="55" t="n"/>
    </row>
    <row r="130"/>
    <row r="131" ht="25" customHeight="1" s="36">
      <c r="A131" s="18" t="inlineStr">
        <is>
          <t>Update model</t>
        </is>
      </c>
    </row>
    <row r="132" ht="32" customHeight="1" s="36">
      <c r="A132" s="47" t="inlineStr">
        <is>
          <t>Code</t>
        </is>
      </c>
      <c r="B132" s="48" t="inlineStr">
        <is>
          <t>Option value</t>
        </is>
      </c>
      <c r="C132" s="48" t="inlineStr">
        <is>
          <t>Definition</t>
        </is>
      </c>
      <c r="D132" s="49" t="inlineStr">
        <is>
          <t>Notes</t>
        </is>
      </c>
    </row>
    <row r="133">
      <c r="A133" s="50" t="inlineStr">
        <is>
          <t>VE</t>
        </is>
      </c>
      <c r="B133" s="51" t="inlineStr">
        <is>
          <t>VERSIONED</t>
        </is>
      </c>
      <c r="C133" s="51" t="inlineStr">
        <is>
          <t>Issuer publishes identifiable versions or revisions</t>
        </is>
      </c>
      <c r="D133" s="52" t="n"/>
    </row>
    <row r="134">
      <c r="A134" s="50" t="inlineStr">
        <is>
          <t>RO</t>
        </is>
      </c>
      <c r="B134" s="51" t="inlineStr">
        <is>
          <t>ROLLING</t>
        </is>
      </c>
      <c r="C134" s="51" t="inlineStr">
        <is>
          <t>Issuer maintains content without a formal version number</t>
        </is>
      </c>
      <c r="D134" s="52" t="n"/>
    </row>
    <row r="135">
      <c r="A135" s="53" t="inlineStr">
        <is>
          <t>UN</t>
        </is>
      </c>
      <c r="B135" s="54" t="inlineStr">
        <is>
          <t>UNKNOWN</t>
        </is>
      </c>
      <c r="C135" s="54" t="inlineStr">
        <is>
          <t>Update pattern has not been confirmed</t>
        </is>
      </c>
      <c r="D135" s="55"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workbookViewId="0">
      <selection activeCell="A1" sqref="A1"/>
    </sheetView>
  </sheetViews>
  <sheetFormatPr baseColWidth="8" defaultRowHeight="15"/>
  <cols>
    <col width="10" customWidth="1" style="36" min="1" max="1"/>
    <col width="12" customWidth="1" style="36" min="2" max="2"/>
    <col width="34" customWidth="1" style="36" min="3" max="3"/>
    <col width="14" customWidth="1" style="36" min="4" max="4"/>
    <col width="14" customWidth="1" style="36" min="5" max="5"/>
    <col width="18" customWidth="1" style="36" min="6" max="6"/>
    <col width="18" customWidth="1" style="36" min="7" max="7"/>
    <col width="18" customWidth="1" style="36" min="8" max="8"/>
    <col width="14" customWidth="1" style="36" min="9" max="9"/>
    <col width="12" customWidth="1" style="36" min="10" max="10"/>
    <col width="16" customWidth="1" style="36" min="11" max="11"/>
    <col width="14" customWidth="1" style="36" min="12" max="12"/>
    <col width="36" customWidth="1" style="36" min="13" max="13"/>
    <col width="16" customWidth="1" style="36" min="14" max="14"/>
    <col width="36" customWidth="1" style="36" min="15" max="15"/>
    <col width="42" customWidth="1" style="36" min="16" max="16"/>
    <col width="42" customWidth="1" style="36" min="17" max="17"/>
    <col width="42" customWidth="1" style="36" min="18" max="18"/>
    <col width="26" customWidth="1" style="36" min="19" max="19"/>
    <col width="12" customWidth="1" style="36" min="20" max="20"/>
    <col width="28" customWidth="1" style="36" min="21" max="21"/>
    <col width="15" customWidth="1" style="36" min="22" max="22"/>
    <col width="17" customWidth="1" style="36" min="23" max="23"/>
    <col width="14" customWidth="1" style="36" min="24" max="24"/>
    <col width="14" customWidth="1" style="36" min="25" max="25"/>
    <col width="22" customWidth="1" style="36" min="26" max="26"/>
    <col width="24" customWidth="1" style="36" min="27" max="27"/>
    <col width="25" customWidth="1" style="36" min="28" max="28"/>
    <col width="54" customWidth="1" style="36" min="29" max="29"/>
    <col width="14" customWidth="1" style="36" min="30" max="30"/>
    <col width="14" customWidth="1" style="36" min="31" max="31"/>
    <col width="14" customWidth="1" style="36" min="32" max="32"/>
    <col width="14" customWidth="1" style="36" min="33" max="33"/>
    <col width="14" customWidth="1" style="36" min="34" max="34"/>
    <col width="16" customWidth="1" style="36" min="35" max="35"/>
    <col width="20" customWidth="1" style="36" min="36" max="36"/>
    <col width="16" customWidth="1" style="36" min="37" max="37"/>
    <col width="18" customWidth="1" style="36" min="38" max="38"/>
    <col width="14" customWidth="1" style="36" min="39" max="39"/>
    <col width="16" customWidth="1" style="36" min="40" max="40"/>
    <col width="44" customWidth="1" style="36" min="41" max="41"/>
    <col width="22" customWidth="1" style="36" min="42" max="42"/>
    <col width="20" customWidth="1" style="36" min="43" max="43"/>
    <col width="14" customWidth="1" style="36" min="44" max="44"/>
    <col width="28" customWidth="1" style="36" min="45" max="45"/>
  </cols>
  <sheetData>
    <row r="1" ht="24" customHeight="1" s="36">
      <c r="A1" s="1218" t="inlineStr">
        <is>
          <t>PROGRAM-MANAGED | DO NOT EDIT DIRECTLY</t>
        </is>
      </c>
      <c r="B1" s="1220" t="n"/>
      <c r="C1" s="1220" t="n"/>
      <c r="D1" s="1220" t="n"/>
      <c r="E1" s="1220" t="n"/>
      <c r="F1" s="1220" t="n"/>
      <c r="G1" s="1220" t="n"/>
      <c r="H1" s="1220" t="n"/>
      <c r="I1" s="1220" t="n"/>
      <c r="J1" s="1220" t="n"/>
      <c r="K1" s="1220" t="n"/>
      <c r="L1" s="1220" t="n"/>
      <c r="M1" s="1220" t="n"/>
      <c r="N1" s="1220" t="n"/>
      <c r="O1" s="1220" t="n"/>
      <c r="P1" s="1219" t="inlineStr">
        <is>
          <t>HUMAN-GOVERNED | CHANGES APPLIED FROM HUMAN OPERATION DESKTOP</t>
        </is>
      </c>
      <c r="Q1" s="1220" t="n"/>
      <c r="R1" s="1220" t="n"/>
      <c r="S1" s="1220" t="n"/>
      <c r="T1" s="1220" t="n"/>
      <c r="U1" s="1220" t="n"/>
      <c r="V1" s="1220" t="n"/>
      <c r="W1" s="1220" t="n"/>
      <c r="X1" s="1220" t="n"/>
      <c r="Y1" s="1220" t="n"/>
      <c r="Z1" s="1220" t="n"/>
      <c r="AA1" s="1220" t="n"/>
      <c r="AB1" s="1220" t="n"/>
      <c r="AC1" s="1220" t="n"/>
      <c r="AD1" s="1220" t="n"/>
      <c r="AE1" s="1220" t="n"/>
      <c r="AF1" s="1220" t="n"/>
      <c r="AG1" s="1220" t="n"/>
      <c r="AH1" s="1220" t="n"/>
      <c r="AI1" s="1220" t="n"/>
      <c r="AJ1" s="1220" t="n"/>
      <c r="AK1" s="1220" t="n"/>
      <c r="AL1" s="1220" t="n"/>
      <c r="AM1" s="1220" t="n"/>
      <c r="AN1" s="1220" t="n"/>
      <c r="AO1" s="1220" t="n"/>
      <c r="AP1" s="1220" t="n"/>
      <c r="AQ1" s="1220" t="n"/>
      <c r="AR1" s="1220" t="n"/>
      <c r="AS1" s="1220" t="n"/>
    </row>
    <row r="2" ht="42" customHeight="1" s="36">
      <c r="A2" s="750" t="inlineStr">
        <is>
          <t>source_id</t>
        </is>
      </c>
      <c r="B2" s="750" t="inlineStr">
        <is>
          <t>snapshot_id</t>
        </is>
      </c>
      <c r="C2" s="750" t="inlineStr">
        <is>
          <t>stored_filename</t>
        </is>
      </c>
      <c r="D2" s="750" t="inlineStr">
        <is>
          <t>snapshot_status</t>
        </is>
      </c>
      <c r="E2" s="750" t="inlineStr">
        <is>
          <t>selection_status</t>
        </is>
      </c>
      <c r="F2" s="750" t="inlineStr">
        <is>
          <t>download_status</t>
        </is>
      </c>
      <c r="G2" s="750" t="inlineStr">
        <is>
          <t>last_attempt_at</t>
        </is>
      </c>
      <c r="H2" s="750" t="inlineStr">
        <is>
          <t>last_success_at</t>
        </is>
      </c>
      <c r="I2" s="750" t="inlineStr">
        <is>
          <t>content_change</t>
        </is>
      </c>
      <c r="J2" s="750" t="inlineStr">
        <is>
          <t>current_origin</t>
        </is>
      </c>
      <c r="K2" s="750" t="inlineStr">
        <is>
          <t>current_snapshot_date</t>
        </is>
      </c>
      <c r="L2" s="750" t="inlineStr">
        <is>
          <t>failure_stage</t>
        </is>
      </c>
      <c r="M2" s="750" t="inlineStr">
        <is>
          <t>failure_reason</t>
        </is>
      </c>
      <c r="N2" s="750" t="inlineStr">
        <is>
          <t>needs_human_action</t>
        </is>
      </c>
      <c r="O2" s="750" t="inlineStr">
        <is>
          <t>content_hash</t>
        </is>
      </c>
      <c r="P2" s="750" t="inlineStr">
        <is>
          <t>source_title</t>
        </is>
      </c>
      <c r="Q2" s="750" t="inlineStr">
        <is>
          <t>official_url</t>
        </is>
      </c>
      <c r="R2" s="750" t="inlineStr">
        <is>
          <t>retrieval_url</t>
        </is>
      </c>
      <c r="S2" s="750" t="inlineStr">
        <is>
          <t>folder_code</t>
        </is>
      </c>
      <c r="T2" s="750" t="inlineStr">
        <is>
          <t>file_format</t>
        </is>
      </c>
      <c r="U2" s="750" t="inlineStr">
        <is>
          <t>issuer</t>
        </is>
      </c>
      <c r="V2" s="750" t="inlineStr">
        <is>
          <t>jurisdiction</t>
        </is>
      </c>
      <c r="W2" s="750" t="inlineStr">
        <is>
          <t>authoritative_language</t>
        </is>
      </c>
      <c r="X2" s="750" t="inlineStr">
        <is>
          <t>version</t>
        </is>
      </c>
      <c r="Y2" s="750" t="inlineStr">
        <is>
          <t>effective_date</t>
        </is>
      </c>
      <c r="Z2" s="750" t="inlineStr">
        <is>
          <t>source_family</t>
        </is>
      </c>
      <c r="AA2" s="750" t="inlineStr">
        <is>
          <t>document_type</t>
        </is>
      </c>
      <c r="AB2" s="750" t="inlineStr">
        <is>
          <t>requirement_role</t>
        </is>
      </c>
      <c r="AC2" s="750" t="inlineStr">
        <is>
          <t>inclusion_rationale</t>
        </is>
      </c>
      <c r="AD2" s="750" t="inlineStr">
        <is>
          <t>authority_quality</t>
        </is>
      </c>
      <c r="AE2" s="750" t="inlineStr">
        <is>
          <t>scope_relevance</t>
        </is>
      </c>
      <c r="AF2" s="750" t="inlineStr">
        <is>
          <t>version_currency</t>
        </is>
      </c>
      <c r="AG2" s="750" t="inlineStr">
        <is>
          <t>traceability</t>
        </is>
      </c>
      <c r="AH2" s="750" t="inlineStr">
        <is>
          <t>access_permission</t>
        </is>
      </c>
      <c r="AI2" s="750" t="inlineStr">
        <is>
          <t>automation_readiness</t>
        </is>
      </c>
      <c r="AJ2" s="750" t="inlineStr">
        <is>
          <t>operator_selection_decision</t>
        </is>
      </c>
      <c r="AK2" s="750" t="inlineStr">
        <is>
          <t>manual_update_date</t>
        </is>
      </c>
      <c r="AL2" s="750" t="inlineStr">
        <is>
          <t>manual_updated_by</t>
        </is>
      </c>
      <c r="AM2" s="750" t="inlineStr">
        <is>
          <t>source_status</t>
        </is>
      </c>
      <c r="AN2" s="750" t="inlineStr">
        <is>
          <t>primary_source_id</t>
        </is>
      </c>
      <c r="AO2" s="750" t="inlineStr">
        <is>
          <t>notes</t>
        </is>
      </c>
      <c r="AP2" s="750" t="inlineStr">
        <is>
          <t>acquisition_channel</t>
        </is>
      </c>
      <c r="AQ2" s="750" t="inlineStr">
        <is>
          <t>provenance_status</t>
        </is>
      </c>
      <c r="AR2" s="750" t="inlineStr">
        <is>
          <t>update_model</t>
        </is>
      </c>
      <c r="AS2" s="750" t="inlineStr">
        <is>
          <t>applicability_reference</t>
        </is>
      </c>
    </row>
    <row r="3" ht="30" customHeight="1" s="36">
      <c r="A3" s="751" t="inlineStr">
        <is>
          <t>PA001</t>
        </is>
      </c>
      <c r="B3" s="751" t="inlineStr">
        <is>
          <t>PA001-001</t>
        </is>
      </c>
      <c r="C3" s="751" t="inlineStr">
        <is>
          <t>PA001-001_Act_relating_to_aquaculture_Aquaculture_Act.html</t>
        </is>
      </c>
      <c r="D3" s="751" t="inlineStr">
        <is>
          <t>STORED</t>
        </is>
      </c>
      <c r="E3" s="751">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
      </c>
      <c r="F3" s="751" t="inlineStr">
        <is>
          <t>SUCCESS</t>
        </is>
      </c>
      <c r="G3" s="755" t="n">
        <v>46262.53069444445</v>
      </c>
      <c r="H3" s="755" t="n">
        <v>46262.53069444445</v>
      </c>
      <c r="I3" s="751" t="inlineStr">
        <is>
          <t>INITIAL</t>
        </is>
      </c>
      <c r="J3" s="751" t="inlineStr">
        <is>
          <t>AUTO</t>
        </is>
      </c>
      <c r="K3" s="757">
        <f>IF(A3="","",IF(J3="AUTO",H3,IF(J3="MANUAL",AK3,"")))</f>
        <v/>
      </c>
      <c r="L3" s="751" t="inlineStr">
        <is>
          <t>NONE</t>
        </is>
      </c>
      <c r="M3" s="751" t="n"/>
      <c r="N3" s="751">
        <f>IF(A3="","",IF(COUNTIFS('Human Operation Desktop'!$A$3:$A$502,A3,'Human Operation Desktop'!$I$3:$I$502,"&lt;&gt;APPLIED",'Human Operation Desktop'!$I$3:$I$502,"&lt;&gt;REJECTED")&gt;0,"YES","NO"))</f>
        <v/>
      </c>
      <c r="O3" s="751" t="inlineStr">
        <is>
          <t>8c9f2d952806c8dabc44294d197d55654284d98ff63683cae18633b9ab76a967</t>
        </is>
      </c>
      <c r="P3" s="752" t="inlineStr">
        <is>
          <t>Act relating to aquaculture (Aquaculture Act)</t>
        </is>
      </c>
      <c r="Q3" s="752" t="inlineStr">
        <is>
          <t>https://lovdata.no/dokument/NL/lov/2005-06-17-79</t>
        </is>
      </c>
      <c r="R3" s="752" t="inlineStr">
        <is>
          <t>https://lovdata.no/dokument/NL/lov/2005-06-17-79</t>
        </is>
      </c>
      <c r="S3" s="752" t="inlineStr">
        <is>
          <t>A_Public_Authority</t>
        </is>
      </c>
      <c r="T3" s="752" t="inlineStr">
        <is>
          <t>html</t>
        </is>
      </c>
      <c r="U3" s="752" t="inlineStr">
        <is>
          <t>Norwegian Ministry of Trade, Industry and Fisheries</t>
        </is>
      </c>
      <c r="V3" s="752" t="inlineStr">
        <is>
          <t>Norway</t>
        </is>
      </c>
      <c r="W3" s="752" t="inlineStr">
        <is>
          <t>Norwegian</t>
        </is>
      </c>
      <c r="X3" s="752" t="n"/>
      <c r="Y3" s="752" t="n"/>
      <c r="Z3" s="752" t="inlineStr">
        <is>
          <t>Public authority</t>
        </is>
      </c>
      <c r="AA3" s="752" t="inlineStr">
        <is>
          <t>Law</t>
        </is>
      </c>
      <c r="AB3" s="752" t="inlineStr">
        <is>
          <t>Primary normative</t>
        </is>
      </c>
      <c r="AC3" s="752" t="inlineStr">
        <is>
          <t>Official law issued by Norwegian Ministry of Trade, Industry and Fisheries; included because it may impose binding requirements on an in-scope aquaculture asset, activity, permit or certification.</t>
        </is>
      </c>
      <c r="AD3" s="752" t="inlineStr">
        <is>
          <t>HIGH</t>
        </is>
      </c>
      <c r="AE3" s="752" t="inlineStr">
        <is>
          <t>HIGH</t>
        </is>
      </c>
      <c r="AF3" s="752" t="inlineStr">
        <is>
          <t>HIGH</t>
        </is>
      </c>
      <c r="AG3" s="752" t="inlineStr">
        <is>
          <t>HIGH</t>
        </is>
      </c>
      <c r="AH3" s="752" t="inlineStr">
        <is>
          <t>HIGH</t>
        </is>
      </c>
      <c r="AI3" s="752" t="inlineStr">
        <is>
          <t>HIGH</t>
        </is>
      </c>
      <c r="AJ3" s="752" t="inlineStr">
        <is>
          <t>INCLUDE</t>
        </is>
      </c>
      <c r="AK3" s="759" t="n"/>
      <c r="AL3" s="752" t="n"/>
      <c r="AM3" s="752" t="inlineStr">
        <is>
          <t>CURRENT</t>
        </is>
      </c>
      <c r="AN3" s="752" t="n"/>
      <c r="AO3" s="752" t="inlineStr">
        <is>
          <t>Project-mentioned candidate. Client scope and applicability are not yet approved.</t>
        </is>
      </c>
      <c r="AP3" s="752" t="inlineStr">
        <is>
          <t>OFFICIAL_WEBSITE</t>
        </is>
      </c>
      <c r="AQ3" s="752" t="inlineStr">
        <is>
          <t>OFFICIAL_ORIGINAL</t>
        </is>
      </c>
      <c r="AR3" s="752" t="inlineStr">
        <is>
          <t>ROLLING</t>
        </is>
      </c>
      <c r="AS3" s="752" t="n"/>
    </row>
    <row r="4" ht="30" customHeight="1" s="36">
      <c r="A4" s="751" t="inlineStr">
        <is>
          <t>PA002</t>
        </is>
      </c>
      <c r="B4" s="751" t="inlineStr">
        <is>
          <t>PA002-001</t>
        </is>
      </c>
      <c r="C4" s="751" t="inlineStr">
        <is>
          <t>PA002-001_Regulation_on_production_areas_for_sea-based_salmon_trout_and_rainbow_trout_aquaculture.html</t>
        </is>
      </c>
      <c r="D4" s="751" t="inlineStr">
        <is>
          <t>STORED</t>
        </is>
      </c>
      <c r="E4" s="751">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
      </c>
      <c r="F4" s="751" t="inlineStr">
        <is>
          <t>SUCCESS</t>
        </is>
      </c>
      <c r="G4" s="755" t="n">
        <v>46262.53069444445</v>
      </c>
      <c r="H4" s="755" t="n">
        <v>46262.53069444445</v>
      </c>
      <c r="I4" s="751" t="inlineStr">
        <is>
          <t>INITIAL</t>
        </is>
      </c>
      <c r="J4" s="751" t="inlineStr">
        <is>
          <t>AUTO</t>
        </is>
      </c>
      <c r="K4" s="757">
        <f>IF(A4="","",IF(J4="AUTO",H4,IF(J4="MANUAL",AK4,"")))</f>
        <v/>
      </c>
      <c r="L4" s="751" t="inlineStr">
        <is>
          <t>NONE</t>
        </is>
      </c>
      <c r="M4" s="751" t="n"/>
      <c r="N4" s="751">
        <f>IF(A4="","",IF(COUNTIFS('Human Operation Desktop'!$A$3:$A$502,A4,'Human Operation Desktop'!$I$3:$I$502,"&lt;&gt;APPLIED",'Human Operation Desktop'!$I$3:$I$502,"&lt;&gt;REJECTED")&gt;0,"YES","NO"))</f>
        <v/>
      </c>
      <c r="O4" s="751" t="inlineStr">
        <is>
          <t>19a632a343fe10fa8262a0ed8df8daa6d3e96e34ff686704da4c28e3671b2833</t>
        </is>
      </c>
      <c r="P4" s="752" t="inlineStr">
        <is>
          <t>Regulation on production areas for sea-based salmon, trout and rainbow trout aquaculture</t>
        </is>
      </c>
      <c r="Q4" s="752" t="inlineStr">
        <is>
          <t>https://lovdata.no/dokument/SF/forskrift/2017-01-16-61</t>
        </is>
      </c>
      <c r="R4" s="752" t="inlineStr">
        <is>
          <t>https://lovdata.no/dokument/SF/forskrift/2017-01-16-61</t>
        </is>
      </c>
      <c r="S4" s="752" t="inlineStr">
        <is>
          <t>A_Public_Authority</t>
        </is>
      </c>
      <c r="T4" s="752" t="inlineStr">
        <is>
          <t>html</t>
        </is>
      </c>
      <c r="U4" s="752" t="inlineStr">
        <is>
          <t>Norwegian Ministry of Trade, Industry and Fisheries</t>
        </is>
      </c>
      <c r="V4" s="752" t="inlineStr">
        <is>
          <t>Norway</t>
        </is>
      </c>
      <c r="W4" s="752" t="inlineStr">
        <is>
          <t>Norwegian</t>
        </is>
      </c>
      <c r="X4" s="752" t="n"/>
      <c r="Y4" s="752" t="n"/>
      <c r="Z4" s="752" t="inlineStr">
        <is>
          <t>Public authority</t>
        </is>
      </c>
      <c r="AA4" s="752" t="inlineStr">
        <is>
          <t>Regulation</t>
        </is>
      </c>
      <c r="AB4" s="752" t="inlineStr">
        <is>
          <t>Primary normative</t>
        </is>
      </c>
      <c r="AC4" s="752" t="inlineStr">
        <is>
          <t>Official regulation issued by Norwegian Ministry of Trade, Industry and Fisheries; included because it may impose binding requirements on an in-scope aquaculture asset, activity, permit or certification.</t>
        </is>
      </c>
      <c r="AD4" s="752" t="inlineStr">
        <is>
          <t>HIGH</t>
        </is>
      </c>
      <c r="AE4" s="752" t="inlineStr">
        <is>
          <t>HIGH</t>
        </is>
      </c>
      <c r="AF4" s="752" t="inlineStr">
        <is>
          <t>HIGH</t>
        </is>
      </c>
      <c r="AG4" s="752" t="inlineStr">
        <is>
          <t>HIGH</t>
        </is>
      </c>
      <c r="AH4" s="752" t="inlineStr">
        <is>
          <t>HIGH</t>
        </is>
      </c>
      <c r="AI4" s="752" t="inlineStr">
        <is>
          <t>HIGH</t>
        </is>
      </c>
      <c r="AJ4" s="752" t="inlineStr">
        <is>
          <t>INCLUDE</t>
        </is>
      </c>
      <c r="AK4" s="759" t="n"/>
      <c r="AL4" s="752" t="n"/>
      <c r="AM4" s="752" t="inlineStr">
        <is>
          <t>CURRENT</t>
        </is>
      </c>
      <c r="AN4" s="752" t="n"/>
      <c r="AO4" s="752" t="inlineStr">
        <is>
          <t>Project-mentioned candidate. Conditional on species, production area and sea-based operation.</t>
        </is>
      </c>
      <c r="AP4" s="752" t="inlineStr">
        <is>
          <t>OFFICIAL_WEBSITE</t>
        </is>
      </c>
      <c r="AQ4" s="752" t="inlineStr">
        <is>
          <t>OFFICIAL_ORIGINAL</t>
        </is>
      </c>
      <c r="AR4" s="752" t="inlineStr">
        <is>
          <t>ROLLING</t>
        </is>
      </c>
      <c r="AS4" s="752" t="n"/>
    </row>
    <row r="5" ht="30" customHeight="1" s="36">
      <c r="A5" s="751" t="inlineStr">
        <is>
          <t>PA003</t>
        </is>
      </c>
      <c r="B5" s="751" t="inlineStr">
        <is>
          <t>PA003-001</t>
        </is>
      </c>
      <c r="C5" s="751" t="inlineStr">
        <is>
          <t>PA003-001_Regulation_on_the_operation_of_aquaculture_facilities_Aquaculture_Operations_Regulations.html</t>
        </is>
      </c>
      <c r="D5" s="751" t="inlineStr">
        <is>
          <t>STORED</t>
        </is>
      </c>
      <c r="E5" s="751">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
      </c>
      <c r="F5" s="751" t="inlineStr">
        <is>
          <t>SUCCESS</t>
        </is>
      </c>
      <c r="G5" s="755" t="n">
        <v>46262.53069444445</v>
      </c>
      <c r="H5" s="755" t="n">
        <v>46262.53070601852</v>
      </c>
      <c r="I5" s="751" t="inlineStr">
        <is>
          <t>INITIAL</t>
        </is>
      </c>
      <c r="J5" s="751" t="inlineStr">
        <is>
          <t>AUTO</t>
        </is>
      </c>
      <c r="K5" s="757">
        <f>IF(A5="","",IF(J5="AUTO",H5,IF(J5="MANUAL",AK5,"")))</f>
        <v/>
      </c>
      <c r="L5" s="751" t="inlineStr">
        <is>
          <t>NONE</t>
        </is>
      </c>
      <c r="M5" s="751" t="n"/>
      <c r="N5" s="751">
        <f>IF(A5="","",IF(COUNTIFS('Human Operation Desktop'!$A$3:$A$502,A5,'Human Operation Desktop'!$I$3:$I$502,"&lt;&gt;APPLIED",'Human Operation Desktop'!$I$3:$I$502,"&lt;&gt;REJECTED")&gt;0,"YES","NO"))</f>
        <v/>
      </c>
      <c r="O5" s="751" t="inlineStr">
        <is>
          <t>81650171c1177e709d49dfe6b19673e4d07f5425b3bbb5cbf8fef92e3421bbea</t>
        </is>
      </c>
      <c r="P5" s="752" t="inlineStr">
        <is>
          <t>Regulation on the operation of aquaculture facilities (Aquaculture Operations Regulations)</t>
        </is>
      </c>
      <c r="Q5" s="752" t="inlineStr">
        <is>
          <t>https://lovdata.no/dokument/SF/forskrift/2008-06-17-822</t>
        </is>
      </c>
      <c r="R5" s="752" t="inlineStr">
        <is>
          <t>https://lovdata.no/dokument/SF/forskrift/2008-06-17-822</t>
        </is>
      </c>
      <c r="S5" s="752" t="inlineStr">
        <is>
          <t>A_Public_Authority</t>
        </is>
      </c>
      <c r="T5" s="752" t="inlineStr">
        <is>
          <t>html</t>
        </is>
      </c>
      <c r="U5" s="752" t="inlineStr">
        <is>
          <t>Norwegian Government</t>
        </is>
      </c>
      <c r="V5" s="752" t="inlineStr">
        <is>
          <t>Norway</t>
        </is>
      </c>
      <c r="W5" s="752" t="inlineStr">
        <is>
          <t>Norwegian</t>
        </is>
      </c>
      <c r="X5" s="752" t="n"/>
      <c r="Y5" s="752" t="n"/>
      <c r="Z5" s="752" t="inlineStr">
        <is>
          <t>Public authority</t>
        </is>
      </c>
      <c r="AA5" s="752" t="inlineStr">
        <is>
          <t>Regulation</t>
        </is>
      </c>
      <c r="AB5" s="752" t="inlineStr">
        <is>
          <t>Primary normative</t>
        </is>
      </c>
      <c r="AC5" s="752" t="inlineStr">
        <is>
          <t>Official regulation issued by Norwegian Government; included because it may impose binding requirements on an in-scope aquaculture asset, activity, permit or certification.</t>
        </is>
      </c>
      <c r="AD5" s="752" t="inlineStr">
        <is>
          <t>HIGH</t>
        </is>
      </c>
      <c r="AE5" s="752" t="inlineStr">
        <is>
          <t>HIGH</t>
        </is>
      </c>
      <c r="AF5" s="752" t="inlineStr">
        <is>
          <t>HIGH</t>
        </is>
      </c>
      <c r="AG5" s="752" t="inlineStr">
        <is>
          <t>HIGH</t>
        </is>
      </c>
      <c r="AH5" s="752" t="inlineStr">
        <is>
          <t>HIGH</t>
        </is>
      </c>
      <c r="AI5" s="752" t="inlineStr">
        <is>
          <t>HIGH</t>
        </is>
      </c>
      <c r="AJ5" s="752" t="inlineStr">
        <is>
          <t>INCLUDE</t>
        </is>
      </c>
      <c r="AK5" s="759" t="n"/>
      <c r="AL5" s="752" t="n"/>
      <c r="AM5" s="752" t="inlineStr">
        <is>
          <t>CURRENT</t>
        </is>
      </c>
      <c r="AN5" s="752" t="n"/>
      <c r="AO5" s="752" t="inlineStr">
        <is>
          <t>Project-mentioned candidate. Central operational source; scope confirmation is still required.</t>
        </is>
      </c>
      <c r="AP5" s="752" t="inlineStr">
        <is>
          <t>OFFICIAL_WEBSITE</t>
        </is>
      </c>
      <c r="AQ5" s="752" t="inlineStr">
        <is>
          <t>OFFICIAL_ORIGINAL</t>
        </is>
      </c>
      <c r="AR5" s="752" t="inlineStr">
        <is>
          <t>ROLLING</t>
        </is>
      </c>
      <c r="AS5" s="752" t="n"/>
    </row>
    <row r="6" ht="30" customHeight="1" s="36">
      <c r="A6" s="751" t="inlineStr">
        <is>
          <t>PA004</t>
        </is>
      </c>
      <c r="B6" s="751" t="inlineStr">
        <is>
          <t>PA004-001</t>
        </is>
      </c>
      <c r="C6" s="751" t="inlineStr">
        <is>
          <t>PA004-001_NYTEK23_-_Regulation_on_technical_standards_for_aquaculture_facilities_for_fish_in_sea_lakes_and_watercourses.html</t>
        </is>
      </c>
      <c r="D6" s="751" t="inlineStr">
        <is>
          <t>STORED</t>
        </is>
      </c>
      <c r="E6" s="751">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
      </c>
      <c r="F6" s="751" t="inlineStr">
        <is>
          <t>SUCCESS</t>
        </is>
      </c>
      <c r="G6" s="755" t="n">
        <v>46262.53070601852</v>
      </c>
      <c r="H6" s="755" t="n">
        <v>46262.53070601852</v>
      </c>
      <c r="I6" s="751" t="inlineStr">
        <is>
          <t>INITIAL</t>
        </is>
      </c>
      <c r="J6" s="751" t="inlineStr">
        <is>
          <t>AUTO</t>
        </is>
      </c>
      <c r="K6" s="757">
        <f>IF(A6="","",IF(J6="AUTO",H6,IF(J6="MANUAL",AK6,"")))</f>
        <v/>
      </c>
      <c r="L6" s="751" t="inlineStr">
        <is>
          <t>NONE</t>
        </is>
      </c>
      <c r="M6" s="751" t="n"/>
      <c r="N6" s="751">
        <f>IF(A6="","",IF(COUNTIFS('Human Operation Desktop'!$A$3:$A$502,A6,'Human Operation Desktop'!$I$3:$I$502,"&lt;&gt;APPLIED",'Human Operation Desktop'!$I$3:$I$502,"&lt;&gt;REJECTED")&gt;0,"YES","NO"))</f>
        <v/>
      </c>
      <c r="O6" s="751" t="inlineStr">
        <is>
          <t>a20988ddfe78bcf3d4ab87695f50f2c0f57f542fe77f2b1a66f94a81a993ce17</t>
        </is>
      </c>
      <c r="P6" s="752" t="inlineStr">
        <is>
          <t>NYTEK23 - Regulation on technical standards for aquaculture facilities for fish in sea, lakes and watercourses</t>
        </is>
      </c>
      <c r="Q6" s="752" t="inlineStr">
        <is>
          <t>https://lovdata.no/dokument/SF/forskrift/2022-08-22-1484</t>
        </is>
      </c>
      <c r="R6" s="752" t="inlineStr">
        <is>
          <t>https://lovdata.no/dokument/SF/forskrift/2022-08-22-1484</t>
        </is>
      </c>
      <c r="S6" s="752" t="inlineStr">
        <is>
          <t>A_Public_Authority</t>
        </is>
      </c>
      <c r="T6" s="752" t="inlineStr">
        <is>
          <t>html</t>
        </is>
      </c>
      <c r="U6" s="752" t="inlineStr">
        <is>
          <t>Norwegian Ministry of Trade, Industry and Fisheries</t>
        </is>
      </c>
      <c r="V6" s="752" t="inlineStr">
        <is>
          <t>Norway</t>
        </is>
      </c>
      <c r="W6" s="752" t="inlineStr">
        <is>
          <t>Norwegian</t>
        </is>
      </c>
      <c r="X6" s="752" t="n"/>
      <c r="Y6" s="752" t="n"/>
      <c r="Z6" s="752" t="inlineStr">
        <is>
          <t>Public authority</t>
        </is>
      </c>
      <c r="AA6" s="752" t="inlineStr">
        <is>
          <t>Regulation</t>
        </is>
      </c>
      <c r="AB6" s="752" t="inlineStr">
        <is>
          <t>Primary normative</t>
        </is>
      </c>
      <c r="AC6" s="752" t="inlineStr">
        <is>
          <t>Official regulation issued by Norwegian Ministry of Trade, Industry and Fisheries; included because it may impose binding requirements on an in-scope aquaculture asset, activity, permit or certification.</t>
        </is>
      </c>
      <c r="AD6" s="752" t="inlineStr">
        <is>
          <t>HIGH</t>
        </is>
      </c>
      <c r="AE6" s="752" t="inlineStr">
        <is>
          <t>HIGH</t>
        </is>
      </c>
      <c r="AF6" s="752" t="inlineStr">
        <is>
          <t>HIGH</t>
        </is>
      </c>
      <c r="AG6" s="752" t="inlineStr">
        <is>
          <t>HIGH</t>
        </is>
      </c>
      <c r="AH6" s="752" t="inlineStr">
        <is>
          <t>HIGH</t>
        </is>
      </c>
      <c r="AI6" s="752" t="inlineStr">
        <is>
          <t>HIGH</t>
        </is>
      </c>
      <c r="AJ6" s="752" t="inlineStr">
        <is>
          <t>INCLUDE</t>
        </is>
      </c>
      <c r="AK6" s="759" t="n"/>
      <c r="AL6" s="752" t="n"/>
      <c r="AM6" s="752" t="inlineStr">
        <is>
          <t>CURRENT</t>
        </is>
      </c>
      <c r="AN6" s="752" t="n"/>
      <c r="AO6" s="752" t="inlineStr">
        <is>
          <t>Project-mentioned candidate. Applies to relevant water-based fish facilities.</t>
        </is>
      </c>
      <c r="AP6" s="752" t="inlineStr">
        <is>
          <t>OFFICIAL_WEBSITE</t>
        </is>
      </c>
      <c r="AQ6" s="752" t="inlineStr">
        <is>
          <t>OFFICIAL_ORIGINAL</t>
        </is>
      </c>
      <c r="AR6" s="752" t="inlineStr">
        <is>
          <t>ROLLING</t>
        </is>
      </c>
      <c r="AS6" s="752" t="n"/>
    </row>
    <row r="7" ht="30" customHeight="1" s="36">
      <c r="A7" s="751" t="inlineStr">
        <is>
          <t>PA005</t>
        </is>
      </c>
      <c r="B7" s="751" t="inlineStr">
        <is>
          <t>PA005-001</t>
        </is>
      </c>
      <c r="C7" s="751" t="inlineStr">
        <is>
          <t>PA005-001_Animal_Welfare_Act.html</t>
        </is>
      </c>
      <c r="D7" s="751" t="inlineStr">
        <is>
          <t>STORED</t>
        </is>
      </c>
      <c r="E7" s="751">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
      </c>
      <c r="F7" s="751" t="inlineStr">
        <is>
          <t>SUCCESS</t>
        </is>
      </c>
      <c r="G7" s="755" t="n">
        <v>46262.53070601852</v>
      </c>
      <c r="H7" s="755" t="n">
        <v>46262.53070601852</v>
      </c>
      <c r="I7" s="751" t="inlineStr">
        <is>
          <t>INITIAL</t>
        </is>
      </c>
      <c r="J7" s="751" t="inlineStr">
        <is>
          <t>AUTO</t>
        </is>
      </c>
      <c r="K7" s="757">
        <f>IF(A7="","",IF(J7="AUTO",H7,IF(J7="MANUAL",AK7,"")))</f>
        <v/>
      </c>
      <c r="L7" s="751" t="inlineStr">
        <is>
          <t>NONE</t>
        </is>
      </c>
      <c r="M7" s="751" t="n"/>
      <c r="N7" s="751">
        <f>IF(A7="","",IF(COUNTIFS('Human Operation Desktop'!$A$3:$A$502,A7,'Human Operation Desktop'!$I$3:$I$502,"&lt;&gt;APPLIED",'Human Operation Desktop'!$I$3:$I$502,"&lt;&gt;REJECTED")&gt;0,"YES","NO"))</f>
        <v/>
      </c>
      <c r="O7" s="751" t="inlineStr">
        <is>
          <t>121dce4cf5263302d47a467a612b437ffb1a6c660fb7454b6698101f16ea3808</t>
        </is>
      </c>
      <c r="P7" s="752" t="inlineStr">
        <is>
          <t>Animal Welfare Act</t>
        </is>
      </c>
      <c r="Q7" s="752" t="inlineStr">
        <is>
          <t>https://lovdata.no/dokument/NL/lov/2009-06-19-97</t>
        </is>
      </c>
      <c r="R7" s="752" t="inlineStr">
        <is>
          <t>https://lovdata.no/dokument/NL/lov/2009-06-19-97</t>
        </is>
      </c>
      <c r="S7" s="752" t="inlineStr">
        <is>
          <t>A_Public_Authority</t>
        </is>
      </c>
      <c r="T7" s="752" t="inlineStr">
        <is>
          <t>html</t>
        </is>
      </c>
      <c r="U7" s="752" t="inlineStr">
        <is>
          <t>Norwegian Ministry of Agriculture and Food</t>
        </is>
      </c>
      <c r="V7" s="752" t="inlineStr">
        <is>
          <t>Norway</t>
        </is>
      </c>
      <c r="W7" s="752" t="inlineStr">
        <is>
          <t>Norwegian</t>
        </is>
      </c>
      <c r="X7" s="752" t="n"/>
      <c r="Y7" s="752" t="n"/>
      <c r="Z7" s="752" t="inlineStr">
        <is>
          <t>Public authority</t>
        </is>
      </c>
      <c r="AA7" s="752" t="inlineStr">
        <is>
          <t>Law</t>
        </is>
      </c>
      <c r="AB7" s="752" t="inlineStr">
        <is>
          <t>Primary normative</t>
        </is>
      </c>
      <c r="AC7" s="752" t="inlineStr">
        <is>
          <t>Official law issued by Norwegian Ministry of Agriculture and Food; included because it may impose binding requirements on an in-scope aquaculture asset, activity, permit or certification.</t>
        </is>
      </c>
      <c r="AD7" s="752" t="inlineStr">
        <is>
          <t>HIGH</t>
        </is>
      </c>
      <c r="AE7" s="752" t="inlineStr">
        <is>
          <t>HIGH</t>
        </is>
      </c>
      <c r="AF7" s="752" t="inlineStr">
        <is>
          <t>HIGH</t>
        </is>
      </c>
      <c r="AG7" s="752" t="inlineStr">
        <is>
          <t>HIGH</t>
        </is>
      </c>
      <c r="AH7" s="752" t="inlineStr">
        <is>
          <t>HIGH</t>
        </is>
      </c>
      <c r="AI7" s="752" t="inlineStr">
        <is>
          <t>HIGH</t>
        </is>
      </c>
      <c r="AJ7" s="752" t="inlineStr">
        <is>
          <t>INCLUDE</t>
        </is>
      </c>
      <c r="AK7" s="759" t="n"/>
      <c r="AL7" s="752" t="n"/>
      <c r="AM7" s="752" t="inlineStr">
        <is>
          <t>CURRENT</t>
        </is>
      </c>
      <c r="AN7" s="752" t="n"/>
      <c r="AO7" s="752" t="inlineStr">
        <is>
          <t>Project-mentioned candidate covering fish and other aquatic animals.</t>
        </is>
      </c>
      <c r="AP7" s="752" t="inlineStr">
        <is>
          <t>OFFICIAL_WEBSITE</t>
        </is>
      </c>
      <c r="AQ7" s="752" t="inlineStr">
        <is>
          <t>OFFICIAL_ORIGINAL</t>
        </is>
      </c>
      <c r="AR7" s="752" t="inlineStr">
        <is>
          <t>ROLLING</t>
        </is>
      </c>
      <c r="AS7" s="752" t="n"/>
    </row>
    <row r="8" ht="30" customHeight="1" s="36">
      <c r="A8" s="751" t="inlineStr">
        <is>
          <t>PA006</t>
        </is>
      </c>
      <c r="B8" s="751" t="inlineStr">
        <is>
          <t>PA006-001</t>
        </is>
      </c>
      <c r="C8" s="751" t="inlineStr">
        <is>
          <t>PA006-001_Organic_Production_and_Labelling_Regulations.html</t>
        </is>
      </c>
      <c r="D8" s="751" t="inlineStr">
        <is>
          <t>STORED</t>
        </is>
      </c>
      <c r="E8" s="751">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
      </c>
      <c r="F8" s="751" t="inlineStr">
        <is>
          <t>SUCCESS</t>
        </is>
      </c>
      <c r="G8" s="755" t="n">
        <v>46262.53070601852</v>
      </c>
      <c r="H8" s="755" t="n">
        <v>46262.53081018518</v>
      </c>
      <c r="I8" s="751" t="inlineStr">
        <is>
          <t>INITIAL</t>
        </is>
      </c>
      <c r="J8" s="751" t="inlineStr">
        <is>
          <t>AUTO</t>
        </is>
      </c>
      <c r="K8" s="757">
        <f>IF(A8="","",IF(J8="AUTO",H8,IF(J8="MANUAL",AK8,"")))</f>
        <v/>
      </c>
      <c r="L8" s="751" t="inlineStr">
        <is>
          <t>NONE</t>
        </is>
      </c>
      <c r="M8" s="751" t="n"/>
      <c r="N8" s="751">
        <f>IF(A8="","",IF(COUNTIFS('Human Operation Desktop'!$A$3:$A$502,A8,'Human Operation Desktop'!$I$3:$I$502,"&lt;&gt;APPLIED",'Human Operation Desktop'!$I$3:$I$502,"&lt;&gt;REJECTED")&gt;0,"YES","NO"))</f>
        <v/>
      </c>
      <c r="O8" s="751" t="inlineStr">
        <is>
          <t>18009ae503b2261b56c5c11ddde0a8a7400915f2d1b93894f3ea66085b7ec642</t>
        </is>
      </c>
      <c r="P8" s="752" t="inlineStr">
        <is>
          <t>Organic Production and Labelling Regulations</t>
        </is>
      </c>
      <c r="Q8" s="752" t="inlineStr">
        <is>
          <t>https://lovdata.no/dokument/SF/forskrift/2022-06-11-1171</t>
        </is>
      </c>
      <c r="R8" s="752" t="inlineStr">
        <is>
          <t>https://lovdata.no/dokument/SF/forskrift/2022-06-11-1171</t>
        </is>
      </c>
      <c r="S8" s="752" t="inlineStr">
        <is>
          <t>A_Public_Authority</t>
        </is>
      </c>
      <c r="T8" s="752" t="inlineStr">
        <is>
          <t>html</t>
        </is>
      </c>
      <c r="U8" s="752" t="inlineStr">
        <is>
          <t>Norwegian Government</t>
        </is>
      </c>
      <c r="V8" s="752" t="inlineStr">
        <is>
          <t>Norway</t>
        </is>
      </c>
      <c r="W8" s="752" t="inlineStr">
        <is>
          <t>Norwegian</t>
        </is>
      </c>
      <c r="X8" s="752" t="n"/>
      <c r="Y8" s="752" t="n"/>
      <c r="Z8" s="752" t="inlineStr">
        <is>
          <t>Public authority</t>
        </is>
      </c>
      <c r="AA8" s="752" t="inlineStr">
        <is>
          <t>Regulation</t>
        </is>
      </c>
      <c r="AB8" s="752" t="inlineStr">
        <is>
          <t>Primary normative</t>
        </is>
      </c>
      <c r="AC8" s="752" t="inlineStr">
        <is>
          <t>Official regulation issued by Norwegian Government; included because it may impose binding requirements on an in-scope aquaculture asset, activity, permit or certification.</t>
        </is>
      </c>
      <c r="AD8" s="752" t="inlineStr">
        <is>
          <t>HIGH</t>
        </is>
      </c>
      <c r="AE8" s="752" t="inlineStr">
        <is>
          <t>MEDIUM</t>
        </is>
      </c>
      <c r="AF8" s="752" t="inlineStr">
        <is>
          <t>HIGH</t>
        </is>
      </c>
      <c r="AG8" s="752" t="inlineStr">
        <is>
          <t>HIGH</t>
        </is>
      </c>
      <c r="AH8" s="752" t="inlineStr">
        <is>
          <t>HIGH</t>
        </is>
      </c>
      <c r="AI8" s="752" t="inlineStr">
        <is>
          <t>HIGH</t>
        </is>
      </c>
      <c r="AJ8" s="752" t="inlineStr">
        <is>
          <t>PENDING</t>
        </is>
      </c>
      <c r="AK8" s="759" t="n"/>
      <c r="AL8" s="752" t="n"/>
      <c r="AM8" s="752" t="inlineStr">
        <is>
          <t>CURRENT</t>
        </is>
      </c>
      <c r="AN8" s="752" t="n"/>
      <c r="AO8" s="752" t="inlineStr">
        <is>
          <t>Project-mentioned candidate. Include only for organic production or labelling scope.</t>
        </is>
      </c>
      <c r="AP8" s="752" t="inlineStr">
        <is>
          <t>OFFICIAL_WEBSITE</t>
        </is>
      </c>
      <c r="AQ8" s="752" t="inlineStr">
        <is>
          <t>OFFICIAL_ORIGINAL</t>
        </is>
      </c>
      <c r="AR8" s="752" t="inlineStr">
        <is>
          <t>ROLLING</t>
        </is>
      </c>
      <c r="AS8" s="752" t="n"/>
    </row>
    <row r="9" ht="30" customHeight="1" s="36">
      <c r="A9" s="751" t="inlineStr">
        <is>
          <t>PA007</t>
        </is>
      </c>
      <c r="B9" s="751" t="inlineStr">
        <is>
          <t>PA007-001</t>
        </is>
      </c>
      <c r="C9" s="751" t="inlineStr">
        <is>
          <t>PA007-001_Pollution_Control_Act.html</t>
        </is>
      </c>
      <c r="D9" s="751" t="inlineStr">
        <is>
          <t>STORED</t>
        </is>
      </c>
      <c r="E9" s="751">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
      </c>
      <c r="F9" s="751" t="inlineStr">
        <is>
          <t>SUCCESS</t>
        </is>
      </c>
      <c r="G9" s="755" t="n">
        <v>46262.53081018518</v>
      </c>
      <c r="H9" s="755" t="n">
        <v>46262.53081018518</v>
      </c>
      <c r="I9" s="751" t="inlineStr">
        <is>
          <t>INITIAL</t>
        </is>
      </c>
      <c r="J9" s="751" t="inlineStr">
        <is>
          <t>AUTO</t>
        </is>
      </c>
      <c r="K9" s="757">
        <f>IF(A9="","",IF(J9="AUTO",H9,IF(J9="MANUAL",AK9,"")))</f>
        <v/>
      </c>
      <c r="L9" s="751" t="inlineStr">
        <is>
          <t>NONE</t>
        </is>
      </c>
      <c r="M9" s="751" t="n"/>
      <c r="N9" s="751">
        <f>IF(A9="","",IF(COUNTIFS('Human Operation Desktop'!$A$3:$A$502,A9,'Human Operation Desktop'!$I$3:$I$502,"&lt;&gt;APPLIED",'Human Operation Desktop'!$I$3:$I$502,"&lt;&gt;REJECTED")&gt;0,"YES","NO"))</f>
        <v/>
      </c>
      <c r="O9" s="751" t="inlineStr">
        <is>
          <t>6dbac9891bf38811447ed04c583140063ff23e0e1494e59f5ca0aa485b1e5901</t>
        </is>
      </c>
      <c r="P9" s="752" t="inlineStr">
        <is>
          <t>Pollution Control Act</t>
        </is>
      </c>
      <c r="Q9" s="752" t="inlineStr">
        <is>
          <t>https://lovdata.no/dokument/NL/lov/1981-03-13-6</t>
        </is>
      </c>
      <c r="R9" s="752" t="inlineStr">
        <is>
          <t>https://lovdata.no/dokument/NL/lov/1981-03-13-6</t>
        </is>
      </c>
      <c r="S9" s="752" t="inlineStr">
        <is>
          <t>A_Public_Authority</t>
        </is>
      </c>
      <c r="T9" s="752" t="inlineStr">
        <is>
          <t>html</t>
        </is>
      </c>
      <c r="U9" s="752" t="inlineStr">
        <is>
          <t>Norwegian Ministry of Climate and Environment</t>
        </is>
      </c>
      <c r="V9" s="752" t="inlineStr">
        <is>
          <t>Norway</t>
        </is>
      </c>
      <c r="W9" s="752" t="inlineStr">
        <is>
          <t>Norwegian</t>
        </is>
      </c>
      <c r="X9" s="752" t="n"/>
      <c r="Y9" s="752" t="n"/>
      <c r="Z9" s="752" t="inlineStr">
        <is>
          <t>Public authority</t>
        </is>
      </c>
      <c r="AA9" s="752" t="inlineStr">
        <is>
          <t>Law</t>
        </is>
      </c>
      <c r="AB9" s="752" t="inlineStr">
        <is>
          <t>Primary normative</t>
        </is>
      </c>
      <c r="AC9" s="752" t="inlineStr">
        <is>
          <t>Official law issued by Norwegian Ministry of Climate and Environment; included because it may impose binding requirements on an in-scope aquaculture asset, activity, permit or certification.</t>
        </is>
      </c>
      <c r="AD9" s="752" t="inlineStr">
        <is>
          <t>HIGH</t>
        </is>
      </c>
      <c r="AE9" s="752" t="inlineStr">
        <is>
          <t>HIGH</t>
        </is>
      </c>
      <c r="AF9" s="752" t="inlineStr">
        <is>
          <t>HIGH</t>
        </is>
      </c>
      <c r="AG9" s="752" t="inlineStr">
        <is>
          <t>HIGH</t>
        </is>
      </c>
      <c r="AH9" s="752" t="inlineStr">
        <is>
          <t>HIGH</t>
        </is>
      </c>
      <c r="AI9" s="752" t="inlineStr">
        <is>
          <t>HIGH</t>
        </is>
      </c>
      <c r="AJ9" s="752" t="inlineStr">
        <is>
          <t>INCLUDE</t>
        </is>
      </c>
      <c r="AK9" s="759" t="n"/>
      <c r="AL9" s="752" t="n"/>
      <c r="AM9" s="752" t="inlineStr">
        <is>
          <t>CURRENT</t>
        </is>
      </c>
      <c r="AN9" s="752" t="n"/>
      <c r="AO9" s="752" t="inlineStr">
        <is>
          <t>Project-mentioned candidate for emissions, waste and pollution permits.</t>
        </is>
      </c>
      <c r="AP9" s="752" t="inlineStr">
        <is>
          <t>OFFICIAL_WEBSITE</t>
        </is>
      </c>
      <c r="AQ9" s="752" t="inlineStr">
        <is>
          <t>OFFICIAL_ORIGINAL</t>
        </is>
      </c>
      <c r="AR9" s="752" t="inlineStr">
        <is>
          <t>ROLLING</t>
        </is>
      </c>
      <c r="AS9" s="752" t="n"/>
    </row>
    <row r="10" ht="30" customHeight="1" s="36">
      <c r="A10" s="751" t="inlineStr">
        <is>
          <t>PA008</t>
        </is>
      </c>
      <c r="B10" s="751" t="inlineStr">
        <is>
          <t>PA008-001</t>
        </is>
      </c>
      <c r="C10" s="751" t="inlineStr">
        <is>
          <t>PA008-001_Water_Framework_Regulations.html</t>
        </is>
      </c>
      <c r="D10" s="751" t="inlineStr">
        <is>
          <t>STORED</t>
        </is>
      </c>
      <c r="E10" s="751">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
      </c>
      <c r="F10" s="751" t="inlineStr">
        <is>
          <t>SUCCESS</t>
        </is>
      </c>
      <c r="G10" s="755" t="n">
        <v>46262.53081018518</v>
      </c>
      <c r="H10" s="755" t="n">
        <v>46262.53081018518</v>
      </c>
      <c r="I10" s="751" t="inlineStr">
        <is>
          <t>INITIAL</t>
        </is>
      </c>
      <c r="J10" s="751" t="inlineStr">
        <is>
          <t>AUTO</t>
        </is>
      </c>
      <c r="K10" s="757">
        <f>IF(A10="","",IF(J10="AUTO",H10,IF(J10="MANUAL",AK10,"")))</f>
        <v/>
      </c>
      <c r="L10" s="751" t="inlineStr">
        <is>
          <t>NONE</t>
        </is>
      </c>
      <c r="M10" s="751" t="n"/>
      <c r="N10" s="751">
        <f>IF(A10="","",IF(COUNTIFS('Human Operation Desktop'!$A$3:$A$502,A10,'Human Operation Desktop'!$I$3:$I$502,"&lt;&gt;APPLIED",'Human Operation Desktop'!$I$3:$I$502,"&lt;&gt;REJECTED")&gt;0,"YES","NO"))</f>
        <v/>
      </c>
      <c r="O10" s="751" t="inlineStr">
        <is>
          <t>bc9d9f926fe9f5ba2ee6df81938c45b7f4a20579ab7f7a149a5e9d1432169da2</t>
        </is>
      </c>
      <c r="P10" s="752" t="inlineStr">
        <is>
          <t>Water Framework Regulations</t>
        </is>
      </c>
      <c r="Q10" s="752" t="inlineStr">
        <is>
          <t>https://lovdata.no/dokument/SF/forskrift/2006-12-15-1446</t>
        </is>
      </c>
      <c r="R10" s="752" t="inlineStr">
        <is>
          <t>https://lovdata.no/dokument/SF/forskrift/2006-12-15-1446</t>
        </is>
      </c>
      <c r="S10" s="752" t="inlineStr">
        <is>
          <t>A_Public_Authority</t>
        </is>
      </c>
      <c r="T10" s="752" t="inlineStr">
        <is>
          <t>html</t>
        </is>
      </c>
      <c r="U10" s="752" t="inlineStr">
        <is>
          <t>Norwegian Government</t>
        </is>
      </c>
      <c r="V10" s="752" t="inlineStr">
        <is>
          <t>Norway</t>
        </is>
      </c>
      <c r="W10" s="752" t="inlineStr">
        <is>
          <t>Norwegian</t>
        </is>
      </c>
      <c r="X10" s="752" t="n"/>
      <c r="Y10" s="752" t="n"/>
      <c r="Z10" s="752" t="inlineStr">
        <is>
          <t>Public authority</t>
        </is>
      </c>
      <c r="AA10" s="752" t="inlineStr">
        <is>
          <t>Regulation</t>
        </is>
      </c>
      <c r="AB10" s="752" t="inlineStr">
        <is>
          <t>Referenced normative</t>
        </is>
      </c>
      <c r="AC10" s="752" t="inlineStr">
        <is>
          <t>Official referenced source from Norwegian Government; included because an applicable law, permit or certification scheme may make its provisions binding within the approved scope.</t>
        </is>
      </c>
      <c r="AD10" s="752" t="inlineStr">
        <is>
          <t>HIGH</t>
        </is>
      </c>
      <c r="AE10" s="752" t="inlineStr">
        <is>
          <t>MEDIUM</t>
        </is>
      </c>
      <c r="AF10" s="752" t="inlineStr">
        <is>
          <t>HIGH</t>
        </is>
      </c>
      <c r="AG10" s="752" t="inlineStr">
        <is>
          <t>HIGH</t>
        </is>
      </c>
      <c r="AH10" s="752" t="inlineStr">
        <is>
          <t>HIGH</t>
        </is>
      </c>
      <c r="AI10" s="752" t="inlineStr">
        <is>
          <t>HIGH</t>
        </is>
      </c>
      <c r="AJ10" s="752" t="inlineStr">
        <is>
          <t>PENDING</t>
        </is>
      </c>
      <c r="AK10" s="759" t="n"/>
      <c r="AL10" s="752" t="n"/>
      <c r="AM10" s="752" t="inlineStr">
        <is>
          <t>CURRENT</t>
        </is>
      </c>
      <c r="AN10" s="752" t="n"/>
      <c r="AO10" s="752" t="inlineStr">
        <is>
          <t>Project-mentioned candidate. Relevance depends on recipient and water-body assessment.</t>
        </is>
      </c>
      <c r="AP10" s="752" t="inlineStr">
        <is>
          <t>OFFICIAL_WEBSITE</t>
        </is>
      </c>
      <c r="AQ10" s="752" t="inlineStr">
        <is>
          <t>OFFICIAL_ORIGINAL</t>
        </is>
      </c>
      <c r="AR10" s="752" t="inlineStr">
        <is>
          <t>ROLLING</t>
        </is>
      </c>
      <c r="AS10" s="752" t="n"/>
    </row>
    <row r="11" ht="30" customHeight="1" s="36">
      <c r="A11" s="751" t="inlineStr">
        <is>
          <t>PA009</t>
        </is>
      </c>
      <c r="B11" s="751" t="inlineStr">
        <is>
          <t>PA009-001</t>
        </is>
      </c>
      <c r="C11" s="751" t="inlineStr">
        <is>
          <t>PA009-001_Product_Control_Act.html</t>
        </is>
      </c>
      <c r="D11" s="751" t="inlineStr">
        <is>
          <t>STORED</t>
        </is>
      </c>
      <c r="E11" s="751">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
      </c>
      <c r="F11" s="751" t="inlineStr">
        <is>
          <t>SUCCESS</t>
        </is>
      </c>
      <c r="G11" s="755" t="n">
        <v>46262.53082175926</v>
      </c>
      <c r="H11" s="755" t="n">
        <v>46262.53082175926</v>
      </c>
      <c r="I11" s="751" t="inlineStr">
        <is>
          <t>INITIAL</t>
        </is>
      </c>
      <c r="J11" s="751" t="inlineStr">
        <is>
          <t>AUTO</t>
        </is>
      </c>
      <c r="K11" s="757">
        <f>IF(A11="","",IF(J11="AUTO",H11,IF(J11="MANUAL",AK11,"")))</f>
        <v/>
      </c>
      <c r="L11" s="751" t="inlineStr">
        <is>
          <t>NONE</t>
        </is>
      </c>
      <c r="M11" s="751" t="n"/>
      <c r="N11" s="751">
        <f>IF(A11="","",IF(COUNTIFS('Human Operation Desktop'!$A$3:$A$502,A11,'Human Operation Desktop'!$I$3:$I$502,"&lt;&gt;APPLIED",'Human Operation Desktop'!$I$3:$I$502,"&lt;&gt;REJECTED")&gt;0,"YES","NO"))</f>
        <v/>
      </c>
      <c r="O11" s="751" t="inlineStr">
        <is>
          <t>3805399145febb193e5e92fe37c364f9d2e0c87c260acc495f284639e92641a2</t>
        </is>
      </c>
      <c r="P11" s="752" t="inlineStr">
        <is>
          <t>Product Control Act</t>
        </is>
      </c>
      <c r="Q11" s="752" t="inlineStr">
        <is>
          <t>https://lovdata.no/dokument/NL/lov/1976-06-11-79</t>
        </is>
      </c>
      <c r="R11" s="752" t="inlineStr">
        <is>
          <t>https://lovdata.no/dokument/NL/lov/1976-06-11-79</t>
        </is>
      </c>
      <c r="S11" s="752" t="inlineStr">
        <is>
          <t>A_Public_Authority</t>
        </is>
      </c>
      <c r="T11" s="752" t="inlineStr">
        <is>
          <t>html</t>
        </is>
      </c>
      <c r="U11" s="752" t="inlineStr">
        <is>
          <t>Norwegian Ministry of Climate and Environment</t>
        </is>
      </c>
      <c r="V11" s="752" t="inlineStr">
        <is>
          <t>Norway</t>
        </is>
      </c>
      <c r="W11" s="752" t="inlineStr">
        <is>
          <t>Norwegian</t>
        </is>
      </c>
      <c r="X11" s="752" t="n"/>
      <c r="Y11" s="752" t="n"/>
      <c r="Z11" s="752" t="inlineStr">
        <is>
          <t>Public authority</t>
        </is>
      </c>
      <c r="AA11" s="752" t="inlineStr">
        <is>
          <t>Law</t>
        </is>
      </c>
      <c r="AB11" s="752" t="inlineStr">
        <is>
          <t>Primary normative</t>
        </is>
      </c>
      <c r="AC11" s="752" t="inlineStr">
        <is>
          <t>Official law issued by Norwegian Ministry of Climate and Environment; included because it may impose binding requirements on an in-scope aquaculture asset, activity, permit or certification.</t>
        </is>
      </c>
      <c r="AD11" s="752" t="inlineStr">
        <is>
          <t>HIGH</t>
        </is>
      </c>
      <c r="AE11" s="752" t="inlineStr">
        <is>
          <t>HIGH</t>
        </is>
      </c>
      <c r="AF11" s="752" t="inlineStr">
        <is>
          <t>HIGH</t>
        </is>
      </c>
      <c r="AG11" s="752" t="inlineStr">
        <is>
          <t>HIGH</t>
        </is>
      </c>
      <c r="AH11" s="752" t="inlineStr">
        <is>
          <t>HIGH</t>
        </is>
      </c>
      <c r="AI11" s="752" t="inlineStr">
        <is>
          <t>HIGH</t>
        </is>
      </c>
      <c r="AJ11" s="752" t="inlineStr">
        <is>
          <t>INCLUDE</t>
        </is>
      </c>
      <c r="AK11" s="759" t="n"/>
      <c r="AL11" s="752" t="n"/>
      <c r="AM11" s="752" t="inlineStr">
        <is>
          <t>CURRENT</t>
        </is>
      </c>
      <c r="AN11" s="752" t="n"/>
      <c r="AO11" s="752" t="inlineStr">
        <is>
          <t>Project-mentioned candidate, including substitution duties for harmful products.</t>
        </is>
      </c>
      <c r="AP11" s="752" t="inlineStr">
        <is>
          <t>OFFICIAL_WEBSITE</t>
        </is>
      </c>
      <c r="AQ11" s="752" t="inlineStr">
        <is>
          <t>OFFICIAL_ORIGINAL</t>
        </is>
      </c>
      <c r="AR11" s="752" t="inlineStr">
        <is>
          <t>ROLLING</t>
        </is>
      </c>
      <c r="AS11" s="752" t="n"/>
    </row>
    <row r="12" ht="30" customHeight="1" s="36">
      <c r="A12" s="751" t="inlineStr">
        <is>
          <t>PA010</t>
        </is>
      </c>
      <c r="B12" s="751" t="inlineStr">
        <is>
          <t>PA010-001</t>
        </is>
      </c>
      <c r="C12" s="751" t="inlineStr">
        <is>
          <t>PA010-001_Regulation_EU_2016_429_on_transmissible_animal_diseases_Animal_Health_Law.html</t>
        </is>
      </c>
      <c r="D12" s="751" t="inlineStr">
        <is>
          <t>STORED</t>
        </is>
      </c>
      <c r="E12" s="751">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
      </c>
      <c r="F12" s="751" t="inlineStr">
        <is>
          <t>SUCCESS</t>
        </is>
      </c>
      <c r="G12" s="755" t="n">
        <v>46265.4465625</v>
      </c>
      <c r="H12" s="755" t="n">
        <v>46265.44657407407</v>
      </c>
      <c r="I12" s="751" t="inlineStr">
        <is>
          <t>INITIAL</t>
        </is>
      </c>
      <c r="J12" s="751" t="inlineStr">
        <is>
          <t>AUTO</t>
        </is>
      </c>
      <c r="K12" s="757">
        <f>IF(A12="","",IF(J12="AUTO",H12,IF(J12="MANUAL",AK12,"")))</f>
        <v/>
      </c>
      <c r="L12" s="751" t="inlineStr">
        <is>
          <t>NONE</t>
        </is>
      </c>
      <c r="M12" s="751" t="n"/>
      <c r="N12" s="751">
        <f>IF(A12="","",IF(COUNTIFS('Human Operation Desktop'!$A$3:$A$502,A12,'Human Operation Desktop'!$I$3:$I$502,"&lt;&gt;APPLIED",'Human Operation Desktop'!$I$3:$I$502,"&lt;&gt;REJECTED")&gt;0,"YES","NO"))</f>
        <v/>
      </c>
      <c r="O12" s="751" t="inlineStr">
        <is>
          <t>3ac51613dbdfb998b2d2c68e2df564b8a19c7d398d34d52f0228e6c10c30f8ed</t>
        </is>
      </c>
      <c r="P12" s="752" t="inlineStr">
        <is>
          <t>Regulation (EU) 2016/429 on transmissible animal diseases (Animal Health Law)</t>
        </is>
      </c>
      <c r="Q12" s="752" t="inlineStr">
        <is>
          <t>https://eur-lex.europa.eu/legal-content/EN/TXT/?uri=CELEX:32016R0429</t>
        </is>
      </c>
      <c r="R12" s="752" t="inlineStr">
        <is>
          <t>https://publications.europa.eu/resource/oj/JOL_2016_084_R_0001.ENG</t>
        </is>
      </c>
      <c r="S12" s="752" t="inlineStr">
        <is>
          <t>A_Public_Authority</t>
        </is>
      </c>
      <c r="T12" s="752" t="inlineStr">
        <is>
          <t>html</t>
        </is>
      </c>
      <c r="U12" s="752" t="inlineStr">
        <is>
          <t>European Parliament and Council of the European Union</t>
        </is>
      </c>
      <c r="V12" s="752" t="inlineStr">
        <is>
          <t>EU / EEA</t>
        </is>
      </c>
      <c r="W12" s="752" t="inlineStr">
        <is>
          <t>English</t>
        </is>
      </c>
      <c r="X12" s="752" t="n"/>
      <c r="Y12" s="752" t="n"/>
      <c r="Z12" s="752" t="inlineStr">
        <is>
          <t>Public authority</t>
        </is>
      </c>
      <c r="AA12" s="752" t="inlineStr">
        <is>
          <t>Regulation</t>
        </is>
      </c>
      <c r="AB12" s="752" t="inlineStr">
        <is>
          <t>Referenced normative</t>
        </is>
      </c>
      <c r="AC12" s="752" t="inlineStr">
        <is>
          <t>Official referenced source from European Parliament and Council of the European Union; included because an applicable law, permit or certification scheme may make its provisions binding within the approved scope.</t>
        </is>
      </c>
      <c r="AD12" s="752" t="inlineStr">
        <is>
          <t>HIGH</t>
        </is>
      </c>
      <c r="AE12" s="752" t="inlineStr">
        <is>
          <t>MEDIUM</t>
        </is>
      </c>
      <c r="AF12" s="752" t="inlineStr">
        <is>
          <t>HIGH</t>
        </is>
      </c>
      <c r="AG12" s="752" t="inlineStr">
        <is>
          <t>HIGH</t>
        </is>
      </c>
      <c r="AH12" s="752" t="inlineStr">
        <is>
          <t>HIGH</t>
        </is>
      </c>
      <c r="AI12" s="752" t="inlineStr">
        <is>
          <t>HIGH</t>
        </is>
      </c>
      <c r="AJ12" s="752" t="inlineStr">
        <is>
          <t>PENDING</t>
        </is>
      </c>
      <c r="AK12" s="759" t="n">
        <v>46265</v>
      </c>
      <c r="AL12" s="752" t="inlineStr">
        <is>
          <t>Jay</t>
        </is>
      </c>
      <c r="AM12" s="752" t="inlineStr">
        <is>
          <t>CURRENT</t>
        </is>
      </c>
      <c r="AN12" s="752" t="n"/>
      <c r="AO12" s="752"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P12" s="752" t="inlineStr">
        <is>
          <t>OFFICIAL_WEBSITE</t>
        </is>
      </c>
      <c r="AQ12" s="752" t="inlineStr">
        <is>
          <t>OFFICIAL_ORIGINAL</t>
        </is>
      </c>
      <c r="AR12" s="752" t="inlineStr">
        <is>
          <t>ROLLING</t>
        </is>
      </c>
      <c r="AS12" s="752" t="n"/>
    </row>
    <row r="13" ht="30" customHeight="1" s="36">
      <c r="A13" s="751" t="inlineStr">
        <is>
          <t>PA011</t>
        </is>
      </c>
      <c r="B13" s="751" t="inlineStr">
        <is>
          <t>PA011-001</t>
        </is>
      </c>
      <c r="C13" s="751" t="inlineStr">
        <is>
          <t>PA011-001_Working_Environment_Act.html</t>
        </is>
      </c>
      <c r="D13" s="751" t="inlineStr">
        <is>
          <t>STORED</t>
        </is>
      </c>
      <c r="E13" s="751">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
      </c>
      <c r="F13" s="751" t="inlineStr">
        <is>
          <t>SUCCESS</t>
        </is>
      </c>
      <c r="G13" s="755" t="n">
        <v>46262.53082175926</v>
      </c>
      <c r="H13" s="755" t="n">
        <v>46262.53082175926</v>
      </c>
      <c r="I13" s="751" t="inlineStr">
        <is>
          <t>INITIAL</t>
        </is>
      </c>
      <c r="J13" s="751" t="inlineStr">
        <is>
          <t>AUTO</t>
        </is>
      </c>
      <c r="K13" s="757">
        <f>IF(A13="","",IF(J13="AUTO",H13,IF(J13="MANUAL",AK13,"")))</f>
        <v/>
      </c>
      <c r="L13" s="751" t="inlineStr">
        <is>
          <t>NONE</t>
        </is>
      </c>
      <c r="M13" s="751" t="n"/>
      <c r="N13" s="751">
        <f>IF(A13="","",IF(COUNTIFS('Human Operation Desktop'!$A$3:$A$502,A13,'Human Operation Desktop'!$I$3:$I$502,"&lt;&gt;APPLIED",'Human Operation Desktop'!$I$3:$I$502,"&lt;&gt;REJECTED")&gt;0,"YES","NO"))</f>
        <v/>
      </c>
      <c r="O13" s="751" t="inlineStr">
        <is>
          <t>96cec52793e643ff1daf51254216f36e1ac4b2216e80dea9f09161708d0a9170</t>
        </is>
      </c>
      <c r="P13" s="752" t="inlineStr">
        <is>
          <t>Working Environment Act</t>
        </is>
      </c>
      <c r="Q13" s="752" t="inlineStr">
        <is>
          <t>https://lovdata.no/dokument/NL/lov/2005-06-17-62</t>
        </is>
      </c>
      <c r="R13" s="752" t="inlineStr">
        <is>
          <t>https://lovdata.no/dokument/NL/lov/2005-06-17-62</t>
        </is>
      </c>
      <c r="S13" s="752" t="inlineStr">
        <is>
          <t>A_Public_Authority</t>
        </is>
      </c>
      <c r="T13" s="752" t="inlineStr">
        <is>
          <t>html</t>
        </is>
      </c>
      <c r="U13" s="752" t="inlineStr">
        <is>
          <t>Norwegian Ministry of Labour and Social Inclusion</t>
        </is>
      </c>
      <c r="V13" s="752" t="inlineStr">
        <is>
          <t>Norway</t>
        </is>
      </c>
      <c r="W13" s="752" t="inlineStr">
        <is>
          <t>Norwegian</t>
        </is>
      </c>
      <c r="X13" s="752" t="n"/>
      <c r="Y13" s="752" t="n"/>
      <c r="Z13" s="752" t="inlineStr">
        <is>
          <t>Public authority</t>
        </is>
      </c>
      <c r="AA13" s="752" t="inlineStr">
        <is>
          <t>Law</t>
        </is>
      </c>
      <c r="AB13" s="752" t="inlineStr">
        <is>
          <t>Primary normative</t>
        </is>
      </c>
      <c r="AC13" s="752" t="inlineStr">
        <is>
          <t>Official law issued by Norwegian Ministry of Labour and Social Inclusion; included because it may impose binding requirements on an in-scope aquaculture asset, activity, permit or certification.</t>
        </is>
      </c>
      <c r="AD13" s="752" t="inlineStr">
        <is>
          <t>HIGH</t>
        </is>
      </c>
      <c r="AE13" s="752" t="inlineStr">
        <is>
          <t>HIGH</t>
        </is>
      </c>
      <c r="AF13" s="752" t="inlineStr">
        <is>
          <t>HIGH</t>
        </is>
      </c>
      <c r="AG13" s="752" t="inlineStr">
        <is>
          <t>HIGH</t>
        </is>
      </c>
      <c r="AH13" s="752" t="inlineStr">
        <is>
          <t>HIGH</t>
        </is>
      </c>
      <c r="AI13" s="752" t="inlineStr">
        <is>
          <t>HIGH</t>
        </is>
      </c>
      <c r="AJ13" s="752" t="inlineStr">
        <is>
          <t>INCLUDE</t>
        </is>
      </c>
      <c r="AK13" s="759" t="n"/>
      <c r="AL13" s="752" t="n"/>
      <c r="AM13" s="752" t="inlineStr">
        <is>
          <t>CURRENT</t>
        </is>
      </c>
      <c r="AN13" s="752" t="n"/>
      <c r="AO13" s="752" t="inlineStr">
        <is>
          <t>Project-mentioned candidate for worker health, safety and training.</t>
        </is>
      </c>
      <c r="AP13" s="752" t="inlineStr">
        <is>
          <t>OFFICIAL_WEBSITE</t>
        </is>
      </c>
      <c r="AQ13" s="752" t="inlineStr">
        <is>
          <t>OFFICIAL_ORIGINAL</t>
        </is>
      </c>
      <c r="AR13" s="752" t="inlineStr">
        <is>
          <t>ROLLING</t>
        </is>
      </c>
      <c r="AS13" s="752" t="n"/>
    </row>
    <row r="14" ht="30" customHeight="1" s="36">
      <c r="A14" s="751" t="inlineStr">
        <is>
          <t>PA012</t>
        </is>
      </c>
      <c r="B14" s="751" t="inlineStr">
        <is>
          <t>PA012-001</t>
        </is>
      </c>
      <c r="C14" s="751" t="inlineStr">
        <is>
          <t>PA012-001_Regulations_concerning_the_performance_of_work_psychosocial_working_environment_use_of_work_equipment_and_related_techni.html</t>
        </is>
      </c>
      <c r="D14" s="751" t="inlineStr">
        <is>
          <t>STORED</t>
        </is>
      </c>
      <c r="E14" s="751">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
      </c>
      <c r="F14" s="751" t="inlineStr">
        <is>
          <t>SUCCESS</t>
        </is>
      </c>
      <c r="G14" s="755" t="n">
        <v>46262.53083333333</v>
      </c>
      <c r="H14" s="755" t="n">
        <v>46262.53083333333</v>
      </c>
      <c r="I14" s="751" t="inlineStr">
        <is>
          <t>INITIAL</t>
        </is>
      </c>
      <c r="J14" s="751" t="inlineStr">
        <is>
          <t>AUTO</t>
        </is>
      </c>
      <c r="K14" s="757">
        <f>IF(A14="","",IF(J14="AUTO",H14,IF(J14="MANUAL",AK14,"")))</f>
        <v/>
      </c>
      <c r="L14" s="751" t="inlineStr">
        <is>
          <t>NONE</t>
        </is>
      </c>
      <c r="M14" s="751" t="n"/>
      <c r="N14" s="751">
        <f>IF(A14="","",IF(COUNTIFS('Human Operation Desktop'!$A$3:$A$502,A14,'Human Operation Desktop'!$I$3:$I$502,"&lt;&gt;APPLIED",'Human Operation Desktop'!$I$3:$I$502,"&lt;&gt;REJECTED")&gt;0,"YES","NO"))</f>
        <v/>
      </c>
      <c r="O14" s="751" t="inlineStr">
        <is>
          <t>15cc7d1de65ea3277121031dd0c7e4d7b44ea7950fdfbd38df7d402255860e68</t>
        </is>
      </c>
      <c r="P14" s="752" t="inlineStr">
        <is>
          <t>Regulations concerning the performance of work, psychosocial working environment, use of work equipment and related technical requirements</t>
        </is>
      </c>
      <c r="Q14" s="752" t="inlineStr">
        <is>
          <t>https://lovdata.no/dokument/SF/forskrift/2011-12-06-1357</t>
        </is>
      </c>
      <c r="R14" s="752" t="inlineStr">
        <is>
          <t>https://lovdata.no/dokument/SF/forskrift/2011-12-06-1357</t>
        </is>
      </c>
      <c r="S14" s="752" t="inlineStr">
        <is>
          <t>A_Public_Authority</t>
        </is>
      </c>
      <c r="T14" s="752" t="inlineStr">
        <is>
          <t>html</t>
        </is>
      </c>
      <c r="U14" s="752" t="inlineStr">
        <is>
          <t>Norwegian Ministry of Labour and Social Inclusion</t>
        </is>
      </c>
      <c r="V14" s="752" t="inlineStr">
        <is>
          <t>Norway</t>
        </is>
      </c>
      <c r="W14" s="752" t="inlineStr">
        <is>
          <t>Norwegian</t>
        </is>
      </c>
      <c r="X14" s="752" t="n"/>
      <c r="Y14" s="752" t="n"/>
      <c r="Z14" s="752" t="inlineStr">
        <is>
          <t>Public authority</t>
        </is>
      </c>
      <c r="AA14" s="752" t="inlineStr">
        <is>
          <t>Regulation</t>
        </is>
      </c>
      <c r="AB14" s="752" t="inlineStr">
        <is>
          <t>Primary normative</t>
        </is>
      </c>
      <c r="AC14" s="752" t="inlineStr">
        <is>
          <t>Official regulation issued by Norwegian Ministry of Labour and Social Inclusion; included because it may impose binding requirements on an in-scope aquaculture asset, activity, permit or certification.</t>
        </is>
      </c>
      <c r="AD14" s="752" t="inlineStr">
        <is>
          <t>HIGH</t>
        </is>
      </c>
      <c r="AE14" s="752" t="inlineStr">
        <is>
          <t>HIGH</t>
        </is>
      </c>
      <c r="AF14" s="752" t="inlineStr">
        <is>
          <t>HIGH</t>
        </is>
      </c>
      <c r="AG14" s="752" t="inlineStr">
        <is>
          <t>HIGH</t>
        </is>
      </c>
      <c r="AH14" s="752" t="inlineStr">
        <is>
          <t>HIGH</t>
        </is>
      </c>
      <c r="AI14" s="752" t="inlineStr">
        <is>
          <t>HIGH</t>
        </is>
      </c>
      <c r="AJ14" s="752" t="inlineStr">
        <is>
          <t>INCLUDE</t>
        </is>
      </c>
      <c r="AK14" s="759" t="n"/>
      <c r="AL14" s="752" t="n"/>
      <c r="AM14" s="752" t="inlineStr">
        <is>
          <t>CURRENT</t>
        </is>
      </c>
      <c r="AN14" s="752" t="n"/>
      <c r="AO14" s="752" t="inlineStr">
        <is>
          <t>Project-mentioned candidate. Applicability depends on work activities and equipment.</t>
        </is>
      </c>
      <c r="AP14" s="752" t="inlineStr">
        <is>
          <t>OFFICIAL_WEBSITE</t>
        </is>
      </c>
      <c r="AQ14" s="752" t="inlineStr">
        <is>
          <t>OFFICIAL_ORIGINAL</t>
        </is>
      </c>
      <c r="AR14" s="752" t="inlineStr">
        <is>
          <t>ROLLING</t>
        </is>
      </c>
      <c r="AS14" s="752" t="n"/>
    </row>
    <row r="15" ht="30" customHeight="1" s="36">
      <c r="A15" s="751" t="inlineStr">
        <is>
          <t>PA013</t>
        </is>
      </c>
      <c r="B15" s="751" t="inlineStr">
        <is>
          <t>PA013-001</t>
        </is>
      </c>
      <c r="C15" s="751" t="inlineStr">
        <is>
          <t>PA013-001_Food_Act.html</t>
        </is>
      </c>
      <c r="D15" s="751" t="inlineStr">
        <is>
          <t>STORED</t>
        </is>
      </c>
      <c r="E15" s="751">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
      </c>
      <c r="F15" s="751" t="inlineStr">
        <is>
          <t>SUCCESS</t>
        </is>
      </c>
      <c r="G15" s="755" t="n">
        <v>46262.53083333333</v>
      </c>
      <c r="H15" s="755" t="n">
        <v>46262.53083333333</v>
      </c>
      <c r="I15" s="751" t="inlineStr">
        <is>
          <t>INITIAL</t>
        </is>
      </c>
      <c r="J15" s="751" t="inlineStr">
        <is>
          <t>AUTO</t>
        </is>
      </c>
      <c r="K15" s="757">
        <f>IF(A15="","",IF(J15="AUTO",H15,IF(J15="MANUAL",AK15,"")))</f>
        <v/>
      </c>
      <c r="L15" s="751" t="inlineStr">
        <is>
          <t>NONE</t>
        </is>
      </c>
      <c r="M15" s="751" t="n"/>
      <c r="N15" s="751">
        <f>IF(A15="","",IF(COUNTIFS('Human Operation Desktop'!$A$3:$A$502,A15,'Human Operation Desktop'!$I$3:$I$502,"&lt;&gt;APPLIED",'Human Operation Desktop'!$I$3:$I$502,"&lt;&gt;REJECTED")&gt;0,"YES","NO"))</f>
        <v/>
      </c>
      <c r="O15" s="751" t="inlineStr">
        <is>
          <t>fffe78cee31f4f34218728d0e8d8919b5fe5ccae40e8f41a067757370372d8db</t>
        </is>
      </c>
      <c r="P15" s="752" t="inlineStr">
        <is>
          <t>Food Act</t>
        </is>
      </c>
      <c r="Q15" s="752" t="inlineStr">
        <is>
          <t>https://lovdata.no/dokument/NL/lov/2003-12-19-124</t>
        </is>
      </c>
      <c r="R15" s="752" t="inlineStr">
        <is>
          <t>https://lovdata.no/dokument/NL/lov/2003-12-19-124</t>
        </is>
      </c>
      <c r="S15" s="752" t="inlineStr">
        <is>
          <t>A_Public_Authority</t>
        </is>
      </c>
      <c r="T15" s="752" t="inlineStr">
        <is>
          <t>html</t>
        </is>
      </c>
      <c r="U15" s="752" t="inlineStr">
        <is>
          <t>Norwegian Government</t>
        </is>
      </c>
      <c r="V15" s="752" t="inlineStr">
        <is>
          <t>Norway</t>
        </is>
      </c>
      <c r="W15" s="752" t="inlineStr">
        <is>
          <t>Norwegian</t>
        </is>
      </c>
      <c r="X15" s="752" t="n"/>
      <c r="Y15" s="752" t="n"/>
      <c r="Z15" s="752" t="inlineStr">
        <is>
          <t>Public authority</t>
        </is>
      </c>
      <c r="AA15" s="752" t="inlineStr">
        <is>
          <t>Law</t>
        </is>
      </c>
      <c r="AB15" s="752" t="inlineStr">
        <is>
          <t>Primary normative</t>
        </is>
      </c>
      <c r="AC15" s="752" t="inlineStr">
        <is>
          <t>Official law issued by Norwegian Government; included because it may impose binding requirements on an in-scope aquaculture asset, activity, permit or certification.</t>
        </is>
      </c>
      <c r="AD15" s="752" t="inlineStr">
        <is>
          <t>HIGH</t>
        </is>
      </c>
      <c r="AE15" s="752" t="inlineStr">
        <is>
          <t>HIGH</t>
        </is>
      </c>
      <c r="AF15" s="752" t="inlineStr">
        <is>
          <t>HIGH</t>
        </is>
      </c>
      <c r="AG15" s="752" t="inlineStr">
        <is>
          <t>HIGH</t>
        </is>
      </c>
      <c r="AH15" s="752" t="inlineStr">
        <is>
          <t>HIGH</t>
        </is>
      </c>
      <c r="AI15" s="752" t="inlineStr">
        <is>
          <t>HIGH</t>
        </is>
      </c>
      <c r="AJ15" s="752" t="inlineStr">
        <is>
          <t>INCLUDE</t>
        </is>
      </c>
      <c r="AK15" s="759" t="n"/>
      <c r="AL15" s="752" t="n"/>
      <c r="AM15" s="752" t="inlineStr">
        <is>
          <t>CURRENT</t>
        </is>
      </c>
      <c r="AN15" s="752" t="n"/>
      <c r="AO15" s="752" t="inlineStr">
        <is>
          <t>Official expansion from Fiskeridirektoratet risk-management sources; scope confirmation required.</t>
        </is>
      </c>
      <c r="AP15" s="752" t="inlineStr">
        <is>
          <t>OFFICIAL_WEBSITE</t>
        </is>
      </c>
      <c r="AQ15" s="752" t="inlineStr">
        <is>
          <t>OFFICIAL_ORIGINAL</t>
        </is>
      </c>
      <c r="AR15" s="752" t="inlineStr">
        <is>
          <t>ROLLING</t>
        </is>
      </c>
      <c r="AS15" s="752" t="n"/>
    </row>
    <row r="16" ht="30" customHeight="1" s="36">
      <c r="A16" s="751" t="inlineStr">
        <is>
          <t>PA014</t>
        </is>
      </c>
      <c r="B16" s="751" t="inlineStr">
        <is>
          <t>PA014-001</t>
        </is>
      </c>
      <c r="C16" s="751" t="inlineStr">
        <is>
          <t>PA014-001_Animal_Health_Personnel_Act.html</t>
        </is>
      </c>
      <c r="D16" s="751" t="inlineStr">
        <is>
          <t>STORED</t>
        </is>
      </c>
      <c r="E16" s="751">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
      </c>
      <c r="F16" s="751" t="inlineStr">
        <is>
          <t>SUCCESS</t>
        </is>
      </c>
      <c r="G16" s="755" t="n">
        <v>46262.53083333333</v>
      </c>
      <c r="H16" s="755" t="n">
        <v>46262.53084490741</v>
      </c>
      <c r="I16" s="751" t="inlineStr">
        <is>
          <t>INITIAL</t>
        </is>
      </c>
      <c r="J16" s="751" t="inlineStr">
        <is>
          <t>AUTO</t>
        </is>
      </c>
      <c r="K16" s="757">
        <f>IF(A16="","",IF(J16="AUTO",H16,IF(J16="MANUAL",AK16,"")))</f>
        <v/>
      </c>
      <c r="L16" s="751" t="inlineStr">
        <is>
          <t>NONE</t>
        </is>
      </c>
      <c r="M16" s="751" t="n"/>
      <c r="N16" s="751">
        <f>IF(A16="","",IF(COUNTIFS('Human Operation Desktop'!$A$3:$A$502,A16,'Human Operation Desktop'!$I$3:$I$502,"&lt;&gt;APPLIED",'Human Operation Desktop'!$I$3:$I$502,"&lt;&gt;REJECTED")&gt;0,"YES","NO"))</f>
        <v/>
      </c>
      <c r="O16" s="751" t="inlineStr">
        <is>
          <t>d1f92d2c418243c85675fe93401a76b489b88306833b3478073fa844aa83b30b</t>
        </is>
      </c>
      <c r="P16" s="752" t="inlineStr">
        <is>
          <t>Animal Health Personnel Act</t>
        </is>
      </c>
      <c r="Q16" s="752" t="inlineStr">
        <is>
          <t>https://lovdata.no/dokument/NL/lov/2001-06-15-75</t>
        </is>
      </c>
      <c r="R16" s="752" t="inlineStr">
        <is>
          <t>https://lovdata.no/dokument/NL/lov/2001-06-15-75</t>
        </is>
      </c>
      <c r="S16" s="752" t="inlineStr">
        <is>
          <t>A_Public_Authority</t>
        </is>
      </c>
      <c r="T16" s="752" t="inlineStr">
        <is>
          <t>html</t>
        </is>
      </c>
      <c r="U16" s="752" t="inlineStr">
        <is>
          <t>Norwegian Ministry of Agriculture and Food</t>
        </is>
      </c>
      <c r="V16" s="752" t="inlineStr">
        <is>
          <t>Norway</t>
        </is>
      </c>
      <c r="W16" s="752" t="inlineStr">
        <is>
          <t>Norwegian</t>
        </is>
      </c>
      <c r="X16" s="752" t="n"/>
      <c r="Y16" s="752" t="n"/>
      <c r="Z16" s="752" t="inlineStr">
        <is>
          <t>Public authority</t>
        </is>
      </c>
      <c r="AA16" s="752" t="inlineStr">
        <is>
          <t>Law</t>
        </is>
      </c>
      <c r="AB16" s="752" t="inlineStr">
        <is>
          <t>Primary normative</t>
        </is>
      </c>
      <c r="AC16" s="752" t="inlineStr">
        <is>
          <t>Official law issued by Norwegian Ministry of Agriculture and Food; included because it may impose binding requirements on an in-scope aquaculture asset, activity, permit or certification.</t>
        </is>
      </c>
      <c r="AD16" s="752" t="inlineStr">
        <is>
          <t>HIGH</t>
        </is>
      </c>
      <c r="AE16" s="752" t="inlineStr">
        <is>
          <t>MEDIUM</t>
        </is>
      </c>
      <c r="AF16" s="752" t="inlineStr">
        <is>
          <t>HIGH</t>
        </is>
      </c>
      <c r="AG16" s="752" t="inlineStr">
        <is>
          <t>HIGH</t>
        </is>
      </c>
      <c r="AH16" s="752" t="inlineStr">
        <is>
          <t>HIGH</t>
        </is>
      </c>
      <c r="AI16" s="752" t="inlineStr">
        <is>
          <t>HIGH</t>
        </is>
      </c>
      <c r="AJ16" s="752" t="inlineStr">
        <is>
          <t>PENDING</t>
        </is>
      </c>
      <c r="AK16" s="759" t="n"/>
      <c r="AL16" s="752" t="n"/>
      <c r="AM16" s="752" t="inlineStr">
        <is>
          <t>CURRENT</t>
        </is>
      </c>
      <c r="AN16" s="752" t="n"/>
      <c r="AO16" s="752" t="inlineStr">
        <is>
          <t>Official expansion. Relevant where veterinarians or aquatic animal health personnel perform regulated tasks.</t>
        </is>
      </c>
      <c r="AP16" s="752" t="inlineStr">
        <is>
          <t>OFFICIAL_WEBSITE</t>
        </is>
      </c>
      <c r="AQ16" s="752" t="inlineStr">
        <is>
          <t>OFFICIAL_ORIGINAL</t>
        </is>
      </c>
      <c r="AR16" s="752" t="inlineStr">
        <is>
          <t>ROLLING</t>
        </is>
      </c>
      <c r="AS16" s="752" t="n"/>
    </row>
    <row r="17" ht="30" customHeight="1" s="36">
      <c r="A17" s="751" t="inlineStr">
        <is>
          <t>PA015</t>
        </is>
      </c>
      <c r="B17" s="751" t="inlineStr">
        <is>
          <t>PA015-001</t>
        </is>
      </c>
      <c r="C17" s="751" t="inlineStr">
        <is>
          <t>PA015-001_Regulation_on_control_of_salmon_lice_in_aquaculture_facilities.html</t>
        </is>
      </c>
      <c r="D17" s="751" t="inlineStr">
        <is>
          <t>STORED</t>
        </is>
      </c>
      <c r="E17" s="751">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
      </c>
      <c r="F17" s="751" t="inlineStr">
        <is>
          <t>SUCCESS</t>
        </is>
      </c>
      <c r="G17" s="755" t="n">
        <v>46262.53084490741</v>
      </c>
      <c r="H17" s="755" t="n">
        <v>46262.53084490741</v>
      </c>
      <c r="I17" s="751" t="inlineStr">
        <is>
          <t>INITIAL</t>
        </is>
      </c>
      <c r="J17" s="751" t="inlineStr">
        <is>
          <t>AUTO</t>
        </is>
      </c>
      <c r="K17" s="757">
        <f>IF(A17="","",IF(J17="AUTO",H17,IF(J17="MANUAL",AK17,"")))</f>
        <v/>
      </c>
      <c r="L17" s="751" t="inlineStr">
        <is>
          <t>NONE</t>
        </is>
      </c>
      <c r="M17" s="751" t="n"/>
      <c r="N17" s="751">
        <f>IF(A17="","",IF(COUNTIFS('Human Operation Desktop'!$A$3:$A$502,A17,'Human Operation Desktop'!$I$3:$I$502,"&lt;&gt;APPLIED",'Human Operation Desktop'!$I$3:$I$502,"&lt;&gt;REJECTED")&gt;0,"YES","NO"))</f>
        <v/>
      </c>
      <c r="O17" s="751" t="inlineStr">
        <is>
          <t>9334a78a021971411e5c8826a2bb16aab1db707d778f6249c9a36b0afc90a4a1</t>
        </is>
      </c>
      <c r="P17" s="752" t="inlineStr">
        <is>
          <t>Regulation on control of salmon lice in aquaculture facilities</t>
        </is>
      </c>
      <c r="Q17" s="752" t="inlineStr">
        <is>
          <t>https://lovdata.no/dokument/SF/forskrift/2012-12-05-1140</t>
        </is>
      </c>
      <c r="R17" s="752" t="inlineStr">
        <is>
          <t>https://lovdata.no/dokument/SF/forskrift/2012-12-05-1140</t>
        </is>
      </c>
      <c r="S17" s="752" t="inlineStr">
        <is>
          <t>A_Public_Authority</t>
        </is>
      </c>
      <c r="T17" s="752" t="inlineStr">
        <is>
          <t>html</t>
        </is>
      </c>
      <c r="U17" s="752" t="inlineStr">
        <is>
          <t>Norwegian Ministry of Trade, Industry and Fisheries</t>
        </is>
      </c>
      <c r="V17" s="752" t="inlineStr">
        <is>
          <t>Norway</t>
        </is>
      </c>
      <c r="W17" s="752" t="inlineStr">
        <is>
          <t>Norwegian</t>
        </is>
      </c>
      <c r="X17" s="752" t="n"/>
      <c r="Y17" s="752" t="n"/>
      <c r="Z17" s="752" t="inlineStr">
        <is>
          <t>Public authority</t>
        </is>
      </c>
      <c r="AA17" s="752" t="inlineStr">
        <is>
          <t>Regulation</t>
        </is>
      </c>
      <c r="AB17" s="752" t="inlineStr">
        <is>
          <t>Primary normative</t>
        </is>
      </c>
      <c r="AC17" s="752" t="inlineStr">
        <is>
          <t>Official regulation issued by Norwegian Ministry of Trade, Industry and Fisheries; included because it may impose binding requirements on an in-scope aquaculture asset, activity, permit or certification.</t>
        </is>
      </c>
      <c r="AD17" s="752" t="inlineStr">
        <is>
          <t>HIGH</t>
        </is>
      </c>
      <c r="AE17" s="752" t="inlineStr">
        <is>
          <t>HIGH</t>
        </is>
      </c>
      <c r="AF17" s="752" t="inlineStr">
        <is>
          <t>HIGH</t>
        </is>
      </c>
      <c r="AG17" s="752" t="inlineStr">
        <is>
          <t>HIGH</t>
        </is>
      </c>
      <c r="AH17" s="752" t="inlineStr">
        <is>
          <t>HIGH</t>
        </is>
      </c>
      <c r="AI17" s="752" t="inlineStr">
        <is>
          <t>HIGH</t>
        </is>
      </c>
      <c r="AJ17" s="752" t="inlineStr">
        <is>
          <t>INCLUDE</t>
        </is>
      </c>
      <c r="AK17" s="759" t="n"/>
      <c r="AL17" s="752" t="n"/>
      <c r="AM17" s="752" t="inlineStr">
        <is>
          <t>CURRENT</t>
        </is>
      </c>
      <c r="AN17" s="752" t="n"/>
      <c r="AO17" s="752" t="inlineStr">
        <is>
          <t>Official expansion from Fiskeridirektoratet risk-management sources; species and operation scope must be confirmed.</t>
        </is>
      </c>
      <c r="AP17" s="752" t="inlineStr">
        <is>
          <t>OFFICIAL_WEBSITE</t>
        </is>
      </c>
      <c r="AQ17" s="752" t="inlineStr">
        <is>
          <t>OFFICIAL_ORIGINAL</t>
        </is>
      </c>
      <c r="AR17" s="752" t="inlineStr">
        <is>
          <t>ROLLING</t>
        </is>
      </c>
      <c r="AS17" s="752" t="n"/>
    </row>
    <row r="18" ht="30" customHeight="1" s="36">
      <c r="A18" s="751" t="inlineStr">
        <is>
          <t>PA016</t>
        </is>
      </c>
      <c r="B18" s="751" t="inlineStr">
        <is>
          <t>PA016-001</t>
        </is>
      </c>
      <c r="C18" s="751" t="inlineStr">
        <is>
          <t>PA016-001_Regulation_on_internal_control_to_comply_with_aquaculture_legislation_IK-Aquaculture.html</t>
        </is>
      </c>
      <c r="D18" s="751" t="inlineStr">
        <is>
          <t>STORED</t>
        </is>
      </c>
      <c r="E18" s="751">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
      </c>
      <c r="F18" s="751" t="inlineStr">
        <is>
          <t>SUCCESS</t>
        </is>
      </c>
      <c r="G18" s="755" t="n">
        <v>46262.53084490741</v>
      </c>
      <c r="H18" s="755" t="n">
        <v>46262.53085648148</v>
      </c>
      <c r="I18" s="751" t="inlineStr">
        <is>
          <t>INITIAL</t>
        </is>
      </c>
      <c r="J18" s="751" t="inlineStr">
        <is>
          <t>AUTO</t>
        </is>
      </c>
      <c r="K18" s="757">
        <f>IF(A18="","",IF(J18="AUTO",H18,IF(J18="MANUAL",AK18,"")))</f>
        <v/>
      </c>
      <c r="L18" s="751" t="inlineStr">
        <is>
          <t>NONE</t>
        </is>
      </c>
      <c r="M18" s="751" t="n"/>
      <c r="N18" s="751">
        <f>IF(A18="","",IF(COUNTIFS('Human Operation Desktop'!$A$3:$A$502,A18,'Human Operation Desktop'!$I$3:$I$502,"&lt;&gt;APPLIED",'Human Operation Desktop'!$I$3:$I$502,"&lt;&gt;REJECTED")&gt;0,"YES","NO"))</f>
        <v/>
      </c>
      <c r="O18" s="751" t="inlineStr">
        <is>
          <t>a8a24e5e32dfc061868654b4e1fa2c6925b6333aa34a41c952cc66de9710977b</t>
        </is>
      </c>
      <c r="P18" s="752" t="inlineStr">
        <is>
          <t>Regulation on internal control to comply with aquaculture legislation (IK-Aquaculture)</t>
        </is>
      </c>
      <c r="Q18" s="752" t="inlineStr">
        <is>
          <t>https://lovdata.no/dokument/SF/forskrift/2004-03-19-537</t>
        </is>
      </c>
      <c r="R18" s="752" t="inlineStr">
        <is>
          <t>https://lovdata.no/dokument/SF/forskrift/2004-03-19-537</t>
        </is>
      </c>
      <c r="S18" s="752" t="inlineStr">
        <is>
          <t>A_Public_Authority</t>
        </is>
      </c>
      <c r="T18" s="752" t="inlineStr">
        <is>
          <t>html</t>
        </is>
      </c>
      <c r="U18" s="752" t="inlineStr">
        <is>
          <t>Norwegian Government</t>
        </is>
      </c>
      <c r="V18" s="752" t="inlineStr">
        <is>
          <t>Norway</t>
        </is>
      </c>
      <c r="W18" s="752" t="inlineStr">
        <is>
          <t>Norwegian</t>
        </is>
      </c>
      <c r="X18" s="752" t="n"/>
      <c r="Y18" s="752" t="n"/>
      <c r="Z18" s="752" t="inlineStr">
        <is>
          <t>Public authority</t>
        </is>
      </c>
      <c r="AA18" s="752" t="inlineStr">
        <is>
          <t>Regulation</t>
        </is>
      </c>
      <c r="AB18" s="752" t="inlineStr">
        <is>
          <t>Primary normative</t>
        </is>
      </c>
      <c r="AC18" s="752" t="inlineStr">
        <is>
          <t>Official regulation issued by Norwegian Government; included because it may impose binding requirements on an in-scope aquaculture asset, activity, permit or certification.</t>
        </is>
      </c>
      <c r="AD18" s="752" t="inlineStr">
        <is>
          <t>HIGH</t>
        </is>
      </c>
      <c r="AE18" s="752" t="inlineStr">
        <is>
          <t>HIGH</t>
        </is>
      </c>
      <c r="AF18" s="752" t="inlineStr">
        <is>
          <t>HIGH</t>
        </is>
      </c>
      <c r="AG18" s="752" t="inlineStr">
        <is>
          <t>HIGH</t>
        </is>
      </c>
      <c r="AH18" s="752" t="inlineStr">
        <is>
          <t>HIGH</t>
        </is>
      </c>
      <c r="AI18" s="752" t="inlineStr">
        <is>
          <t>HIGH</t>
        </is>
      </c>
      <c r="AJ18" s="752" t="inlineStr">
        <is>
          <t>INCLUDE</t>
        </is>
      </c>
      <c r="AK18" s="759" t="n"/>
      <c r="AL18" s="752" t="n"/>
      <c r="AM18" s="752" t="inlineStr">
        <is>
          <t>CURRENT</t>
        </is>
      </c>
      <c r="AN18" s="752" t="n"/>
      <c r="AO18" s="752" t="inlineStr">
        <is>
          <t>Official expansion. Core management-system candidate for Norwegian aquaculture operations.</t>
        </is>
      </c>
      <c r="AP18" s="752" t="inlineStr">
        <is>
          <t>OFFICIAL_WEBSITE</t>
        </is>
      </c>
      <c r="AQ18" s="752" t="inlineStr">
        <is>
          <t>OFFICIAL_ORIGINAL</t>
        </is>
      </c>
      <c r="AR18" s="752" t="inlineStr">
        <is>
          <t>ROLLING</t>
        </is>
      </c>
      <c r="AS18" s="752" t="n"/>
    </row>
    <row r="19" ht="30" customHeight="1" s="36">
      <c r="A19" s="751" t="inlineStr">
        <is>
          <t>PA017</t>
        </is>
      </c>
      <c r="B19" s="751" t="inlineStr">
        <is>
          <t>PA017-001</t>
        </is>
      </c>
      <c r="C19" s="751" t="inlineStr">
        <is>
          <t>PA017-001_Internal_Control_Regulations.html</t>
        </is>
      </c>
      <c r="D19" s="751" t="inlineStr">
        <is>
          <t>STORED</t>
        </is>
      </c>
      <c r="E19" s="751">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
      </c>
      <c r="F19" s="751" t="inlineStr">
        <is>
          <t>SUCCESS</t>
        </is>
      </c>
      <c r="G19" s="755" t="n">
        <v>46262.53085648148</v>
      </c>
      <c r="H19" s="755" t="n">
        <v>46262.53085648148</v>
      </c>
      <c r="I19" s="751" t="inlineStr">
        <is>
          <t>INITIAL</t>
        </is>
      </c>
      <c r="J19" s="751" t="inlineStr">
        <is>
          <t>AUTO</t>
        </is>
      </c>
      <c r="K19" s="757">
        <f>IF(A19="","",IF(J19="AUTO",H19,IF(J19="MANUAL",AK19,"")))</f>
        <v/>
      </c>
      <c r="L19" s="751" t="inlineStr">
        <is>
          <t>NONE</t>
        </is>
      </c>
      <c r="M19" s="751" t="n"/>
      <c r="N19" s="751">
        <f>IF(A19="","",IF(COUNTIFS('Human Operation Desktop'!$A$3:$A$502,A19,'Human Operation Desktop'!$I$3:$I$502,"&lt;&gt;APPLIED",'Human Operation Desktop'!$I$3:$I$502,"&lt;&gt;REJECTED")&gt;0,"YES","NO"))</f>
        <v/>
      </c>
      <c r="O19" s="751" t="inlineStr">
        <is>
          <t>7f640e3626fbd2d3aa9e6f8f0fad328170f26e4a73a9f59fd20ffe74f400b546</t>
        </is>
      </c>
      <c r="P19" s="752" t="inlineStr">
        <is>
          <t>Internal Control Regulations</t>
        </is>
      </c>
      <c r="Q19" s="752" t="inlineStr">
        <is>
          <t>https://lovdata.no/dokument/SF/forskrift/1996-12-06-1127</t>
        </is>
      </c>
      <c r="R19" s="752" t="inlineStr">
        <is>
          <t>https://lovdata.no/dokument/SF/forskrift/1996-12-06-1127</t>
        </is>
      </c>
      <c r="S19" s="752" t="inlineStr">
        <is>
          <t>A_Public_Authority</t>
        </is>
      </c>
      <c r="T19" s="752" t="inlineStr">
        <is>
          <t>html</t>
        </is>
      </c>
      <c r="U19" s="752" t="inlineStr">
        <is>
          <t>Norwegian Government</t>
        </is>
      </c>
      <c r="V19" s="752" t="inlineStr">
        <is>
          <t>Norway</t>
        </is>
      </c>
      <c r="W19" s="752" t="inlineStr">
        <is>
          <t>Norwegian</t>
        </is>
      </c>
      <c r="X19" s="752" t="n"/>
      <c r="Y19" s="752" t="n"/>
      <c r="Z19" s="752" t="inlineStr">
        <is>
          <t>Public authority</t>
        </is>
      </c>
      <c r="AA19" s="752" t="inlineStr">
        <is>
          <t>Regulation</t>
        </is>
      </c>
      <c r="AB19" s="752" t="inlineStr">
        <is>
          <t>Primary normative</t>
        </is>
      </c>
      <c r="AC19" s="752" t="inlineStr">
        <is>
          <t>Official regulation issued by Norwegian Government; included because it may impose binding requirements on an in-scope aquaculture asset, activity, permit or certification.</t>
        </is>
      </c>
      <c r="AD19" s="752" t="inlineStr">
        <is>
          <t>HIGH</t>
        </is>
      </c>
      <c r="AE19" s="752" t="inlineStr">
        <is>
          <t>HIGH</t>
        </is>
      </c>
      <c r="AF19" s="752" t="inlineStr">
        <is>
          <t>HIGH</t>
        </is>
      </c>
      <c r="AG19" s="752" t="inlineStr">
        <is>
          <t>HIGH</t>
        </is>
      </c>
      <c r="AH19" s="752" t="inlineStr">
        <is>
          <t>HIGH</t>
        </is>
      </c>
      <c r="AI19" s="752" t="inlineStr">
        <is>
          <t>HIGH</t>
        </is>
      </c>
      <c r="AJ19" s="752" t="inlineStr">
        <is>
          <t>INCLUDE</t>
        </is>
      </c>
      <c r="AK19" s="759" t="n"/>
      <c r="AL19" s="752" t="n"/>
      <c r="AM19" s="752" t="inlineStr">
        <is>
          <t>CURRENT</t>
        </is>
      </c>
      <c r="AN19" s="752" t="n"/>
      <c r="AO19" s="752" t="inlineStr">
        <is>
          <t>Official expansion. Cross-sector HSE internal-control source; overlap with IK-Aquaculture requires later mapping.</t>
        </is>
      </c>
      <c r="AP19" s="752" t="inlineStr">
        <is>
          <t>OFFICIAL_WEBSITE</t>
        </is>
      </c>
      <c r="AQ19" s="752" t="inlineStr">
        <is>
          <t>OFFICIAL_ORIGINAL</t>
        </is>
      </c>
      <c r="AR19" s="752" t="inlineStr">
        <is>
          <t>ROLLING</t>
        </is>
      </c>
      <c r="AS19" s="752" t="n"/>
    </row>
    <row r="20" ht="30" customHeight="1" s="36">
      <c r="A20" s="751" t="inlineStr">
        <is>
          <t>PA018</t>
        </is>
      </c>
      <c r="B20" s="751" t="inlineStr">
        <is>
          <t>PA018-001</t>
        </is>
      </c>
      <c r="C20" s="751" t="inlineStr">
        <is>
          <t>PA018-001_Ship_Safety_and_Security_Act.html</t>
        </is>
      </c>
      <c r="D20" s="751" t="inlineStr">
        <is>
          <t>STORED</t>
        </is>
      </c>
      <c r="E20" s="751">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
      </c>
      <c r="F20" s="751" t="inlineStr">
        <is>
          <t>SUCCESS</t>
        </is>
      </c>
      <c r="G20" s="755" t="n">
        <v>46262.53085648148</v>
      </c>
      <c r="H20" s="755" t="n">
        <v>46262.53086805555</v>
      </c>
      <c r="I20" s="751" t="inlineStr">
        <is>
          <t>INITIAL</t>
        </is>
      </c>
      <c r="J20" s="751" t="inlineStr">
        <is>
          <t>AUTO</t>
        </is>
      </c>
      <c r="K20" s="757">
        <f>IF(A20="","",IF(J20="AUTO",H20,IF(J20="MANUAL",AK20,"")))</f>
        <v/>
      </c>
      <c r="L20" s="751" t="inlineStr">
        <is>
          <t>NONE</t>
        </is>
      </c>
      <c r="M20" s="751" t="n"/>
      <c r="N20" s="751">
        <f>IF(A20="","",IF(COUNTIFS('Human Operation Desktop'!$A$3:$A$502,A20,'Human Operation Desktop'!$I$3:$I$502,"&lt;&gt;APPLIED",'Human Operation Desktop'!$I$3:$I$502,"&lt;&gt;REJECTED")&gt;0,"YES","NO"))</f>
        <v/>
      </c>
      <c r="O20" s="751" t="inlineStr">
        <is>
          <t>535ce0ef3c8d36ecc15baf5c64f069fdb5f62dd72579d24e1c6157acc8cdf009</t>
        </is>
      </c>
      <c r="P20" s="752" t="inlineStr">
        <is>
          <t>Ship Safety and Security Act</t>
        </is>
      </c>
      <c r="Q20" s="752" t="inlineStr">
        <is>
          <t>https://lovdata.no/dokument/NL/lov/2007-02-16-9</t>
        </is>
      </c>
      <c r="R20" s="752" t="inlineStr">
        <is>
          <t>https://lovdata.no/dokument/NL/lov/2007-02-16-9</t>
        </is>
      </c>
      <c r="S20" s="752" t="inlineStr">
        <is>
          <t>A_Public_Authority</t>
        </is>
      </c>
      <c r="T20" s="752" t="inlineStr">
        <is>
          <t>html</t>
        </is>
      </c>
      <c r="U20" s="752" t="inlineStr">
        <is>
          <t>Norwegian Government</t>
        </is>
      </c>
      <c r="V20" s="752" t="inlineStr">
        <is>
          <t>Norway</t>
        </is>
      </c>
      <c r="W20" s="752" t="inlineStr">
        <is>
          <t>Norwegian</t>
        </is>
      </c>
      <c r="X20" s="752" t="n"/>
      <c r="Y20" s="752" t="n"/>
      <c r="Z20" s="752" t="inlineStr">
        <is>
          <t>Public authority</t>
        </is>
      </c>
      <c r="AA20" s="752" t="inlineStr">
        <is>
          <t>Law</t>
        </is>
      </c>
      <c r="AB20" s="752" t="inlineStr">
        <is>
          <t>Primary normative</t>
        </is>
      </c>
      <c r="AC20" s="752" t="inlineStr">
        <is>
          <t>Official law issued by Norwegian Government; included because it may impose binding requirements on an in-scope aquaculture asset, activity, permit or certification.</t>
        </is>
      </c>
      <c r="AD20" s="752" t="inlineStr">
        <is>
          <t>HIGH</t>
        </is>
      </c>
      <c r="AE20" s="752" t="inlineStr">
        <is>
          <t>MEDIUM</t>
        </is>
      </c>
      <c r="AF20" s="752" t="inlineStr">
        <is>
          <t>HIGH</t>
        </is>
      </c>
      <c r="AG20" s="752" t="inlineStr">
        <is>
          <t>HIGH</t>
        </is>
      </c>
      <c r="AH20" s="752" t="inlineStr">
        <is>
          <t>HIGH</t>
        </is>
      </c>
      <c r="AI20" s="752" t="inlineStr">
        <is>
          <t>HIGH</t>
        </is>
      </c>
      <c r="AJ20" s="752" t="inlineStr">
        <is>
          <t>PENDING</t>
        </is>
      </c>
      <c r="AK20" s="759" t="n"/>
      <c r="AL20" s="752" t="n"/>
      <c r="AM20" s="752" t="inlineStr">
        <is>
          <t>CURRENT</t>
        </is>
      </c>
      <c r="AN20" s="752" t="n"/>
      <c r="AO20" s="752" t="inlineStr">
        <is>
          <t>Official expansion. Conditional on vessels and maritime operations within client scope.</t>
        </is>
      </c>
      <c r="AP20" s="752" t="inlineStr">
        <is>
          <t>OFFICIAL_WEBSITE</t>
        </is>
      </c>
      <c r="AQ20" s="752" t="inlineStr">
        <is>
          <t>OFFICIAL_ORIGINAL</t>
        </is>
      </c>
      <c r="AR20" s="752" t="inlineStr">
        <is>
          <t>ROLLING</t>
        </is>
      </c>
      <c r="AS20" s="752" t="n"/>
    </row>
    <row r="21" ht="30" customHeight="1" s="36">
      <c r="A21" s="751" t="inlineStr">
        <is>
          <t>PA019</t>
        </is>
      </c>
      <c r="B21" s="751" t="inlineStr">
        <is>
          <t>PA019-001</t>
        </is>
      </c>
      <c r="C21" s="751" t="inlineStr">
        <is>
          <t>PA019-001_Regulation_on_transport_of_aquaculture_animals.html</t>
        </is>
      </c>
      <c r="D21" s="751" t="inlineStr">
        <is>
          <t>STORED</t>
        </is>
      </c>
      <c r="E21" s="751">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
      </c>
      <c r="F21" s="751" t="inlineStr">
        <is>
          <t>SUCCESS</t>
        </is>
      </c>
      <c r="G21" s="755" t="n">
        <v>46262.53086805555</v>
      </c>
      <c r="H21" s="755" t="n">
        <v>46262.53086805555</v>
      </c>
      <c r="I21" s="751" t="inlineStr">
        <is>
          <t>INITIAL</t>
        </is>
      </c>
      <c r="J21" s="751" t="inlineStr">
        <is>
          <t>AUTO</t>
        </is>
      </c>
      <c r="K21" s="757">
        <f>IF(A21="","",IF(J21="AUTO",H21,IF(J21="MANUAL",AK21,"")))</f>
        <v/>
      </c>
      <c r="L21" s="751" t="inlineStr">
        <is>
          <t>NONE</t>
        </is>
      </c>
      <c r="M21" s="751" t="n"/>
      <c r="N21" s="751">
        <f>IF(A21="","",IF(COUNTIFS('Human Operation Desktop'!$A$3:$A$502,A21,'Human Operation Desktop'!$I$3:$I$502,"&lt;&gt;APPLIED",'Human Operation Desktop'!$I$3:$I$502,"&lt;&gt;REJECTED")&gt;0,"YES","NO"))</f>
        <v/>
      </c>
      <c r="O21" s="751" t="inlineStr">
        <is>
          <t>c3a1a1d71bad6255d833abf37550f8ef1d79c996a82468a85fccbb7a474e6ded</t>
        </is>
      </c>
      <c r="P21" s="752" t="inlineStr">
        <is>
          <t>Regulation on transport of aquaculture animals</t>
        </is>
      </c>
      <c r="Q21" s="752" t="inlineStr">
        <is>
          <t>https://lovdata.no/dokument/SF/forskrift/2008-06-17-820</t>
        </is>
      </c>
      <c r="R21" s="752" t="inlineStr">
        <is>
          <t>https://lovdata.no/dokument/SF/forskrift/2008-06-17-820</t>
        </is>
      </c>
      <c r="S21" s="752" t="inlineStr">
        <is>
          <t>A_Public_Authority</t>
        </is>
      </c>
      <c r="T21" s="752" t="inlineStr">
        <is>
          <t>html</t>
        </is>
      </c>
      <c r="U21" s="752" t="inlineStr">
        <is>
          <t>Norwegian Government</t>
        </is>
      </c>
      <c r="V21" s="752" t="inlineStr">
        <is>
          <t>Norway</t>
        </is>
      </c>
      <c r="W21" s="752" t="inlineStr">
        <is>
          <t>Norwegian</t>
        </is>
      </c>
      <c r="X21" s="752" t="n"/>
      <c r="Y21" s="752" t="n"/>
      <c r="Z21" s="752" t="inlineStr">
        <is>
          <t>Public authority</t>
        </is>
      </c>
      <c r="AA21" s="752" t="inlineStr">
        <is>
          <t>Regulation</t>
        </is>
      </c>
      <c r="AB21" s="752" t="inlineStr">
        <is>
          <t>Primary normative</t>
        </is>
      </c>
      <c r="AC21" s="752" t="inlineStr">
        <is>
          <t>Official regulation issued by Norwegian Government; included because it may impose binding requirements on an in-scope aquaculture asset, activity, permit or certification.</t>
        </is>
      </c>
      <c r="AD21" s="752" t="inlineStr">
        <is>
          <t>HIGH</t>
        </is>
      </c>
      <c r="AE21" s="752" t="inlineStr">
        <is>
          <t>MEDIUM</t>
        </is>
      </c>
      <c r="AF21" s="752" t="inlineStr">
        <is>
          <t>HIGH</t>
        </is>
      </c>
      <c r="AG21" s="752" t="inlineStr">
        <is>
          <t>HIGH</t>
        </is>
      </c>
      <c r="AH21" s="752" t="inlineStr">
        <is>
          <t>HIGH</t>
        </is>
      </c>
      <c r="AI21" s="752" t="inlineStr">
        <is>
          <t>HIGH</t>
        </is>
      </c>
      <c r="AJ21" s="752" t="inlineStr">
        <is>
          <t>PENDING</t>
        </is>
      </c>
      <c r="AK21" s="759" t="n"/>
      <c r="AL21" s="752" t="n"/>
      <c r="AM21" s="752" t="inlineStr">
        <is>
          <t>CURRENT</t>
        </is>
      </c>
      <c r="AN21" s="752" t="n"/>
      <c r="AO21" s="752" t="inlineStr">
        <is>
          <t>Official expansion from Mattilsynet. Conditional on live-animal transport activities.</t>
        </is>
      </c>
      <c r="AP21" s="752" t="inlineStr">
        <is>
          <t>OFFICIAL_WEBSITE</t>
        </is>
      </c>
      <c r="AQ21" s="752" t="inlineStr">
        <is>
          <t>OFFICIAL_ORIGINAL</t>
        </is>
      </c>
      <c r="AR21" s="752" t="inlineStr">
        <is>
          <t>ROLLING</t>
        </is>
      </c>
      <c r="AS21" s="752" t="n"/>
    </row>
    <row r="22" ht="30" customHeight="1" s="36">
      <c r="A22" s="751" t="inlineStr">
        <is>
          <t>PA020</t>
        </is>
      </c>
      <c r="B22" s="751" t="inlineStr">
        <is>
          <t>PA020-001</t>
        </is>
      </c>
      <c r="C22" s="751" t="inlineStr">
        <is>
          <t>PA020-001_Regulation_on_slaughterhouses_and_processing_facilities_for_aquaculture_animals.html</t>
        </is>
      </c>
      <c r="D22" s="751" t="inlineStr">
        <is>
          <t>STORED</t>
        </is>
      </c>
      <c r="E22" s="751">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
      </c>
      <c r="F22" s="751" t="inlineStr">
        <is>
          <t>SUCCESS</t>
        </is>
      </c>
      <c r="G22" s="755" t="n">
        <v>46262.53086805555</v>
      </c>
      <c r="H22" s="755" t="n">
        <v>46262.53086805555</v>
      </c>
      <c r="I22" s="751" t="inlineStr">
        <is>
          <t>INITIAL</t>
        </is>
      </c>
      <c r="J22" s="751" t="inlineStr">
        <is>
          <t>AUTO</t>
        </is>
      </c>
      <c r="K22" s="757">
        <f>IF(A22="","",IF(J22="AUTO",H22,IF(J22="MANUAL",AK22,"")))</f>
        <v/>
      </c>
      <c r="L22" s="751" t="inlineStr">
        <is>
          <t>NONE</t>
        </is>
      </c>
      <c r="M22" s="751" t="n"/>
      <c r="N22" s="751">
        <f>IF(A22="","",IF(COUNTIFS('Human Operation Desktop'!$A$3:$A$502,A22,'Human Operation Desktop'!$I$3:$I$502,"&lt;&gt;APPLIED",'Human Operation Desktop'!$I$3:$I$502,"&lt;&gt;REJECTED")&gt;0,"YES","NO"))</f>
        <v/>
      </c>
      <c r="O22" s="751" t="inlineStr">
        <is>
          <t>660825e1fb0f6b15f9e8501319e334d7b67de1790c34645715f5b184d3d397cc</t>
        </is>
      </c>
      <c r="P22" s="752" t="inlineStr">
        <is>
          <t>Regulation on slaughterhouses and processing facilities for aquaculture animals</t>
        </is>
      </c>
      <c r="Q22" s="752" t="inlineStr">
        <is>
          <t>https://lovdata.no/dokument/SF/forskrift/2006-10-30-1250</t>
        </is>
      </c>
      <c r="R22" s="752" t="inlineStr">
        <is>
          <t>https://lovdata.no/dokument/SF/forskrift/2006-10-30-1250</t>
        </is>
      </c>
      <c r="S22" s="752" t="inlineStr">
        <is>
          <t>A_Public_Authority</t>
        </is>
      </c>
      <c r="T22" s="752" t="inlineStr">
        <is>
          <t>html</t>
        </is>
      </c>
      <c r="U22" s="752" t="inlineStr">
        <is>
          <t>Norwegian Ministry of Trade, Industry and Fisheries</t>
        </is>
      </c>
      <c r="V22" s="752" t="inlineStr">
        <is>
          <t>Norway</t>
        </is>
      </c>
      <c r="W22" s="752" t="inlineStr">
        <is>
          <t>Norwegian</t>
        </is>
      </c>
      <c r="X22" s="752" t="n"/>
      <c r="Y22" s="752" t="n"/>
      <c r="Z22" s="752" t="inlineStr">
        <is>
          <t>Public authority</t>
        </is>
      </c>
      <c r="AA22" s="752" t="inlineStr">
        <is>
          <t>Regulation</t>
        </is>
      </c>
      <c r="AB22" s="752" t="inlineStr">
        <is>
          <t>Primary normative</t>
        </is>
      </c>
      <c r="AC22" s="752" t="inlineStr">
        <is>
          <t>Official regulation issued by Norwegian Ministry of Trade, Industry and Fisheries; included because it may impose binding requirements on an in-scope aquaculture asset, activity, permit or certification.</t>
        </is>
      </c>
      <c r="AD22" s="752" t="inlineStr">
        <is>
          <t>HIGH</t>
        </is>
      </c>
      <c r="AE22" s="752" t="inlineStr">
        <is>
          <t>MEDIUM</t>
        </is>
      </c>
      <c r="AF22" s="752" t="inlineStr">
        <is>
          <t>HIGH</t>
        </is>
      </c>
      <c r="AG22" s="752" t="inlineStr">
        <is>
          <t>HIGH</t>
        </is>
      </c>
      <c r="AH22" s="752" t="inlineStr">
        <is>
          <t>HIGH</t>
        </is>
      </c>
      <c r="AI22" s="752" t="inlineStr">
        <is>
          <t>HIGH</t>
        </is>
      </c>
      <c r="AJ22" s="752" t="inlineStr">
        <is>
          <t>PENDING</t>
        </is>
      </c>
      <c r="AK22" s="759" t="n"/>
      <c r="AL22" s="752" t="n"/>
      <c r="AM22" s="752" t="inlineStr">
        <is>
          <t>CURRENT</t>
        </is>
      </c>
      <c r="AN22" s="752" t="n"/>
      <c r="AO22" s="752" t="inlineStr">
        <is>
          <t>Official expansion from Mattilsynet. Include only when slaughter or processing is in scope.</t>
        </is>
      </c>
      <c r="AP22" s="752" t="inlineStr">
        <is>
          <t>OFFICIAL_WEBSITE</t>
        </is>
      </c>
      <c r="AQ22" s="752" t="inlineStr">
        <is>
          <t>OFFICIAL_ORIGINAL</t>
        </is>
      </c>
      <c r="AR22" s="752" t="inlineStr">
        <is>
          <t>ROLLING</t>
        </is>
      </c>
      <c r="AS22" s="752" t="n"/>
    </row>
    <row r="23" ht="30" customHeight="1" s="36">
      <c r="A23" s="751" t="inlineStr">
        <is>
          <t>PA021</t>
        </is>
      </c>
      <c r="B23" s="751" t="inlineStr">
        <is>
          <t>PA021-001</t>
        </is>
      </c>
      <c r="C23" s="751" t="inlineStr">
        <is>
          <t>PA021-001_Regulation_on_permits_for_aquaculture_of_salmon_trout_and_rainbow_trout_Salmon_Allocation_Regulations.html</t>
        </is>
      </c>
      <c r="D23" s="751" t="inlineStr">
        <is>
          <t>STORED</t>
        </is>
      </c>
      <c r="E23" s="751">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
      </c>
      <c r="F23" s="751" t="inlineStr">
        <is>
          <t>SUCCESS</t>
        </is>
      </c>
      <c r="G23" s="755" t="n">
        <v>46262.53087962963</v>
      </c>
      <c r="H23" s="755" t="n">
        <v>46262.53087962963</v>
      </c>
      <c r="I23" s="751" t="inlineStr">
        <is>
          <t>INITIAL</t>
        </is>
      </c>
      <c r="J23" s="751" t="inlineStr">
        <is>
          <t>AUTO</t>
        </is>
      </c>
      <c r="K23" s="757">
        <f>IF(A23="","",IF(J23="AUTO",H23,IF(J23="MANUAL",AK23,"")))</f>
        <v/>
      </c>
      <c r="L23" s="751" t="inlineStr">
        <is>
          <t>NONE</t>
        </is>
      </c>
      <c r="M23" s="751" t="n"/>
      <c r="N23" s="751">
        <f>IF(A23="","",IF(COUNTIFS('Human Operation Desktop'!$A$3:$A$502,A23,'Human Operation Desktop'!$I$3:$I$502,"&lt;&gt;APPLIED",'Human Operation Desktop'!$I$3:$I$502,"&lt;&gt;REJECTED")&gt;0,"YES","NO"))</f>
        <v/>
      </c>
      <c r="O23" s="751" t="inlineStr">
        <is>
          <t>7ad31127a98909210f86c2df281141adc3218206d348c07c01be4a00c540964d</t>
        </is>
      </c>
      <c r="P23" s="752" t="inlineStr">
        <is>
          <t>Regulation on permits for aquaculture of salmon, trout and rainbow trout (Salmon Allocation Regulations)</t>
        </is>
      </c>
      <c r="Q23" s="752" t="inlineStr">
        <is>
          <t>https://lovdata.no/dokument/SF/forskrift/2022-11-07-1929</t>
        </is>
      </c>
      <c r="R23" s="752" t="inlineStr">
        <is>
          <t>https://lovdata.no/dokument/SF/forskrift/2022-11-07-1929</t>
        </is>
      </c>
      <c r="S23" s="752" t="inlineStr">
        <is>
          <t>A_Public_Authority</t>
        </is>
      </c>
      <c r="T23" s="752" t="inlineStr">
        <is>
          <t>html</t>
        </is>
      </c>
      <c r="U23" s="752" t="inlineStr">
        <is>
          <t>Norwegian Ministry of Trade, Industry and Fisheries</t>
        </is>
      </c>
      <c r="V23" s="752" t="inlineStr">
        <is>
          <t>Norway</t>
        </is>
      </c>
      <c r="W23" s="752" t="inlineStr">
        <is>
          <t>Norwegian</t>
        </is>
      </c>
      <c r="X23" s="752" t="n"/>
      <c r="Y23" s="752" t="n"/>
      <c r="Z23" s="752" t="inlineStr">
        <is>
          <t>Public authority</t>
        </is>
      </c>
      <c r="AA23" s="752" t="inlineStr">
        <is>
          <t>Regulation</t>
        </is>
      </c>
      <c r="AB23" s="752" t="inlineStr">
        <is>
          <t>Primary normative</t>
        </is>
      </c>
      <c r="AC23" s="752" t="inlineStr">
        <is>
          <t>Official regulation issued by Norwegian Ministry of Trade, Industry and Fisheries; included because it may impose binding requirements on an in-scope aquaculture asset, activity, permit or certification.</t>
        </is>
      </c>
      <c r="AD23" s="752" t="inlineStr">
        <is>
          <t>HIGH</t>
        </is>
      </c>
      <c r="AE23" s="752" t="inlineStr">
        <is>
          <t>MEDIUM</t>
        </is>
      </c>
      <c r="AF23" s="752" t="inlineStr">
        <is>
          <t>HIGH</t>
        </is>
      </c>
      <c r="AG23" s="752" t="inlineStr">
        <is>
          <t>HIGH</t>
        </is>
      </c>
      <c r="AH23" s="752" t="inlineStr">
        <is>
          <t>HIGH</t>
        </is>
      </c>
      <c r="AI23" s="752" t="inlineStr">
        <is>
          <t>HIGH</t>
        </is>
      </c>
      <c r="AJ23" s="752" t="inlineStr">
        <is>
          <t>PENDING</t>
        </is>
      </c>
      <c r="AK23" s="759" t="n"/>
      <c r="AL23" s="752" t="n"/>
      <c r="AM23" s="752" t="inlineStr">
        <is>
          <t>CURRENT</t>
        </is>
      </c>
      <c r="AN23" s="752" t="n"/>
      <c r="AO23" s="752" t="inlineStr">
        <is>
          <t>Official expansion from Fiskeridirektoratet's aquaculture regulation index; conditional on species and permit type.</t>
        </is>
      </c>
      <c r="AP23" s="752" t="inlineStr">
        <is>
          <t>OFFICIAL_WEBSITE</t>
        </is>
      </c>
      <c r="AQ23" s="752" t="inlineStr">
        <is>
          <t>OFFICIAL_ORIGINAL</t>
        </is>
      </c>
      <c r="AR23" s="752" t="inlineStr">
        <is>
          <t>ROLLING</t>
        </is>
      </c>
      <c r="AS23" s="752" t="n"/>
    </row>
    <row r="24" ht="30" customHeight="1" s="36">
      <c r="A24" s="751" t="inlineStr">
        <is>
          <t>PA022</t>
        </is>
      </c>
      <c r="B24" s="751" t="inlineStr">
        <is>
          <t>PA022-001</t>
        </is>
      </c>
      <c r="C24" s="751" t="inlineStr">
        <is>
          <t>PA022-001_Regulation_on_technical_standards_for_land-based_aquaculture_facilities_for_fish.html</t>
        </is>
      </c>
      <c r="D24" s="751" t="inlineStr">
        <is>
          <t>STORED</t>
        </is>
      </c>
      <c r="E24" s="751">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
      </c>
      <c r="F24" s="751" t="inlineStr">
        <is>
          <t>SUCCESS</t>
        </is>
      </c>
      <c r="G24" s="755" t="n">
        <v>46262.53087962963</v>
      </c>
      <c r="H24" s="755" t="n">
        <v>46262.53087962963</v>
      </c>
      <c r="I24" s="751" t="inlineStr">
        <is>
          <t>INITIAL</t>
        </is>
      </c>
      <c r="J24" s="751" t="inlineStr">
        <is>
          <t>AUTO</t>
        </is>
      </c>
      <c r="K24" s="757">
        <f>IF(A24="","",IF(J24="AUTO",H24,IF(J24="MANUAL",AK24,"")))</f>
        <v/>
      </c>
      <c r="L24" s="751" t="inlineStr">
        <is>
          <t>NONE</t>
        </is>
      </c>
      <c r="M24" s="751" t="n"/>
      <c r="N24" s="751">
        <f>IF(A24="","",IF(COUNTIFS('Human Operation Desktop'!$A$3:$A$502,A24,'Human Operation Desktop'!$I$3:$I$502,"&lt;&gt;APPLIED",'Human Operation Desktop'!$I$3:$I$502,"&lt;&gt;REJECTED")&gt;0,"YES","NO"))</f>
        <v/>
      </c>
      <c r="O24" s="751" t="inlineStr">
        <is>
          <t>2ab1905061a870af1b05ec9e1c8536e90157d00d70217305629365e4986c1918</t>
        </is>
      </c>
      <c r="P24" s="752" t="inlineStr">
        <is>
          <t>Regulation on technical standards for land-based aquaculture facilities for fish</t>
        </is>
      </c>
      <c r="Q24" s="752" t="inlineStr">
        <is>
          <t>https://lovdata.no/dokument/SF/forskrift/2017-06-19-941</t>
        </is>
      </c>
      <c r="R24" s="752" t="inlineStr">
        <is>
          <t>https://lovdata.no/dokument/SF/forskrift/2017-06-19-941</t>
        </is>
      </c>
      <c r="S24" s="752" t="inlineStr">
        <is>
          <t>A_Public_Authority</t>
        </is>
      </c>
      <c r="T24" s="752" t="inlineStr">
        <is>
          <t>html</t>
        </is>
      </c>
      <c r="U24" s="752" t="inlineStr">
        <is>
          <t>Norwegian Ministry of Trade, Industry and Fisheries</t>
        </is>
      </c>
      <c r="V24" s="752" t="inlineStr">
        <is>
          <t>Norway</t>
        </is>
      </c>
      <c r="W24" s="752" t="inlineStr">
        <is>
          <t>Norwegian</t>
        </is>
      </c>
      <c r="X24" s="752" t="n"/>
      <c r="Y24" s="752" t="n"/>
      <c r="Z24" s="752" t="inlineStr">
        <is>
          <t>Public authority</t>
        </is>
      </c>
      <c r="AA24" s="752" t="inlineStr">
        <is>
          <t>Regulation</t>
        </is>
      </c>
      <c r="AB24" s="752" t="inlineStr">
        <is>
          <t>Primary normative</t>
        </is>
      </c>
      <c r="AC24" s="752" t="inlineStr">
        <is>
          <t>Official regulation issued by Norwegian Ministry of Trade, Industry and Fisheries; included because it may impose binding requirements on an in-scope aquaculture asset, activity, permit or certification.</t>
        </is>
      </c>
      <c r="AD24" s="752" t="inlineStr">
        <is>
          <t>HIGH</t>
        </is>
      </c>
      <c r="AE24" s="752" t="inlineStr">
        <is>
          <t>MEDIUM</t>
        </is>
      </c>
      <c r="AF24" s="752" t="inlineStr">
        <is>
          <t>HIGH</t>
        </is>
      </c>
      <c r="AG24" s="752" t="inlineStr">
        <is>
          <t>HIGH</t>
        </is>
      </c>
      <c r="AH24" s="752" t="inlineStr">
        <is>
          <t>HIGH</t>
        </is>
      </c>
      <c r="AI24" s="752" t="inlineStr">
        <is>
          <t>HIGH</t>
        </is>
      </c>
      <c r="AJ24" s="752" t="inlineStr">
        <is>
          <t>PENDING</t>
        </is>
      </c>
      <c r="AK24" s="759" t="n"/>
      <c r="AL24" s="752" t="n"/>
      <c r="AM24" s="752" t="inlineStr">
        <is>
          <t>CURRENT</t>
        </is>
      </c>
      <c r="AN24" s="752" t="n"/>
      <c r="AO24" s="752" t="inlineStr">
        <is>
          <t>Official expansion. Include only for land-based facilities.</t>
        </is>
      </c>
      <c r="AP24" s="752" t="inlineStr">
        <is>
          <t>OFFICIAL_WEBSITE</t>
        </is>
      </c>
      <c r="AQ24" s="752" t="inlineStr">
        <is>
          <t>OFFICIAL_ORIGINAL</t>
        </is>
      </c>
      <c r="AR24" s="752" t="inlineStr">
        <is>
          <t>ROLLING</t>
        </is>
      </c>
      <c r="AS24" s="752" t="n"/>
    </row>
    <row r="25" ht="30" customHeight="1" s="36">
      <c r="A25" s="751" t="inlineStr">
        <is>
          <t>PA023</t>
        </is>
      </c>
      <c r="B25" s="751" t="inlineStr">
        <is>
          <t>PA023-001</t>
        </is>
      </c>
      <c r="C25" s="751" t="inlineStr">
        <is>
          <t>PA023-001_Nature_Diversity_Act.html</t>
        </is>
      </c>
      <c r="D25" s="751" t="inlineStr">
        <is>
          <t>STORED</t>
        </is>
      </c>
      <c r="E25" s="751">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
      </c>
      <c r="F25" s="751" t="inlineStr">
        <is>
          <t>SUCCESS</t>
        </is>
      </c>
      <c r="G25" s="755" t="n">
        <v>46262.53087962963</v>
      </c>
      <c r="H25" s="755" t="n">
        <v>46262.53087962963</v>
      </c>
      <c r="I25" s="751" t="inlineStr">
        <is>
          <t>INITIAL</t>
        </is>
      </c>
      <c r="J25" s="751" t="inlineStr">
        <is>
          <t>AUTO</t>
        </is>
      </c>
      <c r="K25" s="757">
        <f>IF(A25="","",IF(J25="AUTO",H25,IF(J25="MANUAL",AK25,"")))</f>
        <v/>
      </c>
      <c r="L25" s="751" t="inlineStr">
        <is>
          <t>NONE</t>
        </is>
      </c>
      <c r="M25" s="751" t="n"/>
      <c r="N25" s="751">
        <f>IF(A25="","",IF(COUNTIFS('Human Operation Desktop'!$A$3:$A$502,A25,'Human Operation Desktop'!$I$3:$I$502,"&lt;&gt;APPLIED",'Human Operation Desktop'!$I$3:$I$502,"&lt;&gt;REJECTED")&gt;0,"YES","NO"))</f>
        <v/>
      </c>
      <c r="O25" s="751" t="inlineStr">
        <is>
          <t>3eb19d6be728a20e51a80ac13993de88c500c707580fa4b5eed19495d4871042</t>
        </is>
      </c>
      <c r="P25" s="752" t="inlineStr">
        <is>
          <t>Nature Diversity Act</t>
        </is>
      </c>
      <c r="Q25" s="752" t="inlineStr">
        <is>
          <t>https://lovdata.no/dokument/NL/lov/2009-06-19-100</t>
        </is>
      </c>
      <c r="R25" s="752" t="inlineStr">
        <is>
          <t>https://lovdata.no/dokument/NL/lov/2009-06-19-100</t>
        </is>
      </c>
      <c r="S25" s="752" t="inlineStr">
        <is>
          <t>A_Public_Authority</t>
        </is>
      </c>
      <c r="T25" s="752" t="inlineStr">
        <is>
          <t>html</t>
        </is>
      </c>
      <c r="U25" s="752" t="inlineStr">
        <is>
          <t>Norwegian Ministry of Climate and Environment</t>
        </is>
      </c>
      <c r="V25" s="752" t="inlineStr">
        <is>
          <t>Norway</t>
        </is>
      </c>
      <c r="W25" s="752" t="inlineStr">
        <is>
          <t>Norwegian</t>
        </is>
      </c>
      <c r="X25" s="752" t="n"/>
      <c r="Y25" s="752" t="n"/>
      <c r="Z25" s="752" t="inlineStr">
        <is>
          <t>Public authority</t>
        </is>
      </c>
      <c r="AA25" s="752" t="inlineStr">
        <is>
          <t>Law</t>
        </is>
      </c>
      <c r="AB25" s="752" t="inlineStr">
        <is>
          <t>Referenced normative</t>
        </is>
      </c>
      <c r="AC25" s="752" t="inlineStr">
        <is>
          <t>Official referenced source from Norwegian Ministry of Climate and Environment; included because an applicable law, permit or certification scheme may make its provisions binding within the approved scope.</t>
        </is>
      </c>
      <c r="AD25" s="752" t="inlineStr">
        <is>
          <t>HIGH</t>
        </is>
      </c>
      <c r="AE25" s="752" t="inlineStr">
        <is>
          <t>HIGH</t>
        </is>
      </c>
      <c r="AF25" s="752" t="inlineStr">
        <is>
          <t>HIGH</t>
        </is>
      </c>
      <c r="AG25" s="752" t="inlineStr">
        <is>
          <t>HIGH</t>
        </is>
      </c>
      <c r="AH25" s="752" t="inlineStr">
        <is>
          <t>HIGH</t>
        </is>
      </c>
      <c r="AI25" s="752" t="inlineStr">
        <is>
          <t>HIGH</t>
        </is>
      </c>
      <c r="AJ25" s="752" t="inlineStr">
        <is>
          <t>INCLUDE</t>
        </is>
      </c>
      <c r="AK25" s="759" t="n"/>
      <c r="AL25" s="752" t="n"/>
      <c r="AM25" s="752" t="inlineStr">
        <is>
          <t>CURRENT</t>
        </is>
      </c>
      <c r="AN25" s="752" t="n"/>
      <c r="AO25" s="752" t="inlineStr">
        <is>
          <t>Official expansion from environmental authority guidance; often relevant to permitting decisions and environmental assessment.</t>
        </is>
      </c>
      <c r="AP25" s="752" t="inlineStr">
        <is>
          <t>OFFICIAL_WEBSITE</t>
        </is>
      </c>
      <c r="AQ25" s="752" t="inlineStr">
        <is>
          <t>OFFICIAL_ORIGINAL</t>
        </is>
      </c>
      <c r="AR25" s="752" t="inlineStr">
        <is>
          <t>ROLLING</t>
        </is>
      </c>
      <c r="AS25" s="752" t="n"/>
    </row>
    <row r="26" ht="30" customHeight="1" s="36">
      <c r="A26" s="751" t="inlineStr">
        <is>
          <t>PA024</t>
        </is>
      </c>
      <c r="B26" s="751" t="inlineStr">
        <is>
          <t>PA024-001</t>
        </is>
      </c>
      <c r="C26" s="751" t="inlineStr">
        <is>
          <t>PA024-001_Fiskeridirektoratet_guidance_to_NYTEK23.html</t>
        </is>
      </c>
      <c r="D26" s="751" t="inlineStr">
        <is>
          <t>STORED</t>
        </is>
      </c>
      <c r="E26" s="751">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
      </c>
      <c r="F26" s="751" t="inlineStr">
        <is>
          <t>SUCCESS</t>
        </is>
      </c>
      <c r="G26" s="755" t="n">
        <v>46262.53087962963</v>
      </c>
      <c r="H26" s="755" t="n">
        <v>46262.53089120371</v>
      </c>
      <c r="I26" s="751" t="inlineStr">
        <is>
          <t>INITIAL</t>
        </is>
      </c>
      <c r="J26" s="751" t="inlineStr">
        <is>
          <t>AUTO</t>
        </is>
      </c>
      <c r="K26" s="757">
        <f>IF(A26="","",IF(J26="AUTO",H26,IF(J26="MANUAL",AK26,"")))</f>
        <v/>
      </c>
      <c r="L26" s="751" t="inlineStr">
        <is>
          <t>NONE</t>
        </is>
      </c>
      <c r="M26" s="751" t="n"/>
      <c r="N26" s="751">
        <f>IF(A26="","",IF(COUNTIFS('Human Operation Desktop'!$A$3:$A$502,A26,'Human Operation Desktop'!$I$3:$I$502,"&lt;&gt;APPLIED",'Human Operation Desktop'!$I$3:$I$502,"&lt;&gt;REJECTED")&gt;0,"YES","NO"))</f>
        <v/>
      </c>
      <c r="O26" s="751" t="inlineStr">
        <is>
          <t>e331c25d9cf82bf550a1e76076c3ad72ef36a37c8f04ca6b17d52d556753c375</t>
        </is>
      </c>
      <c r="P26" s="752" t="inlineStr">
        <is>
          <t>Fiskeridirektoratet guidance to NYTEK23</t>
        </is>
      </c>
      <c r="Q26" s="752" t="inlineStr">
        <is>
          <t>https://www.fiskeridir.no/akvakultur/veiledere/veileder-til-nytek23</t>
        </is>
      </c>
      <c r="R26" s="752" t="inlineStr">
        <is>
          <t>https://www.fiskeridir.no/akvakultur/veiledere/veileder-til-nytek23</t>
        </is>
      </c>
      <c r="S26" s="752" t="inlineStr">
        <is>
          <t>A_Public_Authority</t>
        </is>
      </c>
      <c r="T26" s="752" t="inlineStr">
        <is>
          <t>html</t>
        </is>
      </c>
      <c r="U26" s="752" t="inlineStr">
        <is>
          <t>Norwegian Directorate of Fisheries</t>
        </is>
      </c>
      <c r="V26" s="752" t="inlineStr">
        <is>
          <t>Norway</t>
        </is>
      </c>
      <c r="W26" s="752" t="inlineStr">
        <is>
          <t>Norwegian</t>
        </is>
      </c>
      <c r="X26" s="752" t="n"/>
      <c r="Y26" s="752" t="n"/>
      <c r="Z26" s="752" t="inlineStr">
        <is>
          <t>Public authority</t>
        </is>
      </c>
      <c r="AA26" s="752" t="inlineStr">
        <is>
          <t>Interpretation document</t>
        </is>
      </c>
      <c r="AB26" s="752" t="inlineStr">
        <is>
          <t>Guidance / interpretation</t>
        </is>
      </c>
      <c r="AC26" s="752" t="inlineStr">
        <is>
          <t>Official guidance from Norwegian Directorate of Fisheries; included to interpret and operationalise linked normative requirements, not as independent legal or certification authority.</t>
        </is>
      </c>
      <c r="AD26" s="752" t="inlineStr">
        <is>
          <t>HIGH</t>
        </is>
      </c>
      <c r="AE26" s="752" t="inlineStr">
        <is>
          <t>HIGH</t>
        </is>
      </c>
      <c r="AF26" s="752" t="inlineStr">
        <is>
          <t>HIGH</t>
        </is>
      </c>
      <c r="AG26" s="752" t="inlineStr">
        <is>
          <t>HIGH</t>
        </is>
      </c>
      <c r="AH26" s="752" t="inlineStr">
        <is>
          <t>HIGH</t>
        </is>
      </c>
      <c r="AI26" s="752" t="inlineStr">
        <is>
          <t>HIGH</t>
        </is>
      </c>
      <c r="AJ26" s="752" t="inlineStr">
        <is>
          <t>INCLUDE</t>
        </is>
      </c>
      <c r="AK26" s="759" t="n"/>
      <c r="AL26" s="752" t="n"/>
      <c r="AM26" s="752" t="inlineStr">
        <is>
          <t>CURRENT</t>
        </is>
      </c>
      <c r="AN26" s="752" t="inlineStr">
        <is>
          <t>PA004</t>
        </is>
      </c>
      <c r="AO26" s="752" t="inlineStr">
        <is>
          <t>Official guidance. It supports interpretation but does not replace PA004 or referenced standards.</t>
        </is>
      </c>
      <c r="AP26" s="752" t="inlineStr">
        <is>
          <t>OFFICIAL_WEBSITE</t>
        </is>
      </c>
      <c r="AQ26" s="752" t="inlineStr">
        <is>
          <t>OFFICIAL_ORIGINAL</t>
        </is>
      </c>
      <c r="AR26" s="752" t="inlineStr">
        <is>
          <t>ROLLING</t>
        </is>
      </c>
      <c r="AS26" s="752" t="n"/>
    </row>
    <row r="27" ht="30" customHeight="1" s="36">
      <c r="A27" s="751" t="inlineStr">
        <is>
          <t>PA025</t>
        </is>
      </c>
      <c r="B27" s="751" t="inlineStr">
        <is>
          <t>PA025-001</t>
        </is>
      </c>
      <c r="C27" s="751" t="inlineStr">
        <is>
          <t>PA025-001_Guidance_on_holistic_risk_management_in_aquaculture.html</t>
        </is>
      </c>
      <c r="D27" s="751" t="inlineStr">
        <is>
          <t>STORED</t>
        </is>
      </c>
      <c r="E27" s="751">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
      </c>
      <c r="F27" s="751" t="inlineStr">
        <is>
          <t>SUCCESS</t>
        </is>
      </c>
      <c r="G27" s="755" t="n">
        <v>46262.53090277778</v>
      </c>
      <c r="H27" s="755" t="n">
        <v>46262.53090277778</v>
      </c>
      <c r="I27" s="751" t="inlineStr">
        <is>
          <t>INITIAL</t>
        </is>
      </c>
      <c r="J27" s="751" t="inlineStr">
        <is>
          <t>AUTO</t>
        </is>
      </c>
      <c r="K27" s="757">
        <f>IF(A27="","",IF(J27="AUTO",H27,IF(J27="MANUAL",AK27,"")))</f>
        <v/>
      </c>
      <c r="L27" s="751" t="inlineStr">
        <is>
          <t>NONE</t>
        </is>
      </c>
      <c r="M27" s="751" t="n"/>
      <c r="N27" s="751">
        <f>IF(A27="","",IF(COUNTIFS('Human Operation Desktop'!$A$3:$A$502,A27,'Human Operation Desktop'!$I$3:$I$502,"&lt;&gt;APPLIED",'Human Operation Desktop'!$I$3:$I$502,"&lt;&gt;REJECTED")&gt;0,"YES","NO"))</f>
        <v/>
      </c>
      <c r="O27" s="751" t="inlineStr">
        <is>
          <t>6b02f98209cd66f8d09b279dd0ba86c8cf84324e5d65599ca0c476490d10c801</t>
        </is>
      </c>
      <c r="P27" s="752" t="inlineStr">
        <is>
          <t>Guidance on holistic risk management in aquaculture</t>
        </is>
      </c>
      <c r="Q27" s="752" t="inlineStr">
        <is>
          <t>https://www.fiskeridir.no/akvakultur/veiledere/veileder-helhetlig-risikostyring-innen-akvakultur</t>
        </is>
      </c>
      <c r="R27" s="752" t="inlineStr">
        <is>
          <t>https://www.fiskeridir.no/akvakultur/veiledere/veileder-helhetlig-risikostyring-innen-akvakultur</t>
        </is>
      </c>
      <c r="S27" s="752" t="inlineStr">
        <is>
          <t>A_Public_Authority</t>
        </is>
      </c>
      <c r="T27" s="752" t="inlineStr">
        <is>
          <t>html</t>
        </is>
      </c>
      <c r="U27" s="752" t="inlineStr">
        <is>
          <t>Norwegian Directorate of Fisheries</t>
        </is>
      </c>
      <c r="V27" s="752" t="inlineStr">
        <is>
          <t>Norway</t>
        </is>
      </c>
      <c r="W27" s="752" t="inlineStr">
        <is>
          <t>Norwegian</t>
        </is>
      </c>
      <c r="X27" s="752" t="n"/>
      <c r="Y27" s="752" t="n"/>
      <c r="Z27" s="752" t="inlineStr">
        <is>
          <t>Public authority</t>
        </is>
      </c>
      <c r="AA27" s="752" t="inlineStr">
        <is>
          <t>Interpretation document</t>
        </is>
      </c>
      <c r="AB27" s="752" t="inlineStr">
        <is>
          <t>Guidance / interpretation</t>
        </is>
      </c>
      <c r="AC27" s="752" t="inlineStr">
        <is>
          <t>Official guidance from Norwegian Directorate of Fisheries; included to interpret and operationalise linked normative requirements, not as independent legal or certification authority.</t>
        </is>
      </c>
      <c r="AD27" s="752" t="inlineStr">
        <is>
          <t>HIGH</t>
        </is>
      </c>
      <c r="AE27" s="752" t="inlineStr">
        <is>
          <t>HIGH</t>
        </is>
      </c>
      <c r="AF27" s="752" t="inlineStr">
        <is>
          <t>HIGH</t>
        </is>
      </c>
      <c r="AG27" s="752" t="inlineStr">
        <is>
          <t>HIGH</t>
        </is>
      </c>
      <c r="AH27" s="752" t="inlineStr">
        <is>
          <t>HIGH</t>
        </is>
      </c>
      <c r="AI27" s="752" t="inlineStr">
        <is>
          <t>HIGH</t>
        </is>
      </c>
      <c r="AJ27" s="752" t="inlineStr">
        <is>
          <t>INCLUDE</t>
        </is>
      </c>
      <c r="AK27" s="759" t="n"/>
      <c r="AL27" s="752" t="n"/>
      <c r="AM27" s="752" t="inlineStr">
        <is>
          <t>CURRENT</t>
        </is>
      </c>
      <c r="AN27" s="752" t="inlineStr">
        <is>
          <t>PA016</t>
        </is>
      </c>
      <c r="AO27" s="752" t="inlineStr">
        <is>
          <t>Official expansion source map. Useful for discovery and interpretation; not independently normative.</t>
        </is>
      </c>
      <c r="AP27" s="752" t="inlineStr">
        <is>
          <t>OFFICIAL_WEBSITE</t>
        </is>
      </c>
      <c r="AQ27" s="752" t="inlineStr">
        <is>
          <t>OFFICIAL_ORIGINAL</t>
        </is>
      </c>
      <c r="AR27" s="752" t="inlineStr">
        <is>
          <t>ROLLING</t>
        </is>
      </c>
      <c r="AS27" s="752" t="n"/>
    </row>
    <row r="28" ht="30" customHeight="1" s="36">
      <c r="A28" s="751" t="inlineStr">
        <is>
          <t>PA026</t>
        </is>
      </c>
      <c r="B28" s="751" t="inlineStr">
        <is>
          <t>PA026-001</t>
        </is>
      </c>
      <c r="C28" s="751" t="inlineStr">
        <is>
          <t>PA026-001_Environmental_authority_guidance_on_aquaculture_pollution_management.html</t>
        </is>
      </c>
      <c r="D28" s="751" t="inlineStr">
        <is>
          <t>STORED</t>
        </is>
      </c>
      <c r="E28" s="751">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
      </c>
      <c r="F28" s="751" t="inlineStr">
        <is>
          <t>SUCCESS</t>
        </is>
      </c>
      <c r="G28" s="755" t="n">
        <v>46262.53090277778</v>
      </c>
      <c r="H28" s="755" t="n">
        <v>46262.53090277778</v>
      </c>
      <c r="I28" s="751" t="inlineStr">
        <is>
          <t>INITIAL</t>
        </is>
      </c>
      <c r="J28" s="751" t="inlineStr">
        <is>
          <t>AUTO</t>
        </is>
      </c>
      <c r="K28" s="757">
        <f>IF(A28="","",IF(J28="AUTO",H28,IF(J28="MANUAL",AK28,"")))</f>
        <v/>
      </c>
      <c r="L28" s="751" t="inlineStr">
        <is>
          <t>NONE</t>
        </is>
      </c>
      <c r="M28" s="751" t="n"/>
      <c r="N28" s="751">
        <f>IF(A28="","",IF(COUNTIFS('Human Operation Desktop'!$A$3:$A$502,A28,'Human Operation Desktop'!$I$3:$I$502,"&lt;&gt;APPLIED",'Human Operation Desktop'!$I$3:$I$502,"&lt;&gt;REJECTED")&gt;0,"YES","NO"))</f>
        <v/>
      </c>
      <c r="O28" s="751" t="inlineStr">
        <is>
          <t>b21a5486fb976b28eaab6a693a453e5e39ccf551e5b0fe3dbfc376f923b028a1</t>
        </is>
      </c>
      <c r="P28" s="752" t="inlineStr">
        <is>
          <t>Environmental authority guidance on aquaculture pollution management</t>
        </is>
      </c>
      <c r="Q28" s="752" t="inlineStr">
        <is>
          <t>https://www.miljodirektoratet.no/ansvarsomrader/forurensning/akvakultur/akvakultur-forvaltning/</t>
        </is>
      </c>
      <c r="R28" s="752" t="inlineStr">
        <is>
          <t>https://www.miljodirektoratet.no/ansvarsomrader/forurensning/akvakultur/akvakultur-forvaltning/</t>
        </is>
      </c>
      <c r="S28" s="752" t="inlineStr">
        <is>
          <t>A_Public_Authority</t>
        </is>
      </c>
      <c r="T28" s="752" t="inlineStr">
        <is>
          <t>html</t>
        </is>
      </c>
      <c r="U28" s="752" t="inlineStr">
        <is>
          <t>Norwegian Environment Agency</t>
        </is>
      </c>
      <c r="V28" s="752" t="inlineStr">
        <is>
          <t>Norway</t>
        </is>
      </c>
      <c r="W28" s="752" t="inlineStr">
        <is>
          <t>Norwegian</t>
        </is>
      </c>
      <c r="X28" s="752" t="n"/>
      <c r="Y28" s="752" t="n"/>
      <c r="Z28" s="752" t="inlineStr">
        <is>
          <t>Public authority</t>
        </is>
      </c>
      <c r="AA28" s="752" t="inlineStr">
        <is>
          <t>Interpretation document</t>
        </is>
      </c>
      <c r="AB28" s="752" t="inlineStr">
        <is>
          <t>Guidance / interpretation</t>
        </is>
      </c>
      <c r="AC28" s="752" t="inlineStr">
        <is>
          <t>Official guidance from Norwegian Environment Agency; included to interpret and operationalise linked normative requirements, not as independent legal or certification authority.</t>
        </is>
      </c>
      <c r="AD28" s="752" t="inlineStr">
        <is>
          <t>HIGH</t>
        </is>
      </c>
      <c r="AE28" s="752" t="inlineStr">
        <is>
          <t>HIGH</t>
        </is>
      </c>
      <c r="AF28" s="752" t="inlineStr">
        <is>
          <t>HIGH</t>
        </is>
      </c>
      <c r="AG28" s="752" t="inlineStr">
        <is>
          <t>HIGH</t>
        </is>
      </c>
      <c r="AH28" s="752" t="inlineStr">
        <is>
          <t>HIGH</t>
        </is>
      </c>
      <c r="AI28" s="752" t="inlineStr">
        <is>
          <t>HIGH</t>
        </is>
      </c>
      <c r="AJ28" s="752" t="inlineStr">
        <is>
          <t>INCLUDE</t>
        </is>
      </c>
      <c r="AK28" s="759" t="n"/>
      <c r="AL28" s="752" t="n"/>
      <c r="AM28" s="752" t="inlineStr">
        <is>
          <t>CURRENT</t>
        </is>
      </c>
      <c r="AN28" s="752" t="inlineStr">
        <is>
          <t>PA007</t>
        </is>
      </c>
      <c r="AO28" s="752" t="inlineStr">
        <is>
          <t>Official expansion. Identifies pollution-law, permit and monitoring relationships.</t>
        </is>
      </c>
      <c r="AP28" s="752" t="inlineStr">
        <is>
          <t>OFFICIAL_WEBSITE</t>
        </is>
      </c>
      <c r="AQ28" s="752" t="inlineStr">
        <is>
          <t>OFFICIAL_ORIGINAL</t>
        </is>
      </c>
      <c r="AR28" s="752" t="inlineStr">
        <is>
          <t>ROLLING</t>
        </is>
      </c>
      <c r="AS28" s="752" t="n"/>
    </row>
    <row r="29" ht="30" customHeight="1" s="36">
      <c r="A29" s="751" t="inlineStr">
        <is>
          <t>PA027</t>
        </is>
      </c>
      <c r="B29" s="751" t="inlineStr">
        <is>
          <t>PA027-001</t>
        </is>
      </c>
      <c r="C29" s="751" t="inlineStr">
        <is>
          <t>PA027-001_Mattilsynet_fish_welfare_guidance_hub.html</t>
        </is>
      </c>
      <c r="D29" s="751" t="inlineStr">
        <is>
          <t>STORED</t>
        </is>
      </c>
      <c r="E29" s="751">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
      </c>
      <c r="F29" s="751" t="inlineStr">
        <is>
          <t>SUCCESS</t>
        </is>
      </c>
      <c r="G29" s="755" t="n">
        <v>46262.53090277778</v>
      </c>
      <c r="H29" s="755" t="n">
        <v>46262.53091435185</v>
      </c>
      <c r="I29" s="751" t="inlineStr">
        <is>
          <t>INITIAL</t>
        </is>
      </c>
      <c r="J29" s="751" t="inlineStr">
        <is>
          <t>AUTO</t>
        </is>
      </c>
      <c r="K29" s="757">
        <f>IF(A29="","",IF(J29="AUTO",H29,IF(J29="MANUAL",AK29,"")))</f>
        <v/>
      </c>
      <c r="L29" s="751" t="inlineStr">
        <is>
          <t>NONE</t>
        </is>
      </c>
      <c r="M29" s="751" t="n"/>
      <c r="N29" s="751">
        <f>IF(A29="","",IF(COUNTIFS('Human Operation Desktop'!$A$3:$A$502,A29,'Human Operation Desktop'!$I$3:$I$502,"&lt;&gt;APPLIED",'Human Operation Desktop'!$I$3:$I$502,"&lt;&gt;REJECTED")&gt;0,"YES","NO"))</f>
        <v/>
      </c>
      <c r="O29" s="751" t="inlineStr">
        <is>
          <t>32a13fc92400f9d3afede91b9772367087a32fcd4bb72541cf576b4f2367e4dd</t>
        </is>
      </c>
      <c r="P29" s="752" t="inlineStr">
        <is>
          <t>Mattilsynet fish welfare guidance hub</t>
        </is>
      </c>
      <c r="Q29" s="752" t="inlineStr">
        <is>
          <t>https://www.mattilsynet.no/fisk-og-akvakultur/fiskevelferd</t>
        </is>
      </c>
      <c r="R29" s="752" t="inlineStr">
        <is>
          <t>https://www.mattilsynet.no/fisk-og-akvakultur/fiskevelferd</t>
        </is>
      </c>
      <c r="S29" s="752" t="inlineStr">
        <is>
          <t>A_Public_Authority</t>
        </is>
      </c>
      <c r="T29" s="752" t="inlineStr">
        <is>
          <t>html</t>
        </is>
      </c>
      <c r="U29" s="752" t="inlineStr">
        <is>
          <t>Norwegian Food Safety Authority</t>
        </is>
      </c>
      <c r="V29" s="752" t="inlineStr">
        <is>
          <t>Norway</t>
        </is>
      </c>
      <c r="W29" s="752" t="inlineStr">
        <is>
          <t>Norwegian</t>
        </is>
      </c>
      <c r="X29" s="752" t="n"/>
      <c r="Y29" s="752" t="n"/>
      <c r="Z29" s="752" t="inlineStr">
        <is>
          <t>Public authority</t>
        </is>
      </c>
      <c r="AA29" s="752" t="inlineStr">
        <is>
          <t>Interpretation document</t>
        </is>
      </c>
      <c r="AB29" s="752" t="inlineStr">
        <is>
          <t>Guidance / interpretation</t>
        </is>
      </c>
      <c r="AC29" s="752" t="inlineStr">
        <is>
          <t>Official guidance from Norwegian Food Safety Authority; included to interpret and operationalise linked normative requirements, not as independent legal or certification authority.</t>
        </is>
      </c>
      <c r="AD29" s="752" t="inlineStr">
        <is>
          <t>HIGH</t>
        </is>
      </c>
      <c r="AE29" s="752" t="inlineStr">
        <is>
          <t>HIGH</t>
        </is>
      </c>
      <c r="AF29" s="752" t="inlineStr">
        <is>
          <t>HIGH</t>
        </is>
      </c>
      <c r="AG29" s="752" t="inlineStr">
        <is>
          <t>HIGH</t>
        </is>
      </c>
      <c r="AH29" s="752" t="inlineStr">
        <is>
          <t>HIGH</t>
        </is>
      </c>
      <c r="AI29" s="752" t="inlineStr">
        <is>
          <t>HIGH</t>
        </is>
      </c>
      <c r="AJ29" s="752" t="inlineStr">
        <is>
          <t>INCLUDE</t>
        </is>
      </c>
      <c r="AK29" s="759" t="n"/>
      <c r="AL29" s="752" t="n"/>
      <c r="AM29" s="752" t="inlineStr">
        <is>
          <t>CURRENT</t>
        </is>
      </c>
      <c r="AN29" s="752" t="inlineStr">
        <is>
          <t>PA005</t>
        </is>
      </c>
      <c r="AO29" s="752" t="inlineStr">
        <is>
          <t>Official expansion hub. Child guidance pages may later become separate sources when directly applicable.</t>
        </is>
      </c>
      <c r="AP29" s="752" t="inlineStr">
        <is>
          <t>OFFICIAL_WEBSITE</t>
        </is>
      </c>
      <c r="AQ29" s="752" t="inlineStr">
        <is>
          <t>OFFICIAL_ORIGINAL</t>
        </is>
      </c>
      <c r="AR29" s="752" t="inlineStr">
        <is>
          <t>ROLLING</t>
        </is>
      </c>
      <c r="AS29" s="752" t="n"/>
    </row>
    <row r="30" ht="30" customHeight="1" s="36">
      <c r="A30" s="751" t="inlineStr">
        <is>
          <t>PA028</t>
        </is>
      </c>
      <c r="B30" s="751" t="inlineStr">
        <is>
          <t>PA028-001</t>
        </is>
      </c>
      <c r="C30" s="751" t="inlineStr">
        <is>
          <t>PA028-001_Norwegian_Aquaculture_Register.html</t>
        </is>
      </c>
      <c r="D30" s="751" t="inlineStr">
        <is>
          <t>STORED</t>
        </is>
      </c>
      <c r="E30" s="751">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
      </c>
      <c r="F30" s="751" t="inlineStr">
        <is>
          <t>SUCCESS</t>
        </is>
      </c>
      <c r="G30" s="755" t="n">
        <v>46262.53091435185</v>
      </c>
      <c r="H30" s="755" t="n">
        <v>46262.53092592592</v>
      </c>
      <c r="I30" s="751" t="inlineStr">
        <is>
          <t>INITIAL</t>
        </is>
      </c>
      <c r="J30" s="751" t="inlineStr">
        <is>
          <t>AUTO</t>
        </is>
      </c>
      <c r="K30" s="757">
        <f>IF(A30="","",IF(J30="AUTO",H30,IF(J30="MANUAL",AK30,"")))</f>
        <v/>
      </c>
      <c r="L30" s="751" t="inlineStr">
        <is>
          <t>NONE</t>
        </is>
      </c>
      <c r="M30" s="751" t="n"/>
      <c r="N30" s="751">
        <f>IF(A30="","",IF(COUNTIFS('Human Operation Desktop'!$A$3:$A$502,A30,'Human Operation Desktop'!$I$3:$I$502,"&lt;&gt;APPLIED",'Human Operation Desktop'!$I$3:$I$502,"&lt;&gt;REJECTED")&gt;0,"YES","NO"))</f>
        <v/>
      </c>
      <c r="O30" s="751" t="inlineStr">
        <is>
          <t>e4b0fe39d80e5dff689ac77b143523e86d5c40228f73405a6c9171ee40462790</t>
        </is>
      </c>
      <c r="P30" s="752" t="inlineStr">
        <is>
          <t>Norwegian Aquaculture Register</t>
        </is>
      </c>
      <c r="Q30" s="752" t="inlineStr">
        <is>
          <t>https://www.fiskeridir.no/registre/akvakulturregisteret</t>
        </is>
      </c>
      <c r="R30" s="752" t="inlineStr">
        <is>
          <t>https://www.fiskeridir.no/registre/akvakulturregisteret</t>
        </is>
      </c>
      <c r="S30" s="752" t="inlineStr">
        <is>
          <t>A_Public_Authority</t>
        </is>
      </c>
      <c r="T30" s="752" t="inlineStr">
        <is>
          <t>html</t>
        </is>
      </c>
      <c r="U30" s="752" t="inlineStr">
        <is>
          <t>Norwegian Directorate of Fisheries</t>
        </is>
      </c>
      <c r="V30" s="752" t="inlineStr">
        <is>
          <t>Norway</t>
        </is>
      </c>
      <c r="W30" s="752" t="inlineStr">
        <is>
          <t>Norwegian</t>
        </is>
      </c>
      <c r="X30" s="752" t="n"/>
      <c r="Y30" s="752" t="n"/>
      <c r="Z30" s="752" t="inlineStr">
        <is>
          <t>Public authority</t>
        </is>
      </c>
      <c r="AA30" s="752" t="inlineStr">
        <is>
          <t>Other</t>
        </is>
      </c>
      <c r="AB30" s="752" t="inlineStr">
        <is>
          <t>Context / evidence</t>
        </is>
      </c>
      <c r="AC30" s="752" t="inlineStr">
        <is>
          <t>Official context source from Norwegian Directorate of Fisheries; included for applicability, site identity or source discovery, not for generating standalone requirements.</t>
        </is>
      </c>
      <c r="AD30" s="752" t="inlineStr">
        <is>
          <t>HIGH</t>
        </is>
      </c>
      <c r="AE30" s="752" t="inlineStr">
        <is>
          <t>MEDIUM</t>
        </is>
      </c>
      <c r="AF30" s="752" t="inlineStr">
        <is>
          <t>HIGH</t>
        </is>
      </c>
      <c r="AG30" s="752" t="inlineStr">
        <is>
          <t>HIGH</t>
        </is>
      </c>
      <c r="AH30" s="752" t="inlineStr">
        <is>
          <t>HIGH</t>
        </is>
      </c>
      <c r="AI30" s="752" t="inlineStr">
        <is>
          <t>HIGH</t>
        </is>
      </c>
      <c r="AJ30" s="752" t="inlineStr">
        <is>
          <t>PENDING</t>
        </is>
      </c>
      <c r="AK30" s="759" t="n"/>
      <c r="AL30" s="752" t="n"/>
      <c r="AM30" s="752" t="inlineStr">
        <is>
          <t>CURRENT</t>
        </is>
      </c>
      <c r="AN30" s="752" t="inlineStr">
        <is>
          <t>PA032</t>
        </is>
      </c>
      <c r="AO30" s="752" t="inlineStr">
        <is>
          <t>Official expansion. Applicability and site identity source, not a primary source of normative text.</t>
        </is>
      </c>
      <c r="AP30" s="752" t="inlineStr">
        <is>
          <t>OFFICIAL_WEBSITE</t>
        </is>
      </c>
      <c r="AQ30" s="752" t="inlineStr">
        <is>
          <t>OFFICIAL_ORIGINAL</t>
        </is>
      </c>
      <c r="AR30" s="752" t="inlineStr">
        <is>
          <t>ROLLING</t>
        </is>
      </c>
      <c r="AS30" s="752" t="n"/>
    </row>
    <row r="31" ht="30" customHeight="1" s="36">
      <c r="A31" s="751" t="inlineStr">
        <is>
          <t>PA029</t>
        </is>
      </c>
      <c r="B31" s="751" t="inlineStr">
        <is>
          <t>PA029-001</t>
        </is>
      </c>
      <c r="C31" s="751" t="inlineStr">
        <is>
          <t>PA029-001_Yggdrasil_map_of_Norwegian_aquaculture_localities.html</t>
        </is>
      </c>
      <c r="D31" s="751" t="inlineStr">
        <is>
          <t>NOT_COLLECTED</t>
        </is>
      </c>
      <c r="E31" s="751">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
      </c>
      <c r="F31" s="751" t="inlineStr">
        <is>
          <t>FAIL</t>
        </is>
      </c>
      <c r="G31" s="755" t="n">
        <v>46262.53092592592</v>
      </c>
      <c r="H31" s="755" t="n"/>
      <c r="I31" s="751" t="inlineStr">
        <is>
          <t>UNKNOWN</t>
        </is>
      </c>
      <c r="J31" s="751" t="inlineStr">
        <is>
          <t>NONE</t>
        </is>
      </c>
      <c r="K31" s="757">
        <f>IF(A31="","",IF(J31="AUTO",H31,IF(J31="MANUAL",AK31,"")))</f>
        <v/>
      </c>
      <c r="L31" s="751" t="inlineStr">
        <is>
          <t>CONTENT</t>
        </is>
      </c>
      <c r="M31" s="751" t="inlineStr">
        <is>
          <t>HTML readable body text is too short; the response may be a redirect or error page.</t>
        </is>
      </c>
      <c r="N31" s="751">
        <f>IF(A31="","",IF(COUNTIFS('Human Operation Desktop'!$A$3:$A$502,A31,'Human Operation Desktop'!$I$3:$I$502,"&lt;&gt;APPLIED",'Human Operation Desktop'!$I$3:$I$502,"&lt;&gt;REJECTED")&gt;0,"YES","NO"))</f>
        <v/>
      </c>
      <c r="O31" s="751" t="n"/>
      <c r="P31" s="752" t="inlineStr">
        <is>
          <t>Yggdrasil map of Norwegian aquaculture localities</t>
        </is>
      </c>
      <c r="Q31" s="752" t="inlineStr">
        <is>
          <t>https://portal.fiskeridir.no/akva</t>
        </is>
      </c>
      <c r="R31" s="752" t="inlineStr">
        <is>
          <t>https://portal.fiskeridir.no/akva</t>
        </is>
      </c>
      <c r="S31" s="752" t="inlineStr">
        <is>
          <t>A_Public_Authority</t>
        </is>
      </c>
      <c r="T31" s="752" t="inlineStr">
        <is>
          <t>html</t>
        </is>
      </c>
      <c r="U31" s="752" t="inlineStr">
        <is>
          <t>Norwegian Directorate of Fisheries</t>
        </is>
      </c>
      <c r="V31" s="752" t="inlineStr">
        <is>
          <t>Norway</t>
        </is>
      </c>
      <c r="W31" s="752" t="inlineStr">
        <is>
          <t>Norwegian</t>
        </is>
      </c>
      <c r="X31" s="752" t="n"/>
      <c r="Y31" s="752" t="n"/>
      <c r="Z31" s="752" t="inlineStr">
        <is>
          <t>Public authority</t>
        </is>
      </c>
      <c r="AA31" s="752" t="inlineStr">
        <is>
          <t>Other</t>
        </is>
      </c>
      <c r="AB31" s="752" t="inlineStr">
        <is>
          <t>Context / evidence</t>
        </is>
      </c>
      <c r="AC31" s="752" t="inlineStr">
        <is>
          <t>Official context source from Norwegian Directorate of Fisheries; included for applicability, site identity or source discovery, not for generating standalone requirements.</t>
        </is>
      </c>
      <c r="AD31" s="752" t="inlineStr">
        <is>
          <t>HIGH</t>
        </is>
      </c>
      <c r="AE31" s="752" t="inlineStr">
        <is>
          <t>LOW</t>
        </is>
      </c>
      <c r="AF31" s="752" t="inlineStr">
        <is>
          <t>HIGH</t>
        </is>
      </c>
      <c r="AG31" s="752" t="inlineStr">
        <is>
          <t>HIGH</t>
        </is>
      </c>
      <c r="AH31" s="752" t="inlineStr">
        <is>
          <t>HIGH</t>
        </is>
      </c>
      <c r="AI31" s="752" t="inlineStr">
        <is>
          <t>HIGH</t>
        </is>
      </c>
      <c r="AJ31" s="752" t="inlineStr">
        <is>
          <t>EXCLUDE</t>
        </is>
      </c>
      <c r="AK31" s="759" t="n">
        <v>46265</v>
      </c>
      <c r="AL31" s="752" t="inlineStr">
        <is>
          <t>Jay</t>
        </is>
      </c>
      <c r="AM31" s="752" t="inlineStr">
        <is>
          <t>WITHDRAWN</t>
        </is>
      </c>
      <c r="AN31" s="752" t="inlineStr">
        <is>
          <t>PA001</t>
        </is>
      </c>
      <c r="AO31" s="752"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752" t="inlineStr">
        <is>
          <t>OFFICIAL_WEBSITE</t>
        </is>
      </c>
      <c r="AQ31" s="752" t="inlineStr">
        <is>
          <t>OFFICIAL_ORIGINAL</t>
        </is>
      </c>
      <c r="AR31" s="752" t="inlineStr">
        <is>
          <t>ROLLING</t>
        </is>
      </c>
      <c r="AS31" s="752" t="n"/>
    </row>
    <row r="32" ht="30" customHeight="1" s="36">
      <c r="A32" s="751" t="inlineStr">
        <is>
          <t>PA030</t>
        </is>
      </c>
      <c r="B32" s="751" t="inlineStr">
        <is>
          <t>PA030-001</t>
        </is>
      </c>
      <c r="C32" s="751" t="inlineStr">
        <is>
          <t>PA030-001_Regulation_on_special_requirements_for_aquaculture-related_activities_in_or_near_national_salmon_rivers_and_fjords.html</t>
        </is>
      </c>
      <c r="D32" s="751" t="inlineStr">
        <is>
          <t>STORED</t>
        </is>
      </c>
      <c r="E32" s="751">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
      </c>
      <c r="F32" s="751" t="inlineStr">
        <is>
          <t>SUCCESS</t>
        </is>
      </c>
      <c r="G32" s="755" t="n">
        <v>46262.5309375</v>
      </c>
      <c r="H32" s="755" t="n">
        <v>46262.5309375</v>
      </c>
      <c r="I32" s="751" t="inlineStr">
        <is>
          <t>INITIAL</t>
        </is>
      </c>
      <c r="J32" s="751" t="inlineStr">
        <is>
          <t>AUTO</t>
        </is>
      </c>
      <c r="K32" s="757">
        <f>IF(A32="","",IF(J32="AUTO",H32,IF(J32="MANUAL",AK32,"")))</f>
        <v/>
      </c>
      <c r="L32" s="751" t="inlineStr">
        <is>
          <t>NONE</t>
        </is>
      </c>
      <c r="M32" s="751" t="n"/>
      <c r="N32" s="751">
        <f>IF(A32="","",IF(COUNTIFS('Human Operation Desktop'!$A$3:$A$502,A32,'Human Operation Desktop'!$I$3:$I$502,"&lt;&gt;APPLIED",'Human Operation Desktop'!$I$3:$I$502,"&lt;&gt;REJECTED")&gt;0,"YES","NO"))</f>
        <v/>
      </c>
      <c r="O32" s="751" t="inlineStr">
        <is>
          <t>f3e632fdd118f679d3cba93120bdcaf4ab74fef6abca29992ae4b808287ec422</t>
        </is>
      </c>
      <c r="P32" s="752" t="inlineStr">
        <is>
          <t>Regulation on special requirements for aquaculture-related activities in or near national salmon rivers and fjords</t>
        </is>
      </c>
      <c r="Q32" s="752" t="inlineStr">
        <is>
          <t>https://lovdata.no/dokument/SF/forskrift/2009-06-22-961</t>
        </is>
      </c>
      <c r="R32" s="752" t="inlineStr">
        <is>
          <t>https://lovdata.no/dokument/SF/forskrift/2009-06-22-961</t>
        </is>
      </c>
      <c r="S32" s="752" t="inlineStr">
        <is>
          <t>A_Public_Authority</t>
        </is>
      </c>
      <c r="T32" s="752" t="inlineStr">
        <is>
          <t>html</t>
        </is>
      </c>
      <c r="U32" s="752" t="inlineStr">
        <is>
          <t>Norwegian Ministry of Trade, Industry and Fisheries</t>
        </is>
      </c>
      <c r="V32" s="752" t="inlineStr">
        <is>
          <t>Norway</t>
        </is>
      </c>
      <c r="W32" s="752" t="inlineStr">
        <is>
          <t>Norwegian</t>
        </is>
      </c>
      <c r="X32" s="752" t="n"/>
      <c r="Y32" s="752" t="n"/>
      <c r="Z32" s="752" t="inlineStr">
        <is>
          <t>Public authority</t>
        </is>
      </c>
      <c r="AA32" s="752" t="inlineStr">
        <is>
          <t>Regulation</t>
        </is>
      </c>
      <c r="AB32" s="752" t="inlineStr">
        <is>
          <t>Primary normative</t>
        </is>
      </c>
      <c r="AC32" s="752" t="inlineStr">
        <is>
          <t>Official regulation issued by Norwegian Ministry of Trade, Industry and Fisheries; included because it may impose binding requirements on an in-scope aquaculture asset, activity, permit or certification.</t>
        </is>
      </c>
      <c r="AD32" s="752" t="inlineStr">
        <is>
          <t>HIGH</t>
        </is>
      </c>
      <c r="AE32" s="752" t="inlineStr">
        <is>
          <t>MEDIUM</t>
        </is>
      </c>
      <c r="AF32" s="752" t="inlineStr">
        <is>
          <t>HIGH</t>
        </is>
      </c>
      <c r="AG32" s="752" t="inlineStr">
        <is>
          <t>HIGH</t>
        </is>
      </c>
      <c r="AH32" s="752" t="inlineStr">
        <is>
          <t>HIGH</t>
        </is>
      </c>
      <c r="AI32" s="752" t="inlineStr">
        <is>
          <t>HIGH</t>
        </is>
      </c>
      <c r="AJ32" s="752" t="inlineStr">
        <is>
          <t>PENDING</t>
        </is>
      </c>
      <c r="AK32" s="759" t="n"/>
      <c r="AL32" s="752" t="n"/>
      <c r="AM32" s="752" t="inlineStr">
        <is>
          <t>CURRENT</t>
        </is>
      </c>
      <c r="AN32" s="752" t="n"/>
      <c r="AO32" s="752" t="inlineStr">
        <is>
          <t>Official expansion from the aquaculture regulation index. Site-specific applicability must be established.</t>
        </is>
      </c>
      <c r="AP32" s="752" t="inlineStr">
        <is>
          <t>OFFICIAL_WEBSITE</t>
        </is>
      </c>
      <c r="AQ32" s="752" t="inlineStr">
        <is>
          <t>OFFICIAL_ORIGINAL</t>
        </is>
      </c>
      <c r="AR32" s="752" t="inlineStr">
        <is>
          <t>ROLLING</t>
        </is>
      </c>
      <c r="AS32" s="752" t="n"/>
    </row>
    <row r="33" ht="30" customHeight="1" s="36">
      <c r="A33" s="751" t="inlineStr">
        <is>
          <t>PA031</t>
        </is>
      </c>
      <c r="B33" s="751" t="inlineStr">
        <is>
          <t>PA031-001</t>
        </is>
      </c>
      <c r="C33" s="751" t="inlineStr">
        <is>
          <t>PA031-001_Regulation_on_joint_responsibility_for_removal_of_escaped_farmed_fish.html</t>
        </is>
      </c>
      <c r="D33" s="751" t="inlineStr">
        <is>
          <t>STORED</t>
        </is>
      </c>
      <c r="E33" s="751">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
      </c>
      <c r="F33" s="751" t="inlineStr">
        <is>
          <t>SUCCESS</t>
        </is>
      </c>
      <c r="G33" s="755" t="n">
        <v>46262.5309375</v>
      </c>
      <c r="H33" s="755" t="n">
        <v>46262.5309375</v>
      </c>
      <c r="I33" s="751" t="inlineStr">
        <is>
          <t>INITIAL</t>
        </is>
      </c>
      <c r="J33" s="751" t="inlineStr">
        <is>
          <t>AUTO</t>
        </is>
      </c>
      <c r="K33" s="757">
        <f>IF(A33="","",IF(J33="AUTO",H33,IF(J33="MANUAL",AK33,"")))</f>
        <v/>
      </c>
      <c r="L33" s="751" t="inlineStr">
        <is>
          <t>NONE</t>
        </is>
      </c>
      <c r="M33" s="751" t="n"/>
      <c r="N33" s="751">
        <f>IF(A33="","",IF(COUNTIFS('Human Operation Desktop'!$A$3:$A$502,A33,'Human Operation Desktop'!$I$3:$I$502,"&lt;&gt;APPLIED",'Human Operation Desktop'!$I$3:$I$502,"&lt;&gt;REJECTED")&gt;0,"YES","NO"))</f>
        <v/>
      </c>
      <c r="O33" s="751" t="inlineStr">
        <is>
          <t>e792a6f90a4e6601a323dcde19ea09b0af31c58b7a4e42c6eaff75dfa5e79e95</t>
        </is>
      </c>
      <c r="P33" s="752" t="inlineStr">
        <is>
          <t>Regulation on joint responsibility for removal of escaped farmed fish</t>
        </is>
      </c>
      <c r="Q33" s="752" t="inlineStr">
        <is>
          <t>https://lovdata.no/dokument/SF/forskrift/2015-02-05-89</t>
        </is>
      </c>
      <c r="R33" s="752" t="inlineStr">
        <is>
          <t>https://lovdata.no/dokument/SF/forskrift/2015-02-05-89</t>
        </is>
      </c>
      <c r="S33" s="752" t="inlineStr">
        <is>
          <t>A_Public_Authority</t>
        </is>
      </c>
      <c r="T33" s="752" t="inlineStr">
        <is>
          <t>html</t>
        </is>
      </c>
      <c r="U33" s="752" t="inlineStr">
        <is>
          <t>Norwegian Ministry of Trade, Industry and Fisheries</t>
        </is>
      </c>
      <c r="V33" s="752" t="inlineStr">
        <is>
          <t>Norway</t>
        </is>
      </c>
      <c r="W33" s="752" t="inlineStr">
        <is>
          <t>Norwegian</t>
        </is>
      </c>
      <c r="X33" s="752" t="n"/>
      <c r="Y33" s="752" t="n"/>
      <c r="Z33" s="752" t="inlineStr">
        <is>
          <t>Public authority</t>
        </is>
      </c>
      <c r="AA33" s="752" t="inlineStr">
        <is>
          <t>Regulation</t>
        </is>
      </c>
      <c r="AB33" s="752" t="inlineStr">
        <is>
          <t>Primary normative</t>
        </is>
      </c>
      <c r="AC33" s="752" t="inlineStr">
        <is>
          <t>Official regulation issued by Norwegian Ministry of Trade, Industry and Fisheries; included because it may impose binding requirements on an in-scope aquaculture asset, activity, permit or certification.</t>
        </is>
      </c>
      <c r="AD33" s="752" t="inlineStr">
        <is>
          <t>HIGH</t>
        </is>
      </c>
      <c r="AE33" s="752" t="inlineStr">
        <is>
          <t>HIGH</t>
        </is>
      </c>
      <c r="AF33" s="752" t="inlineStr">
        <is>
          <t>HIGH</t>
        </is>
      </c>
      <c r="AG33" s="752" t="inlineStr">
        <is>
          <t>HIGH</t>
        </is>
      </c>
      <c r="AH33" s="752" t="inlineStr">
        <is>
          <t>HIGH</t>
        </is>
      </c>
      <c r="AI33" s="752" t="inlineStr">
        <is>
          <t>HIGH</t>
        </is>
      </c>
      <c r="AJ33" s="752" t="inlineStr">
        <is>
          <t>INCLUDE</t>
        </is>
      </c>
      <c r="AK33" s="759" t="n"/>
      <c r="AL33" s="752" t="n"/>
      <c r="AM33" s="752" t="inlineStr">
        <is>
          <t>CURRENT</t>
        </is>
      </c>
      <c r="AN33" s="752" t="n"/>
      <c r="AO33" s="752" t="inlineStr">
        <is>
          <t>Official expansion. Applies to holders of relevant salmon, trout and rainbow-trout permits.</t>
        </is>
      </c>
      <c r="AP33" s="752" t="inlineStr">
        <is>
          <t>OFFICIAL_WEBSITE</t>
        </is>
      </c>
      <c r="AQ33" s="752" t="inlineStr">
        <is>
          <t>OFFICIAL_ORIGINAL</t>
        </is>
      </c>
      <c r="AR33" s="752" t="inlineStr">
        <is>
          <t>ROLLING</t>
        </is>
      </c>
      <c r="AS33" s="752" t="n"/>
    </row>
    <row r="34" ht="30" customHeight="1" s="36">
      <c r="A34" s="751" t="inlineStr">
        <is>
          <t>PA032</t>
        </is>
      </c>
      <c r="B34" s="751" t="inlineStr">
        <is>
          <t>PA032-001</t>
        </is>
      </c>
      <c r="C34" s="751" t="inlineStr">
        <is>
          <t>PA032-001_Regulation_on_the_Aquaculture_Register.html</t>
        </is>
      </c>
      <c r="D34" s="751" t="inlineStr">
        <is>
          <t>STORED</t>
        </is>
      </c>
      <c r="E34" s="751">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
      </c>
      <c r="F34" s="751" t="inlineStr">
        <is>
          <t>SUCCESS</t>
        </is>
      </c>
      <c r="G34" s="755" t="n">
        <v>46262.5309375</v>
      </c>
      <c r="H34" s="755" t="n">
        <v>46262.53094907408</v>
      </c>
      <c r="I34" s="751" t="inlineStr">
        <is>
          <t>INITIAL</t>
        </is>
      </c>
      <c r="J34" s="751" t="inlineStr">
        <is>
          <t>AUTO</t>
        </is>
      </c>
      <c r="K34" s="757">
        <f>IF(A34="","",IF(J34="AUTO",H34,IF(J34="MANUAL",AK34,"")))</f>
        <v/>
      </c>
      <c r="L34" s="751" t="inlineStr">
        <is>
          <t>NONE</t>
        </is>
      </c>
      <c r="M34" s="751" t="n"/>
      <c r="N34" s="751">
        <f>IF(A34="","",IF(COUNTIFS('Human Operation Desktop'!$A$3:$A$502,A34,'Human Operation Desktop'!$I$3:$I$502,"&lt;&gt;APPLIED",'Human Operation Desktop'!$I$3:$I$502,"&lt;&gt;REJECTED")&gt;0,"YES","NO"))</f>
        <v/>
      </c>
      <c r="O34" s="751" t="inlineStr">
        <is>
          <t>29b6b73125d703fc809475418ceff449203a6f024d8d91709c2cd32c3aba6e37</t>
        </is>
      </c>
      <c r="P34" s="752" t="inlineStr">
        <is>
          <t>Regulation on the Aquaculture Register</t>
        </is>
      </c>
      <c r="Q34" s="752" t="inlineStr">
        <is>
          <t>https://lovdata.no/dokument/SF/forskrift/2005-12-28-1706</t>
        </is>
      </c>
      <c r="R34" s="752" t="inlineStr">
        <is>
          <t>https://lovdata.no/dokument/SF/forskrift/2005-12-28-1706</t>
        </is>
      </c>
      <c r="S34" s="752" t="inlineStr">
        <is>
          <t>A_Public_Authority</t>
        </is>
      </c>
      <c r="T34" s="752" t="inlineStr">
        <is>
          <t>html</t>
        </is>
      </c>
      <c r="U34" s="752" t="inlineStr">
        <is>
          <t>Norwegian Ministry of Trade, Industry and Fisheries</t>
        </is>
      </c>
      <c r="V34" s="752" t="inlineStr">
        <is>
          <t>Norway</t>
        </is>
      </c>
      <c r="W34" s="752" t="inlineStr">
        <is>
          <t>Norwegian</t>
        </is>
      </c>
      <c r="X34" s="752" t="n"/>
      <c r="Y34" s="752" t="n"/>
      <c r="Z34" s="752" t="inlineStr">
        <is>
          <t>Public authority</t>
        </is>
      </c>
      <c r="AA34" s="752" t="inlineStr">
        <is>
          <t>Regulation</t>
        </is>
      </c>
      <c r="AB34" s="752" t="inlineStr">
        <is>
          <t>Referenced normative</t>
        </is>
      </c>
      <c r="AC34" s="752" t="inlineStr">
        <is>
          <t>Official referenced source from Norwegian Ministry of Trade, Industry and Fisheries; included because an applicable law, permit or certification scheme may make its provisions binding within the approved scope.</t>
        </is>
      </c>
      <c r="AD34" s="752" t="inlineStr">
        <is>
          <t>HIGH</t>
        </is>
      </c>
      <c r="AE34" s="752" t="inlineStr">
        <is>
          <t>HIGH</t>
        </is>
      </c>
      <c r="AF34" s="752" t="inlineStr">
        <is>
          <t>HIGH</t>
        </is>
      </c>
      <c r="AG34" s="752" t="inlineStr">
        <is>
          <t>HIGH</t>
        </is>
      </c>
      <c r="AH34" s="752" t="inlineStr">
        <is>
          <t>HIGH</t>
        </is>
      </c>
      <c r="AI34" s="752" t="inlineStr">
        <is>
          <t>HIGH</t>
        </is>
      </c>
      <c r="AJ34" s="752" t="inlineStr">
        <is>
          <t>INCLUDE</t>
        </is>
      </c>
      <c r="AK34" s="759" t="n"/>
      <c r="AL34" s="752" t="n"/>
      <c r="AM34" s="752" t="inlineStr">
        <is>
          <t>CURRENT</t>
        </is>
      </c>
      <c r="AN34" s="752" t="n"/>
      <c r="AO34" s="752" t="inlineStr">
        <is>
          <t>Official expansion. Relevant to registration and traceability; operational applicability requires review.</t>
        </is>
      </c>
      <c r="AP34" s="752" t="inlineStr">
        <is>
          <t>OFFICIAL_WEBSITE</t>
        </is>
      </c>
      <c r="AQ34" s="752" t="inlineStr">
        <is>
          <t>OFFICIAL_ORIGINAL</t>
        </is>
      </c>
      <c r="AR34" s="752" t="inlineStr">
        <is>
          <t>ROLLING</t>
        </is>
      </c>
      <c r="AS34" s="752" t="n"/>
    </row>
    <row r="35" ht="30" customHeight="1" s="36">
      <c r="A35" s="751" t="inlineStr">
        <is>
          <t>PA033</t>
        </is>
      </c>
      <c r="B35" s="751" t="inlineStr">
        <is>
          <t>PA033-001</t>
        </is>
      </c>
      <c r="C35" s="751" t="inlineStr">
        <is>
          <t>PA033-001_Regulation_on_catch-based_aquaculture.html</t>
        </is>
      </c>
      <c r="D35" s="751" t="inlineStr">
        <is>
          <t>STORED</t>
        </is>
      </c>
      <c r="E35" s="751">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
      </c>
      <c r="F35" s="751" t="inlineStr">
        <is>
          <t>SUCCESS</t>
        </is>
      </c>
      <c r="G35" s="755" t="n">
        <v>46262.53094907408</v>
      </c>
      <c r="H35" s="755" t="n">
        <v>46262.53094907408</v>
      </c>
      <c r="I35" s="751" t="inlineStr">
        <is>
          <t>INITIAL</t>
        </is>
      </c>
      <c r="J35" s="751" t="inlineStr">
        <is>
          <t>AUTO</t>
        </is>
      </c>
      <c r="K35" s="757">
        <f>IF(A35="","",IF(J35="AUTO",H35,IF(J35="MANUAL",AK35,"")))</f>
        <v/>
      </c>
      <c r="L35" s="751" t="inlineStr">
        <is>
          <t>NONE</t>
        </is>
      </c>
      <c r="M35" s="751" t="n"/>
      <c r="N35" s="751">
        <f>IF(A35="","",IF(COUNTIFS('Human Operation Desktop'!$A$3:$A$502,A35,'Human Operation Desktop'!$I$3:$I$502,"&lt;&gt;APPLIED",'Human Operation Desktop'!$I$3:$I$502,"&lt;&gt;REJECTED")&gt;0,"YES","NO"))</f>
        <v/>
      </c>
      <c r="O35" s="751" t="inlineStr">
        <is>
          <t>8e117c5d5d5017180a13f307c48ebc4833af52f1359012d6a4f7c713c2e5ef56</t>
        </is>
      </c>
      <c r="P35" s="752" t="inlineStr">
        <is>
          <t>Regulation on catch-based aquaculture</t>
        </is>
      </c>
      <c r="Q35" s="752" t="inlineStr">
        <is>
          <t>https://lovdata.no/dokument/SF/forskrift/2014-12-15-1831</t>
        </is>
      </c>
      <c r="R35" s="752" t="inlineStr">
        <is>
          <t>https://lovdata.no/dokument/SF/forskrift/2014-12-15-1831</t>
        </is>
      </c>
      <c r="S35" s="752" t="inlineStr">
        <is>
          <t>A_Public_Authority</t>
        </is>
      </c>
      <c r="T35" s="752" t="inlineStr">
        <is>
          <t>html</t>
        </is>
      </c>
      <c r="U35" s="752" t="inlineStr">
        <is>
          <t>Norwegian Ministry of Trade, Industry and Fisheries</t>
        </is>
      </c>
      <c r="V35" s="752" t="inlineStr">
        <is>
          <t>Norway</t>
        </is>
      </c>
      <c r="W35" s="752" t="inlineStr">
        <is>
          <t>Norwegian</t>
        </is>
      </c>
      <c r="X35" s="752" t="n"/>
      <c r="Y35" s="752" t="n"/>
      <c r="Z35" s="752" t="inlineStr">
        <is>
          <t>Public authority</t>
        </is>
      </c>
      <c r="AA35" s="752" t="inlineStr">
        <is>
          <t>Regulation</t>
        </is>
      </c>
      <c r="AB35" s="752" t="inlineStr">
        <is>
          <t>Primary normative</t>
        </is>
      </c>
      <c r="AC35" s="752" t="inlineStr">
        <is>
          <t>Official regulation issued by Norwegian Ministry of Trade, Industry and Fisheries; included because it may impose binding requirements on an in-scope aquaculture asset, activity, permit or certification.</t>
        </is>
      </c>
      <c r="AD35" s="752" t="inlineStr">
        <is>
          <t>HIGH</t>
        </is>
      </c>
      <c r="AE35" s="752" t="inlineStr">
        <is>
          <t>MEDIUM</t>
        </is>
      </c>
      <c r="AF35" s="752" t="inlineStr">
        <is>
          <t>HIGH</t>
        </is>
      </c>
      <c r="AG35" s="752" t="inlineStr">
        <is>
          <t>HIGH</t>
        </is>
      </c>
      <c r="AH35" s="752" t="inlineStr">
        <is>
          <t>HIGH</t>
        </is>
      </c>
      <c r="AI35" s="752" t="inlineStr">
        <is>
          <t>HIGH</t>
        </is>
      </c>
      <c r="AJ35" s="752" t="inlineStr">
        <is>
          <t>PENDING</t>
        </is>
      </c>
      <c r="AK35" s="759" t="n"/>
      <c r="AL35" s="752" t="n"/>
      <c r="AM35" s="752" t="inlineStr">
        <is>
          <t>CURRENT</t>
        </is>
      </c>
      <c r="AN35" s="752" t="n"/>
      <c r="AO35" s="752" t="inlineStr">
        <is>
          <t>Official coverage expansion from the aquaculture regulation index. Include only for catch-based aquaculture activities.</t>
        </is>
      </c>
      <c r="AP35" s="752" t="inlineStr">
        <is>
          <t>OFFICIAL_WEBSITE</t>
        </is>
      </c>
      <c r="AQ35" s="752" t="inlineStr">
        <is>
          <t>OFFICIAL_ORIGINAL</t>
        </is>
      </c>
      <c r="AR35" s="752" t="inlineStr">
        <is>
          <t>ROLLING</t>
        </is>
      </c>
      <c r="AS35" s="752" t="n"/>
    </row>
    <row r="36" ht="30" customHeight="1" s="36">
      <c r="A36" s="751" t="inlineStr">
        <is>
          <t>PA034</t>
        </is>
      </c>
      <c r="B36" s="751" t="inlineStr">
        <is>
          <t>PA034-001</t>
        </is>
      </c>
      <c r="C36" s="751" t="inlineStr">
        <is>
          <t>PA034-001_Regulation_on_coordination_and_time_limits_for_processing_aquaculture_applications.html</t>
        </is>
      </c>
      <c r="D36" s="751" t="inlineStr">
        <is>
          <t>STORED</t>
        </is>
      </c>
      <c r="E36" s="751">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
      </c>
      <c r="F36" s="751" t="inlineStr">
        <is>
          <t>SUCCESS</t>
        </is>
      </c>
      <c r="G36" s="755" t="n">
        <v>46262.53094907408</v>
      </c>
      <c r="H36" s="755" t="n">
        <v>46262.53096064815</v>
      </c>
      <c r="I36" s="751" t="inlineStr">
        <is>
          <t>INITIAL</t>
        </is>
      </c>
      <c r="J36" s="751" t="inlineStr">
        <is>
          <t>AUTO</t>
        </is>
      </c>
      <c r="K36" s="757">
        <f>IF(A36="","",IF(J36="AUTO",H36,IF(J36="MANUAL",AK36,"")))</f>
        <v/>
      </c>
      <c r="L36" s="751" t="inlineStr">
        <is>
          <t>NONE</t>
        </is>
      </c>
      <c r="M36" s="751" t="n"/>
      <c r="N36" s="751">
        <f>IF(A36="","",IF(COUNTIFS('Human Operation Desktop'!$A$3:$A$502,A36,'Human Operation Desktop'!$I$3:$I$502,"&lt;&gt;APPLIED",'Human Operation Desktop'!$I$3:$I$502,"&lt;&gt;REJECTED")&gt;0,"YES","NO"))</f>
        <v/>
      </c>
      <c r="O36" s="751" t="inlineStr">
        <is>
          <t>70eee18edb0de84ba14e2896f95f987b4e9954af8d586f574bff4f4b255a5e15</t>
        </is>
      </c>
      <c r="P36" s="752" t="inlineStr">
        <is>
          <t>Regulation on coordination and time limits for processing aquaculture applications</t>
        </is>
      </c>
      <c r="Q36" s="752" t="inlineStr">
        <is>
          <t>https://lovdata.no/dokument/SF/forskrift/2010-05-18-708</t>
        </is>
      </c>
      <c r="R36" s="752" t="inlineStr">
        <is>
          <t>https://lovdata.no/dokument/SF/forskrift/2010-05-18-708</t>
        </is>
      </c>
      <c r="S36" s="752" t="inlineStr">
        <is>
          <t>A_Public_Authority</t>
        </is>
      </c>
      <c r="T36" s="752" t="inlineStr">
        <is>
          <t>html</t>
        </is>
      </c>
      <c r="U36" s="752" t="inlineStr">
        <is>
          <t>Norwegian Ministry of Trade, Industry and Fisheries</t>
        </is>
      </c>
      <c r="V36" s="752" t="inlineStr">
        <is>
          <t>Norway</t>
        </is>
      </c>
      <c r="W36" s="752" t="inlineStr">
        <is>
          <t>Norwegian</t>
        </is>
      </c>
      <c r="X36" s="752" t="n"/>
      <c r="Y36" s="752" t="n"/>
      <c r="Z36" s="752" t="inlineStr">
        <is>
          <t>Public authority</t>
        </is>
      </c>
      <c r="AA36" s="752" t="inlineStr">
        <is>
          <t>Regulation</t>
        </is>
      </c>
      <c r="AB36" s="752" t="inlineStr">
        <is>
          <t>Referenced normative</t>
        </is>
      </c>
      <c r="AC36" s="752" t="inlineStr">
        <is>
          <t>Official referenced source from Norwegian Ministry of Trade, Industry and Fisheries; included because an applicable law, permit or certification scheme may make its provisions binding within the approved scope.</t>
        </is>
      </c>
      <c r="AD36" s="752" t="inlineStr">
        <is>
          <t>HIGH</t>
        </is>
      </c>
      <c r="AE36" s="752" t="inlineStr">
        <is>
          <t>MEDIUM</t>
        </is>
      </c>
      <c r="AF36" s="752" t="inlineStr">
        <is>
          <t>HIGH</t>
        </is>
      </c>
      <c r="AG36" s="752" t="inlineStr">
        <is>
          <t>HIGH</t>
        </is>
      </c>
      <c r="AH36" s="752" t="inlineStr">
        <is>
          <t>HIGH</t>
        </is>
      </c>
      <c r="AI36" s="752" t="inlineStr">
        <is>
          <t>HIGH</t>
        </is>
      </c>
      <c r="AJ36" s="752" t="inlineStr">
        <is>
          <t>PENDING</t>
        </is>
      </c>
      <c r="AK36" s="759" t="n"/>
      <c r="AL36" s="752" t="n"/>
      <c r="AM36" s="752" t="inlineStr">
        <is>
          <t>CURRENT</t>
        </is>
      </c>
      <c r="AN36" s="752" t="n"/>
      <c r="AO36" s="752" t="inlineStr">
        <is>
          <t>Official coverage expansion. Relevant to permitting workflow rather than routine operational controls.</t>
        </is>
      </c>
      <c r="AP36" s="752" t="inlineStr">
        <is>
          <t>OFFICIAL_WEBSITE</t>
        </is>
      </c>
      <c r="AQ36" s="752" t="inlineStr">
        <is>
          <t>OFFICIAL_ORIGINAL</t>
        </is>
      </c>
      <c r="AR36" s="752" t="inlineStr">
        <is>
          <t>ROLLING</t>
        </is>
      </c>
      <c r="AS36" s="752" t="n"/>
    </row>
    <row r="37" ht="30" customHeight="1" s="36">
      <c r="A37" s="751" t="inlineStr">
        <is>
          <t>PA035</t>
        </is>
      </c>
      <c r="B37" s="751" t="inlineStr">
        <is>
          <t>PA035-001</t>
        </is>
      </c>
      <c r="C37" s="751" t="inlineStr">
        <is>
          <t>PA035-001_Regulation_on_reactions_for_violations_of_the_Aquaculture_Act.html</t>
        </is>
      </c>
      <c r="D37" s="751" t="inlineStr">
        <is>
          <t>STORED</t>
        </is>
      </c>
      <c r="E37" s="751">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
      </c>
      <c r="F37" s="751" t="inlineStr">
        <is>
          <t>SUCCESS</t>
        </is>
      </c>
      <c r="G37" s="755" t="n">
        <v>46262.53096064815</v>
      </c>
      <c r="H37" s="755" t="n">
        <v>46262.53097222222</v>
      </c>
      <c r="I37" s="751" t="inlineStr">
        <is>
          <t>INITIAL</t>
        </is>
      </c>
      <c r="J37" s="751" t="inlineStr">
        <is>
          <t>AUTO</t>
        </is>
      </c>
      <c r="K37" s="757">
        <f>IF(A37="","",IF(J37="AUTO",H37,IF(J37="MANUAL",AK37,"")))</f>
        <v/>
      </c>
      <c r="L37" s="751" t="inlineStr">
        <is>
          <t>NONE</t>
        </is>
      </c>
      <c r="M37" s="751" t="n"/>
      <c r="N37" s="751">
        <f>IF(A37="","",IF(COUNTIFS('Human Operation Desktop'!$A$3:$A$502,A37,'Human Operation Desktop'!$I$3:$I$502,"&lt;&gt;APPLIED",'Human Operation Desktop'!$I$3:$I$502,"&lt;&gt;REJECTED")&gt;0,"YES","NO"))</f>
        <v/>
      </c>
      <c r="O37" s="751" t="inlineStr">
        <is>
          <t>9352c1d1b3caebc263c4086816b4f894e69d3aa424bbf97b364e14838ed589b6</t>
        </is>
      </c>
      <c r="P37" s="752" t="inlineStr">
        <is>
          <t>Regulation on reactions for violations of the Aquaculture Act</t>
        </is>
      </c>
      <c r="Q37" s="752" t="inlineStr">
        <is>
          <t>https://lovdata.no/dokument/SF/forskrift/2013-12-20-1675</t>
        </is>
      </c>
      <c r="R37" s="752" t="inlineStr">
        <is>
          <t>https://lovdata.no/dokument/SF/forskrift/2013-12-20-1675</t>
        </is>
      </c>
      <c r="S37" s="752" t="inlineStr">
        <is>
          <t>A_Public_Authority</t>
        </is>
      </c>
      <c r="T37" s="752" t="inlineStr">
        <is>
          <t>html</t>
        </is>
      </c>
      <c r="U37" s="752" t="inlineStr">
        <is>
          <t>Norwegian Ministry of Trade, Industry and Fisheries</t>
        </is>
      </c>
      <c r="V37" s="752" t="inlineStr">
        <is>
          <t>Norway</t>
        </is>
      </c>
      <c r="W37" s="752" t="inlineStr">
        <is>
          <t>Norwegian</t>
        </is>
      </c>
      <c r="X37" s="752" t="n"/>
      <c r="Y37" s="752" t="n"/>
      <c r="Z37" s="752" t="inlineStr">
        <is>
          <t>Public authority</t>
        </is>
      </c>
      <c r="AA37" s="752" t="inlineStr">
        <is>
          <t>Regulation</t>
        </is>
      </c>
      <c r="AB37" s="752" t="inlineStr">
        <is>
          <t>Referenced normative</t>
        </is>
      </c>
      <c r="AC37" s="752" t="inlineStr">
        <is>
          <t>Official referenced source from Norwegian Ministry of Trade, Industry and Fisheries; included because an applicable law, permit or certification scheme may make its provisions binding within the approved scope.</t>
        </is>
      </c>
      <c r="AD37" s="752" t="inlineStr">
        <is>
          <t>HIGH</t>
        </is>
      </c>
      <c r="AE37" s="752" t="inlineStr">
        <is>
          <t>MEDIUM</t>
        </is>
      </c>
      <c r="AF37" s="752" t="inlineStr">
        <is>
          <t>HIGH</t>
        </is>
      </c>
      <c r="AG37" s="752" t="inlineStr">
        <is>
          <t>HIGH</t>
        </is>
      </c>
      <c r="AH37" s="752" t="inlineStr">
        <is>
          <t>HIGH</t>
        </is>
      </c>
      <c r="AI37" s="752" t="inlineStr">
        <is>
          <t>HIGH</t>
        </is>
      </c>
      <c r="AJ37" s="752" t="inlineStr">
        <is>
          <t>PENDING</t>
        </is>
      </c>
      <c r="AK37" s="759" t="n"/>
      <c r="AL37" s="752" t="n"/>
      <c r="AM37" s="752" t="inlineStr">
        <is>
          <t>CURRENT</t>
        </is>
      </c>
      <c r="AN37" s="752" t="n"/>
      <c r="AO37" s="752" t="inlineStr">
        <is>
          <t>Official coverage expansion. Supports enforcement and consequence mapping; it is not normally the source of the underlying operational duty.</t>
        </is>
      </c>
      <c r="AP37" s="752" t="inlineStr">
        <is>
          <t>OFFICIAL_WEBSITE</t>
        </is>
      </c>
      <c r="AQ37" s="752" t="inlineStr">
        <is>
          <t>OFFICIAL_ORIGINAL</t>
        </is>
      </c>
      <c r="AR37" s="752" t="inlineStr">
        <is>
          <t>ROLLING</t>
        </is>
      </c>
      <c r="AS37" s="752" t="n"/>
    </row>
    <row r="38" ht="30" customHeight="1" s="36">
      <c r="A38" s="751" t="inlineStr">
        <is>
          <t>PA036</t>
        </is>
      </c>
      <c r="B38" s="751" t="inlineStr">
        <is>
          <t>PA036-001</t>
        </is>
      </c>
      <c r="C38" s="751" t="inlineStr">
        <is>
          <t>PA036-001_Regulation_on_permits_for_aquaculture_of_species_other_than_salmon_trout_and_rainbow_trout.html</t>
        </is>
      </c>
      <c r="D38" s="751" t="inlineStr">
        <is>
          <t>STORED</t>
        </is>
      </c>
      <c r="E38" s="751">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
      </c>
      <c r="F38" s="751" t="inlineStr">
        <is>
          <t>SUCCESS</t>
        </is>
      </c>
      <c r="G38" s="755" t="n">
        <v>46262.53097222222</v>
      </c>
      <c r="H38" s="755" t="n">
        <v>46262.53097222222</v>
      </c>
      <c r="I38" s="751" t="inlineStr">
        <is>
          <t>INITIAL</t>
        </is>
      </c>
      <c r="J38" s="751" t="inlineStr">
        <is>
          <t>AUTO</t>
        </is>
      </c>
      <c r="K38" s="757">
        <f>IF(A38="","",IF(J38="AUTO",H38,IF(J38="MANUAL",AK38,"")))</f>
        <v/>
      </c>
      <c r="L38" s="751" t="inlineStr">
        <is>
          <t>NONE</t>
        </is>
      </c>
      <c r="M38" s="751" t="n"/>
      <c r="N38" s="751">
        <f>IF(A38="","",IF(COUNTIFS('Human Operation Desktop'!$A$3:$A$502,A38,'Human Operation Desktop'!$I$3:$I$502,"&lt;&gt;APPLIED",'Human Operation Desktop'!$I$3:$I$502,"&lt;&gt;REJECTED")&gt;0,"YES","NO"))</f>
        <v/>
      </c>
      <c r="O38" s="751" t="inlineStr">
        <is>
          <t>18985a26548697f2ebe542f42a5ef6469c6f9c99a8dc35dedaa8d171c4d2b027</t>
        </is>
      </c>
      <c r="P38" s="752" t="inlineStr">
        <is>
          <t>Regulation on permits for aquaculture of species other than salmon, trout and rainbow trout</t>
        </is>
      </c>
      <c r="Q38" s="752" t="inlineStr">
        <is>
          <t>https://lovdata.no/dokument/SF/forskrift/2004-12-22-1799</t>
        </is>
      </c>
      <c r="R38" s="752" t="inlineStr">
        <is>
          <t>https://lovdata.no/dokument/SF/forskrift/2004-12-22-1799</t>
        </is>
      </c>
      <c r="S38" s="752" t="inlineStr">
        <is>
          <t>A_Public_Authority</t>
        </is>
      </c>
      <c r="T38" s="752" t="inlineStr">
        <is>
          <t>html</t>
        </is>
      </c>
      <c r="U38" s="752" t="inlineStr">
        <is>
          <t>Norwegian Ministry of Trade, Industry and Fisheries</t>
        </is>
      </c>
      <c r="V38" s="752" t="inlineStr">
        <is>
          <t>Norway</t>
        </is>
      </c>
      <c r="W38" s="752" t="inlineStr">
        <is>
          <t>Norwegian</t>
        </is>
      </c>
      <c r="X38" s="752" t="n"/>
      <c r="Y38" s="752" t="n"/>
      <c r="Z38" s="752" t="inlineStr">
        <is>
          <t>Public authority</t>
        </is>
      </c>
      <c r="AA38" s="752" t="inlineStr">
        <is>
          <t>Regulation</t>
        </is>
      </c>
      <c r="AB38" s="752" t="inlineStr">
        <is>
          <t>Primary normative</t>
        </is>
      </c>
      <c r="AC38" s="752" t="inlineStr">
        <is>
          <t>Official regulation issued by Norwegian Ministry of Trade, Industry and Fisheries; included because it may impose binding requirements on an in-scope aquaculture asset, activity, permit or certification.</t>
        </is>
      </c>
      <c r="AD38" s="752" t="inlineStr">
        <is>
          <t>HIGH</t>
        </is>
      </c>
      <c r="AE38" s="752" t="inlineStr">
        <is>
          <t>MEDIUM</t>
        </is>
      </c>
      <c r="AF38" s="752" t="inlineStr">
        <is>
          <t>HIGH</t>
        </is>
      </c>
      <c r="AG38" s="752" t="inlineStr">
        <is>
          <t>HIGH</t>
        </is>
      </c>
      <c r="AH38" s="752" t="inlineStr">
        <is>
          <t>HIGH</t>
        </is>
      </c>
      <c r="AI38" s="752" t="inlineStr">
        <is>
          <t>HIGH</t>
        </is>
      </c>
      <c r="AJ38" s="752" t="inlineStr">
        <is>
          <t>PENDING</t>
        </is>
      </c>
      <c r="AK38" s="759" t="n"/>
      <c r="AL38" s="752" t="n"/>
      <c r="AM38" s="752" t="inlineStr">
        <is>
          <t>CURRENT</t>
        </is>
      </c>
      <c r="AN38" s="752" t="n"/>
      <c r="AO38" s="752" t="inlineStr">
        <is>
          <t>Official coverage expansion. Include only when other species are within the approved scope.</t>
        </is>
      </c>
      <c r="AP38" s="752" t="inlineStr">
        <is>
          <t>OFFICIAL_WEBSITE</t>
        </is>
      </c>
      <c r="AQ38" s="752" t="inlineStr">
        <is>
          <t>OFFICIAL_ORIGINAL</t>
        </is>
      </c>
      <c r="AR38" s="752" t="inlineStr">
        <is>
          <t>ROLLING</t>
        </is>
      </c>
      <c r="AS38" s="752" t="n"/>
    </row>
    <row r="39" ht="30" customHeight="1" s="36">
      <c r="A39" s="751" t="inlineStr">
        <is>
          <t>PA037</t>
        </is>
      </c>
      <c r="B39" s="751" t="inlineStr">
        <is>
          <t>PA037-001</t>
        </is>
      </c>
      <c r="C39" s="751" t="inlineStr">
        <is>
          <t>PA037-001_Regulation_on_fees_and_charges_relating_to_aquaculture_activities.html</t>
        </is>
      </c>
      <c r="D39" s="751" t="inlineStr">
        <is>
          <t>STORED</t>
        </is>
      </c>
      <c r="E39" s="751">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
      </c>
      <c r="F39" s="751" t="inlineStr">
        <is>
          <t>SUCCESS</t>
        </is>
      </c>
      <c r="G39" s="755" t="n">
        <v>46262.53097222222</v>
      </c>
      <c r="H39" s="755" t="n">
        <v>46262.5309837963</v>
      </c>
      <c r="I39" s="751" t="inlineStr">
        <is>
          <t>INITIAL</t>
        </is>
      </c>
      <c r="J39" s="751" t="inlineStr">
        <is>
          <t>AUTO</t>
        </is>
      </c>
      <c r="K39" s="757">
        <f>IF(A39="","",IF(J39="AUTO",H39,IF(J39="MANUAL",AK39,"")))</f>
        <v/>
      </c>
      <c r="L39" s="751" t="inlineStr">
        <is>
          <t>NONE</t>
        </is>
      </c>
      <c r="M39" s="751" t="n"/>
      <c r="N39" s="751">
        <f>IF(A39="","",IF(COUNTIFS('Human Operation Desktop'!$A$3:$A$502,A39,'Human Operation Desktop'!$I$3:$I$502,"&lt;&gt;APPLIED",'Human Operation Desktop'!$I$3:$I$502,"&lt;&gt;REJECTED")&gt;0,"YES","NO"))</f>
        <v/>
      </c>
      <c r="O39" s="751" t="inlineStr">
        <is>
          <t>cf7e9767f070aa451123bb7477591661c984e767d32002ad03db21e2534d7e45</t>
        </is>
      </c>
      <c r="P39" s="752" t="inlineStr">
        <is>
          <t>Regulation on fees and charges relating to aquaculture activities</t>
        </is>
      </c>
      <c r="Q39" s="752" t="inlineStr">
        <is>
          <t>https://lovdata.no/dokument/SF/forskrift/2001-12-21-1597</t>
        </is>
      </c>
      <c r="R39" s="752" t="inlineStr">
        <is>
          <t>https://lovdata.no/dokument/SF/forskrift/2001-12-21-1597</t>
        </is>
      </c>
      <c r="S39" s="752" t="inlineStr">
        <is>
          <t>A_Public_Authority</t>
        </is>
      </c>
      <c r="T39" s="752" t="inlineStr">
        <is>
          <t>html</t>
        </is>
      </c>
      <c r="U39" s="752" t="inlineStr">
        <is>
          <t>Norwegian Ministry of Trade, Industry and Fisheries</t>
        </is>
      </c>
      <c r="V39" s="752" t="inlineStr">
        <is>
          <t>Norway</t>
        </is>
      </c>
      <c r="W39" s="752" t="inlineStr">
        <is>
          <t>Norwegian</t>
        </is>
      </c>
      <c r="X39" s="752" t="n"/>
      <c r="Y39" s="752" t="n"/>
      <c r="Z39" s="752" t="inlineStr">
        <is>
          <t>Public authority</t>
        </is>
      </c>
      <c r="AA39" s="752" t="inlineStr">
        <is>
          <t>Regulation</t>
        </is>
      </c>
      <c r="AB39" s="752" t="inlineStr">
        <is>
          <t>Referenced normative</t>
        </is>
      </c>
      <c r="AC39" s="752" t="inlineStr">
        <is>
          <t>Official referenced source from Norwegian Ministry of Trade, Industry and Fisheries; included because an applicable law, permit or certification scheme may make its provisions binding within the approved scope.</t>
        </is>
      </c>
      <c r="AD39" s="752" t="inlineStr">
        <is>
          <t>HIGH</t>
        </is>
      </c>
      <c r="AE39" s="752" t="inlineStr">
        <is>
          <t>MEDIUM</t>
        </is>
      </c>
      <c r="AF39" s="752" t="inlineStr">
        <is>
          <t>HIGH</t>
        </is>
      </c>
      <c r="AG39" s="752" t="inlineStr">
        <is>
          <t>HIGH</t>
        </is>
      </c>
      <c r="AH39" s="752" t="inlineStr">
        <is>
          <t>HIGH</t>
        </is>
      </c>
      <c r="AI39" s="752" t="inlineStr">
        <is>
          <t>HIGH</t>
        </is>
      </c>
      <c r="AJ39" s="752" t="inlineStr">
        <is>
          <t>PENDING</t>
        </is>
      </c>
      <c r="AK39" s="759" t="n"/>
      <c r="AL39" s="752" t="n"/>
      <c r="AM39" s="752" t="inlineStr">
        <is>
          <t>CURRENT</t>
        </is>
      </c>
      <c r="AN39" s="752" t="n"/>
      <c r="AO39" s="752" t="inlineStr">
        <is>
          <t>Official coverage expansion. Administrative and financial relevance depends on the permit or application process.</t>
        </is>
      </c>
      <c r="AP39" s="752" t="inlineStr">
        <is>
          <t>OFFICIAL_WEBSITE</t>
        </is>
      </c>
      <c r="AQ39" s="752" t="inlineStr">
        <is>
          <t>OFFICIAL_ORIGINAL</t>
        </is>
      </c>
      <c r="AR39" s="752" t="inlineStr">
        <is>
          <t>ROLLING</t>
        </is>
      </c>
      <c r="AS39" s="752" t="n"/>
    </row>
    <row r="40" ht="30" customHeight="1" s="36">
      <c r="A40" s="751" t="inlineStr">
        <is>
          <t>PA038</t>
        </is>
      </c>
      <c r="B40" s="751" t="inlineStr">
        <is>
          <t>PA038-001</t>
        </is>
      </c>
      <c r="C40" s="751" t="inlineStr">
        <is>
          <t>PA038-001_Regulation_on_sea_ranching.html</t>
        </is>
      </c>
      <c r="D40" s="751" t="inlineStr">
        <is>
          <t>STORED</t>
        </is>
      </c>
      <c r="E40" s="751">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
      </c>
      <c r="F40" s="751" t="inlineStr">
        <is>
          <t>SUCCESS</t>
        </is>
      </c>
      <c r="G40" s="755" t="n">
        <v>46262.5309837963</v>
      </c>
      <c r="H40" s="755" t="n">
        <v>46262.53099537037</v>
      </c>
      <c r="I40" s="751" t="inlineStr">
        <is>
          <t>INITIAL</t>
        </is>
      </c>
      <c r="J40" s="751" t="inlineStr">
        <is>
          <t>AUTO</t>
        </is>
      </c>
      <c r="K40" s="757">
        <f>IF(A40="","",IF(J40="AUTO",H40,IF(J40="MANUAL",AK40,"")))</f>
        <v/>
      </c>
      <c r="L40" s="751" t="inlineStr">
        <is>
          <t>NONE</t>
        </is>
      </c>
      <c r="M40" s="751" t="n"/>
      <c r="N40" s="751">
        <f>IF(A40="","",IF(COUNTIFS('Human Operation Desktop'!$A$3:$A$502,A40,'Human Operation Desktop'!$I$3:$I$502,"&lt;&gt;APPLIED",'Human Operation Desktop'!$I$3:$I$502,"&lt;&gt;REJECTED")&gt;0,"YES","NO"))</f>
        <v/>
      </c>
      <c r="O40" s="751" t="inlineStr">
        <is>
          <t>94210cefeb809c7317a22a0b026762a996ea8a0fa4981cd5fd9d2966e3f39ae7</t>
        </is>
      </c>
      <c r="P40" s="752" t="inlineStr">
        <is>
          <t>Regulation on sea ranching</t>
        </is>
      </c>
      <c r="Q40" s="752" t="inlineStr">
        <is>
          <t>https://lovdata.no/dokument/SF/forskrift/2003-08-28-1110</t>
        </is>
      </c>
      <c r="R40" s="752" t="inlineStr">
        <is>
          <t>https://lovdata.no/dokument/SF/forskrift/2003-08-28-1110</t>
        </is>
      </c>
      <c r="S40" s="752" t="inlineStr">
        <is>
          <t>A_Public_Authority</t>
        </is>
      </c>
      <c r="T40" s="752" t="inlineStr">
        <is>
          <t>html</t>
        </is>
      </c>
      <c r="U40" s="752" t="inlineStr">
        <is>
          <t>Norwegian Ministry of Trade, Industry and Fisheries</t>
        </is>
      </c>
      <c r="V40" s="752" t="inlineStr">
        <is>
          <t>Norway</t>
        </is>
      </c>
      <c r="W40" s="752" t="inlineStr">
        <is>
          <t>Norwegian</t>
        </is>
      </c>
      <c r="X40" s="752" t="n"/>
      <c r="Y40" s="752" t="n"/>
      <c r="Z40" s="752" t="inlineStr">
        <is>
          <t>Public authority</t>
        </is>
      </c>
      <c r="AA40" s="752" t="inlineStr">
        <is>
          <t>Regulation</t>
        </is>
      </c>
      <c r="AB40" s="752" t="inlineStr">
        <is>
          <t>Primary normative</t>
        </is>
      </c>
      <c r="AC40" s="752" t="inlineStr">
        <is>
          <t>Official regulation issued by Norwegian Ministry of Trade, Industry and Fisheries; included because it may impose binding requirements on an in-scope aquaculture asset, activity, permit or certification.</t>
        </is>
      </c>
      <c r="AD40" s="752" t="inlineStr">
        <is>
          <t>HIGH</t>
        </is>
      </c>
      <c r="AE40" s="752" t="inlineStr">
        <is>
          <t>MEDIUM</t>
        </is>
      </c>
      <c r="AF40" s="752" t="inlineStr">
        <is>
          <t>HIGH</t>
        </is>
      </c>
      <c r="AG40" s="752" t="inlineStr">
        <is>
          <t>HIGH</t>
        </is>
      </c>
      <c r="AH40" s="752" t="inlineStr">
        <is>
          <t>HIGH</t>
        </is>
      </c>
      <c r="AI40" s="752" t="inlineStr">
        <is>
          <t>HIGH</t>
        </is>
      </c>
      <c r="AJ40" s="752" t="inlineStr">
        <is>
          <t>PENDING</t>
        </is>
      </c>
      <c r="AK40" s="759" t="n"/>
      <c r="AL40" s="752" t="n"/>
      <c r="AM40" s="752" t="inlineStr">
        <is>
          <t>CURRENT</t>
        </is>
      </c>
      <c r="AN40" s="752" t="n"/>
      <c r="AO40" s="752" t="inlineStr">
        <is>
          <t>Official coverage expansion. Include only for sea-ranching operations.</t>
        </is>
      </c>
      <c r="AP40" s="752" t="inlineStr">
        <is>
          <t>OFFICIAL_WEBSITE</t>
        </is>
      </c>
      <c r="AQ40" s="752" t="inlineStr">
        <is>
          <t>OFFICIAL_ORIGINAL</t>
        </is>
      </c>
      <c r="AR40" s="752" t="inlineStr">
        <is>
          <t>ROLLING</t>
        </is>
      </c>
      <c r="AS40" s="752" t="n"/>
    </row>
    <row r="41" ht="30" customHeight="1" s="36">
      <c r="A41" s="751" t="inlineStr">
        <is>
          <t>PA039</t>
        </is>
      </c>
      <c r="B41" s="751" t="inlineStr">
        <is>
          <t>PA039-001</t>
        </is>
      </c>
      <c r="C41" s="751" t="inlineStr">
        <is>
          <t>PA039-001_Animal_Health_Regulation.html</t>
        </is>
      </c>
      <c r="D41" s="751" t="inlineStr">
        <is>
          <t>STORED</t>
        </is>
      </c>
      <c r="E41" s="751">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
      </c>
      <c r="F41" s="751" t="inlineStr">
        <is>
          <t>SUCCESS</t>
        </is>
      </c>
      <c r="G41" s="755" t="n">
        <v>46262.53099537037</v>
      </c>
      <c r="H41" s="755" t="n">
        <v>46262.53099537037</v>
      </c>
      <c r="I41" s="751" t="inlineStr">
        <is>
          <t>INITIAL</t>
        </is>
      </c>
      <c r="J41" s="751" t="inlineStr">
        <is>
          <t>AUTO</t>
        </is>
      </c>
      <c r="K41" s="757">
        <f>IF(A41="","",IF(J41="AUTO",H41,IF(J41="MANUAL",AK41,"")))</f>
        <v/>
      </c>
      <c r="L41" s="751" t="inlineStr">
        <is>
          <t>NONE</t>
        </is>
      </c>
      <c r="M41" s="751" t="n"/>
      <c r="N41" s="751">
        <f>IF(A41="","",IF(COUNTIFS('Human Operation Desktop'!$A$3:$A$502,A41,'Human Operation Desktop'!$I$3:$I$502,"&lt;&gt;APPLIED",'Human Operation Desktop'!$I$3:$I$502,"&lt;&gt;REJECTED")&gt;0,"YES","NO"))</f>
        <v/>
      </c>
      <c r="O41" s="751" t="inlineStr">
        <is>
          <t>9c505be3af04d8879ed1361628aaa96d5a45cacf20987849139a7636c1d97343</t>
        </is>
      </c>
      <c r="P41" s="752" t="inlineStr">
        <is>
          <t>Animal Health Regulation</t>
        </is>
      </c>
      <c r="Q41" s="752" t="inlineStr">
        <is>
          <t>https://lovdata.no/dokument/SF/forskrift/2022-04-06-631</t>
        </is>
      </c>
      <c r="R41" s="752" t="inlineStr">
        <is>
          <t>https://lovdata.no/dokument/SF/forskrift/2022-04-06-631</t>
        </is>
      </c>
      <c r="S41" s="752" t="inlineStr">
        <is>
          <t>A_Public_Authority</t>
        </is>
      </c>
      <c r="T41" s="752" t="inlineStr">
        <is>
          <t>html</t>
        </is>
      </c>
      <c r="U41" s="752" t="inlineStr">
        <is>
          <t>Norwegian Ministry of Agriculture and Food</t>
        </is>
      </c>
      <c r="V41" s="752" t="inlineStr">
        <is>
          <t>Norway</t>
        </is>
      </c>
      <c r="W41" s="752" t="inlineStr">
        <is>
          <t>Norwegian</t>
        </is>
      </c>
      <c r="X41" s="752" t="n"/>
      <c r="Y41" s="752" t="n"/>
      <c r="Z41" s="752" t="inlineStr">
        <is>
          <t>Public authority</t>
        </is>
      </c>
      <c r="AA41" s="752" t="inlineStr">
        <is>
          <t>Regulation</t>
        </is>
      </c>
      <c r="AB41" s="752" t="inlineStr">
        <is>
          <t>Primary normative</t>
        </is>
      </c>
      <c r="AC41" s="752" t="inlineStr">
        <is>
          <t>Official regulation issued by Norwegian Ministry of Agriculture and Food; included because it may impose binding requirements on an in-scope aquaculture asset, activity, permit or certification.</t>
        </is>
      </c>
      <c r="AD41" s="752" t="inlineStr">
        <is>
          <t>HIGH</t>
        </is>
      </c>
      <c r="AE41" s="752" t="inlineStr">
        <is>
          <t>HIGH</t>
        </is>
      </c>
      <c r="AF41" s="752" t="inlineStr">
        <is>
          <t>HIGH</t>
        </is>
      </c>
      <c r="AG41" s="752" t="inlineStr">
        <is>
          <t>HIGH</t>
        </is>
      </c>
      <c r="AH41" s="752" t="inlineStr">
        <is>
          <t>HIGH</t>
        </is>
      </c>
      <c r="AI41" s="752" t="inlineStr">
        <is>
          <t>HIGH</t>
        </is>
      </c>
      <c r="AJ41" s="752" t="inlineStr">
        <is>
          <t>INCLUDE</t>
        </is>
      </c>
      <c r="AK41" s="759" t="n"/>
      <c r="AL41" s="752" t="n"/>
      <c r="AM41" s="752" t="inlineStr">
        <is>
          <t>CURRENT</t>
        </is>
      </c>
      <c r="AN41" s="752" t="inlineStr">
        <is>
          <t>PA010</t>
        </is>
      </c>
      <c r="AO41" s="752" t="inlineStr">
        <is>
          <t>Official Norwegian implementation package for the EU Animal Health Law. Confirm species and activity-specific provisions.</t>
        </is>
      </c>
      <c r="AP41" s="752" t="inlineStr">
        <is>
          <t>OFFICIAL_WEBSITE</t>
        </is>
      </c>
      <c r="AQ41" s="752" t="inlineStr">
        <is>
          <t>OFFICIAL_ORIGINAL</t>
        </is>
      </c>
      <c r="AR41" s="752" t="inlineStr">
        <is>
          <t>ROLLING</t>
        </is>
      </c>
      <c r="AS41" s="752" t="n"/>
    </row>
    <row r="42" ht="30" customHeight="1" s="36">
      <c r="A42" s="751" t="inlineStr">
        <is>
          <t>PA040</t>
        </is>
      </c>
      <c r="B42" s="751" t="inlineStr">
        <is>
          <t>PA040-001</t>
        </is>
      </c>
      <c r="C42" s="751" t="inlineStr">
        <is>
          <t>PA040-001_Aquabiosafety_Regulation.html</t>
        </is>
      </c>
      <c r="D42" s="751" t="inlineStr">
        <is>
          <t>STORED</t>
        </is>
      </c>
      <c r="E42" s="751">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
      </c>
      <c r="F42" s="751" t="inlineStr">
        <is>
          <t>SUCCESS</t>
        </is>
      </c>
      <c r="G42" s="755" t="n">
        <v>46262.53099537037</v>
      </c>
      <c r="H42" s="755" t="n">
        <v>46262.53099537037</v>
      </c>
      <c r="I42" s="751" t="inlineStr">
        <is>
          <t>INITIAL</t>
        </is>
      </c>
      <c r="J42" s="751" t="inlineStr">
        <is>
          <t>AUTO</t>
        </is>
      </c>
      <c r="K42" s="757">
        <f>IF(A42="","",IF(J42="AUTO",H42,IF(J42="MANUAL",AK42,"")))</f>
        <v/>
      </c>
      <c r="L42" s="751" t="inlineStr">
        <is>
          <t>NONE</t>
        </is>
      </c>
      <c r="M42" s="751" t="n"/>
      <c r="N42" s="751">
        <f>IF(A42="","",IF(COUNTIFS('Human Operation Desktop'!$A$3:$A$502,A42,'Human Operation Desktop'!$I$3:$I$502,"&lt;&gt;APPLIED",'Human Operation Desktop'!$I$3:$I$502,"&lt;&gt;REJECTED")&gt;0,"YES","NO"))</f>
        <v/>
      </c>
      <c r="O42" s="751" t="inlineStr">
        <is>
          <t>ede876a30d12f3085e1e83584a4c2c3fd16c39afd42a1722c9c6ddd4bdca5bf9</t>
        </is>
      </c>
      <c r="P42" s="752" t="inlineStr">
        <is>
          <t>Aquabiosafety Regulation</t>
        </is>
      </c>
      <c r="Q42" s="752" t="inlineStr">
        <is>
          <t>https://lovdata.no/dokument/SF/forskrift/2022-04-05-624</t>
        </is>
      </c>
      <c r="R42" s="752" t="inlineStr">
        <is>
          <t>https://lovdata.no/dokument/SF/forskrift/2022-04-05-624</t>
        </is>
      </c>
      <c r="S42" s="752" t="inlineStr">
        <is>
          <t>A_Public_Authority</t>
        </is>
      </c>
      <c r="T42" s="752" t="inlineStr">
        <is>
          <t>html</t>
        </is>
      </c>
      <c r="U42" s="752" t="inlineStr">
        <is>
          <t>Norwegian Ministry of Trade, Industry and Fisheries</t>
        </is>
      </c>
      <c r="V42" s="752" t="inlineStr">
        <is>
          <t>Norway</t>
        </is>
      </c>
      <c r="W42" s="752" t="inlineStr">
        <is>
          <t>Norwegian</t>
        </is>
      </c>
      <c r="X42" s="752" t="n"/>
      <c r="Y42" s="752" t="n"/>
      <c r="Z42" s="752" t="inlineStr">
        <is>
          <t>Public authority</t>
        </is>
      </c>
      <c r="AA42" s="752" t="inlineStr">
        <is>
          <t>Regulation</t>
        </is>
      </c>
      <c r="AB42" s="752" t="inlineStr">
        <is>
          <t>Primary normative</t>
        </is>
      </c>
      <c r="AC42" s="752" t="inlineStr">
        <is>
          <t>Official regulation issued by Norwegian Ministry of Trade, Industry and Fisheries; included because it may impose binding requirements on an in-scope aquaculture asset, activity, permit or certification.</t>
        </is>
      </c>
      <c r="AD42" s="752" t="inlineStr">
        <is>
          <t>HIGH</t>
        </is>
      </c>
      <c r="AE42" s="752" t="inlineStr">
        <is>
          <t>HIGH</t>
        </is>
      </c>
      <c r="AF42" s="752" t="inlineStr">
        <is>
          <t>HIGH</t>
        </is>
      </c>
      <c r="AG42" s="752" t="inlineStr">
        <is>
          <t>HIGH</t>
        </is>
      </c>
      <c r="AH42" s="752" t="inlineStr">
        <is>
          <t>HIGH</t>
        </is>
      </c>
      <c r="AI42" s="752" t="inlineStr">
        <is>
          <t>HIGH</t>
        </is>
      </c>
      <c r="AJ42" s="752" t="inlineStr">
        <is>
          <t>INCLUDE</t>
        </is>
      </c>
      <c r="AK42" s="759" t="n"/>
      <c r="AL42" s="752" t="n"/>
      <c r="AM42" s="752" t="inlineStr">
        <is>
          <t>CURRENT</t>
        </is>
      </c>
      <c r="AN42" s="752" t="inlineStr">
        <is>
          <t>PA010</t>
        </is>
      </c>
      <c r="AO42" s="752" t="inlineStr">
        <is>
          <t>Official expansion from Mattilsynet's aquaculture biosafety guidance. Core candidate for biosecurity planning and operation.</t>
        </is>
      </c>
      <c r="AP42" s="752" t="inlineStr">
        <is>
          <t>OFFICIAL_WEBSITE</t>
        </is>
      </c>
      <c r="AQ42" s="752" t="inlineStr">
        <is>
          <t>OFFICIAL_ORIGINAL</t>
        </is>
      </c>
      <c r="AR42" s="752" t="inlineStr">
        <is>
          <t>ROLLING</t>
        </is>
      </c>
      <c r="AS42" s="752" t="n"/>
    </row>
    <row r="43" ht="30" customHeight="1" s="36">
      <c r="A43" s="751" t="inlineStr">
        <is>
          <t>PA041</t>
        </is>
      </c>
      <c r="B43" s="751" t="inlineStr">
        <is>
          <t>PA041-001</t>
        </is>
      </c>
      <c r="C43" s="751" t="inlineStr">
        <is>
          <t>PA041-001_Animal_Health_Surveillance_Regulation.html</t>
        </is>
      </c>
      <c r="D43" s="751" t="inlineStr">
        <is>
          <t>STORED</t>
        </is>
      </c>
      <c r="E43" s="751">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
      </c>
      <c r="F43" s="751" t="inlineStr">
        <is>
          <t>SUCCESS</t>
        </is>
      </c>
      <c r="G43" s="755" t="n">
        <v>46262.53100694445</v>
      </c>
      <c r="H43" s="755" t="n">
        <v>46262.53100694445</v>
      </c>
      <c r="I43" s="751" t="inlineStr">
        <is>
          <t>INITIAL</t>
        </is>
      </c>
      <c r="J43" s="751" t="inlineStr">
        <is>
          <t>AUTO</t>
        </is>
      </c>
      <c r="K43" s="757">
        <f>IF(A43="","",IF(J43="AUTO",H43,IF(J43="MANUAL",AK43,"")))</f>
        <v/>
      </c>
      <c r="L43" s="751" t="inlineStr">
        <is>
          <t>NONE</t>
        </is>
      </c>
      <c r="M43" s="751" t="n"/>
      <c r="N43" s="751">
        <f>IF(A43="","",IF(COUNTIFS('Human Operation Desktop'!$A$3:$A$502,A43,'Human Operation Desktop'!$I$3:$I$502,"&lt;&gt;APPLIED",'Human Operation Desktop'!$I$3:$I$502,"&lt;&gt;REJECTED")&gt;0,"YES","NO"))</f>
        <v/>
      </c>
      <c r="O43" s="751" t="inlineStr">
        <is>
          <t>ac4adc7d9df4f75a93328f2fd196b1fb854fcc4696e26c150015ec3b30f6ff65</t>
        </is>
      </c>
      <c r="P43" s="752" t="inlineStr">
        <is>
          <t>Animal Health Surveillance Regulation</t>
        </is>
      </c>
      <c r="Q43" s="752" t="inlineStr">
        <is>
          <t>https://lovdata.no/dokument/SF/forskrift/2022-04-06-632</t>
        </is>
      </c>
      <c r="R43" s="752" t="inlineStr">
        <is>
          <t>https://lovdata.no/dokument/SF/forskrift/2022-04-06-632</t>
        </is>
      </c>
      <c r="S43" s="752" t="inlineStr">
        <is>
          <t>A_Public_Authority</t>
        </is>
      </c>
      <c r="T43" s="752" t="inlineStr">
        <is>
          <t>html</t>
        </is>
      </c>
      <c r="U43" s="752" t="inlineStr">
        <is>
          <t>Norwegian Ministry of Agriculture and Food</t>
        </is>
      </c>
      <c r="V43" s="752" t="inlineStr">
        <is>
          <t>Norway</t>
        </is>
      </c>
      <c r="W43" s="752" t="inlineStr">
        <is>
          <t>Norwegian</t>
        </is>
      </c>
      <c r="X43" s="752" t="n"/>
      <c r="Y43" s="752" t="n"/>
      <c r="Z43" s="752" t="inlineStr">
        <is>
          <t>Public authority</t>
        </is>
      </c>
      <c r="AA43" s="752" t="inlineStr">
        <is>
          <t>Regulation</t>
        </is>
      </c>
      <c r="AB43" s="752" t="inlineStr">
        <is>
          <t>Primary normative</t>
        </is>
      </c>
      <c r="AC43" s="752" t="inlineStr">
        <is>
          <t>Official regulation issued by Norwegian Ministry of Agriculture and Food; included because it may impose binding requirements on an in-scope aquaculture asset, activity, permit or certification.</t>
        </is>
      </c>
      <c r="AD43" s="752" t="inlineStr">
        <is>
          <t>HIGH</t>
        </is>
      </c>
      <c r="AE43" s="752" t="inlineStr">
        <is>
          <t>HIGH</t>
        </is>
      </c>
      <c r="AF43" s="752" t="inlineStr">
        <is>
          <t>HIGH</t>
        </is>
      </c>
      <c r="AG43" s="752" t="inlineStr">
        <is>
          <t>HIGH</t>
        </is>
      </c>
      <c r="AH43" s="752" t="inlineStr">
        <is>
          <t>HIGH</t>
        </is>
      </c>
      <c r="AI43" s="752" t="inlineStr">
        <is>
          <t>HIGH</t>
        </is>
      </c>
      <c r="AJ43" s="752" t="inlineStr">
        <is>
          <t>INCLUDE</t>
        </is>
      </c>
      <c r="AK43" s="759" t="n"/>
      <c r="AL43" s="752" t="n"/>
      <c r="AM43" s="752" t="inlineStr">
        <is>
          <t>CURRENT</t>
        </is>
      </c>
      <c r="AN43" s="752" t="inlineStr">
        <is>
          <t>PA010</t>
        </is>
      </c>
      <c r="AO43" s="752" t="inlineStr">
        <is>
          <t>Official Norwegian implementation package for animal-health surveillance. Applicability must be mapped to farm species and status.</t>
        </is>
      </c>
      <c r="AP43" s="752" t="inlineStr">
        <is>
          <t>OFFICIAL_WEBSITE</t>
        </is>
      </c>
      <c r="AQ43" s="752" t="inlineStr">
        <is>
          <t>OFFICIAL_ORIGINAL</t>
        </is>
      </c>
      <c r="AR43" s="752" t="inlineStr">
        <is>
          <t>ROLLING</t>
        </is>
      </c>
      <c r="AS43" s="752" t="n"/>
    </row>
    <row r="44" ht="30" customHeight="1" s="36">
      <c r="A44" s="751" t="inlineStr">
        <is>
          <t>PA042</t>
        </is>
      </c>
      <c r="B44" s="751" t="inlineStr">
        <is>
          <t>PA042-001</t>
        </is>
      </c>
      <c r="C44" s="751" t="inlineStr">
        <is>
          <t>PA042-001_Animal_Disease_Control_Regulation.html</t>
        </is>
      </c>
      <c r="D44" s="751" t="inlineStr">
        <is>
          <t>STORED</t>
        </is>
      </c>
      <c r="E44" s="751">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
      </c>
      <c r="F44" s="751" t="inlineStr">
        <is>
          <t>SUCCESS</t>
        </is>
      </c>
      <c r="G44" s="755" t="n">
        <v>46262.53100694445</v>
      </c>
      <c r="H44" s="755" t="n">
        <v>46262.53100694445</v>
      </c>
      <c r="I44" s="751" t="inlineStr">
        <is>
          <t>INITIAL</t>
        </is>
      </c>
      <c r="J44" s="751" t="inlineStr">
        <is>
          <t>AUTO</t>
        </is>
      </c>
      <c r="K44" s="757">
        <f>IF(A44="","",IF(J44="AUTO",H44,IF(J44="MANUAL",AK44,"")))</f>
        <v/>
      </c>
      <c r="L44" s="751" t="inlineStr">
        <is>
          <t>NONE</t>
        </is>
      </c>
      <c r="M44" s="751" t="n"/>
      <c r="N44" s="751">
        <f>IF(A44="","",IF(COUNTIFS('Human Operation Desktop'!$A$3:$A$502,A44,'Human Operation Desktop'!$I$3:$I$502,"&lt;&gt;APPLIED",'Human Operation Desktop'!$I$3:$I$502,"&lt;&gt;REJECTED")&gt;0,"YES","NO"))</f>
        <v/>
      </c>
      <c r="O44" s="751" t="inlineStr">
        <is>
          <t>0c5693b8397db63986f66ac880a8fae1ba72a0f02771de366f103d3ee196e2e8</t>
        </is>
      </c>
      <c r="P44" s="752" t="inlineStr">
        <is>
          <t>Animal Disease Control Regulation</t>
        </is>
      </c>
      <c r="Q44" s="752" t="inlineStr">
        <is>
          <t>https://lovdata.no/dokument/SF/forskrift/2022-04-06-634</t>
        </is>
      </c>
      <c r="R44" s="752" t="inlineStr">
        <is>
          <t>https://lovdata.no/dokument/SF/forskrift/2022-04-06-634</t>
        </is>
      </c>
      <c r="S44" s="752" t="inlineStr">
        <is>
          <t>A_Public_Authority</t>
        </is>
      </c>
      <c r="T44" s="752" t="inlineStr">
        <is>
          <t>html</t>
        </is>
      </c>
      <c r="U44" s="752" t="inlineStr">
        <is>
          <t>Norwegian Ministry of Agriculture and Food</t>
        </is>
      </c>
      <c r="V44" s="752" t="inlineStr">
        <is>
          <t>Norway</t>
        </is>
      </c>
      <c r="W44" s="752" t="inlineStr">
        <is>
          <t>Norwegian</t>
        </is>
      </c>
      <c r="X44" s="752" t="n"/>
      <c r="Y44" s="752" t="n"/>
      <c r="Z44" s="752" t="inlineStr">
        <is>
          <t>Public authority</t>
        </is>
      </c>
      <c r="AA44" s="752" t="inlineStr">
        <is>
          <t>Regulation</t>
        </is>
      </c>
      <c r="AB44" s="752" t="inlineStr">
        <is>
          <t>Primary normative</t>
        </is>
      </c>
      <c r="AC44" s="752" t="inlineStr">
        <is>
          <t>Official regulation issued by Norwegian Ministry of Agriculture and Food; included because it may impose binding requirements on an in-scope aquaculture asset, activity, permit or certification.</t>
        </is>
      </c>
      <c r="AD44" s="752" t="inlineStr">
        <is>
          <t>HIGH</t>
        </is>
      </c>
      <c r="AE44" s="752" t="inlineStr">
        <is>
          <t>HIGH</t>
        </is>
      </c>
      <c r="AF44" s="752" t="inlineStr">
        <is>
          <t>HIGH</t>
        </is>
      </c>
      <c r="AG44" s="752" t="inlineStr">
        <is>
          <t>HIGH</t>
        </is>
      </c>
      <c r="AH44" s="752" t="inlineStr">
        <is>
          <t>HIGH</t>
        </is>
      </c>
      <c r="AI44" s="752" t="inlineStr">
        <is>
          <t>HIGH</t>
        </is>
      </c>
      <c r="AJ44" s="752" t="inlineStr">
        <is>
          <t>INCLUDE</t>
        </is>
      </c>
      <c r="AK44" s="759" t="n"/>
      <c r="AL44" s="752" t="n"/>
      <c r="AM44" s="752" t="inlineStr">
        <is>
          <t>CURRENT</t>
        </is>
      </c>
      <c r="AN44" s="752" t="inlineStr">
        <is>
          <t>PA010</t>
        </is>
      </c>
      <c r="AO44" s="752" t="inlineStr">
        <is>
          <t>Official Norwegian implementation package for disease control. Requirements are condition-dependent and may be triggered by disease status.</t>
        </is>
      </c>
      <c r="AP44" s="752" t="inlineStr">
        <is>
          <t>OFFICIAL_WEBSITE</t>
        </is>
      </c>
      <c r="AQ44" s="752" t="inlineStr">
        <is>
          <t>OFFICIAL_ORIGINAL</t>
        </is>
      </c>
      <c r="AR44" s="752" t="inlineStr">
        <is>
          <t>ROLLING</t>
        </is>
      </c>
      <c r="AS44" s="752" t="n"/>
    </row>
    <row r="45" ht="30" customHeight="1" s="36">
      <c r="A45" s="751" t="inlineStr">
        <is>
          <t>PA043</t>
        </is>
      </c>
      <c r="B45" s="751" t="inlineStr">
        <is>
          <t>PA043-001</t>
        </is>
      </c>
      <c r="C45" s="751" t="inlineStr">
        <is>
          <t>PA043-001_Mattilsynet_guidance_on_biosafety_plans_in_aquaculture_facilities.html</t>
        </is>
      </c>
      <c r="D45" s="751" t="inlineStr">
        <is>
          <t>STORED</t>
        </is>
      </c>
      <c r="E45" s="751">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
      </c>
      <c r="F45" s="751" t="inlineStr">
        <is>
          <t>SUCCESS</t>
        </is>
      </c>
      <c r="G45" s="755" t="n">
        <v>46262.53100694445</v>
      </c>
      <c r="H45" s="755" t="n">
        <v>46262.53104166667</v>
      </c>
      <c r="I45" s="751" t="inlineStr">
        <is>
          <t>INITIAL</t>
        </is>
      </c>
      <c r="J45" s="751" t="inlineStr">
        <is>
          <t>AUTO</t>
        </is>
      </c>
      <c r="K45" s="757">
        <f>IF(A45="","",IF(J45="AUTO",H45,IF(J45="MANUAL",AK45,"")))</f>
        <v/>
      </c>
      <c r="L45" s="751" t="inlineStr">
        <is>
          <t>NONE</t>
        </is>
      </c>
      <c r="M45" s="751" t="n"/>
      <c r="N45" s="751">
        <f>IF(A45="","",IF(COUNTIFS('Human Operation Desktop'!$A$3:$A$502,A45,'Human Operation Desktop'!$I$3:$I$502,"&lt;&gt;APPLIED",'Human Operation Desktop'!$I$3:$I$502,"&lt;&gt;REJECTED")&gt;0,"YES","NO"))</f>
        <v/>
      </c>
      <c r="O45" s="751" t="inlineStr">
        <is>
          <t>56101f0aa402aaec3c59774403a0047534b1c05a5cd4541a00e64f5fb52970ad</t>
        </is>
      </c>
      <c r="P45" s="752" t="inlineStr">
        <is>
          <t>Mattilsynet guidance on biosafety plans in aquaculture facilities</t>
        </is>
      </c>
      <c r="Q45" s="752" t="inlineStr">
        <is>
          <t>https://mattilsynet.no/fisk-og-akvakultur/biosikkerhetsplan-i-akvakulturanlegg</t>
        </is>
      </c>
      <c r="R45" s="752" t="inlineStr">
        <is>
          <t>https://mattilsynet.no/fisk-og-akvakultur/biosikkerhetsplan-i-akvakulturanlegg</t>
        </is>
      </c>
      <c r="S45" s="752" t="inlineStr">
        <is>
          <t>A_Public_Authority</t>
        </is>
      </c>
      <c r="T45" s="752" t="inlineStr">
        <is>
          <t>html</t>
        </is>
      </c>
      <c r="U45" s="752" t="inlineStr">
        <is>
          <t>Norwegian Food Safety Authority</t>
        </is>
      </c>
      <c r="V45" s="752" t="inlineStr">
        <is>
          <t>Norway</t>
        </is>
      </c>
      <c r="W45" s="752" t="inlineStr">
        <is>
          <t>Norwegian</t>
        </is>
      </c>
      <c r="X45" s="752" t="n"/>
      <c r="Y45" s="752" t="n"/>
      <c r="Z45" s="752" t="inlineStr">
        <is>
          <t>Public authority</t>
        </is>
      </c>
      <c r="AA45" s="752" t="inlineStr">
        <is>
          <t>Interpretation document</t>
        </is>
      </c>
      <c r="AB45" s="752" t="inlineStr">
        <is>
          <t>Guidance / interpretation</t>
        </is>
      </c>
      <c r="AC45" s="752" t="inlineStr">
        <is>
          <t>Official guidance from Norwegian Food Safety Authority; included to interpret and operationalise linked normative requirements, not as independent legal or certification authority.</t>
        </is>
      </c>
      <c r="AD45" s="752" t="inlineStr">
        <is>
          <t>HIGH</t>
        </is>
      </c>
      <c r="AE45" s="752" t="inlineStr">
        <is>
          <t>HIGH</t>
        </is>
      </c>
      <c r="AF45" s="752" t="inlineStr">
        <is>
          <t>HIGH</t>
        </is>
      </c>
      <c r="AG45" s="752" t="inlineStr">
        <is>
          <t>HIGH</t>
        </is>
      </c>
      <c r="AH45" s="752" t="inlineStr">
        <is>
          <t>HIGH</t>
        </is>
      </c>
      <c r="AI45" s="752" t="inlineStr">
        <is>
          <t>HIGH</t>
        </is>
      </c>
      <c r="AJ45" s="752" t="inlineStr">
        <is>
          <t>INCLUDE</t>
        </is>
      </c>
      <c r="AK45" s="759" t="n"/>
      <c r="AL45" s="752" t="n"/>
      <c r="AM45" s="752" t="inlineStr">
        <is>
          <t>CURRENT</t>
        </is>
      </c>
      <c r="AN45" s="752" t="inlineStr">
        <is>
          <t>PA040</t>
        </is>
      </c>
      <c r="AO45" s="752" t="inlineStr">
        <is>
          <t>Official guidance connecting the animal-health implementation package to a practical biosafety plan. It does not replace PA039 to PA042.</t>
        </is>
      </c>
      <c r="AP45" s="752" t="inlineStr">
        <is>
          <t>OFFICIAL_WEBSITE</t>
        </is>
      </c>
      <c r="AQ45" s="752" t="inlineStr">
        <is>
          <t>OFFICIAL_ORIGINAL</t>
        </is>
      </c>
      <c r="AR45" s="752" t="inlineStr">
        <is>
          <t>ROLLING</t>
        </is>
      </c>
      <c r="AS45" s="752" t="n"/>
    </row>
    <row r="46" ht="30" customHeight="1" s="36">
      <c r="A46" s="751" t="inlineStr">
        <is>
          <t>PA044</t>
        </is>
      </c>
      <c r="B46" s="751" t="inlineStr">
        <is>
          <t>PA044-001</t>
        </is>
      </c>
      <c r="C46" s="751" t="inlineStr">
        <is>
          <t>PA044-001_Pollution_Regulations_including_Chapter_34_on_pollution_from_aquaculture.html</t>
        </is>
      </c>
      <c r="D46" s="751" t="inlineStr">
        <is>
          <t>STORED</t>
        </is>
      </c>
      <c r="E46" s="751">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
      </c>
      <c r="F46" s="751" t="inlineStr">
        <is>
          <t>SUCCESS</t>
        </is>
      </c>
      <c r="G46" s="755" t="n">
        <v>46262.53104166667</v>
      </c>
      <c r="H46" s="755" t="n">
        <v>46262.53104166667</v>
      </c>
      <c r="I46" s="751" t="inlineStr">
        <is>
          <t>INITIAL</t>
        </is>
      </c>
      <c r="J46" s="751" t="inlineStr">
        <is>
          <t>AUTO</t>
        </is>
      </c>
      <c r="K46" s="757">
        <f>IF(A46="","",IF(J46="AUTO",H46,IF(J46="MANUAL",AK46,"")))</f>
        <v/>
      </c>
      <c r="L46" s="751" t="inlineStr">
        <is>
          <t>NONE</t>
        </is>
      </c>
      <c r="M46" s="751" t="n"/>
      <c r="N46" s="751">
        <f>IF(A46="","",IF(COUNTIFS('Human Operation Desktop'!$A$3:$A$502,A46,'Human Operation Desktop'!$I$3:$I$502,"&lt;&gt;APPLIED",'Human Operation Desktop'!$I$3:$I$502,"&lt;&gt;REJECTED")&gt;0,"YES","NO"))</f>
        <v/>
      </c>
      <c r="O46" s="751" t="inlineStr">
        <is>
          <t>64436e3a3f3ade668fd3eaa53ce867914caf1d3a2f972c3bfd8d034b37641848</t>
        </is>
      </c>
      <c r="P46" s="752" t="inlineStr">
        <is>
          <t>Pollution Regulations, including Chapter 34 on pollution from aquaculture</t>
        </is>
      </c>
      <c r="Q46" s="752" t="inlineStr">
        <is>
          <t>https://lovdata.no/dokument/SF/forskrift/2004-06-01-931</t>
        </is>
      </c>
      <c r="R46" s="752" t="inlineStr">
        <is>
          <t>https://lovdata.no/dokument/SF/forskrift/2004-06-01-931</t>
        </is>
      </c>
      <c r="S46" s="752" t="inlineStr">
        <is>
          <t>A_Public_Authority</t>
        </is>
      </c>
      <c r="T46" s="752" t="inlineStr">
        <is>
          <t>html</t>
        </is>
      </c>
      <c r="U46" s="752" t="inlineStr">
        <is>
          <t>Norwegian Ministry of Climate and Environment</t>
        </is>
      </c>
      <c r="V46" s="752" t="inlineStr">
        <is>
          <t>Norway</t>
        </is>
      </c>
      <c r="W46" s="752" t="inlineStr">
        <is>
          <t>Norwegian</t>
        </is>
      </c>
      <c r="X46" s="752" t="n"/>
      <c r="Y46" s="752" t="n"/>
      <c r="Z46" s="752" t="inlineStr">
        <is>
          <t>Public authority</t>
        </is>
      </c>
      <c r="AA46" s="752" t="inlineStr">
        <is>
          <t>Regulation</t>
        </is>
      </c>
      <c r="AB46" s="752" t="inlineStr">
        <is>
          <t>Primary normative</t>
        </is>
      </c>
      <c r="AC46" s="752" t="inlineStr">
        <is>
          <t>Official regulation issued by Norwegian Ministry of Climate and Environment; included because it may impose binding requirements on an in-scope aquaculture asset, activity, permit or certification.</t>
        </is>
      </c>
      <c r="AD46" s="752" t="inlineStr">
        <is>
          <t>HIGH</t>
        </is>
      </c>
      <c r="AE46" s="752" t="inlineStr">
        <is>
          <t>HIGH</t>
        </is>
      </c>
      <c r="AF46" s="752" t="inlineStr">
        <is>
          <t>HIGH</t>
        </is>
      </c>
      <c r="AG46" s="752" t="inlineStr">
        <is>
          <t>HIGH</t>
        </is>
      </c>
      <c r="AH46" s="752" t="inlineStr">
        <is>
          <t>HIGH</t>
        </is>
      </c>
      <c r="AI46" s="752" t="inlineStr">
        <is>
          <t>HIGH</t>
        </is>
      </c>
      <c r="AJ46" s="752" t="inlineStr">
        <is>
          <t>INCLUDE</t>
        </is>
      </c>
      <c r="AK46" s="759" t="n"/>
      <c r="AL46" s="752" t="n"/>
      <c r="AM46" s="752" t="inlineStr">
        <is>
          <t>CURRENT</t>
        </is>
      </c>
      <c r="AN46" s="752" t="inlineStr">
        <is>
          <t>PA007</t>
        </is>
      </c>
      <c r="AO46" s="752" t="inlineStr">
        <is>
          <t>Official environmental coverage expansion. Chapter-level and permit-specific applicability must be confirmed.</t>
        </is>
      </c>
      <c r="AP46" s="752" t="inlineStr">
        <is>
          <t>OFFICIAL_WEBSITE</t>
        </is>
      </c>
      <c r="AQ46" s="752" t="inlineStr">
        <is>
          <t>OFFICIAL_ORIGINAL</t>
        </is>
      </c>
      <c r="AR46" s="752" t="inlineStr">
        <is>
          <t>ROLLING</t>
        </is>
      </c>
      <c r="AS46" s="752" t="n"/>
    </row>
    <row r="47" ht="30" customHeight="1" s="36">
      <c r="A47" s="751" t="inlineStr">
        <is>
          <t>PA045</t>
        </is>
      </c>
      <c r="B47" s="751" t="inlineStr">
        <is>
          <t>PA045-001</t>
        </is>
      </c>
      <c r="C47" s="751" t="inlineStr">
        <is>
          <t>PA045-001_Regulations_concerning_organisation_management_and_employee_participation.html</t>
        </is>
      </c>
      <c r="D47" s="751" t="inlineStr">
        <is>
          <t>STORED</t>
        </is>
      </c>
      <c r="E47" s="751">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
      </c>
      <c r="F47" s="751" t="inlineStr">
        <is>
          <t>SUCCESS</t>
        </is>
      </c>
      <c r="G47" s="755" t="n">
        <v>46262.53104166667</v>
      </c>
      <c r="H47" s="755" t="n">
        <v>46262.53104166667</v>
      </c>
      <c r="I47" s="751" t="inlineStr">
        <is>
          <t>INITIAL</t>
        </is>
      </c>
      <c r="J47" s="751" t="inlineStr">
        <is>
          <t>AUTO</t>
        </is>
      </c>
      <c r="K47" s="757">
        <f>IF(A47="","",IF(J47="AUTO",H47,IF(J47="MANUAL",AK47,"")))</f>
        <v/>
      </c>
      <c r="L47" s="751" t="inlineStr">
        <is>
          <t>NONE</t>
        </is>
      </c>
      <c r="M47" s="751" t="n"/>
      <c r="N47" s="751">
        <f>IF(A47="","",IF(COUNTIFS('Human Operation Desktop'!$A$3:$A$502,A47,'Human Operation Desktop'!$I$3:$I$502,"&lt;&gt;APPLIED",'Human Operation Desktop'!$I$3:$I$502,"&lt;&gt;REJECTED")&gt;0,"YES","NO"))</f>
        <v/>
      </c>
      <c r="O47" s="751" t="inlineStr">
        <is>
          <t>e43d868a759780431d3e95d2b6e6910c66ca52fe42f12adc15e0380a3a81e1e2</t>
        </is>
      </c>
      <c r="P47" s="752" t="inlineStr">
        <is>
          <t>Regulations concerning organisation, management and employee participation</t>
        </is>
      </c>
      <c r="Q47" s="752" t="inlineStr">
        <is>
          <t>https://lovdata.no/dokument/SF/forskrift/2011-12-06-1355</t>
        </is>
      </c>
      <c r="R47" s="752" t="inlineStr">
        <is>
          <t>https://lovdata.no/dokument/SF/forskrift/2011-12-06-1355</t>
        </is>
      </c>
      <c r="S47" s="752" t="inlineStr">
        <is>
          <t>A_Public_Authority</t>
        </is>
      </c>
      <c r="T47" s="752" t="inlineStr">
        <is>
          <t>html</t>
        </is>
      </c>
      <c r="U47" s="752" t="inlineStr">
        <is>
          <t>Norwegian Ministry of Labour and Social Inclusion</t>
        </is>
      </c>
      <c r="V47" s="752" t="inlineStr">
        <is>
          <t>Norway</t>
        </is>
      </c>
      <c r="W47" s="752" t="inlineStr">
        <is>
          <t>Norwegian</t>
        </is>
      </c>
      <c r="X47" s="752" t="n"/>
      <c r="Y47" s="752" t="n"/>
      <c r="Z47" s="752" t="inlineStr">
        <is>
          <t>Public authority</t>
        </is>
      </c>
      <c r="AA47" s="752" t="inlineStr">
        <is>
          <t>Regulation</t>
        </is>
      </c>
      <c r="AB47" s="752" t="inlineStr">
        <is>
          <t>Primary normative</t>
        </is>
      </c>
      <c r="AC47" s="752" t="inlineStr">
        <is>
          <t>Official regulation issued by Norwegian Ministry of Labour and Social Inclusion; included because it may impose binding requirements on an in-scope aquaculture asset, activity, permit or certification.</t>
        </is>
      </c>
      <c r="AD47" s="752" t="inlineStr">
        <is>
          <t>HIGH</t>
        </is>
      </c>
      <c r="AE47" s="752" t="inlineStr">
        <is>
          <t>HIGH</t>
        </is>
      </c>
      <c r="AF47" s="752" t="inlineStr">
        <is>
          <t>HIGH</t>
        </is>
      </c>
      <c r="AG47" s="752" t="inlineStr">
        <is>
          <t>HIGH</t>
        </is>
      </c>
      <c r="AH47" s="752" t="inlineStr">
        <is>
          <t>HIGH</t>
        </is>
      </c>
      <c r="AI47" s="752" t="inlineStr">
        <is>
          <t>HIGH</t>
        </is>
      </c>
      <c r="AJ47" s="752" t="inlineStr">
        <is>
          <t>INCLUDE</t>
        </is>
      </c>
      <c r="AK47" s="759" t="n"/>
      <c r="AL47" s="752" t="n"/>
      <c r="AM47" s="752" t="inlineStr">
        <is>
          <t>CURRENT</t>
        </is>
      </c>
      <c r="AN47" s="752" t="inlineStr">
        <is>
          <t>PA011</t>
        </is>
      </c>
      <c r="AO47" s="752" t="inlineStr">
        <is>
          <t>Official HSE framework expansion. Applies according to work organisation, competence and participation arrangements.</t>
        </is>
      </c>
      <c r="AP47" s="752" t="inlineStr">
        <is>
          <t>OFFICIAL_WEBSITE</t>
        </is>
      </c>
      <c r="AQ47" s="752" t="inlineStr">
        <is>
          <t>OFFICIAL_ORIGINAL</t>
        </is>
      </c>
      <c r="AR47" s="752" t="inlineStr">
        <is>
          <t>ROLLING</t>
        </is>
      </c>
      <c r="AS47" s="752" t="n"/>
    </row>
    <row r="48" ht="30" customHeight="1" s="36">
      <c r="A48" s="751" t="inlineStr">
        <is>
          <t>PA046</t>
        </is>
      </c>
      <c r="B48" s="751" t="inlineStr">
        <is>
          <t>PA046-001</t>
        </is>
      </c>
      <c r="C48" s="751" t="inlineStr">
        <is>
          <t>PA046-001_Workplace_Regulations.html</t>
        </is>
      </c>
      <c r="D48" s="751" t="inlineStr">
        <is>
          <t>STORED</t>
        </is>
      </c>
      <c r="E48" s="751">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
      </c>
      <c r="F48" s="751" t="inlineStr">
        <is>
          <t>SUCCESS</t>
        </is>
      </c>
      <c r="G48" s="755" t="n">
        <v>46262.53104166667</v>
      </c>
      <c r="H48" s="755" t="n">
        <v>46262.53105324074</v>
      </c>
      <c r="I48" s="751" t="inlineStr">
        <is>
          <t>INITIAL</t>
        </is>
      </c>
      <c r="J48" s="751" t="inlineStr">
        <is>
          <t>AUTO</t>
        </is>
      </c>
      <c r="K48" s="757">
        <f>IF(A48="","",IF(J48="AUTO",H48,IF(J48="MANUAL",AK48,"")))</f>
        <v/>
      </c>
      <c r="L48" s="751" t="inlineStr">
        <is>
          <t>NONE</t>
        </is>
      </c>
      <c r="M48" s="751" t="n"/>
      <c r="N48" s="751">
        <f>IF(A48="","",IF(COUNTIFS('Human Operation Desktop'!$A$3:$A$502,A48,'Human Operation Desktop'!$I$3:$I$502,"&lt;&gt;APPLIED",'Human Operation Desktop'!$I$3:$I$502,"&lt;&gt;REJECTED")&gt;0,"YES","NO"))</f>
        <v/>
      </c>
      <c r="O48" s="751" t="inlineStr">
        <is>
          <t>3f3b6a9810b38e87332d03d59568a8724e83682d4ab914996dbf9b4d160dd951</t>
        </is>
      </c>
      <c r="P48" s="752" t="inlineStr">
        <is>
          <t>Workplace Regulations</t>
        </is>
      </c>
      <c r="Q48" s="752" t="inlineStr">
        <is>
          <t>https://lovdata.no/dokument/SF/forskrift/2011-12-06-1356</t>
        </is>
      </c>
      <c r="R48" s="752" t="inlineStr">
        <is>
          <t>https://lovdata.no/dokument/SF/forskrift/2011-12-06-1356</t>
        </is>
      </c>
      <c r="S48" s="752" t="inlineStr">
        <is>
          <t>A_Public_Authority</t>
        </is>
      </c>
      <c r="T48" s="752" t="inlineStr">
        <is>
          <t>html</t>
        </is>
      </c>
      <c r="U48" s="752" t="inlineStr">
        <is>
          <t>Norwegian Ministry of Labour and Social Inclusion</t>
        </is>
      </c>
      <c r="V48" s="752" t="inlineStr">
        <is>
          <t>Norway</t>
        </is>
      </c>
      <c r="W48" s="752" t="inlineStr">
        <is>
          <t>Norwegian</t>
        </is>
      </c>
      <c r="X48" s="752" t="n"/>
      <c r="Y48" s="752" t="n"/>
      <c r="Z48" s="752" t="inlineStr">
        <is>
          <t>Public authority</t>
        </is>
      </c>
      <c r="AA48" s="752" t="inlineStr">
        <is>
          <t>Regulation</t>
        </is>
      </c>
      <c r="AB48" s="752" t="inlineStr">
        <is>
          <t>Primary normative</t>
        </is>
      </c>
      <c r="AC48" s="752" t="inlineStr">
        <is>
          <t>Official regulation issued by Norwegian Ministry of Labour and Social Inclusion; included because it may impose binding requirements on an in-scope aquaculture asset, activity, permit or certification.</t>
        </is>
      </c>
      <c r="AD48" s="752" t="inlineStr">
        <is>
          <t>HIGH</t>
        </is>
      </c>
      <c r="AE48" s="752" t="inlineStr">
        <is>
          <t>HIGH</t>
        </is>
      </c>
      <c r="AF48" s="752" t="inlineStr">
        <is>
          <t>HIGH</t>
        </is>
      </c>
      <c r="AG48" s="752" t="inlineStr">
        <is>
          <t>HIGH</t>
        </is>
      </c>
      <c r="AH48" s="752" t="inlineStr">
        <is>
          <t>HIGH</t>
        </is>
      </c>
      <c r="AI48" s="752" t="inlineStr">
        <is>
          <t>HIGH</t>
        </is>
      </c>
      <c r="AJ48" s="752" t="inlineStr">
        <is>
          <t>INCLUDE</t>
        </is>
      </c>
      <c r="AK48" s="759" t="n"/>
      <c r="AL48" s="752" t="n"/>
      <c r="AM48" s="752" t="inlineStr">
        <is>
          <t>CURRENT</t>
        </is>
      </c>
      <c r="AN48" s="752" t="inlineStr">
        <is>
          <t>PA011</t>
        </is>
      </c>
      <c r="AO48" s="752" t="inlineStr">
        <is>
          <t>Official HSE framework expansion. Site and facility applicability must be mapped to actual workplaces.</t>
        </is>
      </c>
      <c r="AP48" s="752" t="inlineStr">
        <is>
          <t>OFFICIAL_WEBSITE</t>
        </is>
      </c>
      <c r="AQ48" s="752" t="inlineStr">
        <is>
          <t>OFFICIAL_ORIGINAL</t>
        </is>
      </c>
      <c r="AR48" s="752" t="inlineStr">
        <is>
          <t>ROLLING</t>
        </is>
      </c>
      <c r="AS48" s="752" t="n"/>
    </row>
    <row r="49" ht="30" customHeight="1" s="36">
      <c r="A49" s="751" t="inlineStr">
        <is>
          <t>PA047</t>
        </is>
      </c>
      <c r="B49" s="751" t="inlineStr">
        <is>
          <t>PA047-001</t>
        </is>
      </c>
      <c r="C49" s="751" t="inlineStr">
        <is>
          <t>PA047-001_Regulations_concerning_action_and_limit_values.html</t>
        </is>
      </c>
      <c r="D49" s="751" t="inlineStr">
        <is>
          <t>STORED</t>
        </is>
      </c>
      <c r="E49" s="751">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
      </c>
      <c r="F49" s="751" t="inlineStr">
        <is>
          <t>SUCCESS</t>
        </is>
      </c>
      <c r="G49" s="755" t="n">
        <v>46262.53105324074</v>
      </c>
      <c r="H49" s="755" t="n">
        <v>46262.53105324074</v>
      </c>
      <c r="I49" s="751" t="inlineStr">
        <is>
          <t>INITIAL</t>
        </is>
      </c>
      <c r="J49" s="751" t="inlineStr">
        <is>
          <t>AUTO</t>
        </is>
      </c>
      <c r="K49" s="757">
        <f>IF(A49="","",IF(J49="AUTO",H49,IF(J49="MANUAL",AK49,"")))</f>
        <v/>
      </c>
      <c r="L49" s="751" t="inlineStr">
        <is>
          <t>NONE</t>
        </is>
      </c>
      <c r="M49" s="751" t="n"/>
      <c r="N49" s="751">
        <f>IF(A49="","",IF(COUNTIFS('Human Operation Desktop'!$A$3:$A$502,A49,'Human Operation Desktop'!$I$3:$I$502,"&lt;&gt;APPLIED",'Human Operation Desktop'!$I$3:$I$502,"&lt;&gt;REJECTED")&gt;0,"YES","NO"))</f>
        <v/>
      </c>
      <c r="O49" s="751" t="inlineStr">
        <is>
          <t>c30790d1b5cdb2e3fc192d1e2141a7996f5e3a3d42983671189edd232c7cbd14</t>
        </is>
      </c>
      <c r="P49" s="752" t="inlineStr">
        <is>
          <t>Regulations concerning action and limit values</t>
        </is>
      </c>
      <c r="Q49" s="752" t="inlineStr">
        <is>
          <t>https://lovdata.no/dokument/SF/forskrift/2011-12-06-1358</t>
        </is>
      </c>
      <c r="R49" s="752" t="inlineStr">
        <is>
          <t>https://lovdata.no/dokument/SF/forskrift/2011-12-06-1358</t>
        </is>
      </c>
      <c r="S49" s="752" t="inlineStr">
        <is>
          <t>A_Public_Authority</t>
        </is>
      </c>
      <c r="T49" s="752" t="inlineStr">
        <is>
          <t>html</t>
        </is>
      </c>
      <c r="U49" s="752" t="inlineStr">
        <is>
          <t>Norwegian Ministry of Labour and Social Inclusion</t>
        </is>
      </c>
      <c r="V49" s="752" t="inlineStr">
        <is>
          <t>Norway</t>
        </is>
      </c>
      <c r="W49" s="752" t="inlineStr">
        <is>
          <t>Norwegian</t>
        </is>
      </c>
      <c r="X49" s="752" t="n"/>
      <c r="Y49" s="752" t="n"/>
      <c r="Z49" s="752" t="inlineStr">
        <is>
          <t>Public authority</t>
        </is>
      </c>
      <c r="AA49" s="752" t="inlineStr">
        <is>
          <t>Regulation</t>
        </is>
      </c>
      <c r="AB49" s="752" t="inlineStr">
        <is>
          <t>Primary normative</t>
        </is>
      </c>
      <c r="AC49" s="752" t="inlineStr">
        <is>
          <t>Official regulation issued by Norwegian Ministry of Labour and Social Inclusion; included because it may impose binding requirements on an in-scope aquaculture asset, activity, permit or certification.</t>
        </is>
      </c>
      <c r="AD49" s="752" t="inlineStr">
        <is>
          <t>HIGH</t>
        </is>
      </c>
      <c r="AE49" s="752" t="inlineStr">
        <is>
          <t>HIGH</t>
        </is>
      </c>
      <c r="AF49" s="752" t="inlineStr">
        <is>
          <t>HIGH</t>
        </is>
      </c>
      <c r="AG49" s="752" t="inlineStr">
        <is>
          <t>HIGH</t>
        </is>
      </c>
      <c r="AH49" s="752" t="inlineStr">
        <is>
          <t>HIGH</t>
        </is>
      </c>
      <c r="AI49" s="752" t="inlineStr">
        <is>
          <t>HIGH</t>
        </is>
      </c>
      <c r="AJ49" s="752" t="inlineStr">
        <is>
          <t>INCLUDE</t>
        </is>
      </c>
      <c r="AK49" s="759" t="n"/>
      <c r="AL49" s="752" t="n"/>
      <c r="AM49" s="752" t="inlineStr">
        <is>
          <t>CURRENT</t>
        </is>
      </c>
      <c r="AN49" s="752" t="inlineStr">
        <is>
          <t>PA011</t>
        </is>
      </c>
      <c r="AO49" s="752" t="inlineStr">
        <is>
          <t>Official HSE framework expansion. Include applicable exposure limits after activity and hazard mapping.</t>
        </is>
      </c>
      <c r="AP49" s="752" t="inlineStr">
        <is>
          <t>OFFICIAL_WEBSITE</t>
        </is>
      </c>
      <c r="AQ49" s="752" t="inlineStr">
        <is>
          <t>OFFICIAL_ORIGINAL</t>
        </is>
      </c>
      <c r="AR49" s="752" t="inlineStr">
        <is>
          <t>ROLLING</t>
        </is>
      </c>
      <c r="AS49" s="752" t="n"/>
    </row>
    <row r="50" ht="30" customHeight="1" s="36">
      <c r="A50" s="751" t="inlineStr">
        <is>
          <t>PA048</t>
        </is>
      </c>
      <c r="B50" s="751" t="inlineStr">
        <is>
          <t>PA048-001</t>
        </is>
      </c>
      <c r="C50" s="751" t="inlineStr">
        <is>
          <t>PA048-001_Regulations_concerning_administrative_arrangements_in_the_area_of_the_Working_Environment_Act.html</t>
        </is>
      </c>
      <c r="D50" s="751" t="inlineStr">
        <is>
          <t>STORED</t>
        </is>
      </c>
      <c r="E50" s="751">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
      </c>
      <c r="F50" s="751" t="inlineStr">
        <is>
          <t>SUCCESS</t>
        </is>
      </c>
      <c r="G50" s="755" t="n">
        <v>46262.53105324074</v>
      </c>
      <c r="H50" s="755" t="n">
        <v>46262.53105324074</v>
      </c>
      <c r="I50" s="751" t="inlineStr">
        <is>
          <t>INITIAL</t>
        </is>
      </c>
      <c r="J50" s="751" t="inlineStr">
        <is>
          <t>AUTO</t>
        </is>
      </c>
      <c r="K50" s="757">
        <f>IF(A50="","",IF(J50="AUTO",H50,IF(J50="MANUAL",AK50,"")))</f>
        <v/>
      </c>
      <c r="L50" s="751" t="inlineStr">
        <is>
          <t>NONE</t>
        </is>
      </c>
      <c r="M50" s="751" t="n"/>
      <c r="N50" s="751">
        <f>IF(A50="","",IF(COUNTIFS('Human Operation Desktop'!$A$3:$A$502,A50,'Human Operation Desktop'!$I$3:$I$502,"&lt;&gt;APPLIED",'Human Operation Desktop'!$I$3:$I$502,"&lt;&gt;REJECTED")&gt;0,"YES","NO"))</f>
        <v/>
      </c>
      <c r="O50" s="751" t="inlineStr">
        <is>
          <t>a1d40a88d0a41bd2a9b66a59e0f3e46a4769483174bae327b4ca5fc43e07b6be</t>
        </is>
      </c>
      <c r="P50" s="752" t="inlineStr">
        <is>
          <t>Regulations concerning administrative arrangements in the area of the Working Environment Act</t>
        </is>
      </c>
      <c r="Q50" s="752" t="inlineStr">
        <is>
          <t>https://lovdata.no/dokument/SF/forskrift/2011-12-06-1360</t>
        </is>
      </c>
      <c r="R50" s="752" t="inlineStr">
        <is>
          <t>https://lovdata.no/dokument/SF/forskrift/2011-12-06-1360</t>
        </is>
      </c>
      <c r="S50" s="752" t="inlineStr">
        <is>
          <t>A_Public_Authority</t>
        </is>
      </c>
      <c r="T50" s="752" t="inlineStr">
        <is>
          <t>html</t>
        </is>
      </c>
      <c r="U50" s="752" t="inlineStr">
        <is>
          <t>Norwegian Ministry of Labour and Social Inclusion</t>
        </is>
      </c>
      <c r="V50" s="752" t="inlineStr">
        <is>
          <t>Norway</t>
        </is>
      </c>
      <c r="W50" s="752" t="inlineStr">
        <is>
          <t>Norwegian</t>
        </is>
      </c>
      <c r="X50" s="752" t="n"/>
      <c r="Y50" s="752" t="n"/>
      <c r="Z50" s="752" t="inlineStr">
        <is>
          <t>Public authority</t>
        </is>
      </c>
      <c r="AA50" s="752" t="inlineStr">
        <is>
          <t>Regulation</t>
        </is>
      </c>
      <c r="AB50" s="752" t="inlineStr">
        <is>
          <t>Referenced normative</t>
        </is>
      </c>
      <c r="AC50" s="752" t="inlineStr">
        <is>
          <t>Official referenced source from Norwegian Ministry of Labour and Social Inclusion; included because an applicable law, permit or certification scheme may make its provisions binding within the approved scope.</t>
        </is>
      </c>
      <c r="AD50" s="752" t="inlineStr">
        <is>
          <t>HIGH</t>
        </is>
      </c>
      <c r="AE50" s="752" t="inlineStr">
        <is>
          <t>HIGH</t>
        </is>
      </c>
      <c r="AF50" s="752" t="inlineStr">
        <is>
          <t>HIGH</t>
        </is>
      </c>
      <c r="AG50" s="752" t="inlineStr">
        <is>
          <t>HIGH</t>
        </is>
      </c>
      <c r="AH50" s="752" t="inlineStr">
        <is>
          <t>HIGH</t>
        </is>
      </c>
      <c r="AI50" s="752" t="inlineStr">
        <is>
          <t>HIGH</t>
        </is>
      </c>
      <c r="AJ50" s="752" t="inlineStr">
        <is>
          <t>INCLUDE</t>
        </is>
      </c>
      <c r="AK50" s="759" t="n"/>
      <c r="AL50" s="752" t="n"/>
      <c r="AM50" s="752" t="inlineStr">
        <is>
          <t>CURRENT</t>
        </is>
      </c>
      <c r="AN50" s="752" t="inlineStr">
        <is>
          <t>PA011</t>
        </is>
      </c>
      <c r="AO50" s="752" t="inlineStr">
        <is>
          <t>Official HSE framework expansion. Relevant to designated roles, approvals and administrative arrangements.</t>
        </is>
      </c>
      <c r="AP50" s="752" t="inlineStr">
        <is>
          <t>OFFICIAL_WEBSITE</t>
        </is>
      </c>
      <c r="AQ50" s="752" t="inlineStr">
        <is>
          <t>OFFICIAL_ORIGINAL</t>
        </is>
      </c>
      <c r="AR50" s="752" t="inlineStr">
        <is>
          <t>ROLLING</t>
        </is>
      </c>
      <c r="AS50" s="752" t="n"/>
    </row>
    <row r="51" ht="30" customHeight="1" s="36">
      <c r="A51" s="751" t="inlineStr">
        <is>
          <t>PA049</t>
        </is>
      </c>
      <c r="B51" s="751" t="inlineStr">
        <is>
          <t>PA049-001</t>
        </is>
      </c>
      <c r="C51" s="751" t="inlineStr">
        <is>
          <t>PA049-001_Regulation_on_working_environment_safety_and_health_for_persons_working_on_board_ships.html</t>
        </is>
      </c>
      <c r="D51" s="751" t="inlineStr">
        <is>
          <t>STORED</t>
        </is>
      </c>
      <c r="E51" s="751">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
      </c>
      <c r="F51" s="751" t="inlineStr">
        <is>
          <t>SUCCESS</t>
        </is>
      </c>
      <c r="G51" s="755" t="n">
        <v>46262.53106481482</v>
      </c>
      <c r="H51" s="755" t="n">
        <v>46262.53106481482</v>
      </c>
      <c r="I51" s="751" t="inlineStr">
        <is>
          <t>INITIAL</t>
        </is>
      </c>
      <c r="J51" s="751" t="inlineStr">
        <is>
          <t>AUTO</t>
        </is>
      </c>
      <c r="K51" s="757">
        <f>IF(A51="","",IF(J51="AUTO",H51,IF(J51="MANUAL",AK51,"")))</f>
        <v/>
      </c>
      <c r="L51" s="751" t="inlineStr">
        <is>
          <t>NONE</t>
        </is>
      </c>
      <c r="M51" s="751" t="n"/>
      <c r="N51" s="751">
        <f>IF(A51="","",IF(COUNTIFS('Human Operation Desktop'!$A$3:$A$502,A51,'Human Operation Desktop'!$I$3:$I$502,"&lt;&gt;APPLIED",'Human Operation Desktop'!$I$3:$I$502,"&lt;&gt;REJECTED")&gt;0,"YES","NO"))</f>
        <v/>
      </c>
      <c r="O51" s="751" t="inlineStr">
        <is>
          <t>669c8fb7232983d365c22bc01253bfe1b6d121397439e31345698e43fa3fcba1</t>
        </is>
      </c>
      <c r="P51" s="752" t="inlineStr">
        <is>
          <t>Regulation on working environment, safety and health for persons working on board ships</t>
        </is>
      </c>
      <c r="Q51" s="752" t="inlineStr">
        <is>
          <t>https://lovdata.no/dokument/SF/forskrift/2005-01-01-8</t>
        </is>
      </c>
      <c r="R51" s="752" t="inlineStr">
        <is>
          <t>https://lovdata.no/dokument/SF/forskrift/2005-01-01-8</t>
        </is>
      </c>
      <c r="S51" s="752" t="inlineStr">
        <is>
          <t>A_Public_Authority</t>
        </is>
      </c>
      <c r="T51" s="752" t="inlineStr">
        <is>
          <t>html</t>
        </is>
      </c>
      <c r="U51" s="752" t="inlineStr">
        <is>
          <t>Norwegian Ministry of Trade, Industry and Fisheries</t>
        </is>
      </c>
      <c r="V51" s="752" t="inlineStr">
        <is>
          <t>Norway</t>
        </is>
      </c>
      <c r="W51" s="752" t="inlineStr">
        <is>
          <t>Norwegian</t>
        </is>
      </c>
      <c r="X51" s="752" t="n"/>
      <c r="Y51" s="752" t="n"/>
      <c r="Z51" s="752" t="inlineStr">
        <is>
          <t>Public authority</t>
        </is>
      </c>
      <c r="AA51" s="752" t="inlineStr">
        <is>
          <t>Regulation</t>
        </is>
      </c>
      <c r="AB51" s="752" t="inlineStr">
        <is>
          <t>Primary normative</t>
        </is>
      </c>
      <c r="AC51" s="752" t="inlineStr">
        <is>
          <t>Official regulation issued by Norwegian Ministry of Trade, Industry and Fisheries; included because it may impose binding requirements on an in-scope aquaculture asset, activity, permit or certification.</t>
        </is>
      </c>
      <c r="AD51" s="752" t="inlineStr">
        <is>
          <t>HIGH</t>
        </is>
      </c>
      <c r="AE51" s="752" t="inlineStr">
        <is>
          <t>MEDIUM</t>
        </is>
      </c>
      <c r="AF51" s="752" t="inlineStr">
        <is>
          <t>HIGH</t>
        </is>
      </c>
      <c r="AG51" s="752" t="inlineStr">
        <is>
          <t>HIGH</t>
        </is>
      </c>
      <c r="AH51" s="752" t="inlineStr">
        <is>
          <t>HIGH</t>
        </is>
      </c>
      <c r="AI51" s="752" t="inlineStr">
        <is>
          <t>HIGH</t>
        </is>
      </c>
      <c r="AJ51" s="752" t="inlineStr">
        <is>
          <t>PENDING</t>
        </is>
      </c>
      <c r="AK51" s="759" t="n"/>
      <c r="AL51" s="752" t="n"/>
      <c r="AM51" s="752" t="inlineStr">
        <is>
          <t>CURRENT</t>
        </is>
      </c>
      <c r="AN51" s="752" t="inlineStr">
        <is>
          <t>PA018</t>
        </is>
      </c>
      <c r="AO51" s="752" t="inlineStr">
        <is>
          <t>Official maritime HSE expansion. Include only for personnel and vessels falling within maritime scope.</t>
        </is>
      </c>
      <c r="AP51" s="752" t="inlineStr">
        <is>
          <t>OFFICIAL_WEBSITE</t>
        </is>
      </c>
      <c r="AQ51" s="752" t="inlineStr">
        <is>
          <t>OFFICIAL_ORIGINAL</t>
        </is>
      </c>
      <c r="AR51" s="752" t="inlineStr">
        <is>
          <t>ROLLING</t>
        </is>
      </c>
      <c r="AS51" s="752" t="n"/>
    </row>
    <row r="52" ht="30" customHeight="1" s="36">
      <c r="A52" s="751" t="inlineStr">
        <is>
          <t>PA050</t>
        </is>
      </c>
      <c r="B52" s="751" t="inlineStr">
        <is>
          <t>PA050-001</t>
        </is>
      </c>
      <c r="C52" s="751" t="inlineStr">
        <is>
          <t>PA050-001_Harbours_and_Fairways_Act.html</t>
        </is>
      </c>
      <c r="D52" s="751" t="inlineStr">
        <is>
          <t>STORED</t>
        </is>
      </c>
      <c r="E52" s="751">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
      </c>
      <c r="F52" s="751" t="inlineStr">
        <is>
          <t>SUCCESS</t>
        </is>
      </c>
      <c r="G52" s="755" t="n">
        <v>46262.53106481482</v>
      </c>
      <c r="H52" s="755" t="n">
        <v>46262.53106481482</v>
      </c>
      <c r="I52" s="751" t="inlineStr">
        <is>
          <t>INITIAL</t>
        </is>
      </c>
      <c r="J52" s="751" t="inlineStr">
        <is>
          <t>AUTO</t>
        </is>
      </c>
      <c r="K52" s="757">
        <f>IF(A52="","",IF(J52="AUTO",H52,IF(J52="MANUAL",AK52,"")))</f>
        <v/>
      </c>
      <c r="L52" s="751" t="inlineStr">
        <is>
          <t>NONE</t>
        </is>
      </c>
      <c r="M52" s="751" t="n"/>
      <c r="N52" s="751">
        <f>IF(A52="","",IF(COUNTIFS('Human Operation Desktop'!$A$3:$A$502,A52,'Human Operation Desktop'!$I$3:$I$502,"&lt;&gt;APPLIED",'Human Operation Desktop'!$I$3:$I$502,"&lt;&gt;REJECTED")&gt;0,"YES","NO"))</f>
        <v/>
      </c>
      <c r="O52" s="751" t="inlineStr">
        <is>
          <t>b3340595ebd0e5912f032c385ccebc254cd79b719a1f625d87b4a340b66df3d7</t>
        </is>
      </c>
      <c r="P52" s="752" t="inlineStr">
        <is>
          <t>Harbours and Fairways Act</t>
        </is>
      </c>
      <c r="Q52" s="752" t="inlineStr">
        <is>
          <t>https://lovdata.no/dokument/NL/lov/2019-06-21-70</t>
        </is>
      </c>
      <c r="R52" s="752" t="inlineStr">
        <is>
          <t>https://lovdata.no/dokument/NL/lov/2019-06-21-70</t>
        </is>
      </c>
      <c r="S52" s="752" t="inlineStr">
        <is>
          <t>A_Public_Authority</t>
        </is>
      </c>
      <c r="T52" s="752" t="inlineStr">
        <is>
          <t>html</t>
        </is>
      </c>
      <c r="U52" s="752" t="inlineStr">
        <is>
          <t>Norwegian Ministry of Trade, Industry and Fisheries</t>
        </is>
      </c>
      <c r="V52" s="752" t="inlineStr">
        <is>
          <t>Norway</t>
        </is>
      </c>
      <c r="W52" s="752" t="inlineStr">
        <is>
          <t>Norwegian</t>
        </is>
      </c>
      <c r="X52" s="752" t="n"/>
      <c r="Y52" s="752" t="n"/>
      <c r="Z52" s="752" t="inlineStr">
        <is>
          <t>Public authority</t>
        </is>
      </c>
      <c r="AA52" s="752" t="inlineStr">
        <is>
          <t>Law</t>
        </is>
      </c>
      <c r="AB52" s="752" t="inlineStr">
        <is>
          <t>Primary normative</t>
        </is>
      </c>
      <c r="AC52" s="752" t="inlineStr">
        <is>
          <t>Official law issued by Norwegian Ministry of Trade, Industry and Fisheries; included because it may impose binding requirements on an in-scope aquaculture asset, activity, permit or certification.</t>
        </is>
      </c>
      <c r="AD52" s="752" t="inlineStr">
        <is>
          <t>HIGH</t>
        </is>
      </c>
      <c r="AE52" s="752" t="inlineStr">
        <is>
          <t>HIGH</t>
        </is>
      </c>
      <c r="AF52" s="752" t="inlineStr">
        <is>
          <t>HIGH</t>
        </is>
      </c>
      <c r="AG52" s="752" t="inlineStr">
        <is>
          <t>HIGH</t>
        </is>
      </c>
      <c r="AH52" s="752" t="inlineStr">
        <is>
          <t>HIGH</t>
        </is>
      </c>
      <c r="AI52" s="752" t="inlineStr">
        <is>
          <t>HIGH</t>
        </is>
      </c>
      <c r="AJ52" s="752" t="inlineStr">
        <is>
          <t>INCLUDE</t>
        </is>
      </c>
      <c r="AK52" s="759" t="n"/>
      <c r="AL52" s="752" t="n"/>
      <c r="AM52" s="752" t="inlineStr">
        <is>
          <t>CURRENT</t>
        </is>
      </c>
      <c r="AN52" s="752" t="n"/>
      <c r="AO52" s="752" t="inlineStr">
        <is>
          <t>Official permitting expansion. Relevant to sea-based site placement, navigation and measures in fairways.</t>
        </is>
      </c>
      <c r="AP52" s="752" t="inlineStr">
        <is>
          <t>OFFICIAL_WEBSITE</t>
        </is>
      </c>
      <c r="AQ52" s="752" t="inlineStr">
        <is>
          <t>OFFICIAL_ORIGINAL</t>
        </is>
      </c>
      <c r="AR52" s="752" t="inlineStr">
        <is>
          <t>ROLLING</t>
        </is>
      </c>
      <c r="AS52" s="752" t="n"/>
    </row>
    <row r="53" ht="30" customHeight="1" s="36">
      <c r="A53" s="751" t="inlineStr">
        <is>
          <t>PA051</t>
        </is>
      </c>
      <c r="B53" s="751" t="inlineStr">
        <is>
          <t>PA051-001</t>
        </is>
      </c>
      <c r="C53" s="751" t="inlineStr">
        <is>
          <t>PA051-001_Planning_and_Building_Act.html</t>
        </is>
      </c>
      <c r="D53" s="751" t="inlineStr">
        <is>
          <t>STORED</t>
        </is>
      </c>
      <c r="E53" s="751">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
      </c>
      <c r="F53" s="751" t="inlineStr">
        <is>
          <t>SUCCESS</t>
        </is>
      </c>
      <c r="G53" s="755" t="n">
        <v>46262.53106481482</v>
      </c>
      <c r="H53" s="755" t="n">
        <v>46262.53106481482</v>
      </c>
      <c r="I53" s="751" t="inlineStr">
        <is>
          <t>INITIAL</t>
        </is>
      </c>
      <c r="J53" s="751" t="inlineStr">
        <is>
          <t>AUTO</t>
        </is>
      </c>
      <c r="K53" s="757">
        <f>IF(A53="","",IF(J53="AUTO",H53,IF(J53="MANUAL",AK53,"")))</f>
        <v/>
      </c>
      <c r="L53" s="751" t="inlineStr">
        <is>
          <t>NONE</t>
        </is>
      </c>
      <c r="M53" s="751" t="n"/>
      <c r="N53" s="751">
        <f>IF(A53="","",IF(COUNTIFS('Human Operation Desktop'!$A$3:$A$502,A53,'Human Operation Desktop'!$I$3:$I$502,"&lt;&gt;APPLIED",'Human Operation Desktop'!$I$3:$I$502,"&lt;&gt;REJECTED")&gt;0,"YES","NO"))</f>
        <v/>
      </c>
      <c r="O53" s="751" t="inlineStr">
        <is>
          <t>f2cb33416ae233a0616722ffb0ebf377bf1eea2da309fbee385495f01062c5d2</t>
        </is>
      </c>
      <c r="P53" s="752" t="inlineStr">
        <is>
          <t>Planning and Building Act</t>
        </is>
      </c>
      <c r="Q53" s="752" t="inlineStr">
        <is>
          <t>https://lovdata.no/dokument/NL/lov/2008-06-27-71</t>
        </is>
      </c>
      <c r="R53" s="752" t="inlineStr">
        <is>
          <t>https://lovdata.no/dokument/NL/lov/2008-06-27-71</t>
        </is>
      </c>
      <c r="S53" s="752" t="inlineStr">
        <is>
          <t>A_Public_Authority</t>
        </is>
      </c>
      <c r="T53" s="752" t="inlineStr">
        <is>
          <t>html</t>
        </is>
      </c>
      <c r="U53" s="752" t="inlineStr">
        <is>
          <t>Norwegian Ministry of Local Government and Regional Development</t>
        </is>
      </c>
      <c r="V53" s="752" t="inlineStr">
        <is>
          <t>Norway</t>
        </is>
      </c>
      <c r="W53" s="752" t="inlineStr">
        <is>
          <t>Norwegian</t>
        </is>
      </c>
      <c r="X53" s="752" t="n"/>
      <c r="Y53" s="752" t="n"/>
      <c r="Z53" s="752" t="inlineStr">
        <is>
          <t>Public authority</t>
        </is>
      </c>
      <c r="AA53" s="752" t="inlineStr">
        <is>
          <t>Law</t>
        </is>
      </c>
      <c r="AB53" s="752" t="inlineStr">
        <is>
          <t>Referenced normative</t>
        </is>
      </c>
      <c r="AC53" s="752" t="inlineStr">
        <is>
          <t>Official referenced source from Norwegian Ministry of Local Government and Regional Development; included because an applicable law, permit or certification scheme may make its provisions binding within the approved scope.</t>
        </is>
      </c>
      <c r="AD53" s="752" t="inlineStr">
        <is>
          <t>HIGH</t>
        </is>
      </c>
      <c r="AE53" s="752" t="inlineStr">
        <is>
          <t>MEDIUM</t>
        </is>
      </c>
      <c r="AF53" s="752" t="inlineStr">
        <is>
          <t>HIGH</t>
        </is>
      </c>
      <c r="AG53" s="752" t="inlineStr">
        <is>
          <t>HIGH</t>
        </is>
      </c>
      <c r="AH53" s="752" t="inlineStr">
        <is>
          <t>HIGH</t>
        </is>
      </c>
      <c r="AI53" s="752" t="inlineStr">
        <is>
          <t>HIGH</t>
        </is>
      </c>
      <c r="AJ53" s="752" t="inlineStr">
        <is>
          <t>PENDING</t>
        </is>
      </c>
      <c r="AK53" s="759" t="n"/>
      <c r="AL53" s="752" t="n"/>
      <c r="AM53" s="752" t="inlineStr">
        <is>
          <t>CURRENT</t>
        </is>
      </c>
      <c r="AN53" s="752" t="n"/>
      <c r="AO53" s="752" t="inlineStr">
        <is>
          <t>Official permitting expansion. Relevance depends on municipal plans, land-based works and the specific application.</t>
        </is>
      </c>
      <c r="AP53" s="752" t="inlineStr">
        <is>
          <t>OFFICIAL_WEBSITE</t>
        </is>
      </c>
      <c r="AQ53" s="752" t="inlineStr">
        <is>
          <t>OFFICIAL_ORIGINAL</t>
        </is>
      </c>
      <c r="AR53" s="752" t="inlineStr">
        <is>
          <t>ROLLING</t>
        </is>
      </c>
      <c r="AS53" s="752" t="n"/>
    </row>
    <row r="54" ht="30" customHeight="1" s="36">
      <c r="A54" s="751" t="inlineStr">
        <is>
          <t>PA052</t>
        </is>
      </c>
      <c r="B54" s="751" t="inlineStr">
        <is>
          <t>PA052-001</t>
        </is>
      </c>
      <c r="C54" s="751" t="inlineStr">
        <is>
          <t>PA052-001_Cultural_Heritage_Act.html</t>
        </is>
      </c>
      <c r="D54" s="751" t="inlineStr">
        <is>
          <t>STORED</t>
        </is>
      </c>
      <c r="E54" s="751">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
      </c>
      <c r="F54" s="751" t="inlineStr">
        <is>
          <t>SUCCESS</t>
        </is>
      </c>
      <c r="G54" s="755" t="n">
        <v>46262.53106481482</v>
      </c>
      <c r="H54" s="755" t="n">
        <v>46262.53107638889</v>
      </c>
      <c r="I54" s="751" t="inlineStr">
        <is>
          <t>INITIAL</t>
        </is>
      </c>
      <c r="J54" s="751" t="inlineStr">
        <is>
          <t>AUTO</t>
        </is>
      </c>
      <c r="K54" s="757">
        <f>IF(A54="","",IF(J54="AUTO",H54,IF(J54="MANUAL",AK54,"")))</f>
        <v/>
      </c>
      <c r="L54" s="751" t="inlineStr">
        <is>
          <t>NONE</t>
        </is>
      </c>
      <c r="M54" s="751" t="n"/>
      <c r="N54" s="751">
        <f>IF(A54="","",IF(COUNTIFS('Human Operation Desktop'!$A$3:$A$502,A54,'Human Operation Desktop'!$I$3:$I$502,"&lt;&gt;APPLIED",'Human Operation Desktop'!$I$3:$I$502,"&lt;&gt;REJECTED")&gt;0,"YES","NO"))</f>
        <v/>
      </c>
      <c r="O54" s="751" t="inlineStr">
        <is>
          <t>70a7268b5afd45f369ef12f9d167fc6b9b87d65af7bbc46a28e19a40563b2bcb</t>
        </is>
      </c>
      <c r="P54" s="752" t="inlineStr">
        <is>
          <t>Cultural Heritage Act</t>
        </is>
      </c>
      <c r="Q54" s="752" t="inlineStr">
        <is>
          <t>https://lovdata.no/dokument/NL/lov/1978-06-09-50</t>
        </is>
      </c>
      <c r="R54" s="752" t="inlineStr">
        <is>
          <t>https://lovdata.no/dokument/NL/lov/1978-06-09-50</t>
        </is>
      </c>
      <c r="S54" s="752" t="inlineStr">
        <is>
          <t>A_Public_Authority</t>
        </is>
      </c>
      <c r="T54" s="752" t="inlineStr">
        <is>
          <t>html</t>
        </is>
      </c>
      <c r="U54" s="752" t="inlineStr">
        <is>
          <t>Norwegian Ministry of Climate and Environment</t>
        </is>
      </c>
      <c r="V54" s="752" t="inlineStr">
        <is>
          <t>Norway</t>
        </is>
      </c>
      <c r="W54" s="752" t="inlineStr">
        <is>
          <t>Norwegian</t>
        </is>
      </c>
      <c r="X54" s="752" t="n"/>
      <c r="Y54" s="752" t="n"/>
      <c r="Z54" s="752" t="inlineStr">
        <is>
          <t>Public authority</t>
        </is>
      </c>
      <c r="AA54" s="752" t="inlineStr">
        <is>
          <t>Law</t>
        </is>
      </c>
      <c r="AB54" s="752" t="inlineStr">
        <is>
          <t>Referenced normative</t>
        </is>
      </c>
      <c r="AC54" s="752" t="inlineStr">
        <is>
          <t>Official referenced source from Norwegian Ministry of Climate and Environment; included because an applicable law, permit or certification scheme may make its provisions binding within the approved scope.</t>
        </is>
      </c>
      <c r="AD54" s="752" t="inlineStr">
        <is>
          <t>HIGH</t>
        </is>
      </c>
      <c r="AE54" s="752" t="inlineStr">
        <is>
          <t>MEDIUM</t>
        </is>
      </c>
      <c r="AF54" s="752" t="inlineStr">
        <is>
          <t>HIGH</t>
        </is>
      </c>
      <c r="AG54" s="752" t="inlineStr">
        <is>
          <t>HIGH</t>
        </is>
      </c>
      <c r="AH54" s="752" t="inlineStr">
        <is>
          <t>HIGH</t>
        </is>
      </c>
      <c r="AI54" s="752" t="inlineStr">
        <is>
          <t>HIGH</t>
        </is>
      </c>
      <c r="AJ54" s="752" t="inlineStr">
        <is>
          <t>PENDING</t>
        </is>
      </c>
      <c r="AK54" s="759" t="n"/>
      <c r="AL54" s="752" t="n"/>
      <c r="AM54" s="752" t="inlineStr">
        <is>
          <t>CURRENT</t>
        </is>
      </c>
      <c r="AN54" s="752" t="n"/>
      <c r="AO54" s="752" t="inlineStr">
        <is>
          <t>Official permitting expansion. Site-specific relevance depends on registered or discovered cultural heritage.</t>
        </is>
      </c>
      <c r="AP54" s="752" t="inlineStr">
        <is>
          <t>OFFICIAL_WEBSITE</t>
        </is>
      </c>
      <c r="AQ54" s="752" t="inlineStr">
        <is>
          <t>OFFICIAL_ORIGINAL</t>
        </is>
      </c>
      <c r="AR54" s="752" t="inlineStr">
        <is>
          <t>ROLLING</t>
        </is>
      </c>
      <c r="AS54" s="752" t="n"/>
    </row>
    <row r="55" ht="30" customHeight="1" s="36">
      <c r="A55" s="751" t="inlineStr">
        <is>
          <t>PA053</t>
        </is>
      </c>
      <c r="B55" s="751" t="inlineStr">
        <is>
          <t>PA053-001</t>
        </is>
      </c>
      <c r="C55" s="751" t="inlineStr">
        <is>
          <t>PA053-001_Water_Resources_Act.html</t>
        </is>
      </c>
      <c r="D55" s="751" t="inlineStr">
        <is>
          <t>STORED</t>
        </is>
      </c>
      <c r="E55" s="751">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
      </c>
      <c r="F55" s="751" t="inlineStr">
        <is>
          <t>SUCCESS</t>
        </is>
      </c>
      <c r="G55" s="755" t="n">
        <v>46262.53107638889</v>
      </c>
      <c r="H55" s="755" t="n">
        <v>46262.53107638889</v>
      </c>
      <c r="I55" s="751" t="inlineStr">
        <is>
          <t>INITIAL</t>
        </is>
      </c>
      <c r="J55" s="751" t="inlineStr">
        <is>
          <t>AUTO</t>
        </is>
      </c>
      <c r="K55" s="757">
        <f>IF(A55="","",IF(J55="AUTO",H55,IF(J55="MANUAL",AK55,"")))</f>
        <v/>
      </c>
      <c r="L55" s="751" t="inlineStr">
        <is>
          <t>NONE</t>
        </is>
      </c>
      <c r="M55" s="751" t="n"/>
      <c r="N55" s="751">
        <f>IF(A55="","",IF(COUNTIFS('Human Operation Desktop'!$A$3:$A$502,A55,'Human Operation Desktop'!$I$3:$I$502,"&lt;&gt;APPLIED",'Human Operation Desktop'!$I$3:$I$502,"&lt;&gt;REJECTED")&gt;0,"YES","NO"))</f>
        <v/>
      </c>
      <c r="O55" s="751" t="inlineStr">
        <is>
          <t>4f34d5e27c31a36b0d4578795a149e441341f41df43c89eb9aac6a5da9e075f8</t>
        </is>
      </c>
      <c r="P55" s="752" t="inlineStr">
        <is>
          <t>Water Resources Act</t>
        </is>
      </c>
      <c r="Q55" s="752" t="inlineStr">
        <is>
          <t>https://lovdata.no/dokument/NL/lov/2000-11-24-82</t>
        </is>
      </c>
      <c r="R55" s="752" t="inlineStr">
        <is>
          <t>https://lovdata.no/dokument/NL/lov/2000-11-24-82</t>
        </is>
      </c>
      <c r="S55" s="752" t="inlineStr">
        <is>
          <t>A_Public_Authority</t>
        </is>
      </c>
      <c r="T55" s="752" t="inlineStr">
        <is>
          <t>html</t>
        </is>
      </c>
      <c r="U55" s="752" t="inlineStr">
        <is>
          <t>Norwegian Ministry of Energy</t>
        </is>
      </c>
      <c r="V55" s="752" t="inlineStr">
        <is>
          <t>Norway</t>
        </is>
      </c>
      <c r="W55" s="752" t="inlineStr">
        <is>
          <t>Norwegian</t>
        </is>
      </c>
      <c r="X55" s="752" t="n"/>
      <c r="Y55" s="752" t="n"/>
      <c r="Z55" s="752" t="inlineStr">
        <is>
          <t>Public authority</t>
        </is>
      </c>
      <c r="AA55" s="752" t="inlineStr">
        <is>
          <t>Law</t>
        </is>
      </c>
      <c r="AB55" s="752" t="inlineStr">
        <is>
          <t>Referenced normative</t>
        </is>
      </c>
      <c r="AC55" s="752" t="inlineStr">
        <is>
          <t>Official referenced source from Norwegian Ministry of Energy; included because an applicable law, permit or certification scheme may make its provisions binding within the approved scope.</t>
        </is>
      </c>
      <c r="AD55" s="752" t="inlineStr">
        <is>
          <t>HIGH</t>
        </is>
      </c>
      <c r="AE55" s="752" t="inlineStr">
        <is>
          <t>MEDIUM</t>
        </is>
      </c>
      <c r="AF55" s="752" t="inlineStr">
        <is>
          <t>HIGH</t>
        </is>
      </c>
      <c r="AG55" s="752" t="inlineStr">
        <is>
          <t>HIGH</t>
        </is>
      </c>
      <c r="AH55" s="752" t="inlineStr">
        <is>
          <t>HIGH</t>
        </is>
      </c>
      <c r="AI55" s="752" t="inlineStr">
        <is>
          <t>HIGH</t>
        </is>
      </c>
      <c r="AJ55" s="752" t="inlineStr">
        <is>
          <t>PENDING</t>
        </is>
      </c>
      <c r="AK55" s="759" t="n"/>
      <c r="AL55" s="752" t="n"/>
      <c r="AM55" s="752" t="inlineStr">
        <is>
          <t>CURRENT</t>
        </is>
      </c>
      <c r="AN55" s="752" t="n"/>
      <c r="AO55" s="752" t="inlineStr">
        <is>
          <t>Official permitting expansion. Particularly relevant to freshwater or water-abstraction and discharge arrangements.</t>
        </is>
      </c>
      <c r="AP55" s="752" t="inlineStr">
        <is>
          <t>OFFICIAL_WEBSITE</t>
        </is>
      </c>
      <c r="AQ55" s="752" t="inlineStr">
        <is>
          <t>OFFICIAL_ORIGINAL</t>
        </is>
      </c>
      <c r="AR55" s="752" t="inlineStr">
        <is>
          <t>ROLLING</t>
        </is>
      </c>
      <c r="AS55" s="752" t="n"/>
    </row>
    <row r="56" ht="30" customHeight="1" s="36">
      <c r="A56" s="751" t="inlineStr">
        <is>
          <t>PA054</t>
        </is>
      </c>
      <c r="B56" s="751" t="inlineStr">
        <is>
          <t>PA054-001</t>
        </is>
      </c>
      <c r="C56" s="751" t="inlineStr">
        <is>
          <t>PA054-001_Marine_Nature_Protection_Act.html</t>
        </is>
      </c>
      <c r="D56" s="751" t="inlineStr">
        <is>
          <t>STORED</t>
        </is>
      </c>
      <c r="E56" s="751">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
      </c>
      <c r="F56" s="751" t="inlineStr">
        <is>
          <t>SUCCESS</t>
        </is>
      </c>
      <c r="G56" s="755" t="n">
        <v>46262.53107638889</v>
      </c>
      <c r="H56" s="755" t="n">
        <v>46262.53107638889</v>
      </c>
      <c r="I56" s="751" t="inlineStr">
        <is>
          <t>INITIAL</t>
        </is>
      </c>
      <c r="J56" s="751" t="inlineStr">
        <is>
          <t>AUTO</t>
        </is>
      </c>
      <c r="K56" s="757">
        <f>IF(A56="","",IF(J56="AUTO",H56,IF(J56="MANUAL",AK56,"")))</f>
        <v/>
      </c>
      <c r="L56" s="751" t="inlineStr">
        <is>
          <t>NONE</t>
        </is>
      </c>
      <c r="M56" s="751" t="n"/>
      <c r="N56" s="751">
        <f>IF(A56="","",IF(COUNTIFS('Human Operation Desktop'!$A$3:$A$502,A56,'Human Operation Desktop'!$I$3:$I$502,"&lt;&gt;APPLIED",'Human Operation Desktop'!$I$3:$I$502,"&lt;&gt;REJECTED")&gt;0,"YES","NO"))</f>
        <v/>
      </c>
      <c r="O56" s="751" t="inlineStr">
        <is>
          <t>4dce1de2f48bf0d24398b17145c4c2286152eb61a354107445022488b2808c71</t>
        </is>
      </c>
      <c r="P56" s="752" t="inlineStr">
        <is>
          <t>Marine Nature Protection Act</t>
        </is>
      </c>
      <c r="Q56" s="752" t="inlineStr">
        <is>
          <t>https://lovdata.no/dokument/NL/lov/2025-06-10-33</t>
        </is>
      </c>
      <c r="R56" s="752" t="inlineStr">
        <is>
          <t>https://lovdata.no/dokument/NL/lov/2025-06-10-33</t>
        </is>
      </c>
      <c r="S56" s="752" t="inlineStr">
        <is>
          <t>A_Public_Authority</t>
        </is>
      </c>
      <c r="T56" s="752" t="inlineStr">
        <is>
          <t>html</t>
        </is>
      </c>
      <c r="U56" s="752" t="inlineStr">
        <is>
          <t>Norwegian Ministry of Climate and Environment</t>
        </is>
      </c>
      <c r="V56" s="752" t="inlineStr">
        <is>
          <t>Norway</t>
        </is>
      </c>
      <c r="W56" s="752" t="inlineStr">
        <is>
          <t>Norwegian</t>
        </is>
      </c>
      <c r="X56" s="752" t="n"/>
      <c r="Y56" s="752" t="n">
        <v>46023</v>
      </c>
      <c r="Z56" s="752" t="inlineStr">
        <is>
          <t>Public authority</t>
        </is>
      </c>
      <c r="AA56" s="752" t="inlineStr">
        <is>
          <t>Law</t>
        </is>
      </c>
      <c r="AB56" s="752" t="inlineStr">
        <is>
          <t>Referenced normative</t>
        </is>
      </c>
      <c r="AC56" s="752" t="inlineStr">
        <is>
          <t>Official referenced source from Norwegian Ministry of Climate and Environment; included because an applicable law, permit or certification scheme may make its provisions binding within the approved scope.</t>
        </is>
      </c>
      <c r="AD56" s="752" t="inlineStr">
        <is>
          <t>HIGH</t>
        </is>
      </c>
      <c r="AE56" s="752" t="inlineStr">
        <is>
          <t>MEDIUM</t>
        </is>
      </c>
      <c r="AF56" s="752" t="inlineStr">
        <is>
          <t>HIGH</t>
        </is>
      </c>
      <c r="AG56" s="752" t="inlineStr">
        <is>
          <t>HIGH</t>
        </is>
      </c>
      <c r="AH56" s="752" t="inlineStr">
        <is>
          <t>HIGH</t>
        </is>
      </c>
      <c r="AI56" s="752" t="inlineStr">
        <is>
          <t>HIGH</t>
        </is>
      </c>
      <c r="AJ56" s="752" t="inlineStr">
        <is>
          <t>PENDING</t>
        </is>
      </c>
      <c r="AK56" s="759" t="n"/>
      <c r="AL56" s="752" t="n"/>
      <c r="AM56" s="752" t="inlineStr">
        <is>
          <t>CURRENT</t>
        </is>
      </c>
      <c r="AN56" s="752" t="n"/>
      <c r="AO56" s="752" t="inlineStr">
        <is>
          <t>Official future-facing coverage expansion. Offshore and site-specific applicability must be confirmed before use.</t>
        </is>
      </c>
      <c r="AP56" s="752" t="inlineStr">
        <is>
          <t>OFFICIAL_WEBSITE</t>
        </is>
      </c>
      <c r="AQ56" s="752" t="inlineStr">
        <is>
          <t>OFFICIAL_ORIGINAL</t>
        </is>
      </c>
      <c r="AR56" s="752" t="inlineStr">
        <is>
          <t>ROLLING</t>
        </is>
      </c>
      <c r="AS56" s="752" t="n"/>
    </row>
    <row r="57" ht="30" customHeight="1" s="36">
      <c r="A57" s="751" t="inlineStr">
        <is>
          <t>PA055</t>
        </is>
      </c>
      <c r="B57" s="751" t="inlineStr">
        <is>
          <t>PA055-001</t>
        </is>
      </c>
      <c r="C57" s="751" t="inlineStr">
        <is>
          <t>PA055-001_Regulation_on_fairway_signs_and_navigational_devices.html</t>
        </is>
      </c>
      <c r="D57" s="751" t="inlineStr">
        <is>
          <t>STORED</t>
        </is>
      </c>
      <c r="E57" s="751">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
      </c>
      <c r="F57" s="751" t="inlineStr">
        <is>
          <t>SUCCESS</t>
        </is>
      </c>
      <c r="G57" s="755" t="n">
        <v>46262.53107638889</v>
      </c>
      <c r="H57" s="755" t="n">
        <v>46262.53107638889</v>
      </c>
      <c r="I57" s="751" t="inlineStr">
        <is>
          <t>INITIAL</t>
        </is>
      </c>
      <c r="J57" s="751" t="inlineStr">
        <is>
          <t>AUTO</t>
        </is>
      </c>
      <c r="K57" s="757">
        <f>IF(A57="","",IF(J57="AUTO",H57,IF(J57="MANUAL",AK57,"")))</f>
        <v/>
      </c>
      <c r="L57" s="751" t="inlineStr">
        <is>
          <t>NONE</t>
        </is>
      </c>
      <c r="M57" s="751" t="n"/>
      <c r="N57" s="751">
        <f>IF(A57="","",IF(COUNTIFS('Human Operation Desktop'!$A$3:$A$502,A57,'Human Operation Desktop'!$I$3:$I$502,"&lt;&gt;APPLIED",'Human Operation Desktop'!$I$3:$I$502,"&lt;&gt;REJECTED")&gt;0,"YES","NO"))</f>
        <v/>
      </c>
      <c r="O57" s="751" t="inlineStr">
        <is>
          <t>c497ee186adeef3c2a97e4c9c9508a5b132a1e58eaf76ec1517408bd22fa25d9</t>
        </is>
      </c>
      <c r="P57" s="752" t="inlineStr">
        <is>
          <t>Regulation on fairway signs and navigational devices</t>
        </is>
      </c>
      <c r="Q57" s="752" t="inlineStr">
        <is>
          <t>https://lovdata.no/dokument/SF/forskrift/2012-12-19-1329</t>
        </is>
      </c>
      <c r="R57" s="752" t="inlineStr">
        <is>
          <t>https://lovdata.no/dokument/SF/forskrift/2012-12-19-1329</t>
        </is>
      </c>
      <c r="S57" s="752" t="inlineStr">
        <is>
          <t>A_Public_Authority</t>
        </is>
      </c>
      <c r="T57" s="752" t="inlineStr">
        <is>
          <t>html</t>
        </is>
      </c>
      <c r="U57" s="752" t="inlineStr">
        <is>
          <t>Norwegian Ministry of Trade, Industry and Fisheries</t>
        </is>
      </c>
      <c r="V57" s="752" t="inlineStr">
        <is>
          <t>Norway</t>
        </is>
      </c>
      <c r="W57" s="752" t="inlineStr">
        <is>
          <t>Norwegian</t>
        </is>
      </c>
      <c r="X57" s="752" t="n"/>
      <c r="Y57" s="752" t="n"/>
      <c r="Z57" s="752" t="inlineStr">
        <is>
          <t>Public authority</t>
        </is>
      </c>
      <c r="AA57" s="752" t="inlineStr">
        <is>
          <t>Regulation</t>
        </is>
      </c>
      <c r="AB57" s="752" t="inlineStr">
        <is>
          <t>Primary normative</t>
        </is>
      </c>
      <c r="AC57" s="752" t="inlineStr">
        <is>
          <t>Official regulation issued by Norwegian Ministry of Trade, Industry and Fisheries; included because it may impose binding requirements on an in-scope aquaculture asset, activity, permit or certification.</t>
        </is>
      </c>
      <c r="AD57" s="752" t="inlineStr">
        <is>
          <t>HIGH</t>
        </is>
      </c>
      <c r="AE57" s="752" t="inlineStr">
        <is>
          <t>HIGH</t>
        </is>
      </c>
      <c r="AF57" s="752" t="inlineStr">
        <is>
          <t>HIGH</t>
        </is>
      </c>
      <c r="AG57" s="752" t="inlineStr">
        <is>
          <t>HIGH</t>
        </is>
      </c>
      <c r="AH57" s="752" t="inlineStr">
        <is>
          <t>HIGH</t>
        </is>
      </c>
      <c r="AI57" s="752" t="inlineStr">
        <is>
          <t>HIGH</t>
        </is>
      </c>
      <c r="AJ57" s="752" t="inlineStr">
        <is>
          <t>INCLUDE</t>
        </is>
      </c>
      <c r="AK57" s="759" t="n"/>
      <c r="AL57" s="752" t="n"/>
      <c r="AM57" s="752" t="inlineStr">
        <is>
          <t>CURRENT</t>
        </is>
      </c>
      <c r="AN57" s="752" t="inlineStr">
        <is>
          <t>PA050</t>
        </is>
      </c>
      <c r="AO57" s="752" t="inlineStr">
        <is>
          <t>Official sea-site expansion. Includes marking and navigation-related provisions relevant to applicable aquaculture installations.</t>
        </is>
      </c>
      <c r="AP57" s="752" t="inlineStr">
        <is>
          <t>OFFICIAL_WEBSITE</t>
        </is>
      </c>
      <c r="AQ57" s="752" t="inlineStr">
        <is>
          <t>OFFICIAL_ORIGINAL</t>
        </is>
      </c>
      <c r="AR57" s="752" t="inlineStr">
        <is>
          <t>ROLLING</t>
        </is>
      </c>
      <c r="AS57" s="752" t="n"/>
    </row>
    <row r="58" ht="30" customHeight="1" s="36">
      <c r="A58" s="751" t="inlineStr">
        <is>
          <t>PA056</t>
        </is>
      </c>
      <c r="B58" s="751" t="inlineStr">
        <is>
          <t>PA056-001</t>
        </is>
      </c>
      <c r="C58" s="751" t="inlineStr">
        <is>
          <t>PA056-001_Fiskeridirektoratet_guidance_for_land-based_aquaculture_facilities.html</t>
        </is>
      </c>
      <c r="D58" s="751" t="inlineStr">
        <is>
          <t>STORED</t>
        </is>
      </c>
      <c r="E58" s="751">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
      </c>
      <c r="F58" s="751" t="inlineStr">
        <is>
          <t>SUCCESS</t>
        </is>
      </c>
      <c r="G58" s="755" t="n">
        <v>46262.53108796296</v>
      </c>
      <c r="H58" s="755" t="n">
        <v>46262.53108796296</v>
      </c>
      <c r="I58" s="751" t="inlineStr">
        <is>
          <t>INITIAL</t>
        </is>
      </c>
      <c r="J58" s="751" t="inlineStr">
        <is>
          <t>AUTO</t>
        </is>
      </c>
      <c r="K58" s="757">
        <f>IF(A58="","",IF(J58="AUTO",H58,IF(J58="MANUAL",AK58,"")))</f>
        <v/>
      </c>
      <c r="L58" s="751" t="inlineStr">
        <is>
          <t>NONE</t>
        </is>
      </c>
      <c r="M58" s="751" t="n"/>
      <c r="N58" s="751">
        <f>IF(A58="","",IF(COUNTIFS('Human Operation Desktop'!$A$3:$A$502,A58,'Human Operation Desktop'!$I$3:$I$502,"&lt;&gt;APPLIED",'Human Operation Desktop'!$I$3:$I$502,"&lt;&gt;REJECTED")&gt;0,"YES","NO"))</f>
        <v/>
      </c>
      <c r="O58" s="751" t="inlineStr">
        <is>
          <t>73c197182a2280a093d6c7ec0a273ab6f46ad0e55edfddc0f31373937b21de93</t>
        </is>
      </c>
      <c r="P58" s="752" t="inlineStr">
        <is>
          <t>Fiskeridirektoratet guidance for land-based aquaculture facilities</t>
        </is>
      </c>
      <c r="Q58" s="752" t="inlineStr">
        <is>
          <t>https://www.fiskeridir.no/akvakultur/landbaserte-anlegg</t>
        </is>
      </c>
      <c r="R58" s="752" t="inlineStr">
        <is>
          <t>https://www.fiskeridir.no/akvakultur/landbaserte-anlegg</t>
        </is>
      </c>
      <c r="S58" s="752" t="inlineStr">
        <is>
          <t>A_Public_Authority</t>
        </is>
      </c>
      <c r="T58" s="752" t="inlineStr">
        <is>
          <t>html</t>
        </is>
      </c>
      <c r="U58" s="752" t="inlineStr">
        <is>
          <t>Norwegian Directorate of Fisheries</t>
        </is>
      </c>
      <c r="V58" s="752" t="inlineStr">
        <is>
          <t>Norway</t>
        </is>
      </c>
      <c r="W58" s="752" t="inlineStr">
        <is>
          <t>Norwegian</t>
        </is>
      </c>
      <c r="X58" s="752" t="n"/>
      <c r="Y58" s="752" t="n"/>
      <c r="Z58" s="752" t="inlineStr">
        <is>
          <t>Public authority</t>
        </is>
      </c>
      <c r="AA58" s="752" t="inlineStr">
        <is>
          <t>Interpretation document</t>
        </is>
      </c>
      <c r="AB58" s="752" t="inlineStr">
        <is>
          <t>Guidance / interpretation</t>
        </is>
      </c>
      <c r="AC58" s="752" t="inlineStr">
        <is>
          <t>Official guidance from Norwegian Directorate of Fisheries; included to interpret and operationalise linked normative requirements, not as independent legal or certification authority.</t>
        </is>
      </c>
      <c r="AD58" s="752" t="inlineStr">
        <is>
          <t>HIGH</t>
        </is>
      </c>
      <c r="AE58" s="752" t="inlineStr">
        <is>
          <t>MEDIUM</t>
        </is>
      </c>
      <c r="AF58" s="752" t="inlineStr">
        <is>
          <t>HIGH</t>
        </is>
      </c>
      <c r="AG58" s="752" t="inlineStr">
        <is>
          <t>HIGH</t>
        </is>
      </c>
      <c r="AH58" s="752" t="inlineStr">
        <is>
          <t>HIGH</t>
        </is>
      </c>
      <c r="AI58" s="752" t="inlineStr">
        <is>
          <t>HIGH</t>
        </is>
      </c>
      <c r="AJ58" s="752" t="inlineStr">
        <is>
          <t>PENDING</t>
        </is>
      </c>
      <c r="AK58" s="759" t="n"/>
      <c r="AL58" s="752" t="n"/>
      <c r="AM58" s="752" t="inlineStr">
        <is>
          <t>CURRENT</t>
        </is>
      </c>
      <c r="AN58" s="752" t="inlineStr">
        <is>
          <t>PA022</t>
        </is>
      </c>
      <c r="AO58" s="752" t="inlineStr">
        <is>
          <t>Official land-based facility guidance. Include only when land-based facilities are within scope.</t>
        </is>
      </c>
      <c r="AP58" s="752" t="inlineStr">
        <is>
          <t>OFFICIAL_WEBSITE</t>
        </is>
      </c>
      <c r="AQ58" s="752" t="inlineStr">
        <is>
          <t>OFFICIAL_ORIGINAL</t>
        </is>
      </c>
      <c r="AR58" s="752" t="inlineStr">
        <is>
          <t>ROLLING</t>
        </is>
      </c>
      <c r="AS58" s="752" t="n"/>
    </row>
    <row r="59" ht="30" customHeight="1" s="36">
      <c r="A59" s="751" t="inlineStr">
        <is>
          <t>PA057</t>
        </is>
      </c>
      <c r="B59" s="751" t="inlineStr">
        <is>
          <t>PA057-001</t>
        </is>
      </c>
      <c r="C59" s="751" t="inlineStr">
        <is>
          <t>PA057-001_Guidance_for_condition_assessment_of_land-based_aquaculture_facilities.pdf</t>
        </is>
      </c>
      <c r="D59" s="751" t="inlineStr">
        <is>
          <t>STORED</t>
        </is>
      </c>
      <c r="E59" s="751">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
      </c>
      <c r="F59" s="751" t="inlineStr">
        <is>
          <t>SUCCESS</t>
        </is>
      </c>
      <c r="G59" s="755" t="n">
        <v>46262.53108796296</v>
      </c>
      <c r="H59" s="755" t="n">
        <v>46262.53109953704</v>
      </c>
      <c r="I59" s="751" t="inlineStr">
        <is>
          <t>INITIAL</t>
        </is>
      </c>
      <c r="J59" s="751" t="inlineStr">
        <is>
          <t>AUTO</t>
        </is>
      </c>
      <c r="K59" s="757">
        <f>IF(A59="","",IF(J59="AUTO",H59,IF(J59="MANUAL",AK59,"")))</f>
        <v/>
      </c>
      <c r="L59" s="751" t="inlineStr">
        <is>
          <t>NONE</t>
        </is>
      </c>
      <c r="M59" s="751" t="n"/>
      <c r="N59" s="751">
        <f>IF(A59="","",IF(COUNTIFS('Human Operation Desktop'!$A$3:$A$502,A59,'Human Operation Desktop'!$I$3:$I$502,"&lt;&gt;APPLIED",'Human Operation Desktop'!$I$3:$I$502,"&lt;&gt;REJECTED")&gt;0,"YES","NO"))</f>
        <v/>
      </c>
      <c r="O59" s="751" t="inlineStr">
        <is>
          <t>f9f6bd8531c2cd8a4cc7dd49e4035aaef6ff33cb2f7dbf93f0e340ca0b454778</t>
        </is>
      </c>
      <c r="P59" s="752" t="inlineStr">
        <is>
          <t>Guidance for condition assessment of land-based aquaculture facilities</t>
        </is>
      </c>
      <c r="Q59" s="752" t="inlineStr">
        <is>
          <t>https://www.fiskeridir.no/Akvakultur/Dokumenter/Veiledere/Tilstandsanalyse-av-landbaserte-anlegg</t>
        </is>
      </c>
      <c r="R59" s="752" t="inlineStr">
        <is>
          <t>https://www.fiskeridir.no/Akvakultur/Dokumenter/Veiledere/Tilstandsanalyse-av-landbaserte-anlegg/_/attachment/download/df2fc451-04b7-4984-8628-770e2cf13ac9%3Ad6ae5a53d45201b6bb2458a1e3506f3f9cd7e3fe/Veileder_tilstandsanalyse_20241011.pdf</t>
        </is>
      </c>
      <c r="S59" s="752" t="inlineStr">
        <is>
          <t>A_Public_Authority</t>
        </is>
      </c>
      <c r="T59" s="752" t="inlineStr">
        <is>
          <t>pdf</t>
        </is>
      </c>
      <c r="U59" s="752" t="inlineStr">
        <is>
          <t>Norwegian Directorate of Fisheries</t>
        </is>
      </c>
      <c r="V59" s="752" t="inlineStr">
        <is>
          <t>Norway</t>
        </is>
      </c>
      <c r="W59" s="752" t="inlineStr">
        <is>
          <t>Norwegian</t>
        </is>
      </c>
      <c r="X59" s="752" t="inlineStr">
        <is>
          <t>2024-10-11</t>
        </is>
      </c>
      <c r="Y59" s="752" t="n"/>
      <c r="Z59" s="752" t="inlineStr">
        <is>
          <t>Public authority</t>
        </is>
      </c>
      <c r="AA59" s="752" t="inlineStr">
        <is>
          <t>Interpretation document</t>
        </is>
      </c>
      <c r="AB59" s="752" t="inlineStr">
        <is>
          <t>Guidance / interpretation</t>
        </is>
      </c>
      <c r="AC59" s="752" t="inlineStr">
        <is>
          <t>Official guidance from Norwegian Directorate of Fisheries; included to interpret and operationalise linked normative requirements, not as independent legal or certification authority.</t>
        </is>
      </c>
      <c r="AD59" s="752" t="inlineStr">
        <is>
          <t>HIGH</t>
        </is>
      </c>
      <c r="AE59" s="752" t="inlineStr">
        <is>
          <t>MEDIUM</t>
        </is>
      </c>
      <c r="AF59" s="752" t="inlineStr">
        <is>
          <t>HIGH</t>
        </is>
      </c>
      <c r="AG59" s="752" t="inlineStr">
        <is>
          <t>HIGH</t>
        </is>
      </c>
      <c r="AH59" s="752" t="inlineStr">
        <is>
          <t>HIGH</t>
        </is>
      </c>
      <c r="AI59" s="752" t="inlineStr">
        <is>
          <t>HIGH</t>
        </is>
      </c>
      <c r="AJ59" s="752" t="inlineStr">
        <is>
          <t>PENDING</t>
        </is>
      </c>
      <c r="AK59" s="759" t="n"/>
      <c r="AL59" s="752" t="n"/>
      <c r="AM59" s="752" t="inlineStr">
        <is>
          <t>CURRENT</t>
        </is>
      </c>
      <c r="AN59" s="752" t="inlineStr">
        <is>
          <t>PA022</t>
        </is>
      </c>
      <c r="AO59" s="752" t="inlineStr">
        <is>
          <t>Official technical guidance linked to land-based facility regulation and NS 3424. Conditional on land-based scope.</t>
        </is>
      </c>
      <c r="AP59" s="752" t="inlineStr">
        <is>
          <t>OFFICIAL_WEBSITE</t>
        </is>
      </c>
      <c r="AQ59" s="752" t="inlineStr">
        <is>
          <t>OFFICIAL_ORIGINAL</t>
        </is>
      </c>
      <c r="AR59" s="752" t="inlineStr">
        <is>
          <t>VERSIONED</t>
        </is>
      </c>
      <c r="AS59" s="752" t="n"/>
    </row>
    <row r="60" ht="30" customHeight="1" s="36">
      <c r="A60" s="751" t="inlineStr">
        <is>
          <t>PA058</t>
        </is>
      </c>
      <c r="B60" s="751" t="inlineStr">
        <is>
          <t>PA058-001</t>
        </is>
      </c>
      <c r="C60" s="751" t="inlineStr">
        <is>
          <t>PA058-001_Animal_By-Products_Regulations.html</t>
        </is>
      </c>
      <c r="D60" s="751" t="inlineStr">
        <is>
          <t>STORED</t>
        </is>
      </c>
      <c r="E60" s="751">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
      </c>
      <c r="F60" s="751" t="inlineStr">
        <is>
          <t>SUCCESS</t>
        </is>
      </c>
      <c r="G60" s="755" t="n">
        <v>46262.53109953704</v>
      </c>
      <c r="H60" s="755" t="n">
        <v>46262.53109953704</v>
      </c>
      <c r="I60" s="751" t="inlineStr">
        <is>
          <t>INITIAL</t>
        </is>
      </c>
      <c r="J60" s="751" t="inlineStr">
        <is>
          <t>AUTO</t>
        </is>
      </c>
      <c r="K60" s="757">
        <f>IF(A60="","",IF(J60="AUTO",H60,IF(J60="MANUAL",AK60,"")))</f>
        <v/>
      </c>
      <c r="L60" s="751" t="inlineStr">
        <is>
          <t>NONE</t>
        </is>
      </c>
      <c r="M60" s="751" t="n"/>
      <c r="N60" s="751">
        <f>IF(A60="","",IF(COUNTIFS('Human Operation Desktop'!$A$3:$A$502,A60,'Human Operation Desktop'!$I$3:$I$502,"&lt;&gt;APPLIED",'Human Operation Desktop'!$I$3:$I$502,"&lt;&gt;REJECTED")&gt;0,"YES","NO"))</f>
        <v/>
      </c>
      <c r="O60" s="751" t="inlineStr">
        <is>
          <t>fd75ab8dd58b68417b6da68c10c92a6952c7e7e2c8fdb7d48b02c8a46c6dee6a</t>
        </is>
      </c>
      <c r="P60" s="752" t="inlineStr">
        <is>
          <t>Animal By-Products Regulations</t>
        </is>
      </c>
      <c r="Q60" s="752" t="inlineStr">
        <is>
          <t>https://lovdata.no/dokument/SF/forskrift/2016-09-14-1064</t>
        </is>
      </c>
      <c r="R60" s="752" t="inlineStr">
        <is>
          <t>https://lovdata.no/dokument/SF/forskrift/2016-09-14-1064</t>
        </is>
      </c>
      <c r="S60" s="752" t="inlineStr">
        <is>
          <t>A_Public_Authority</t>
        </is>
      </c>
      <c r="T60" s="752" t="inlineStr">
        <is>
          <t>html</t>
        </is>
      </c>
      <c r="U60" s="752" t="inlineStr">
        <is>
          <t>Norwegian Ministry of Agriculture and Food</t>
        </is>
      </c>
      <c r="V60" s="752" t="inlineStr">
        <is>
          <t>Norway</t>
        </is>
      </c>
      <c r="W60" s="752" t="inlineStr">
        <is>
          <t>Norwegian</t>
        </is>
      </c>
      <c r="X60" s="752" t="n"/>
      <c r="Y60" s="752" t="n"/>
      <c r="Z60" s="752" t="inlineStr">
        <is>
          <t>Public authority</t>
        </is>
      </c>
      <c r="AA60" s="752" t="inlineStr">
        <is>
          <t>Regulation</t>
        </is>
      </c>
      <c r="AB60" s="752" t="inlineStr">
        <is>
          <t>Primary normative</t>
        </is>
      </c>
      <c r="AC60" s="752" t="inlineStr">
        <is>
          <t>Official regulation issued by Norwegian Ministry of Agriculture and Food; included because it may impose binding requirements on an in-scope aquaculture asset, activity, permit or certification.</t>
        </is>
      </c>
      <c r="AD60" s="752" t="inlineStr">
        <is>
          <t>HIGH</t>
        </is>
      </c>
      <c r="AE60" s="752" t="inlineStr">
        <is>
          <t>HIGH</t>
        </is>
      </c>
      <c r="AF60" s="752" t="inlineStr">
        <is>
          <t>HIGH</t>
        </is>
      </c>
      <c r="AG60" s="752" t="inlineStr">
        <is>
          <t>HIGH</t>
        </is>
      </c>
      <c r="AH60" s="752" t="inlineStr">
        <is>
          <t>HIGH</t>
        </is>
      </c>
      <c r="AI60" s="752" t="inlineStr">
        <is>
          <t>HIGH</t>
        </is>
      </c>
      <c r="AJ60" s="752" t="inlineStr">
        <is>
          <t>INCLUDE</t>
        </is>
      </c>
      <c r="AK60" s="759" t="n"/>
      <c r="AL60" s="752" t="n"/>
      <c r="AM60" s="752" t="inlineStr">
        <is>
          <t>CURRENT</t>
        </is>
      </c>
      <c r="AN60" s="752" t="n"/>
      <c r="AO60" s="752" t="inlineStr">
        <is>
          <t>Official food and animal-health expansion. Relevant to mortality, biological waste and animal by-product handling.</t>
        </is>
      </c>
      <c r="AP60" s="752" t="inlineStr">
        <is>
          <t>OFFICIAL_WEBSITE</t>
        </is>
      </c>
      <c r="AQ60" s="752" t="inlineStr">
        <is>
          <t>OFFICIAL_ORIGINAL</t>
        </is>
      </c>
      <c r="AR60" s="752" t="inlineStr">
        <is>
          <t>ROLLING</t>
        </is>
      </c>
      <c r="AS60" s="752" t="n"/>
    </row>
    <row r="61" ht="30" customHeight="1" s="36">
      <c r="A61" s="751" t="inlineStr">
        <is>
          <t>PA059</t>
        </is>
      </c>
      <c r="B61" s="751" t="inlineStr">
        <is>
          <t>PA059-001</t>
        </is>
      </c>
      <c r="C61" s="751" t="inlineStr">
        <is>
          <t>PA059-001_Feed_Hygiene_Regulations.html</t>
        </is>
      </c>
      <c r="D61" s="751" t="inlineStr">
        <is>
          <t>STORED</t>
        </is>
      </c>
      <c r="E61" s="751">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
      </c>
      <c r="F61" s="751" t="inlineStr">
        <is>
          <t>SUCCESS</t>
        </is>
      </c>
      <c r="G61" s="755" t="n">
        <v>46262.53109953704</v>
      </c>
      <c r="H61" s="755" t="n">
        <v>46262.53109953704</v>
      </c>
      <c r="I61" s="751" t="inlineStr">
        <is>
          <t>INITIAL</t>
        </is>
      </c>
      <c r="J61" s="751" t="inlineStr">
        <is>
          <t>AUTO</t>
        </is>
      </c>
      <c r="K61" s="757">
        <f>IF(A61="","",IF(J61="AUTO",H61,IF(J61="MANUAL",AK61,"")))</f>
        <v/>
      </c>
      <c r="L61" s="751" t="inlineStr">
        <is>
          <t>NONE</t>
        </is>
      </c>
      <c r="M61" s="751" t="n"/>
      <c r="N61" s="751">
        <f>IF(A61="","",IF(COUNTIFS('Human Operation Desktop'!$A$3:$A$502,A61,'Human Operation Desktop'!$I$3:$I$502,"&lt;&gt;APPLIED",'Human Operation Desktop'!$I$3:$I$502,"&lt;&gt;REJECTED")&gt;0,"YES","NO"))</f>
        <v/>
      </c>
      <c r="O61" s="751" t="inlineStr">
        <is>
          <t>ed6c7697859784b170a511c1cf2959184626790cd65ed05c36bc863c6769a793</t>
        </is>
      </c>
      <c r="P61" s="752" t="inlineStr">
        <is>
          <t>Feed Hygiene Regulations</t>
        </is>
      </c>
      <c r="Q61" s="752" t="inlineStr">
        <is>
          <t>https://lovdata.no/dokument/SF/forskrift/2010-01-14-39</t>
        </is>
      </c>
      <c r="R61" s="752" t="inlineStr">
        <is>
          <t>https://lovdata.no/dokument/SF/forskrift/2010-01-14-39</t>
        </is>
      </c>
      <c r="S61" s="752" t="inlineStr">
        <is>
          <t>A_Public_Authority</t>
        </is>
      </c>
      <c r="T61" s="752" t="inlineStr">
        <is>
          <t>html</t>
        </is>
      </c>
      <c r="U61" s="752" t="inlineStr">
        <is>
          <t>Norwegian Ministry of Agriculture and Food</t>
        </is>
      </c>
      <c r="V61" s="752" t="inlineStr">
        <is>
          <t>Norway</t>
        </is>
      </c>
      <c r="W61" s="752" t="inlineStr">
        <is>
          <t>Norwegian</t>
        </is>
      </c>
      <c r="X61" s="752" t="n"/>
      <c r="Y61" s="752" t="n"/>
      <c r="Z61" s="752" t="inlineStr">
        <is>
          <t>Public authority</t>
        </is>
      </c>
      <c r="AA61" s="752" t="inlineStr">
        <is>
          <t>Regulation</t>
        </is>
      </c>
      <c r="AB61" s="752" t="inlineStr">
        <is>
          <t>Primary normative</t>
        </is>
      </c>
      <c r="AC61" s="752" t="inlineStr">
        <is>
          <t>Official regulation issued by Norwegian Ministry of Agriculture and Food; included because it may impose binding requirements on an in-scope aquaculture asset, activity, permit or certification.</t>
        </is>
      </c>
      <c r="AD61" s="752" t="inlineStr">
        <is>
          <t>HIGH</t>
        </is>
      </c>
      <c r="AE61" s="752" t="inlineStr">
        <is>
          <t>HIGH</t>
        </is>
      </c>
      <c r="AF61" s="752" t="inlineStr">
        <is>
          <t>HIGH</t>
        </is>
      </c>
      <c r="AG61" s="752" t="inlineStr">
        <is>
          <t>HIGH</t>
        </is>
      </c>
      <c r="AH61" s="752" t="inlineStr">
        <is>
          <t>HIGH</t>
        </is>
      </c>
      <c r="AI61" s="752" t="inlineStr">
        <is>
          <t>HIGH</t>
        </is>
      </c>
      <c r="AJ61" s="752" t="inlineStr">
        <is>
          <t>INCLUDE</t>
        </is>
      </c>
      <c r="AK61" s="759" t="n"/>
      <c r="AL61" s="752" t="n"/>
      <c r="AM61" s="752" t="inlineStr">
        <is>
          <t>CURRENT</t>
        </is>
      </c>
      <c r="AN61" s="752" t="n"/>
      <c r="AO61" s="752" t="inlineStr">
        <is>
          <t>Official feed-safety expansion. Applicability depends on storage, handling and feed-business activities.</t>
        </is>
      </c>
      <c r="AP61" s="752" t="inlineStr">
        <is>
          <t>OFFICIAL_WEBSITE</t>
        </is>
      </c>
      <c r="AQ61" s="752" t="inlineStr">
        <is>
          <t>OFFICIAL_ORIGINAL</t>
        </is>
      </c>
      <c r="AR61" s="752" t="inlineStr">
        <is>
          <t>ROLLING</t>
        </is>
      </c>
      <c r="AS61" s="752" t="n"/>
    </row>
    <row r="62" ht="30" customHeight="1" s="36">
      <c r="A62" s="751" t="inlineStr">
        <is>
          <t>PA060</t>
        </is>
      </c>
      <c r="B62" s="751" t="inlineStr">
        <is>
          <t>PA060-001</t>
        </is>
      </c>
      <c r="C62" s="751" t="inlineStr">
        <is>
          <t>PA060-001_Regulation_on_veterinary_medicinal_products.html</t>
        </is>
      </c>
      <c r="D62" s="751" t="inlineStr">
        <is>
          <t>STORED</t>
        </is>
      </c>
      <c r="E62" s="751">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
      </c>
      <c r="F62" s="751" t="inlineStr">
        <is>
          <t>SUCCESS</t>
        </is>
      </c>
      <c r="G62" s="755" t="n">
        <v>46262.53109953704</v>
      </c>
      <c r="H62" s="755" t="n">
        <v>46262.53111111111</v>
      </c>
      <c r="I62" s="751" t="inlineStr">
        <is>
          <t>INITIAL</t>
        </is>
      </c>
      <c r="J62" s="751" t="inlineStr">
        <is>
          <t>AUTO</t>
        </is>
      </c>
      <c r="K62" s="757">
        <f>IF(A62="","",IF(J62="AUTO",H62,IF(J62="MANUAL",AK62,"")))</f>
        <v/>
      </c>
      <c r="L62" s="751" t="inlineStr">
        <is>
          <t>NONE</t>
        </is>
      </c>
      <c r="M62" s="751" t="n"/>
      <c r="N62" s="751">
        <f>IF(A62="","",IF(COUNTIFS('Human Operation Desktop'!$A$3:$A$502,A62,'Human Operation Desktop'!$I$3:$I$502,"&lt;&gt;APPLIED",'Human Operation Desktop'!$I$3:$I$502,"&lt;&gt;REJECTED")&gt;0,"YES","NO"))</f>
        <v/>
      </c>
      <c r="O62" s="751" t="inlineStr">
        <is>
          <t>744c31829906a7667ae58957380386b0baab1a1ad56b468b6a9ce452b7f0ff8b</t>
        </is>
      </c>
      <c r="P62" s="752" t="inlineStr">
        <is>
          <t>Regulation on veterinary medicinal products</t>
        </is>
      </c>
      <c r="Q62" s="752" t="inlineStr">
        <is>
          <t>https://lovdata.no/dokument/SF/forskrift/2022-09-08-1573</t>
        </is>
      </c>
      <c r="R62" s="752" t="inlineStr">
        <is>
          <t>https://lovdata.no/dokument/SF/forskrift/2022-09-08-1573</t>
        </is>
      </c>
      <c r="S62" s="752" t="inlineStr">
        <is>
          <t>A_Public_Authority</t>
        </is>
      </c>
      <c r="T62" s="752" t="inlineStr">
        <is>
          <t>html</t>
        </is>
      </c>
      <c r="U62" s="752" t="inlineStr">
        <is>
          <t>Norwegian Ministry of Health and Care Services</t>
        </is>
      </c>
      <c r="V62" s="752" t="inlineStr">
        <is>
          <t>Norway</t>
        </is>
      </c>
      <c r="W62" s="752" t="inlineStr">
        <is>
          <t>Norwegian</t>
        </is>
      </c>
      <c r="X62" s="752" t="n"/>
      <c r="Y62" s="752" t="n"/>
      <c r="Z62" s="752" t="inlineStr">
        <is>
          <t>Public authority</t>
        </is>
      </c>
      <c r="AA62" s="752" t="inlineStr">
        <is>
          <t>Regulation</t>
        </is>
      </c>
      <c r="AB62" s="752" t="inlineStr">
        <is>
          <t>Primary normative</t>
        </is>
      </c>
      <c r="AC62" s="752" t="inlineStr">
        <is>
          <t>Official regulation issued by Norwegian Ministry of Health and Care Services; included because it may impose binding requirements on an in-scope aquaculture asset, activity, permit or certification.</t>
        </is>
      </c>
      <c r="AD62" s="752" t="inlineStr">
        <is>
          <t>HIGH</t>
        </is>
      </c>
      <c r="AE62" s="752" t="inlineStr">
        <is>
          <t>HIGH</t>
        </is>
      </c>
      <c r="AF62" s="752" t="inlineStr">
        <is>
          <t>HIGH</t>
        </is>
      </c>
      <c r="AG62" s="752" t="inlineStr">
        <is>
          <t>HIGH</t>
        </is>
      </c>
      <c r="AH62" s="752" t="inlineStr">
        <is>
          <t>HIGH</t>
        </is>
      </c>
      <c r="AI62" s="752" t="inlineStr">
        <is>
          <t>HIGH</t>
        </is>
      </c>
      <c r="AJ62" s="752" t="inlineStr">
        <is>
          <t>INCLUDE</t>
        </is>
      </c>
      <c r="AK62" s="759" t="n"/>
      <c r="AL62" s="752" t="n"/>
      <c r="AM62" s="752" t="inlineStr">
        <is>
          <t>CURRENT</t>
        </is>
      </c>
      <c r="AN62" s="752" t="n"/>
      <c r="AO62" s="752" t="inlineStr">
        <is>
          <t>Official animal-health expansion. Include applicable provisions for procurement, use, records and handling of veterinary medicines.</t>
        </is>
      </c>
      <c r="AP62" s="752" t="inlineStr">
        <is>
          <t>OFFICIAL_WEBSITE</t>
        </is>
      </c>
      <c r="AQ62" s="752" t="inlineStr">
        <is>
          <t>OFFICIAL_ORIGINAL</t>
        </is>
      </c>
      <c r="AR62" s="752" t="inlineStr">
        <is>
          <t>ROLLING</t>
        </is>
      </c>
      <c r="AS62" s="752" t="n"/>
    </row>
    <row r="63" ht="30" customHeight="1" s="36">
      <c r="A63" s="751" t="inlineStr">
        <is>
          <t>SB001</t>
        </is>
      </c>
      <c r="B63" s="751" t="inlineStr">
        <is>
          <t>SB001-001</t>
        </is>
      </c>
      <c r="C63" s="751" t="inlineStr">
        <is>
          <t>SB001-001_NS_9415_2021_AC_2024_Floating_aquaculture_farms_-_Site_survey_design_execution_and_use.pdf</t>
        </is>
      </c>
      <c r="D63" s="751" t="inlineStr">
        <is>
          <t>NOT_COLLECTED</t>
        </is>
      </c>
      <c r="E63" s="751">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
      </c>
      <c r="F63" s="751" t="inlineStr">
        <is>
          <t>PAYWALL_BLOCKED</t>
        </is>
      </c>
      <c r="G63" s="755" t="n"/>
      <c r="H63" s="755" t="n"/>
      <c r="I63" s="751" t="inlineStr">
        <is>
          <t>UNKNOWN</t>
        </is>
      </c>
      <c r="J63" s="751" t="inlineStr">
        <is>
          <t>NONE</t>
        </is>
      </c>
      <c r="K63" s="757">
        <f>IF(A63="","",IF(J63="AUTO",H63,IF(J63="MANUAL",AK63,"")))</f>
        <v/>
      </c>
      <c r="L63" s="751" t="inlineStr">
        <is>
          <t>HTTP</t>
        </is>
      </c>
      <c r="M63" s="751" t="inlineStr">
        <is>
          <t>Official access is restricted by a paywall or licence; provide an authorised copy or retrieval route.</t>
        </is>
      </c>
      <c r="N63" s="751">
        <f>IF(A63="","",IF(COUNTIFS('Human Operation Desktop'!$A$3:$A$502,A63,'Human Operation Desktop'!$I$3:$I$502,"&lt;&gt;APPLIED",'Human Operation Desktop'!$I$3:$I$502,"&lt;&gt;REJECTED")&gt;0,"YES","NO"))</f>
        <v/>
      </c>
      <c r="O63" s="751" t="n"/>
      <c r="P63" s="752" t="inlineStr">
        <is>
          <t>NS 9415:2021+AC:2024 Floating aquaculture farms - Site survey, design, execution and use</t>
        </is>
      </c>
      <c r="Q63" s="752" t="inlineStr">
        <is>
          <t>https://online.standard.no/nb/ns-9415-2021</t>
        </is>
      </c>
      <c r="R63" s="752" t="n"/>
      <c r="S63" s="752" t="inlineStr">
        <is>
          <t>B_Standards_Body</t>
        </is>
      </c>
      <c r="T63" s="752" t="inlineStr">
        <is>
          <t>pdf</t>
        </is>
      </c>
      <c r="U63" s="752" t="inlineStr">
        <is>
          <t>Standards Norway</t>
        </is>
      </c>
      <c r="V63" s="752" t="inlineStr">
        <is>
          <t>Norway</t>
        </is>
      </c>
      <c r="W63" s="752" t="inlineStr">
        <is>
          <t>Norwegian</t>
        </is>
      </c>
      <c r="X63" s="752" t="inlineStr">
        <is>
          <t>2021+AC:2024</t>
        </is>
      </c>
      <c r="Y63" s="752" t="n"/>
      <c r="Z63" s="752" t="inlineStr">
        <is>
          <t>Standards body</t>
        </is>
      </c>
      <c r="AA63" s="752" t="inlineStr">
        <is>
          <t>Technical standard</t>
        </is>
      </c>
      <c r="AB63" s="752" t="inlineStr">
        <is>
          <t>Referenced normative</t>
        </is>
      </c>
      <c r="AC63" s="752" t="inlineStr">
        <is>
          <t>Official referenced source from Standards Norway; included because an applicable law, permit or certification scheme may make its provisions binding within the approved scope.</t>
        </is>
      </c>
      <c r="AD63" s="752" t="inlineStr">
        <is>
          <t>HIGH</t>
        </is>
      </c>
      <c r="AE63" s="752" t="inlineStr">
        <is>
          <t>HIGH</t>
        </is>
      </c>
      <c r="AF63" s="752" t="inlineStr">
        <is>
          <t>HIGH</t>
        </is>
      </c>
      <c r="AG63" s="752" t="inlineStr">
        <is>
          <t>HIGH</t>
        </is>
      </c>
      <c r="AH63" s="752" t="inlineStr">
        <is>
          <t>MEDIUM</t>
        </is>
      </c>
      <c r="AI63" s="752" t="inlineStr">
        <is>
          <t>LOW</t>
        </is>
      </c>
      <c r="AJ63" s="752" t="inlineStr">
        <is>
          <t>PENDING</t>
        </is>
      </c>
      <c r="AK63" s="759" t="n"/>
      <c r="AL63" s="752" t="n"/>
      <c r="AM63" s="752" t="inlineStr">
        <is>
          <t>CURRENT</t>
        </is>
      </c>
      <c r="AN63" s="752" t="inlineStr">
        <is>
          <t>PA004</t>
        </is>
      </c>
      <c r="AO63" s="752" t="inlineStr">
        <is>
          <t>Project-mentioned standard referenced by NYTEK23. Licensed access is required before automated retrieval.</t>
        </is>
      </c>
      <c r="AP63" s="752" t="inlineStr">
        <is>
          <t>OFFICIAL_WEBSITE</t>
        </is>
      </c>
      <c r="AQ63" s="752" t="inlineStr">
        <is>
          <t>OFFICIAL_ORIGINAL</t>
        </is>
      </c>
      <c r="AR63" s="752" t="inlineStr">
        <is>
          <t>VERSIONED</t>
        </is>
      </c>
      <c r="AS63" s="752" t="n"/>
    </row>
    <row r="64" ht="30" customHeight="1" s="36">
      <c r="A64" s="751" t="inlineStr">
        <is>
          <t>SB002</t>
        </is>
      </c>
      <c r="B64" s="751" t="inlineStr">
        <is>
          <t>SB002-001</t>
        </is>
      </c>
      <c r="C64" s="751" t="inlineStr">
        <is>
          <t>SB002-001_NS_9410_2016_Environmental_monitoring_of_benthic_impact_from_marine_fish_farms.pdf</t>
        </is>
      </c>
      <c r="D64" s="751" t="inlineStr">
        <is>
          <t>NOT_COLLECTED</t>
        </is>
      </c>
      <c r="E64" s="751">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
      </c>
      <c r="F64" s="751" t="inlineStr">
        <is>
          <t>PAYWALL_BLOCKED</t>
        </is>
      </c>
      <c r="G64" s="755" t="n"/>
      <c r="H64" s="755" t="n"/>
      <c r="I64" s="751" t="inlineStr">
        <is>
          <t>UNKNOWN</t>
        </is>
      </c>
      <c r="J64" s="751" t="inlineStr">
        <is>
          <t>NONE</t>
        </is>
      </c>
      <c r="K64" s="757">
        <f>IF(A64="","",IF(J64="AUTO",H64,IF(J64="MANUAL",AK64,"")))</f>
        <v/>
      </c>
      <c r="L64" s="751" t="inlineStr">
        <is>
          <t>HTTP</t>
        </is>
      </c>
      <c r="M64" s="751" t="inlineStr">
        <is>
          <t>Official access is restricted by a paywall or licence; provide an authorised copy or retrieval route.</t>
        </is>
      </c>
      <c r="N64" s="751">
        <f>IF(A64="","",IF(COUNTIFS('Human Operation Desktop'!$A$3:$A$502,A64,'Human Operation Desktop'!$I$3:$I$502,"&lt;&gt;APPLIED",'Human Operation Desktop'!$I$3:$I$502,"&lt;&gt;REJECTED")&gt;0,"YES","NO"))</f>
        <v/>
      </c>
      <c r="O64" s="751" t="n"/>
      <c r="P64" s="752" t="inlineStr">
        <is>
          <t>NS 9410:2016 Environmental monitoring of benthic impact from marine fish farms</t>
        </is>
      </c>
      <c r="Q64" s="752" t="inlineStr">
        <is>
          <t>https://online.standard.no/ns-9410-2016</t>
        </is>
      </c>
      <c r="R64" s="752" t="n"/>
      <c r="S64" s="752" t="inlineStr">
        <is>
          <t>B_Standards_Body</t>
        </is>
      </c>
      <c r="T64" s="752" t="inlineStr">
        <is>
          <t>pdf</t>
        </is>
      </c>
      <c r="U64" s="752" t="inlineStr">
        <is>
          <t>Standards Norway</t>
        </is>
      </c>
      <c r="V64" s="752" t="inlineStr">
        <is>
          <t>Norway</t>
        </is>
      </c>
      <c r="W64" s="752" t="inlineStr">
        <is>
          <t>Norwegian</t>
        </is>
      </c>
      <c r="X64" s="752" t="inlineStr">
        <is>
          <t>2016</t>
        </is>
      </c>
      <c r="Y64" s="752" t="n"/>
      <c r="Z64" s="752" t="inlineStr">
        <is>
          <t>Standards body</t>
        </is>
      </c>
      <c r="AA64" s="752" t="inlineStr">
        <is>
          <t>Technical standard</t>
        </is>
      </c>
      <c r="AB64" s="752" t="inlineStr">
        <is>
          <t>Referenced normative</t>
        </is>
      </c>
      <c r="AC64" s="752" t="inlineStr">
        <is>
          <t>Official referenced source from Standards Norway; included because an applicable law, permit or certification scheme may make its provisions binding within the approved scope.</t>
        </is>
      </c>
      <c r="AD64" s="752" t="inlineStr">
        <is>
          <t>HIGH</t>
        </is>
      </c>
      <c r="AE64" s="752" t="inlineStr">
        <is>
          <t>HIGH</t>
        </is>
      </c>
      <c r="AF64" s="752" t="inlineStr">
        <is>
          <t>MEDIUM</t>
        </is>
      </c>
      <c r="AG64" s="752" t="inlineStr">
        <is>
          <t>HIGH</t>
        </is>
      </c>
      <c r="AH64" s="752" t="inlineStr">
        <is>
          <t>MEDIUM</t>
        </is>
      </c>
      <c r="AI64" s="752" t="inlineStr">
        <is>
          <t>LOW</t>
        </is>
      </c>
      <c r="AJ64" s="752" t="inlineStr">
        <is>
          <t>PENDING</t>
        </is>
      </c>
      <c r="AK64" s="759" t="n"/>
      <c r="AL64" s="752" t="n"/>
      <c r="AM64" s="752" t="inlineStr">
        <is>
          <t>CURRENT</t>
        </is>
      </c>
      <c r="AN64" s="752" t="inlineStr">
        <is>
          <t>PA044</t>
        </is>
      </c>
      <c r="AO64" s="752" t="inlineStr">
        <is>
          <t>Official expansion from environmental authority guidance. Licensed access is required.</t>
        </is>
      </c>
      <c r="AP64" s="752" t="inlineStr">
        <is>
          <t>OFFICIAL_WEBSITE</t>
        </is>
      </c>
      <c r="AQ64" s="752" t="inlineStr">
        <is>
          <t>OFFICIAL_ORIGINAL</t>
        </is>
      </c>
      <c r="AR64" s="752" t="inlineStr">
        <is>
          <t>VERSIONED</t>
        </is>
      </c>
      <c r="AS64" s="752" t="n"/>
    </row>
    <row r="65" ht="30" customHeight="1" s="36">
      <c r="A65" s="751" t="inlineStr">
        <is>
          <t>SB003</t>
        </is>
      </c>
      <c r="B65" s="751" t="inlineStr">
        <is>
          <t>SB003-001</t>
        </is>
      </c>
      <c r="C65" s="751" t="inlineStr">
        <is>
          <t>SB003-001_NS_9416_2013_Land-based_aquaculture_facilities_for_fish.pdf</t>
        </is>
      </c>
      <c r="D65" s="751" t="inlineStr">
        <is>
          <t>NOT_COLLECTED</t>
        </is>
      </c>
      <c r="E65" s="751">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
      </c>
      <c r="F65" s="751" t="inlineStr">
        <is>
          <t>PAYWALL_BLOCKED</t>
        </is>
      </c>
      <c r="G65" s="755" t="n"/>
      <c r="H65" s="755" t="n"/>
      <c r="I65" s="751" t="inlineStr">
        <is>
          <t>UNKNOWN</t>
        </is>
      </c>
      <c r="J65" s="751" t="inlineStr">
        <is>
          <t>NONE</t>
        </is>
      </c>
      <c r="K65" s="757">
        <f>IF(A65="","",IF(J65="AUTO",H65,IF(J65="MANUAL",AK65,"")))</f>
        <v/>
      </c>
      <c r="L65" s="751" t="inlineStr">
        <is>
          <t>HTTP</t>
        </is>
      </c>
      <c r="M65" s="751" t="inlineStr">
        <is>
          <t>Official access is restricted by a paywall or licence; provide an authorised copy or retrieval route.</t>
        </is>
      </c>
      <c r="N65" s="751">
        <f>IF(A65="","",IF(COUNTIFS('Human Operation Desktop'!$A$3:$A$502,A65,'Human Operation Desktop'!$I$3:$I$502,"&lt;&gt;APPLIED",'Human Operation Desktop'!$I$3:$I$502,"&lt;&gt;REJECTED")&gt;0,"YES","NO"))</f>
        <v/>
      </c>
      <c r="O65" s="751" t="n"/>
      <c r="P65" s="752" t="inlineStr">
        <is>
          <t>NS 9416:2013 Land-based aquaculture facilities for fish</t>
        </is>
      </c>
      <c r="Q65" s="752" t="inlineStr">
        <is>
          <t>https://online.standard.no/nb/ns-9416-2013</t>
        </is>
      </c>
      <c r="R65" s="752" t="n"/>
      <c r="S65" s="752" t="inlineStr">
        <is>
          <t>B_Standards_Body</t>
        </is>
      </c>
      <c r="T65" s="752" t="inlineStr">
        <is>
          <t>pdf</t>
        </is>
      </c>
      <c r="U65" s="752" t="inlineStr">
        <is>
          <t>Standards Norway</t>
        </is>
      </c>
      <c r="V65" s="752" t="inlineStr">
        <is>
          <t>Norway</t>
        </is>
      </c>
      <c r="W65" s="752" t="inlineStr">
        <is>
          <t>Norwegian</t>
        </is>
      </c>
      <c r="X65" s="752" t="inlineStr">
        <is>
          <t>2013</t>
        </is>
      </c>
      <c r="Y65" s="752" t="n"/>
      <c r="Z65" s="752" t="inlineStr">
        <is>
          <t>Standards body</t>
        </is>
      </c>
      <c r="AA65" s="752" t="inlineStr">
        <is>
          <t>Technical standard</t>
        </is>
      </c>
      <c r="AB65" s="752" t="inlineStr">
        <is>
          <t>Referenced normative</t>
        </is>
      </c>
      <c r="AC65" s="752" t="inlineStr">
        <is>
          <t>Official referenced source from Standards Norway; included because an applicable law, permit or certification scheme may make its provisions binding within the approved scope.</t>
        </is>
      </c>
      <c r="AD65" s="752" t="inlineStr">
        <is>
          <t>HIGH</t>
        </is>
      </c>
      <c r="AE65" s="752" t="inlineStr">
        <is>
          <t>MEDIUM</t>
        </is>
      </c>
      <c r="AF65" s="752" t="inlineStr">
        <is>
          <t>MEDIUM</t>
        </is>
      </c>
      <c r="AG65" s="752" t="inlineStr">
        <is>
          <t>HIGH</t>
        </is>
      </c>
      <c r="AH65" s="752" t="inlineStr">
        <is>
          <t>MEDIUM</t>
        </is>
      </c>
      <c r="AI65" s="752" t="inlineStr">
        <is>
          <t>LOW</t>
        </is>
      </c>
      <c r="AJ65" s="752" t="inlineStr">
        <is>
          <t>PENDING</t>
        </is>
      </c>
      <c r="AK65" s="759" t="n"/>
      <c r="AL65" s="752" t="n"/>
      <c r="AM65" s="752" t="inlineStr">
        <is>
          <t>CURRENT</t>
        </is>
      </c>
      <c r="AN65" s="752" t="inlineStr">
        <is>
          <t>PA022</t>
        </is>
      </c>
      <c r="AO65" s="752" t="inlineStr">
        <is>
          <t>Referenced by PA022. A revision project is active, so currency requires explicit monitoring.</t>
        </is>
      </c>
      <c r="AP65" s="752" t="inlineStr">
        <is>
          <t>OFFICIAL_WEBSITE</t>
        </is>
      </c>
      <c r="AQ65" s="752" t="inlineStr">
        <is>
          <t>OFFICIAL_ORIGINAL</t>
        </is>
      </c>
      <c r="AR65" s="752" t="inlineStr">
        <is>
          <t>VERSIONED</t>
        </is>
      </c>
      <c r="AS65" s="752" t="n"/>
    </row>
    <row r="66" ht="30" customHeight="1" s="36">
      <c r="A66" s="751" t="inlineStr">
        <is>
          <t>SB004</t>
        </is>
      </c>
      <c r="B66" s="751" t="inlineStr">
        <is>
          <t>SB004-001</t>
        </is>
      </c>
      <c r="C66" s="751" t="inlineStr">
        <is>
          <t>SB004-001_NS_5814_2021_AC_2023_Requirements_for_risk_assessments.pdf</t>
        </is>
      </c>
      <c r="D66" s="751" t="inlineStr">
        <is>
          <t>NOT_COLLECTED</t>
        </is>
      </c>
      <c r="E66" s="751">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
      </c>
      <c r="F66" s="751" t="inlineStr">
        <is>
          <t>PAYWALL_BLOCKED</t>
        </is>
      </c>
      <c r="G66" s="755" t="n"/>
      <c r="H66" s="755" t="n"/>
      <c r="I66" s="751" t="inlineStr">
        <is>
          <t>UNKNOWN</t>
        </is>
      </c>
      <c r="J66" s="751" t="inlineStr">
        <is>
          <t>NONE</t>
        </is>
      </c>
      <c r="K66" s="757">
        <f>IF(A66="","",IF(J66="AUTO",H66,IF(J66="MANUAL",AK66,"")))</f>
        <v/>
      </c>
      <c r="L66" s="751" t="inlineStr">
        <is>
          <t>HTTP</t>
        </is>
      </c>
      <c r="M66" s="751" t="inlineStr">
        <is>
          <t>Official access is restricted by a paywall or licence; provide an authorised copy or retrieval route.</t>
        </is>
      </c>
      <c r="N66" s="751">
        <f>IF(A66="","",IF(COUNTIFS('Human Operation Desktop'!$A$3:$A$502,A66,'Human Operation Desktop'!$I$3:$I$502,"&lt;&gt;APPLIED",'Human Operation Desktop'!$I$3:$I$502,"&lt;&gt;REJECTED")&gt;0,"YES","NO"))</f>
        <v/>
      </c>
      <c r="O66" s="751" t="n"/>
      <c r="P66" s="752" t="inlineStr">
        <is>
          <t>NS 5814:2021+AC:2023 Requirements for risk assessments</t>
        </is>
      </c>
      <c r="Q66" s="752" t="inlineStr">
        <is>
          <t>https://standard.no/fagomrader/risikostyring/ns-5814-krav-til-risikovurderinger/</t>
        </is>
      </c>
      <c r="R66" s="752" t="n"/>
      <c r="S66" s="752" t="inlineStr">
        <is>
          <t>B_Standards_Body</t>
        </is>
      </c>
      <c r="T66" s="752" t="inlineStr">
        <is>
          <t>pdf</t>
        </is>
      </c>
      <c r="U66" s="752" t="inlineStr">
        <is>
          <t>Standards Norway</t>
        </is>
      </c>
      <c r="V66" s="752" t="inlineStr">
        <is>
          <t>Norway</t>
        </is>
      </c>
      <c r="W66" s="752" t="inlineStr">
        <is>
          <t>Norwegian</t>
        </is>
      </c>
      <c r="X66" s="752" t="inlineStr">
        <is>
          <t>2021+AC:2023</t>
        </is>
      </c>
      <c r="Y66" s="752" t="n"/>
      <c r="Z66" s="752" t="inlineStr">
        <is>
          <t>Standards body</t>
        </is>
      </c>
      <c r="AA66" s="752" t="inlineStr">
        <is>
          <t>Technical standard</t>
        </is>
      </c>
      <c r="AB66" s="752" t="inlineStr">
        <is>
          <t>Guidance / interpretation</t>
        </is>
      </c>
      <c r="AC66" s="752" t="inlineStr">
        <is>
          <t>Official guidance from Standards Norway; included to interpret and operationalise linked normative requirements, not as independent legal or certification authority.</t>
        </is>
      </c>
      <c r="AD66" s="752" t="inlineStr">
        <is>
          <t>HIGH</t>
        </is>
      </c>
      <c r="AE66" s="752" t="inlineStr">
        <is>
          <t>MEDIUM</t>
        </is>
      </c>
      <c r="AF66" s="752" t="inlineStr">
        <is>
          <t>HIGH</t>
        </is>
      </c>
      <c r="AG66" s="752" t="inlineStr">
        <is>
          <t>HIGH</t>
        </is>
      </c>
      <c r="AH66" s="752" t="inlineStr">
        <is>
          <t>MEDIUM</t>
        </is>
      </c>
      <c r="AI66" s="752" t="inlineStr">
        <is>
          <t>LOW</t>
        </is>
      </c>
      <c r="AJ66" s="752" t="inlineStr">
        <is>
          <t>PENDING</t>
        </is>
      </c>
      <c r="AK66" s="759" t="n"/>
      <c r="AL66" s="752" t="n"/>
      <c r="AM66" s="752" t="inlineStr">
        <is>
          <t>CURRENT</t>
        </is>
      </c>
      <c r="AN66" s="752" t="n"/>
      <c r="AO66" s="752" t="inlineStr">
        <is>
          <t>Official expansion from Fiskeridirektoratet risk-management guidance. Include only if adopted by contract, policy or method.</t>
        </is>
      </c>
      <c r="AP66" s="752" t="inlineStr">
        <is>
          <t>OFFICIAL_WEBSITE</t>
        </is>
      </c>
      <c r="AQ66" s="752" t="inlineStr">
        <is>
          <t>OFFICIAL_ORIGINAL</t>
        </is>
      </c>
      <c r="AR66" s="752" t="inlineStr">
        <is>
          <t>VERSIONED</t>
        </is>
      </c>
      <c r="AS66" s="752" t="n"/>
    </row>
    <row r="67" ht="30" customHeight="1" s="36">
      <c r="A67" s="751" t="inlineStr">
        <is>
          <t>SB005</t>
        </is>
      </c>
      <c r="B67" s="751" t="inlineStr">
        <is>
          <t>SB005-001</t>
        </is>
      </c>
      <c r="C67" s="751" t="inlineStr">
        <is>
          <t>SB005-001_NS-ISO_31000_2018_Risk_management_-_Guidelines.pdf</t>
        </is>
      </c>
      <c r="D67" s="751" t="inlineStr">
        <is>
          <t>NOT_COLLECTED</t>
        </is>
      </c>
      <c r="E67" s="751">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
      </c>
      <c r="F67" s="751" t="inlineStr">
        <is>
          <t>PAYWALL_BLOCKED</t>
        </is>
      </c>
      <c r="G67" s="755" t="n"/>
      <c r="H67" s="755" t="n"/>
      <c r="I67" s="751" t="inlineStr">
        <is>
          <t>UNKNOWN</t>
        </is>
      </c>
      <c r="J67" s="751" t="inlineStr">
        <is>
          <t>NONE</t>
        </is>
      </c>
      <c r="K67" s="757">
        <f>IF(A67="","",IF(J67="AUTO",H67,IF(J67="MANUAL",AK67,"")))</f>
        <v/>
      </c>
      <c r="L67" s="751" t="inlineStr">
        <is>
          <t>HTTP</t>
        </is>
      </c>
      <c r="M67" s="751" t="inlineStr">
        <is>
          <t>Official access is restricted by a paywall or licence; provide an authorised copy or retrieval route.</t>
        </is>
      </c>
      <c r="N67" s="751">
        <f>IF(A67="","",IF(COUNTIFS('Human Operation Desktop'!$A$3:$A$502,A67,'Human Operation Desktop'!$I$3:$I$502,"&lt;&gt;APPLIED",'Human Operation Desktop'!$I$3:$I$502,"&lt;&gt;REJECTED")&gt;0,"YES","NO"))</f>
        <v/>
      </c>
      <c r="O67" s="751" t="n"/>
      <c r="P67" s="752" t="inlineStr">
        <is>
          <t>NS-ISO 31000:2018 Risk management - Guidelines</t>
        </is>
      </c>
      <c r="Q67" s="752" t="inlineStr">
        <is>
          <t>https://standard.no/fagomrader/risikostyring/iso-31000-risikostyring--retningslinjer/</t>
        </is>
      </c>
      <c r="R67" s="752" t="n"/>
      <c r="S67" s="752" t="inlineStr">
        <is>
          <t>B_Standards_Body</t>
        </is>
      </c>
      <c r="T67" s="752" t="inlineStr">
        <is>
          <t>pdf</t>
        </is>
      </c>
      <c r="U67" s="752" t="inlineStr">
        <is>
          <t>Standards Norway / ISO</t>
        </is>
      </c>
      <c r="V67" s="752" t="inlineStr">
        <is>
          <t>International</t>
        </is>
      </c>
      <c r="W67" s="752" t="inlineStr">
        <is>
          <t>Norwegian</t>
        </is>
      </c>
      <c r="X67" s="752" t="inlineStr">
        <is>
          <t>2018</t>
        </is>
      </c>
      <c r="Y67" s="752" t="n"/>
      <c r="Z67" s="752" t="inlineStr">
        <is>
          <t>Standards body</t>
        </is>
      </c>
      <c r="AA67" s="752" t="inlineStr">
        <is>
          <t>Technical standard</t>
        </is>
      </c>
      <c r="AB67" s="752" t="inlineStr">
        <is>
          <t>Guidance / interpretation</t>
        </is>
      </c>
      <c r="AC67" s="752" t="inlineStr">
        <is>
          <t>Official guidance from Standards Norway / ISO; included to interpret and operationalise linked normative requirements, not as independent legal or certification authority.</t>
        </is>
      </c>
      <c r="AD67" s="752" t="inlineStr">
        <is>
          <t>HIGH</t>
        </is>
      </c>
      <c r="AE67" s="752" t="inlineStr">
        <is>
          <t>MEDIUM</t>
        </is>
      </c>
      <c r="AF67" s="752" t="inlineStr">
        <is>
          <t>HIGH</t>
        </is>
      </c>
      <c r="AG67" s="752" t="inlineStr">
        <is>
          <t>HIGH</t>
        </is>
      </c>
      <c r="AH67" s="752" t="inlineStr">
        <is>
          <t>MEDIUM</t>
        </is>
      </c>
      <c r="AI67" s="752" t="inlineStr">
        <is>
          <t>LOW</t>
        </is>
      </c>
      <c r="AJ67" s="752" t="inlineStr">
        <is>
          <t>PENDING</t>
        </is>
      </c>
      <c r="AK67" s="759" t="n"/>
      <c r="AL67" s="752" t="n"/>
      <c r="AM67" s="752" t="inlineStr">
        <is>
          <t>CURRENT</t>
        </is>
      </c>
      <c r="AN67" s="752" t="n"/>
      <c r="AO67" s="752" t="inlineStr">
        <is>
          <t>Official expansion. Provides guidance rather than certifiable requirements unless contractually adopted.</t>
        </is>
      </c>
      <c r="AP67" s="752" t="inlineStr">
        <is>
          <t>OFFICIAL_WEBSITE</t>
        </is>
      </c>
      <c r="AQ67" s="752" t="inlineStr">
        <is>
          <t>OFFICIAL_ORIGINAL</t>
        </is>
      </c>
      <c r="AR67" s="752" t="inlineStr">
        <is>
          <t>VERSIONED</t>
        </is>
      </c>
      <c r="AS67" s="752" t="n"/>
    </row>
    <row r="68" ht="30" customHeight="1" s="36">
      <c r="A68" s="751" t="inlineStr">
        <is>
          <t>SB006</t>
        </is>
      </c>
      <c r="B68" s="751" t="inlineStr">
        <is>
          <t>SB006-001</t>
        </is>
      </c>
      <c r="C68" s="751" t="inlineStr">
        <is>
          <t>SB006-001_NS-EN_ISO_9001_2015_Quality_management_systems_-_Requirements.pdf</t>
        </is>
      </c>
      <c r="D68" s="751" t="inlineStr">
        <is>
          <t>NOT_COLLECTED</t>
        </is>
      </c>
      <c r="E68" s="751">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
      </c>
      <c r="F68" s="751" t="inlineStr">
        <is>
          <t>PAYWALL_BLOCKED</t>
        </is>
      </c>
      <c r="G68" s="755" t="n"/>
      <c r="H68" s="755" t="n"/>
      <c r="I68" s="751" t="inlineStr">
        <is>
          <t>UNKNOWN</t>
        </is>
      </c>
      <c r="J68" s="751" t="inlineStr">
        <is>
          <t>NONE</t>
        </is>
      </c>
      <c r="K68" s="757">
        <f>IF(A68="","",IF(J68="AUTO",H68,IF(J68="MANUAL",AK68,"")))</f>
        <v/>
      </c>
      <c r="L68" s="751" t="inlineStr">
        <is>
          <t>HTTP</t>
        </is>
      </c>
      <c r="M68" s="751" t="inlineStr">
        <is>
          <t>Official access is restricted by a paywall or licence; provide an authorised copy or retrieval route.</t>
        </is>
      </c>
      <c r="N68" s="751">
        <f>IF(A68="","",IF(COUNTIFS('Human Operation Desktop'!$A$3:$A$502,A68,'Human Operation Desktop'!$I$3:$I$502,"&lt;&gt;APPLIED",'Human Operation Desktop'!$I$3:$I$502,"&lt;&gt;REJECTED")&gt;0,"YES","NO"))</f>
        <v/>
      </c>
      <c r="O68" s="751" t="n"/>
      <c r="P68" s="752" t="inlineStr">
        <is>
          <t>NS-EN ISO 9001:2015 Quality management systems - Requirements</t>
        </is>
      </c>
      <c r="Q68" s="752" t="inlineStr">
        <is>
          <t>https://standard.no/fagomrader/kvalitetsstyring---iso-9000/ledelsessystemer-for-kvalitet--iso-9001/</t>
        </is>
      </c>
      <c r="R68" s="752" t="n"/>
      <c r="S68" s="752" t="inlineStr">
        <is>
          <t>B_Standards_Body</t>
        </is>
      </c>
      <c r="T68" s="752" t="inlineStr">
        <is>
          <t>pdf</t>
        </is>
      </c>
      <c r="U68" s="752" t="inlineStr">
        <is>
          <t>Standards Norway / ISO</t>
        </is>
      </c>
      <c r="V68" s="752" t="inlineStr">
        <is>
          <t>International</t>
        </is>
      </c>
      <c r="W68" s="752" t="inlineStr">
        <is>
          <t>Norwegian</t>
        </is>
      </c>
      <c r="X68" s="752" t="inlineStr">
        <is>
          <t>2015</t>
        </is>
      </c>
      <c r="Y68" s="752" t="n"/>
      <c r="Z68" s="752" t="inlineStr">
        <is>
          <t>Standards body</t>
        </is>
      </c>
      <c r="AA68" s="752" t="inlineStr">
        <is>
          <t>Technical standard</t>
        </is>
      </c>
      <c r="AB68" s="752" t="inlineStr">
        <is>
          <t>Referenced normative</t>
        </is>
      </c>
      <c r="AC68" s="752" t="inlineStr">
        <is>
          <t>Official referenced source from Standards Norway / ISO; included because an applicable law, permit or certification scheme may make its provisions binding within the approved scope.</t>
        </is>
      </c>
      <c r="AD68" s="752" t="inlineStr">
        <is>
          <t>HIGH</t>
        </is>
      </c>
      <c r="AE68" s="752" t="inlineStr">
        <is>
          <t>MEDIUM</t>
        </is>
      </c>
      <c r="AF68" s="752" t="inlineStr">
        <is>
          <t>HIGH</t>
        </is>
      </c>
      <c r="AG68" s="752" t="inlineStr">
        <is>
          <t>HIGH</t>
        </is>
      </c>
      <c r="AH68" s="752" t="inlineStr">
        <is>
          <t>MEDIUM</t>
        </is>
      </c>
      <c r="AI68" s="752" t="inlineStr">
        <is>
          <t>LOW</t>
        </is>
      </c>
      <c r="AJ68" s="752" t="inlineStr">
        <is>
          <t>PENDING</t>
        </is>
      </c>
      <c r="AK68" s="759" t="n"/>
      <c r="AL68" s="752" t="n"/>
      <c r="AM68" s="752" t="inlineStr">
        <is>
          <t>CURRENT</t>
        </is>
      </c>
      <c r="AN68" s="752" t="n"/>
      <c r="AO68" s="752" t="inlineStr">
        <is>
          <t>Official expansion from Fiskeridirektoratet risk-management guidance. Include only if client certification or contract makes it applicable.</t>
        </is>
      </c>
      <c r="AP68" s="752" t="inlineStr">
        <is>
          <t>OFFICIAL_WEBSITE</t>
        </is>
      </c>
      <c r="AQ68" s="752" t="inlineStr">
        <is>
          <t>OFFICIAL_ORIGINAL</t>
        </is>
      </c>
      <c r="AR68" s="752" t="inlineStr">
        <is>
          <t>VERSIONED</t>
        </is>
      </c>
      <c r="AS68" s="752" t="n"/>
    </row>
    <row r="69" ht="30" customHeight="1" s="36">
      <c r="A69" s="751" t="inlineStr">
        <is>
          <t>SB007</t>
        </is>
      </c>
      <c r="B69" s="751" t="inlineStr">
        <is>
          <t>SB007-001</t>
        </is>
      </c>
      <c r="C69" s="751" t="inlineStr">
        <is>
          <t>SB007-001_NS_3424_2012_Condition_survey_of_construction_works_-_Content_and_execution.pdf</t>
        </is>
      </c>
      <c r="D69" s="751" t="inlineStr">
        <is>
          <t>NOT_COLLECTED</t>
        </is>
      </c>
      <c r="E69" s="751">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
      </c>
      <c r="F69" s="751" t="inlineStr">
        <is>
          <t>PAYWALL_BLOCKED</t>
        </is>
      </c>
      <c r="G69" s="755" t="n"/>
      <c r="H69" s="755" t="n"/>
      <c r="I69" s="751" t="inlineStr">
        <is>
          <t>UNKNOWN</t>
        </is>
      </c>
      <c r="J69" s="751" t="inlineStr">
        <is>
          <t>NONE</t>
        </is>
      </c>
      <c r="K69" s="757">
        <f>IF(A69="","",IF(J69="AUTO",H69,IF(J69="MANUAL",AK69,"")))</f>
        <v/>
      </c>
      <c r="L69" s="751" t="inlineStr">
        <is>
          <t>HTTP</t>
        </is>
      </c>
      <c r="M69" s="751" t="inlineStr">
        <is>
          <t>Official access is restricted by a paywall or licence; provide an authorised copy or retrieval route.</t>
        </is>
      </c>
      <c r="N69" s="751">
        <f>IF(A69="","",IF(COUNTIFS('Human Operation Desktop'!$A$3:$A$502,A69,'Human Operation Desktop'!$I$3:$I$502,"&lt;&gt;APPLIED",'Human Operation Desktop'!$I$3:$I$502,"&lt;&gt;REJECTED")&gt;0,"YES","NO"))</f>
        <v/>
      </c>
      <c r="O69" s="751" t="n"/>
      <c r="P69" s="752" t="inlineStr">
        <is>
          <t>NS 3424:2012 Condition survey of construction works - Content and execution</t>
        </is>
      </c>
      <c r="Q69" s="752" t="inlineStr">
        <is>
          <t>https://online.standard.no/nb/ns-3424-2012</t>
        </is>
      </c>
      <c r="R69" s="752" t="n"/>
      <c r="S69" s="752" t="inlineStr">
        <is>
          <t>B_Standards_Body</t>
        </is>
      </c>
      <c r="T69" s="752" t="inlineStr">
        <is>
          <t>pdf</t>
        </is>
      </c>
      <c r="U69" s="752" t="inlineStr">
        <is>
          <t>Standards Norway</t>
        </is>
      </c>
      <c r="V69" s="752" t="inlineStr">
        <is>
          <t>Norway</t>
        </is>
      </c>
      <c r="W69" s="752" t="inlineStr">
        <is>
          <t>Norwegian</t>
        </is>
      </c>
      <c r="X69" s="752" t="inlineStr">
        <is>
          <t>2012</t>
        </is>
      </c>
      <c r="Y69" s="752" t="n"/>
      <c r="Z69" s="752" t="inlineStr">
        <is>
          <t>Standards body</t>
        </is>
      </c>
      <c r="AA69" s="752" t="inlineStr">
        <is>
          <t>Technical standard</t>
        </is>
      </c>
      <c r="AB69" s="752" t="inlineStr">
        <is>
          <t>Referenced normative</t>
        </is>
      </c>
      <c r="AC69" s="752" t="inlineStr">
        <is>
          <t>Official referenced source from Standards Norway; included because an applicable law, permit or certification scheme may make its provisions binding within the approved scope.</t>
        </is>
      </c>
      <c r="AD69" s="752" t="inlineStr">
        <is>
          <t>HIGH</t>
        </is>
      </c>
      <c r="AE69" s="752" t="inlineStr">
        <is>
          <t>MEDIUM</t>
        </is>
      </c>
      <c r="AF69" s="752" t="inlineStr">
        <is>
          <t>HIGH</t>
        </is>
      </c>
      <c r="AG69" s="752" t="inlineStr">
        <is>
          <t>HIGH</t>
        </is>
      </c>
      <c r="AH69" s="752" t="inlineStr">
        <is>
          <t>MEDIUM</t>
        </is>
      </c>
      <c r="AI69" s="752" t="inlineStr">
        <is>
          <t>LOW</t>
        </is>
      </c>
      <c r="AJ69" s="752" t="inlineStr">
        <is>
          <t>PENDING</t>
        </is>
      </c>
      <c r="AK69" s="759" t="n"/>
      <c r="AL69" s="752" t="n"/>
      <c r="AM69" s="752" t="inlineStr">
        <is>
          <t>CURRENT</t>
        </is>
      </c>
      <c r="AN69" s="752" t="inlineStr">
        <is>
          <t>PA022</t>
        </is>
      </c>
      <c r="AO69" s="752" t="inlineStr">
        <is>
          <t>Directly referenced by PA057 for condition assessment of land-based facilities. Licensed access is required.</t>
        </is>
      </c>
      <c r="AP69" s="752" t="inlineStr">
        <is>
          <t>OFFICIAL_WEBSITE</t>
        </is>
      </c>
      <c r="AQ69" s="752" t="inlineStr">
        <is>
          <t>OFFICIAL_ORIGINAL</t>
        </is>
      </c>
      <c r="AR69" s="752" t="inlineStr">
        <is>
          <t>VERSIONED</t>
        </is>
      </c>
      <c r="AS69" s="752" t="n"/>
    </row>
    <row r="70" ht="30" customHeight="1" s="36">
      <c r="A70" s="751" t="inlineStr">
        <is>
          <t>CS001</t>
        </is>
      </c>
      <c r="B70" s="751" t="inlineStr">
        <is>
          <t>CS001-001</t>
        </is>
      </c>
      <c r="C70" s="751" t="inlineStr">
        <is>
          <t>CS001-001_ASC_Farm_Standard.html</t>
        </is>
      </c>
      <c r="D70" s="751" t="inlineStr">
        <is>
          <t>STORED</t>
        </is>
      </c>
      <c r="E70" s="751">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
      </c>
      <c r="F70" s="751" t="inlineStr">
        <is>
          <t>SUCCESS</t>
        </is>
      </c>
      <c r="G70" s="755" t="n">
        <v>46262.53111111111</v>
      </c>
      <c r="H70" s="755" t="n">
        <v>46262.53112268518</v>
      </c>
      <c r="I70" s="751" t="inlineStr">
        <is>
          <t>INITIAL</t>
        </is>
      </c>
      <c r="J70" s="751" t="inlineStr">
        <is>
          <t>AUTO</t>
        </is>
      </c>
      <c r="K70" s="757">
        <f>IF(A70="","",IF(J70="AUTO",H70,IF(J70="MANUAL",AK70,"")))</f>
        <v/>
      </c>
      <c r="L70" s="751" t="inlineStr">
        <is>
          <t>NONE</t>
        </is>
      </c>
      <c r="M70" s="751" t="n"/>
      <c r="N70" s="751">
        <f>IF(A70="","",IF(COUNTIFS('Human Operation Desktop'!$A$3:$A$502,A70,'Human Operation Desktop'!$I$3:$I$502,"&lt;&gt;APPLIED",'Human Operation Desktop'!$I$3:$I$502,"&lt;&gt;REJECTED")&gt;0,"YES","NO"))</f>
        <v/>
      </c>
      <c r="O70" s="751" t="inlineStr">
        <is>
          <t>a40846bb23436f8ab6c5971f8a33577660eaed1059861ee01cdb2ca3f60c062b</t>
        </is>
      </c>
      <c r="P70" s="752" t="inlineStr">
        <is>
          <t>ASC Farm Standard</t>
        </is>
      </c>
      <c r="Q70" s="752" t="inlineStr">
        <is>
          <t>https://programme-centre.asc-aqua.org/farm-v1/farm-standard/</t>
        </is>
      </c>
      <c r="R70" s="752" t="inlineStr">
        <is>
          <t>https://programme-centre.asc-aqua.org/farm-v1/farm-standard/</t>
        </is>
      </c>
      <c r="S70" s="752" t="inlineStr">
        <is>
          <t>C_Certification_Scheme</t>
        </is>
      </c>
      <c r="T70" s="752" t="inlineStr">
        <is>
          <t>html</t>
        </is>
      </c>
      <c r="U70" s="752" t="inlineStr">
        <is>
          <t>Aquaculture Stewardship Council</t>
        </is>
      </c>
      <c r="V70" s="752" t="inlineStr">
        <is>
          <t>International</t>
        </is>
      </c>
      <c r="W70" s="752" t="inlineStr">
        <is>
          <t>English</t>
        </is>
      </c>
      <c r="X70" s="752" t="inlineStr">
        <is>
          <t>1.0.1A2</t>
        </is>
      </c>
      <c r="Y70" s="752" t="n">
        <v>46239</v>
      </c>
      <c r="Z70" s="752" t="inlineStr">
        <is>
          <t>Certification scheme</t>
        </is>
      </c>
      <c r="AA70" s="752" t="inlineStr">
        <is>
          <t>Scheme standard</t>
        </is>
      </c>
      <c r="AB70" s="752" t="inlineStr">
        <is>
          <t>Primary normative</t>
        </is>
      </c>
      <c r="AC70" s="752" t="inlineStr">
        <is>
          <t>Official scheme standard issued by Aquaculture Stewardship Council; included because it may impose binding requirements on an in-scope aquaculture asset, activity, permit or certification.</t>
        </is>
      </c>
      <c r="AD70" s="752" t="inlineStr">
        <is>
          <t>HIGH</t>
        </is>
      </c>
      <c r="AE70" s="752" t="inlineStr">
        <is>
          <t>HIGH</t>
        </is>
      </c>
      <c r="AF70" s="752" t="inlineStr">
        <is>
          <t>HIGH</t>
        </is>
      </c>
      <c r="AG70" s="752" t="inlineStr">
        <is>
          <t>HIGH</t>
        </is>
      </c>
      <c r="AH70" s="752" t="inlineStr">
        <is>
          <t>HIGH</t>
        </is>
      </c>
      <c r="AI70" s="752" t="inlineStr">
        <is>
          <t>HIGH</t>
        </is>
      </c>
      <c r="AJ70" s="752" t="inlineStr">
        <is>
          <t>INCLUDE</t>
        </is>
      </c>
      <c r="AK70" s="759" t="n"/>
      <c r="AL70" s="752" t="n"/>
      <c r="AM70" s="752" t="inlineStr">
        <is>
          <t>CURRENT</t>
        </is>
      </c>
      <c r="AN70" s="752" t="n"/>
      <c r="AO70" s="752" t="inlineStr">
        <is>
          <t>Project-mentioned candidate. Official source is newer than the repository PDF; certification scope still requires confirmation.</t>
        </is>
      </c>
      <c r="AP70" s="752" t="inlineStr">
        <is>
          <t>OFFICIAL_WEBSITE</t>
        </is>
      </c>
      <c r="AQ70" s="752" t="inlineStr">
        <is>
          <t>OFFICIAL_ORIGINAL</t>
        </is>
      </c>
      <c r="AR70" s="752" t="inlineStr">
        <is>
          <t>VERSIONED</t>
        </is>
      </c>
      <c r="AS70" s="752" t="n"/>
    </row>
    <row r="71" ht="30" customHeight="1" s="36">
      <c r="A71" s="751" t="inlineStr">
        <is>
          <t>CS002</t>
        </is>
      </c>
      <c r="B71" s="751" t="inlineStr">
        <is>
          <t>CS002-001</t>
        </is>
      </c>
      <c r="C71" s="751" t="inlineStr">
        <is>
          <t>CS002-001_ASC_Farm_Standard_Interpretation_Manual.html</t>
        </is>
      </c>
      <c r="D71" s="751" t="inlineStr">
        <is>
          <t>STORED</t>
        </is>
      </c>
      <c r="E71" s="751">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
      </c>
      <c r="F71" s="751" t="inlineStr">
        <is>
          <t>SUCCESS</t>
        </is>
      </c>
      <c r="G71" s="755" t="n">
        <v>46262.53112268518</v>
      </c>
      <c r="H71" s="755" t="n">
        <v>46262.53113425926</v>
      </c>
      <c r="I71" s="751" t="inlineStr">
        <is>
          <t>INITIAL</t>
        </is>
      </c>
      <c r="J71" s="751" t="inlineStr">
        <is>
          <t>AUTO</t>
        </is>
      </c>
      <c r="K71" s="757">
        <f>IF(A71="","",IF(J71="AUTO",H71,IF(J71="MANUAL",AK71,"")))</f>
        <v/>
      </c>
      <c r="L71" s="751" t="inlineStr">
        <is>
          <t>NONE</t>
        </is>
      </c>
      <c r="M71" s="751" t="n"/>
      <c r="N71" s="751">
        <f>IF(A71="","",IF(COUNTIFS('Human Operation Desktop'!$A$3:$A$502,A71,'Human Operation Desktop'!$I$3:$I$502,"&lt;&gt;APPLIED",'Human Operation Desktop'!$I$3:$I$502,"&lt;&gt;REJECTED")&gt;0,"YES","NO"))</f>
        <v/>
      </c>
      <c r="O71" s="751" t="inlineStr">
        <is>
          <t>44da418c7669b1b9162a153aa76389722f9d0e6415864d2618b5d381e82232ea</t>
        </is>
      </c>
      <c r="P71" s="752" t="inlineStr">
        <is>
          <t>ASC Farm Standard Interpretation Manual</t>
        </is>
      </c>
      <c r="Q71" s="752" t="inlineStr">
        <is>
          <t>https://programme-centre.asc-aqua.org/farm-v1/farm-interpretation/</t>
        </is>
      </c>
      <c r="R71" s="752" t="inlineStr">
        <is>
          <t>https://programme-centre.asc-aqua.org/farm-v1/farm-interpretation/</t>
        </is>
      </c>
      <c r="S71" s="752" t="inlineStr">
        <is>
          <t>C_Certification_Scheme</t>
        </is>
      </c>
      <c r="T71" s="752" t="inlineStr">
        <is>
          <t>html</t>
        </is>
      </c>
      <c r="U71" s="752" t="inlineStr">
        <is>
          <t>Aquaculture Stewardship Council</t>
        </is>
      </c>
      <c r="V71" s="752" t="inlineStr">
        <is>
          <t>International</t>
        </is>
      </c>
      <c r="W71" s="752" t="inlineStr">
        <is>
          <t>English</t>
        </is>
      </c>
      <c r="X71" s="752" t="inlineStr">
        <is>
          <t>1.0.1</t>
        </is>
      </c>
      <c r="Y71" s="752" t="n">
        <v>45901</v>
      </c>
      <c r="Z71" s="752" t="inlineStr">
        <is>
          <t>Certification scheme</t>
        </is>
      </c>
      <c r="AA71" s="752" t="inlineStr">
        <is>
          <t>Interpretation document</t>
        </is>
      </c>
      <c r="AB71" s="752" t="inlineStr">
        <is>
          <t>Guidance / interpretation</t>
        </is>
      </c>
      <c r="AC71" s="752" t="inlineStr">
        <is>
          <t>Official guidance from Aquaculture Stewardship Council; included to interpret and operationalise linked normative requirements, not as independent legal or certification authority.</t>
        </is>
      </c>
      <c r="AD71" s="752" t="inlineStr">
        <is>
          <t>HIGH</t>
        </is>
      </c>
      <c r="AE71" s="752" t="inlineStr">
        <is>
          <t>HIGH</t>
        </is>
      </c>
      <c r="AF71" s="752" t="inlineStr">
        <is>
          <t>HIGH</t>
        </is>
      </c>
      <c r="AG71" s="752" t="inlineStr">
        <is>
          <t>HIGH</t>
        </is>
      </c>
      <c r="AH71" s="752" t="inlineStr">
        <is>
          <t>HIGH</t>
        </is>
      </c>
      <c r="AI71" s="752" t="inlineStr">
        <is>
          <t>HIGH</t>
        </is>
      </c>
      <c r="AJ71" s="752" t="inlineStr">
        <is>
          <t>INCLUDE</t>
        </is>
      </c>
      <c r="AK71" s="759" t="n"/>
      <c r="AL71" s="752" t="n"/>
      <c r="AM71" s="752" t="inlineStr">
        <is>
          <t>CURRENT</t>
        </is>
      </c>
      <c r="AN71" s="752" t="inlineStr">
        <is>
          <t>CS001</t>
        </is>
      </c>
      <c r="AO71" s="752" t="inlineStr">
        <is>
          <t>Project-mentioned source. The repository copy is an obsolete draft; use the official current manual.</t>
        </is>
      </c>
      <c r="AP71" s="752" t="inlineStr">
        <is>
          <t>OFFICIAL_WEBSITE</t>
        </is>
      </c>
      <c r="AQ71" s="752" t="inlineStr">
        <is>
          <t>OFFICIAL_ORIGINAL</t>
        </is>
      </c>
      <c r="AR71" s="752" t="inlineStr">
        <is>
          <t>VERSIONED</t>
        </is>
      </c>
      <c r="AS71" s="752" t="n"/>
    </row>
    <row r="72" ht="30" customHeight="1" s="36">
      <c r="A72" s="751" t="inlineStr">
        <is>
          <t>CS003</t>
        </is>
      </c>
      <c r="B72" s="751" t="inlineStr">
        <is>
          <t>CS003-001</t>
        </is>
      </c>
      <c r="C72" s="751" t="inlineStr">
        <is>
          <t>CS003-001_ASC_Salmon_Audit_Manual.pdf</t>
        </is>
      </c>
      <c r="D72" s="751" t="inlineStr">
        <is>
          <t>STORED</t>
        </is>
      </c>
      <c r="E72" s="751">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
      </c>
      <c r="F72" s="751" t="inlineStr">
        <is>
          <t>SUCCESS</t>
        </is>
      </c>
      <c r="G72" s="755" t="n">
        <v>46262.53113425926</v>
      </c>
      <c r="H72" s="755" t="n">
        <v>46262.53113425926</v>
      </c>
      <c r="I72" s="751" t="inlineStr">
        <is>
          <t>INITIAL</t>
        </is>
      </c>
      <c r="J72" s="751" t="inlineStr">
        <is>
          <t>AUTO</t>
        </is>
      </c>
      <c r="K72" s="757">
        <f>IF(A72="","",IF(J72="AUTO",H72,IF(J72="MANUAL",AK72,"")))</f>
        <v/>
      </c>
      <c r="L72" s="751" t="inlineStr">
        <is>
          <t>NONE</t>
        </is>
      </c>
      <c r="M72" s="751" t="n"/>
      <c r="N72" s="751">
        <f>IF(A72="","",IF(COUNTIFS('Human Operation Desktop'!$A$3:$A$502,A72,'Human Operation Desktop'!$I$3:$I$502,"&lt;&gt;APPLIED",'Human Operation Desktop'!$I$3:$I$502,"&lt;&gt;REJECTED")&gt;0,"YES","NO"))</f>
        <v/>
      </c>
      <c r="O72" s="751" t="inlineStr">
        <is>
          <t>911b716d6e4f9aacc1e0c7999dbcf1e009f08c3b322269c748d867006521e76d</t>
        </is>
      </c>
      <c r="P72" s="752" t="inlineStr">
        <is>
          <t>ASC Salmon Audit Manual</t>
        </is>
      </c>
      <c r="Q72" s="752" t="inlineStr">
        <is>
          <t>https://asc-aqua.org/producers/asc-standards/species-standards/salmon-cod/</t>
        </is>
      </c>
      <c r="R72" s="752" t="inlineStr">
        <is>
          <t>https://asc-aqua.org/wp-content/uploads/2023/04/ASC-Salmon-Audit-Manual_v1.4.pdf</t>
        </is>
      </c>
      <c r="S72" s="752" t="inlineStr">
        <is>
          <t>C_Certification_Scheme</t>
        </is>
      </c>
      <c r="T72" s="752" t="inlineStr">
        <is>
          <t>pdf</t>
        </is>
      </c>
      <c r="U72" s="752" t="inlineStr">
        <is>
          <t>Aquaculture Stewardship Council</t>
        </is>
      </c>
      <c r="V72" s="752" t="inlineStr">
        <is>
          <t>International</t>
        </is>
      </c>
      <c r="W72" s="752" t="inlineStr">
        <is>
          <t>English</t>
        </is>
      </c>
      <c r="X72" s="752" t="inlineStr">
        <is>
          <t>1.4</t>
        </is>
      </c>
      <c r="Y72" s="752" t="n"/>
      <c r="Z72" s="752" t="inlineStr">
        <is>
          <t>Certification scheme</t>
        </is>
      </c>
      <c r="AA72" s="752" t="inlineStr">
        <is>
          <t>Audit / assessment document</t>
        </is>
      </c>
      <c r="AB72" s="752" t="inlineStr">
        <is>
          <t>Audit / assessment tool</t>
        </is>
      </c>
      <c r="AC72" s="752" t="inlineStr">
        <is>
          <t>Official assessment tool from Aquaculture Stewardship Council; included to structure compliance checks and trace evidence back to its linked normative source.</t>
        </is>
      </c>
      <c r="AD72" s="752" t="inlineStr">
        <is>
          <t>HIGH</t>
        </is>
      </c>
      <c r="AE72" s="752" t="inlineStr">
        <is>
          <t>HIGH</t>
        </is>
      </c>
      <c r="AF72" s="752" t="inlineStr">
        <is>
          <t>HIGH</t>
        </is>
      </c>
      <c r="AG72" s="752" t="inlineStr">
        <is>
          <t>HIGH</t>
        </is>
      </c>
      <c r="AH72" s="752" t="inlineStr">
        <is>
          <t>HIGH</t>
        </is>
      </c>
      <c r="AI72" s="752" t="inlineStr">
        <is>
          <t>HIGH</t>
        </is>
      </c>
      <c r="AJ72" s="752" t="inlineStr">
        <is>
          <t>INCLUDE</t>
        </is>
      </c>
      <c r="AK72" s="759" t="n"/>
      <c r="AL72" s="752" t="n"/>
      <c r="AM72" s="752" t="inlineStr">
        <is>
          <t>CURRENT</t>
        </is>
      </c>
      <c r="AN72" s="752" t="inlineStr">
        <is>
          <t>CS004</t>
        </is>
      </c>
      <c r="AO72" s="752" t="inlineStr">
        <is>
          <t>Repository-held assessment tool. Trace extracted requirements to the applicable normative ASC standard.</t>
        </is>
      </c>
      <c r="AP72" s="752" t="inlineStr">
        <is>
          <t>OFFICIAL_WEBSITE</t>
        </is>
      </c>
      <c r="AQ72" s="752" t="inlineStr">
        <is>
          <t>OFFICIAL_ORIGINAL</t>
        </is>
      </c>
      <c r="AR72" s="752" t="inlineStr">
        <is>
          <t>VERSIONED</t>
        </is>
      </c>
      <c r="AS72" s="752" t="n"/>
    </row>
    <row r="73" ht="30" customHeight="1" s="36">
      <c r="A73" s="751" t="inlineStr">
        <is>
          <t>CS004</t>
        </is>
      </c>
      <c r="B73" s="751" t="inlineStr">
        <is>
          <t>CS004-001</t>
        </is>
      </c>
      <c r="C73" s="751" t="inlineStr">
        <is>
          <t>CS004-001_ASC_Salmon_and_Cod_Standard.pdf</t>
        </is>
      </c>
      <c r="D73" s="751" t="inlineStr">
        <is>
          <t>STORED</t>
        </is>
      </c>
      <c r="E73" s="751">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
      </c>
      <c r="F73" s="751" t="inlineStr">
        <is>
          <t>SUCCESS</t>
        </is>
      </c>
      <c r="G73" s="755" t="n">
        <v>46262.53114583333</v>
      </c>
      <c r="H73" s="755" t="n">
        <v>46262.53114583333</v>
      </c>
      <c r="I73" s="751" t="inlineStr">
        <is>
          <t>INITIAL</t>
        </is>
      </c>
      <c r="J73" s="751" t="inlineStr">
        <is>
          <t>AUTO</t>
        </is>
      </c>
      <c r="K73" s="757">
        <f>IF(A73="","",IF(J73="AUTO",H73,IF(J73="MANUAL",AK73,"")))</f>
        <v/>
      </c>
      <c r="L73" s="751" t="inlineStr">
        <is>
          <t>NONE</t>
        </is>
      </c>
      <c r="M73" s="751" t="n"/>
      <c r="N73" s="751">
        <f>IF(A73="","",IF(COUNTIFS('Human Operation Desktop'!$A$3:$A$502,A73,'Human Operation Desktop'!$I$3:$I$502,"&lt;&gt;APPLIED",'Human Operation Desktop'!$I$3:$I$502,"&lt;&gt;REJECTED")&gt;0,"YES","NO"))</f>
        <v/>
      </c>
      <c r="O73" s="751" t="inlineStr">
        <is>
          <t>a34e5f4fc78486136ddbf3d661d26aad85e4b8a1990b2e6eda3f3ac1df7f7b5c</t>
        </is>
      </c>
      <c r="P73" s="752" t="inlineStr">
        <is>
          <t>ASC Salmon and Cod Standard</t>
        </is>
      </c>
      <c r="Q73" s="752" t="inlineStr">
        <is>
          <t>https://asc-aqua.org/producers/asc-standards/species-standards/salmon-cod/</t>
        </is>
      </c>
      <c r="R73" s="752" t="inlineStr">
        <is>
          <t>https://asc-aqua.org/wp-content/uploads/2025/10/ASC-STD-010-ASC-Salmon-and-Cod-Standard-V1.5-Oct-2025-1.pdf</t>
        </is>
      </c>
      <c r="S73" s="752" t="inlineStr">
        <is>
          <t>C_Certification_Scheme</t>
        </is>
      </c>
      <c r="T73" s="752" t="inlineStr">
        <is>
          <t>pdf</t>
        </is>
      </c>
      <c r="U73" s="752" t="inlineStr">
        <is>
          <t>Aquaculture Stewardship Council</t>
        </is>
      </c>
      <c r="V73" s="752" t="inlineStr">
        <is>
          <t>International</t>
        </is>
      </c>
      <c r="W73" s="752" t="inlineStr">
        <is>
          <t>English</t>
        </is>
      </c>
      <c r="X73" s="752" t="inlineStr">
        <is>
          <t>1.5</t>
        </is>
      </c>
      <c r="Y73" s="752" t="n">
        <v>45943</v>
      </c>
      <c r="Z73" s="752" t="inlineStr">
        <is>
          <t>Certification scheme</t>
        </is>
      </c>
      <c r="AA73" s="752" t="inlineStr">
        <is>
          <t>Scheme standard</t>
        </is>
      </c>
      <c r="AB73" s="752" t="inlineStr">
        <is>
          <t>Primary normative</t>
        </is>
      </c>
      <c r="AC73" s="752" t="inlineStr">
        <is>
          <t>Official scheme standard issued by Aquaculture Stewardship Council; included because it may impose binding requirements on an in-scope aquaculture asset, activity, permit or certification.</t>
        </is>
      </c>
      <c r="AD73" s="752" t="inlineStr">
        <is>
          <t>HIGH</t>
        </is>
      </c>
      <c r="AE73" s="752" t="inlineStr">
        <is>
          <t>HIGH</t>
        </is>
      </c>
      <c r="AF73" s="752" t="inlineStr">
        <is>
          <t>HIGH</t>
        </is>
      </c>
      <c r="AG73" s="752" t="inlineStr">
        <is>
          <t>HIGH</t>
        </is>
      </c>
      <c r="AH73" s="752" t="inlineStr">
        <is>
          <t>HIGH</t>
        </is>
      </c>
      <c r="AI73" s="752" t="inlineStr">
        <is>
          <t>HIGH</t>
        </is>
      </c>
      <c r="AJ73" s="752" t="inlineStr">
        <is>
          <t>INCLUDE</t>
        </is>
      </c>
      <c r="AK73" s="759" t="n"/>
      <c r="AL73" s="752" t="n"/>
      <c r="AM73" s="752" t="inlineStr">
        <is>
          <t>CURRENT</t>
        </is>
      </c>
      <c r="AN73" s="752" t="n"/>
      <c r="AO73" s="752" t="inlineStr">
        <is>
          <t>Project-mentioned candidate. Include while the species standard remains applicable during ASC transition.</t>
        </is>
      </c>
      <c r="AP73" s="752" t="inlineStr">
        <is>
          <t>OFFICIAL_WEBSITE</t>
        </is>
      </c>
      <c r="AQ73" s="752" t="inlineStr">
        <is>
          <t>OFFICIAL_ORIGINAL</t>
        </is>
      </c>
      <c r="AR73" s="752" t="inlineStr">
        <is>
          <t>VERSIONED</t>
        </is>
      </c>
      <c r="AS73" s="752" t="n"/>
    </row>
    <row r="74" ht="30" customHeight="1" s="36">
      <c r="A74" s="751" t="inlineStr">
        <is>
          <t>CS005</t>
        </is>
      </c>
      <c r="B74" s="751" t="inlineStr">
        <is>
          <t>CS005-001</t>
        </is>
      </c>
      <c r="C74" s="751" t="inlineStr">
        <is>
          <t>CS005-001_ASC_Farm_and_Feed_Certification_and_Accreditation_Requirements.pdf</t>
        </is>
      </c>
      <c r="D74" s="751" t="inlineStr">
        <is>
          <t>STORED</t>
        </is>
      </c>
      <c r="E74" s="751">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
      </c>
      <c r="F74" s="751" t="inlineStr">
        <is>
          <t>SUCCESS</t>
        </is>
      </c>
      <c r="G74" s="755" t="n">
        <v>46262.53114583333</v>
      </c>
      <c r="H74" s="755" t="n">
        <v>46262.53115740741</v>
      </c>
      <c r="I74" s="751" t="inlineStr">
        <is>
          <t>INITIAL</t>
        </is>
      </c>
      <c r="J74" s="751" t="inlineStr">
        <is>
          <t>AUTO</t>
        </is>
      </c>
      <c r="K74" s="757">
        <f>IF(A74="","",IF(J74="AUTO",H74,IF(J74="MANUAL",AK74,"")))</f>
        <v/>
      </c>
      <c r="L74" s="751" t="inlineStr">
        <is>
          <t>NONE</t>
        </is>
      </c>
      <c r="M74" s="751" t="n"/>
      <c r="N74" s="751">
        <f>IF(A74="","",IF(COUNTIFS('Human Operation Desktop'!$A$3:$A$502,A74,'Human Operation Desktop'!$I$3:$I$502,"&lt;&gt;APPLIED",'Human Operation Desktop'!$I$3:$I$502,"&lt;&gt;REJECTED")&gt;0,"YES","NO"))</f>
        <v/>
      </c>
      <c r="O74" s="751" t="inlineStr">
        <is>
          <t>77e1d87383382fda4f27dc9be79937cc3017ce350b8b1d436a74500561083838</t>
        </is>
      </c>
      <c r="P74" s="752" t="inlineStr">
        <is>
          <t>ASC Farm and Feed Certification and Accreditation Requirements</t>
        </is>
      </c>
      <c r="Q74" s="752" t="inlineStr">
        <is>
          <t>https://programme-centre.asc-aqua.org/resource-hub/?filter=farm</t>
        </is>
      </c>
      <c r="R74" s="752" t="inlineStr">
        <is>
          <t>https://programme-centre.asc-aqua.org/app/uploads/2025/04/ASC-CAR-001-ASC-Farm-and-Feed-CAR-V1.0-May-2025.pdf</t>
        </is>
      </c>
      <c r="S74" s="752" t="inlineStr">
        <is>
          <t>C_Certification_Scheme</t>
        </is>
      </c>
      <c r="T74" s="752" t="inlineStr">
        <is>
          <t>pdf</t>
        </is>
      </c>
      <c r="U74" s="752" t="inlineStr">
        <is>
          <t>Aquaculture Stewardship Council</t>
        </is>
      </c>
      <c r="V74" s="752" t="inlineStr">
        <is>
          <t>International</t>
        </is>
      </c>
      <c r="W74" s="752" t="inlineStr">
        <is>
          <t>English</t>
        </is>
      </c>
      <c r="X74" s="752" t="inlineStr">
        <is>
          <t>1.0</t>
        </is>
      </c>
      <c r="Y74" s="752" t="n"/>
      <c r="Z74" s="752" t="inlineStr">
        <is>
          <t>Certification scheme</t>
        </is>
      </c>
      <c r="AA74" s="752" t="inlineStr">
        <is>
          <t>Scheme standard</t>
        </is>
      </c>
      <c r="AB74" s="752" t="inlineStr">
        <is>
          <t>Referenced normative</t>
        </is>
      </c>
      <c r="AC74" s="752" t="inlineStr">
        <is>
          <t>Official referenced source from Aquaculture Stewardship Council; included because an applicable law, permit or certification scheme may make its provisions binding within the approved scope.</t>
        </is>
      </c>
      <c r="AD74" s="752" t="inlineStr">
        <is>
          <t>HIGH</t>
        </is>
      </c>
      <c r="AE74" s="752" t="inlineStr">
        <is>
          <t>HIGH</t>
        </is>
      </c>
      <c r="AF74" s="752" t="inlineStr">
        <is>
          <t>HIGH</t>
        </is>
      </c>
      <c r="AG74" s="752" t="inlineStr">
        <is>
          <t>HIGH</t>
        </is>
      </c>
      <c r="AH74" s="752" t="inlineStr">
        <is>
          <t>HIGH</t>
        </is>
      </c>
      <c r="AI74" s="752" t="inlineStr">
        <is>
          <t>HIGH</t>
        </is>
      </c>
      <c r="AJ74" s="752" t="inlineStr">
        <is>
          <t>INCLUDE</t>
        </is>
      </c>
      <c r="AK74" s="759" t="n"/>
      <c r="AL74" s="752" t="n"/>
      <c r="AM74" s="752" t="inlineStr">
        <is>
          <t>CURRENT</t>
        </is>
      </c>
      <c r="AN74" s="752" t="inlineStr">
        <is>
          <t>CS001</t>
        </is>
      </c>
      <c r="AO74" s="752" t="inlineStr">
        <is>
          <t>Official expansion. The ASC Farm Standard identifies this CAR as normative.</t>
        </is>
      </c>
      <c r="AP74" s="752" t="inlineStr">
        <is>
          <t>OFFICIAL_WEBSITE</t>
        </is>
      </c>
      <c r="AQ74" s="752" t="inlineStr">
        <is>
          <t>OFFICIAL_ORIGINAL</t>
        </is>
      </c>
      <c r="AR74" s="752" t="inlineStr">
        <is>
          <t>VERSIONED</t>
        </is>
      </c>
      <c r="AS74" s="752" t="n"/>
    </row>
    <row r="75" ht="30" customHeight="1" s="36">
      <c r="A75" s="751" t="inlineStr">
        <is>
          <t>CS006</t>
        </is>
      </c>
      <c r="B75" s="751" t="inlineStr">
        <is>
          <t>CS006-001</t>
        </is>
      </c>
      <c r="C75" s="751" t="inlineStr">
        <is>
          <t>CS006-001_ASC_Group_Requirements_for_Farms.pdf</t>
        </is>
      </c>
      <c r="D75" s="751" t="inlineStr">
        <is>
          <t>NOT_COLLECTED</t>
        </is>
      </c>
      <c r="E75" s="751">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
      </c>
      <c r="F75" s="751" t="inlineStr">
        <is>
          <t>NOT_RUN</t>
        </is>
      </c>
      <c r="G75" s="755" t="n"/>
      <c r="H75" s="755" t="n"/>
      <c r="I75" s="751" t="inlineStr">
        <is>
          <t>UNKNOWN</t>
        </is>
      </c>
      <c r="J75" s="751" t="inlineStr">
        <is>
          <t>NONE</t>
        </is>
      </c>
      <c r="K75" s="757">
        <f>IF(A75="","",IF(J75="AUTO",H75,IF(J75="MANUAL",AK75,"")))</f>
        <v/>
      </c>
      <c r="L75" s="751" t="inlineStr">
        <is>
          <t>NONE</t>
        </is>
      </c>
      <c r="M75" s="751" t="n"/>
      <c r="N75" s="751">
        <f>IF(A75="","",IF(COUNTIFS('Human Operation Desktop'!$A$3:$A$502,A75,'Human Operation Desktop'!$I$3:$I$502,"&lt;&gt;APPLIED",'Human Operation Desktop'!$I$3:$I$502,"&lt;&gt;REJECTED")&gt;0,"YES","NO"))</f>
        <v/>
      </c>
      <c r="O75" s="751" t="n"/>
      <c r="P75" s="752" t="inlineStr">
        <is>
          <t>ASC Group Requirements for Farms</t>
        </is>
      </c>
      <c r="Q75" s="752" t="inlineStr">
        <is>
          <t>https://programme-centre.asc-aqua.org/resource-hub/?filter=farm</t>
        </is>
      </c>
      <c r="R75" s="752" t="n"/>
      <c r="S75" s="752" t="inlineStr">
        <is>
          <t>C_Certification_Scheme</t>
        </is>
      </c>
      <c r="T75" s="752" t="inlineStr">
        <is>
          <t>pdf</t>
        </is>
      </c>
      <c r="U75" s="752" t="inlineStr">
        <is>
          <t>Aquaculture Stewardship Council</t>
        </is>
      </c>
      <c r="V75" s="752" t="inlineStr">
        <is>
          <t>International</t>
        </is>
      </c>
      <c r="W75" s="752" t="inlineStr">
        <is>
          <t>English</t>
        </is>
      </c>
      <c r="X75" s="752" t="inlineStr">
        <is>
          <t>1.0</t>
        </is>
      </c>
      <c r="Y75" s="752" t="n"/>
      <c r="Z75" s="752" t="inlineStr">
        <is>
          <t>Certification scheme</t>
        </is>
      </c>
      <c r="AA75" s="752" t="inlineStr">
        <is>
          <t>Scheme standard</t>
        </is>
      </c>
      <c r="AB75" s="752" t="inlineStr">
        <is>
          <t>Referenced normative</t>
        </is>
      </c>
      <c r="AC75" s="752" t="inlineStr">
        <is>
          <t>Official referenced source from Aquaculture Stewardship Council; included because an applicable law, permit or certification scheme may make its provisions binding within the approved scope.</t>
        </is>
      </c>
      <c r="AD75" s="752" t="inlineStr">
        <is>
          <t>HIGH</t>
        </is>
      </c>
      <c r="AE75" s="752" t="inlineStr">
        <is>
          <t>MEDIUM</t>
        </is>
      </c>
      <c r="AF75" s="752" t="inlineStr">
        <is>
          <t>MEDIUM</t>
        </is>
      </c>
      <c r="AG75" s="752" t="inlineStr">
        <is>
          <t>MEDIUM</t>
        </is>
      </c>
      <c r="AH75" s="752" t="inlineStr">
        <is>
          <t>HIGH</t>
        </is>
      </c>
      <c r="AI75" s="752" t="inlineStr">
        <is>
          <t>LOW</t>
        </is>
      </c>
      <c r="AJ75" s="752" t="inlineStr">
        <is>
          <t>PENDING</t>
        </is>
      </c>
      <c r="AK75" s="759" t="n"/>
      <c r="AL75" s="752" t="n"/>
      <c r="AM75" s="752" t="inlineStr">
        <is>
          <t>CURRENT</t>
        </is>
      </c>
      <c r="AN75" s="752" t="inlineStr">
        <is>
          <t>CS001</t>
        </is>
      </c>
      <c r="AO75" s="752" t="inlineStr">
        <is>
          <t>Official expansion. Conditional on group certification structure.</t>
        </is>
      </c>
      <c r="AP75" s="752" t="inlineStr">
        <is>
          <t>OFFICIAL_WEBSITE</t>
        </is>
      </c>
      <c r="AQ75" s="752" t="inlineStr">
        <is>
          <t>OFFICIAL_ORIGINAL</t>
        </is>
      </c>
      <c r="AR75" s="752" t="inlineStr">
        <is>
          <t>VERSIONED</t>
        </is>
      </c>
      <c r="AS75" s="752" t="n"/>
    </row>
    <row r="76" ht="30" customHeight="1" s="36">
      <c r="A76" s="751" t="inlineStr">
        <is>
          <t>CS007</t>
        </is>
      </c>
      <c r="B76" s="751" t="inlineStr">
        <is>
          <t>CS007-001</t>
        </is>
      </c>
      <c r="C76" s="751" t="inlineStr">
        <is>
          <t>CS007-001_ASC_Data_Submission_Procedure.pdf</t>
        </is>
      </c>
      <c r="D76" s="751" t="inlineStr">
        <is>
          <t>NOT_COLLECTED</t>
        </is>
      </c>
      <c r="E76" s="751">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
      </c>
      <c r="F76" s="751" t="inlineStr">
        <is>
          <t>NOT_RUN</t>
        </is>
      </c>
      <c r="G76" s="755" t="n"/>
      <c r="H76" s="755" t="n"/>
      <c r="I76" s="751" t="inlineStr">
        <is>
          <t>UNKNOWN</t>
        </is>
      </c>
      <c r="J76" s="751" t="inlineStr">
        <is>
          <t>NONE</t>
        </is>
      </c>
      <c r="K76" s="757">
        <f>IF(A76="","",IF(J76="AUTO",H76,IF(J76="MANUAL",AK76,"")))</f>
        <v/>
      </c>
      <c r="L76" s="751" t="inlineStr">
        <is>
          <t>NONE</t>
        </is>
      </c>
      <c r="M76" s="751" t="n"/>
      <c r="N76" s="751">
        <f>IF(A76="","",IF(COUNTIFS('Human Operation Desktop'!$A$3:$A$502,A76,'Human Operation Desktop'!$I$3:$I$502,"&lt;&gt;APPLIED",'Human Operation Desktop'!$I$3:$I$502,"&lt;&gt;REJECTED")&gt;0,"YES","NO"))</f>
        <v/>
      </c>
      <c r="O76" s="751" t="n"/>
      <c r="P76" s="752" t="inlineStr">
        <is>
          <t>ASC Data Submission Procedure</t>
        </is>
      </c>
      <c r="Q76" s="752" t="inlineStr">
        <is>
          <t>https://programme-centre.asc-aqua.org/resource-hub/?filter=farm</t>
        </is>
      </c>
      <c r="R76" s="752" t="n"/>
      <c r="S76" s="752" t="inlineStr">
        <is>
          <t>C_Certification_Scheme</t>
        </is>
      </c>
      <c r="T76" s="752" t="inlineStr">
        <is>
          <t>pdf</t>
        </is>
      </c>
      <c r="U76" s="752" t="inlineStr">
        <is>
          <t>Aquaculture Stewardship Council</t>
        </is>
      </c>
      <c r="V76" s="752" t="inlineStr">
        <is>
          <t>International</t>
        </is>
      </c>
      <c r="W76" s="752" t="inlineStr">
        <is>
          <t>English</t>
        </is>
      </c>
      <c r="X76" s="752" t="inlineStr">
        <is>
          <t>1.0</t>
        </is>
      </c>
      <c r="Y76" s="752" t="n"/>
      <c r="Z76" s="752" t="inlineStr">
        <is>
          <t>Certification scheme</t>
        </is>
      </c>
      <c r="AA76" s="752" t="inlineStr">
        <is>
          <t>Scheme standard</t>
        </is>
      </c>
      <c r="AB76" s="752" t="inlineStr">
        <is>
          <t>Referenced normative</t>
        </is>
      </c>
      <c r="AC76" s="752" t="inlineStr">
        <is>
          <t>Official referenced source from Aquaculture Stewardship Council; included because an applicable law, permit or certification scheme may make its provisions binding within the approved scope.</t>
        </is>
      </c>
      <c r="AD76" s="752" t="inlineStr">
        <is>
          <t>HIGH</t>
        </is>
      </c>
      <c r="AE76" s="752" t="inlineStr">
        <is>
          <t>HIGH</t>
        </is>
      </c>
      <c r="AF76" s="752" t="inlineStr">
        <is>
          <t>MEDIUM</t>
        </is>
      </c>
      <c r="AG76" s="752" t="inlineStr">
        <is>
          <t>MEDIUM</t>
        </is>
      </c>
      <c r="AH76" s="752" t="inlineStr">
        <is>
          <t>HIGH</t>
        </is>
      </c>
      <c r="AI76" s="752" t="inlineStr">
        <is>
          <t>LOW</t>
        </is>
      </c>
      <c r="AJ76" s="752" t="inlineStr">
        <is>
          <t>PENDING</t>
        </is>
      </c>
      <c r="AK76" s="759" t="n"/>
      <c r="AL76" s="752" t="n"/>
      <c r="AM76" s="752" t="inlineStr">
        <is>
          <t>CURRENT</t>
        </is>
      </c>
      <c r="AN76" s="752" t="inlineStr">
        <is>
          <t>CS001</t>
        </is>
      </c>
      <c r="AO76" s="752" t="inlineStr">
        <is>
          <t>Official expansion. The ASC Farm Standard lists this procedure among normative references.</t>
        </is>
      </c>
      <c r="AP76" s="752" t="inlineStr">
        <is>
          <t>OFFICIAL_WEBSITE</t>
        </is>
      </c>
      <c r="AQ76" s="752" t="inlineStr">
        <is>
          <t>OFFICIAL_ORIGINAL</t>
        </is>
      </c>
      <c r="AR76" s="752" t="inlineStr">
        <is>
          <t>VERSIONED</t>
        </is>
      </c>
      <c r="AS76" s="752" t="n"/>
    </row>
    <row r="77" ht="30" customHeight="1" s="36">
      <c r="A77" s="751" t="inlineStr">
        <is>
          <t>CS008</t>
        </is>
      </c>
      <c r="B77" s="751" t="inlineStr">
        <is>
          <t>CS008-001</t>
        </is>
      </c>
      <c r="C77" s="751" t="inlineStr">
        <is>
          <t>CS008-001_GLOBALG.A.P._IFA_v6_Smart_for_aquaculture_-_Principles_and_criteria.pdf</t>
        </is>
      </c>
      <c r="D77" s="751" t="inlineStr">
        <is>
          <t>NOT_COLLECTED</t>
        </is>
      </c>
      <c r="E77" s="751">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
      </c>
      <c r="F77" s="751" t="inlineStr">
        <is>
          <t>NOT_RUN</t>
        </is>
      </c>
      <c r="G77" s="755" t="n"/>
      <c r="H77" s="755" t="n"/>
      <c r="I77" s="751" t="inlineStr">
        <is>
          <t>UNKNOWN</t>
        </is>
      </c>
      <c r="J77" s="751" t="inlineStr">
        <is>
          <t>NONE</t>
        </is>
      </c>
      <c r="K77" s="757">
        <f>IF(A77="","",IF(J77="AUTO",H77,IF(J77="MANUAL",AK77,"")))</f>
        <v/>
      </c>
      <c r="L77" s="751" t="inlineStr">
        <is>
          <t>NONE</t>
        </is>
      </c>
      <c r="M77" s="751" t="n"/>
      <c r="N77" s="751">
        <f>IF(A77="","",IF(COUNTIFS('Human Operation Desktop'!$A$3:$A$502,A77,'Human Operation Desktop'!$I$3:$I$502,"&lt;&gt;APPLIED",'Human Operation Desktop'!$I$3:$I$502,"&lt;&gt;REJECTED")&gt;0,"YES","NO"))</f>
        <v/>
      </c>
      <c r="O77" s="751" t="n"/>
      <c r="P77" s="752" t="inlineStr">
        <is>
          <t>GLOBALG.A.P. IFA v6 Smart for aquaculture - Principles and criteria</t>
        </is>
      </c>
      <c r="Q77" s="752" t="inlineStr">
        <is>
          <t>https://globalgap.org/what-we-offer/solutions/ifa-aquaculture/</t>
        </is>
      </c>
      <c r="R77" s="752" t="n"/>
      <c r="S77" s="752" t="inlineStr">
        <is>
          <t>C_Certification_Scheme</t>
        </is>
      </c>
      <c r="T77" s="752" t="inlineStr">
        <is>
          <t>pdf</t>
        </is>
      </c>
      <c r="U77" s="752" t="inlineStr">
        <is>
          <t>GLOBALG.A.P.</t>
        </is>
      </c>
      <c r="V77" s="752" t="inlineStr">
        <is>
          <t>International</t>
        </is>
      </c>
      <c r="W77" s="752" t="inlineStr">
        <is>
          <t>English</t>
        </is>
      </c>
      <c r="X77" s="752" t="inlineStr">
        <is>
          <t>V6</t>
        </is>
      </c>
      <c r="Y77" s="752" t="n"/>
      <c r="Z77" s="752" t="inlineStr">
        <is>
          <t>Certification scheme</t>
        </is>
      </c>
      <c r="AA77" s="752" t="inlineStr">
        <is>
          <t>Scheme standard</t>
        </is>
      </c>
      <c r="AB77" s="752" t="inlineStr">
        <is>
          <t>Primary normative</t>
        </is>
      </c>
      <c r="AC77" s="752" t="inlineStr">
        <is>
          <t>Official scheme standard issued by GLOBALG.A.P.; included because it may impose binding requirements on an in-scope aquaculture asset, activity, permit or certification.</t>
        </is>
      </c>
      <c r="AD77" s="752" t="inlineStr">
        <is>
          <t>HIGH</t>
        </is>
      </c>
      <c r="AE77" s="752" t="inlineStr">
        <is>
          <t>HIGH</t>
        </is>
      </c>
      <c r="AF77" s="752" t="inlineStr">
        <is>
          <t>MEDIUM</t>
        </is>
      </c>
      <c r="AG77" s="752" t="inlineStr">
        <is>
          <t>MEDIUM</t>
        </is>
      </c>
      <c r="AH77" s="752" t="inlineStr">
        <is>
          <t>HIGH</t>
        </is>
      </c>
      <c r="AI77" s="752" t="inlineStr">
        <is>
          <t>LOW</t>
        </is>
      </c>
      <c r="AJ77" s="752" t="inlineStr">
        <is>
          <t>PENDING</t>
        </is>
      </c>
      <c r="AK77" s="759" t="n"/>
      <c r="AL77" s="752" t="n"/>
      <c r="AM77" s="752" t="inlineStr">
        <is>
          <t>CURRENT</t>
        </is>
      </c>
      <c r="AN77" s="752" t="n"/>
      <c r="AO77" s="752" t="inlineStr">
        <is>
          <t>Project-mentioned scheme source. The repository contains the checklist, but the P&amp;C document is the primary normative source.</t>
        </is>
      </c>
      <c r="AP77" s="752" t="inlineStr">
        <is>
          <t>OFFICIAL_WEBSITE</t>
        </is>
      </c>
      <c r="AQ77" s="752" t="inlineStr">
        <is>
          <t>OFFICIAL_ORIGINAL</t>
        </is>
      </c>
      <c r="AR77" s="752" t="inlineStr">
        <is>
          <t>VERSIONED</t>
        </is>
      </c>
      <c r="AS77" s="752" t="n"/>
    </row>
    <row r="78" ht="30" customHeight="1" s="36">
      <c r="A78" s="751" t="inlineStr">
        <is>
          <t>CS009</t>
        </is>
      </c>
      <c r="B78" s="751" t="inlineStr">
        <is>
          <t>CS009-001</t>
        </is>
      </c>
      <c r="C78" s="751" t="inlineStr">
        <is>
          <t>CS009-001_GLOBALG.A.P._IFA_v6_Smart_for_aquaculture_-_Checklist.xlsx</t>
        </is>
      </c>
      <c r="D78" s="751" t="inlineStr">
        <is>
          <t>NOT_COLLECTED</t>
        </is>
      </c>
      <c r="E78" s="751">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
      </c>
      <c r="F78" s="751" t="inlineStr">
        <is>
          <t>NOT_RUN</t>
        </is>
      </c>
      <c r="G78" s="755" t="n"/>
      <c r="H78" s="755" t="n"/>
      <c r="I78" s="751" t="inlineStr">
        <is>
          <t>UNKNOWN</t>
        </is>
      </c>
      <c r="J78" s="751" t="inlineStr">
        <is>
          <t>NONE</t>
        </is>
      </c>
      <c r="K78" s="757">
        <f>IF(A78="","",IF(J78="AUTO",H78,IF(J78="MANUAL",AK78,"")))</f>
        <v/>
      </c>
      <c r="L78" s="751" t="inlineStr">
        <is>
          <t>NONE</t>
        </is>
      </c>
      <c r="M78" s="751" t="n"/>
      <c r="N78" s="751">
        <f>IF(A78="","",IF(COUNTIFS('Human Operation Desktop'!$A$3:$A$502,A78,'Human Operation Desktop'!$I$3:$I$502,"&lt;&gt;APPLIED",'Human Operation Desktop'!$I$3:$I$502,"&lt;&gt;REJECTED")&gt;0,"YES","NO"))</f>
        <v/>
      </c>
      <c r="O78" s="751" t="n"/>
      <c r="P78" s="752" t="inlineStr">
        <is>
          <t>GLOBALG.A.P. IFA v6 Smart for aquaculture - Checklist</t>
        </is>
      </c>
      <c r="Q78" s="752" t="inlineStr">
        <is>
          <t>https://globalgap.org/what-we-offer/solutions/ifa-aquaculture/</t>
        </is>
      </c>
      <c r="R78" s="752" t="n"/>
      <c r="S78" s="752" t="inlineStr">
        <is>
          <t>C_Certification_Scheme</t>
        </is>
      </c>
      <c r="T78" s="752" t="inlineStr">
        <is>
          <t>xlsx</t>
        </is>
      </c>
      <c r="U78" s="752" t="inlineStr">
        <is>
          <t>GLOBALG.A.P.</t>
        </is>
      </c>
      <c r="V78" s="752" t="inlineStr">
        <is>
          <t>International</t>
        </is>
      </c>
      <c r="W78" s="752" t="inlineStr">
        <is>
          <t>English</t>
        </is>
      </c>
      <c r="X78" s="752" t="inlineStr">
        <is>
          <t>V6</t>
        </is>
      </c>
      <c r="Y78" s="752" t="n"/>
      <c r="Z78" s="752" t="inlineStr">
        <is>
          <t>Certification scheme</t>
        </is>
      </c>
      <c r="AA78" s="752" t="inlineStr">
        <is>
          <t>Audit / assessment document</t>
        </is>
      </c>
      <c r="AB78" s="752" t="inlineStr">
        <is>
          <t>Audit / assessment tool</t>
        </is>
      </c>
      <c r="AC78" s="752" t="inlineStr">
        <is>
          <t>Official assessment tool from GLOBALG.A.P.; included to structure compliance checks and trace evidence back to its linked normative source.</t>
        </is>
      </c>
      <c r="AD78" s="752" t="inlineStr">
        <is>
          <t>HIGH</t>
        </is>
      </c>
      <c r="AE78" s="752" t="inlineStr">
        <is>
          <t>HIGH</t>
        </is>
      </c>
      <c r="AF78" s="752" t="inlineStr">
        <is>
          <t>MEDIUM</t>
        </is>
      </c>
      <c r="AG78" s="752" t="inlineStr">
        <is>
          <t>MEDIUM</t>
        </is>
      </c>
      <c r="AH78" s="752" t="inlineStr">
        <is>
          <t>HIGH</t>
        </is>
      </c>
      <c r="AI78" s="752" t="inlineStr">
        <is>
          <t>LOW</t>
        </is>
      </c>
      <c r="AJ78" s="752" t="inlineStr">
        <is>
          <t>PENDING</t>
        </is>
      </c>
      <c r="AK78" s="759" t="n"/>
      <c r="AL78" s="752" t="n"/>
      <c r="AM78" s="752" t="inlineStr">
        <is>
          <t>CURRENT</t>
        </is>
      </c>
      <c r="AN78" s="752" t="inlineStr">
        <is>
          <t>CS008</t>
        </is>
      </c>
      <c r="AO78" s="752" t="inlineStr">
        <is>
          <t>Repository-held assessment artifact. Official distribution may be ZIP/XLSX; trace requirements to CS008.</t>
        </is>
      </c>
      <c r="AP78" s="752" t="inlineStr">
        <is>
          <t>OFFICIAL_WEBSITE</t>
        </is>
      </c>
      <c r="AQ78" s="752" t="inlineStr">
        <is>
          <t>OFFICIAL_ORIGINAL</t>
        </is>
      </c>
      <c r="AR78" s="752" t="inlineStr">
        <is>
          <t>VERSIONED</t>
        </is>
      </c>
      <c r="AS78" s="752" t="n"/>
    </row>
    <row r="79" ht="30" customHeight="1" s="36">
      <c r="A79" s="751" t="inlineStr">
        <is>
          <t>CS010</t>
        </is>
      </c>
      <c r="B79" s="751" t="inlineStr">
        <is>
          <t>CS010-001</t>
        </is>
      </c>
      <c r="C79" s="751" t="inlineStr">
        <is>
          <t>CS010-001_GLOBALG.A.P._General_Regulations_-_Rules_for_aquaculture_scope.pdf</t>
        </is>
      </c>
      <c r="D79" s="751" t="inlineStr">
        <is>
          <t>STORED</t>
        </is>
      </c>
      <c r="E79" s="751">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
      </c>
      <c r="F79" s="751" t="inlineStr">
        <is>
          <t>SUCCESS</t>
        </is>
      </c>
      <c r="G79" s="755" t="n">
        <v>46262.53115740741</v>
      </c>
      <c r="H79" s="755" t="n">
        <v>46262.53115740741</v>
      </c>
      <c r="I79" s="751" t="inlineStr">
        <is>
          <t>INITIAL</t>
        </is>
      </c>
      <c r="J79" s="751" t="inlineStr">
        <is>
          <t>AUTO</t>
        </is>
      </c>
      <c r="K79" s="757">
        <f>IF(A79="","",IF(J79="AUTO",H79,IF(J79="MANUAL",AK79,"")))</f>
        <v/>
      </c>
      <c r="L79" s="751" t="inlineStr">
        <is>
          <t>NONE</t>
        </is>
      </c>
      <c r="M79" s="751" t="n"/>
      <c r="N79" s="751">
        <f>IF(A79="","",IF(COUNTIFS('Human Operation Desktop'!$A$3:$A$502,A79,'Human Operation Desktop'!$I$3:$I$502,"&lt;&gt;APPLIED",'Human Operation Desktop'!$I$3:$I$502,"&lt;&gt;REJECTED")&gt;0,"YES","NO"))</f>
        <v/>
      </c>
      <c r="O79" s="751" t="inlineStr">
        <is>
          <t>ce5c8950c69e3b5b60b85110f5abd2c6d8637c83291c6c00ac03f28b102dac54</t>
        </is>
      </c>
      <c r="P79" s="752" t="inlineStr">
        <is>
          <t>GLOBALG.A.P. General Regulations - Rules for aquaculture scope</t>
        </is>
      </c>
      <c r="Q79" s="752" t="inlineStr">
        <is>
          <t>https://globalgap.org/what-we-offer/solutions/ifa-aquaculture/</t>
        </is>
      </c>
      <c r="R79" s="752" t="inlineStr">
        <is>
          <t>https://documents.globalgap.org/documents/220929_GG_GR_Rules_for_aquaculture_v6_0_Sep22_en.pdf</t>
        </is>
      </c>
      <c r="S79" s="752" t="inlineStr">
        <is>
          <t>C_Certification_Scheme</t>
        </is>
      </c>
      <c r="T79" s="752" t="inlineStr">
        <is>
          <t>pdf</t>
        </is>
      </c>
      <c r="U79" s="752" t="inlineStr">
        <is>
          <t>GLOBALG.A.P.</t>
        </is>
      </c>
      <c r="V79" s="752" t="inlineStr">
        <is>
          <t>International</t>
        </is>
      </c>
      <c r="W79" s="752" t="inlineStr">
        <is>
          <t>English</t>
        </is>
      </c>
      <c r="X79" s="752" t="inlineStr">
        <is>
          <t>6.0</t>
        </is>
      </c>
      <c r="Y79" s="752" t="n"/>
      <c r="Z79" s="752" t="inlineStr">
        <is>
          <t>Certification scheme</t>
        </is>
      </c>
      <c r="AA79" s="752" t="inlineStr">
        <is>
          <t>Scheme standard</t>
        </is>
      </c>
      <c r="AB79" s="752" t="inlineStr">
        <is>
          <t>Referenced normative</t>
        </is>
      </c>
      <c r="AC79" s="752" t="inlineStr">
        <is>
          <t>Official referenced source from GLOBALG.A.P.; included because an applicable law, permit or certification scheme may make its provisions binding within the approved scope.</t>
        </is>
      </c>
      <c r="AD79" s="752" t="inlineStr">
        <is>
          <t>HIGH</t>
        </is>
      </c>
      <c r="AE79" s="752" t="inlineStr">
        <is>
          <t>HIGH</t>
        </is>
      </c>
      <c r="AF79" s="752" t="inlineStr">
        <is>
          <t>HIGH</t>
        </is>
      </c>
      <c r="AG79" s="752" t="inlineStr">
        <is>
          <t>HIGH</t>
        </is>
      </c>
      <c r="AH79" s="752" t="inlineStr">
        <is>
          <t>HIGH</t>
        </is>
      </c>
      <c r="AI79" s="752" t="inlineStr">
        <is>
          <t>HIGH</t>
        </is>
      </c>
      <c r="AJ79" s="752" t="inlineStr">
        <is>
          <t>INCLUDE</t>
        </is>
      </c>
      <c r="AK79" s="759" t="n"/>
      <c r="AL79" s="752" t="n"/>
      <c r="AM79" s="752" t="inlineStr">
        <is>
          <t>CURRENT</t>
        </is>
      </c>
      <c r="AN79" s="752" t="inlineStr">
        <is>
          <t>CS008</t>
        </is>
      </c>
      <c r="AO79" s="752" t="inlineStr">
        <is>
          <t>Official expansion. GLOBALG.A.P. identifies the general regulations as required for certification.</t>
        </is>
      </c>
      <c r="AP79" s="752" t="inlineStr">
        <is>
          <t>OFFICIAL_WEBSITE</t>
        </is>
      </c>
      <c r="AQ79" s="752" t="inlineStr">
        <is>
          <t>OFFICIAL_ORIGINAL</t>
        </is>
      </c>
      <c r="AR79" s="752" t="inlineStr">
        <is>
          <t>VERSIONED</t>
        </is>
      </c>
      <c r="AS79" s="752" t="n"/>
    </row>
    <row r="80" ht="30" customHeight="1" s="36">
      <c r="A80" s="751" t="inlineStr">
        <is>
          <t>CS011</t>
        </is>
      </c>
      <c r="B80" s="751" t="inlineStr">
        <is>
          <t>CS011-001</t>
        </is>
      </c>
      <c r="C80" s="751" t="inlineStr">
        <is>
          <t>CS011-001_GLOBALG.A.P._GRASP_v2_-_Principles_and_criteria.pdf</t>
        </is>
      </c>
      <c r="D80" s="751" t="inlineStr">
        <is>
          <t>STORED</t>
        </is>
      </c>
      <c r="E80" s="751">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
      </c>
      <c r="F80" s="751" t="inlineStr">
        <is>
          <t>SUCCESS</t>
        </is>
      </c>
      <c r="G80" s="755" t="n">
        <v>46262.53115740741</v>
      </c>
      <c r="H80" s="755" t="n">
        <v>46262.53116898148</v>
      </c>
      <c r="I80" s="751" t="inlineStr">
        <is>
          <t>INITIAL</t>
        </is>
      </c>
      <c r="J80" s="751" t="inlineStr">
        <is>
          <t>AUTO</t>
        </is>
      </c>
      <c r="K80" s="757">
        <f>IF(A80="","",IF(J80="AUTO",H80,IF(J80="MANUAL",AK80,"")))</f>
        <v/>
      </c>
      <c r="L80" s="751" t="inlineStr">
        <is>
          <t>NONE</t>
        </is>
      </c>
      <c r="M80" s="751" t="n"/>
      <c r="N80" s="751">
        <f>IF(A80="","",IF(COUNTIFS('Human Operation Desktop'!$A$3:$A$502,A80,'Human Operation Desktop'!$I$3:$I$502,"&lt;&gt;APPLIED",'Human Operation Desktop'!$I$3:$I$502,"&lt;&gt;REJECTED")&gt;0,"YES","NO"))</f>
        <v/>
      </c>
      <c r="O80" s="751" t="inlineStr">
        <is>
          <t>5b5c05855c1b0c422755facc234a7d4584eb37f8671421885d7dcc62f9a0e9e8</t>
        </is>
      </c>
      <c r="P80" s="752" t="inlineStr">
        <is>
          <t>GLOBALG.A.P. GRASP v2 - Principles and criteria</t>
        </is>
      </c>
      <c r="Q80" s="752" t="inlineStr">
        <is>
          <t>https://globalgap.org/what-we-offer/solutions/grasp/</t>
        </is>
      </c>
      <c r="R80" s="752" t="inlineStr">
        <is>
          <t>https://documents.globalgap.org/documents/220929_GRASP_PCs_v2_0_Sep22_en.pdf</t>
        </is>
      </c>
      <c r="S80" s="752" t="inlineStr">
        <is>
          <t>C_Certification_Scheme</t>
        </is>
      </c>
      <c r="T80" s="752" t="inlineStr">
        <is>
          <t>pdf</t>
        </is>
      </c>
      <c r="U80" s="752" t="inlineStr">
        <is>
          <t>GLOBALG.A.P.</t>
        </is>
      </c>
      <c r="V80" s="752" t="inlineStr">
        <is>
          <t>International</t>
        </is>
      </c>
      <c r="W80" s="752" t="inlineStr">
        <is>
          <t>English</t>
        </is>
      </c>
      <c r="X80" s="752" t="inlineStr">
        <is>
          <t>2.0_Sep22</t>
        </is>
      </c>
      <c r="Y80" s="752" t="n"/>
      <c r="Z80" s="752" t="inlineStr">
        <is>
          <t>Certification scheme</t>
        </is>
      </c>
      <c r="AA80" s="752" t="inlineStr">
        <is>
          <t>Scheme standard</t>
        </is>
      </c>
      <c r="AB80" s="752" t="inlineStr">
        <is>
          <t>Referenced normative</t>
        </is>
      </c>
      <c r="AC80" s="752" t="inlineStr">
        <is>
          <t>Official referenced source from GLOBALG.A.P.; included because an applicable law, permit or certification scheme may make its provisions binding within the approved scope.</t>
        </is>
      </c>
      <c r="AD80" s="752" t="inlineStr">
        <is>
          <t>HIGH</t>
        </is>
      </c>
      <c r="AE80" s="752" t="inlineStr">
        <is>
          <t>HIGH</t>
        </is>
      </c>
      <c r="AF80" s="752" t="inlineStr">
        <is>
          <t>HIGH</t>
        </is>
      </c>
      <c r="AG80" s="752" t="inlineStr">
        <is>
          <t>HIGH</t>
        </is>
      </c>
      <c r="AH80" s="752" t="inlineStr">
        <is>
          <t>HIGH</t>
        </is>
      </c>
      <c r="AI80" s="752" t="inlineStr">
        <is>
          <t>HIGH</t>
        </is>
      </c>
      <c r="AJ80" s="752" t="inlineStr">
        <is>
          <t>INCLUDE</t>
        </is>
      </c>
      <c r="AK80" s="759" t="n"/>
      <c r="AL80" s="752" t="n"/>
      <c r="AM80" s="752" t="inlineStr">
        <is>
          <t>CURRENT</t>
        </is>
      </c>
      <c r="AN80" s="752" t="inlineStr">
        <is>
          <t>CS008</t>
        </is>
      </c>
      <c r="AO80" s="752" t="inlineStr">
        <is>
          <t>Official expansion. GLOBALG.A.P. states GRASP is mandatory for IFA aquaculture audits.</t>
        </is>
      </c>
      <c r="AP80" s="752" t="inlineStr">
        <is>
          <t>OFFICIAL_WEBSITE</t>
        </is>
      </c>
      <c r="AQ80" s="752" t="inlineStr">
        <is>
          <t>OFFICIAL_ORIGINAL</t>
        </is>
      </c>
      <c r="AR80" s="752" t="inlineStr">
        <is>
          <t>VERSIONED</t>
        </is>
      </c>
      <c r="AS80" s="752" t="n"/>
    </row>
    <row r="81" ht="30" customHeight="1" s="36">
      <c r="A81" s="751" t="inlineStr">
        <is>
          <t>CS012</t>
        </is>
      </c>
      <c r="B81" s="751" t="inlineStr">
        <is>
          <t>CS012-001</t>
        </is>
      </c>
      <c r="C81" s="751" t="inlineStr">
        <is>
          <t>CS012-001_GLOBALG.A.P._Compound_Feed_Manufacturing_Standard.pdf</t>
        </is>
      </c>
      <c r="D81" s="751" t="inlineStr">
        <is>
          <t>NOT_COLLECTED</t>
        </is>
      </c>
      <c r="E81" s="751">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
      </c>
      <c r="F81" s="751" t="inlineStr">
        <is>
          <t>NOT_RUN</t>
        </is>
      </c>
      <c r="G81" s="755" t="n"/>
      <c r="H81" s="755" t="n"/>
      <c r="I81" s="751" t="inlineStr">
        <is>
          <t>UNKNOWN</t>
        </is>
      </c>
      <c r="J81" s="751" t="inlineStr">
        <is>
          <t>NONE</t>
        </is>
      </c>
      <c r="K81" s="757">
        <f>IF(A81="","",IF(J81="AUTO",H81,IF(J81="MANUAL",AK81,"")))</f>
        <v/>
      </c>
      <c r="L81" s="751" t="inlineStr">
        <is>
          <t>NONE</t>
        </is>
      </c>
      <c r="M81" s="751" t="n"/>
      <c r="N81" s="751">
        <f>IF(A81="","",IF(COUNTIFS('Human Operation Desktop'!$A$3:$A$502,A81,'Human Operation Desktop'!$I$3:$I$502,"&lt;&gt;APPLIED",'Human Operation Desktop'!$I$3:$I$502,"&lt;&gt;REJECTED")&gt;0,"YES","NO"))</f>
        <v/>
      </c>
      <c r="O81" s="751" t="n"/>
      <c r="P81" s="752" t="inlineStr">
        <is>
          <t>GLOBALG.A.P. Compound Feed Manufacturing Standard</t>
        </is>
      </c>
      <c r="Q81" s="752" t="inlineStr">
        <is>
          <t>https://globalgap.org/what-we-offer/solutions/compound-feed-manufacturing/</t>
        </is>
      </c>
      <c r="R81" s="752" t="n"/>
      <c r="S81" s="752" t="inlineStr">
        <is>
          <t>C_Certification_Scheme</t>
        </is>
      </c>
      <c r="T81" s="752" t="inlineStr">
        <is>
          <t>pdf</t>
        </is>
      </c>
      <c r="U81" s="752" t="inlineStr">
        <is>
          <t>GLOBALG.A.P.</t>
        </is>
      </c>
      <c r="V81" s="752" t="inlineStr">
        <is>
          <t>International</t>
        </is>
      </c>
      <c r="W81" s="752" t="inlineStr">
        <is>
          <t>English</t>
        </is>
      </c>
      <c r="X81" s="752" t="n"/>
      <c r="Y81" s="752" t="n"/>
      <c r="Z81" s="752" t="inlineStr">
        <is>
          <t>Certification scheme</t>
        </is>
      </c>
      <c r="AA81" s="752" t="inlineStr">
        <is>
          <t>Scheme standard</t>
        </is>
      </c>
      <c r="AB81" s="752" t="inlineStr">
        <is>
          <t>Referenced normative</t>
        </is>
      </c>
      <c r="AC81" s="752" t="inlineStr">
        <is>
          <t>Official referenced source from GLOBALG.A.P.; included because an applicable law, permit or certification scheme may make its provisions binding within the approved scope.</t>
        </is>
      </c>
      <c r="AD81" s="752" t="inlineStr">
        <is>
          <t>HIGH</t>
        </is>
      </c>
      <c r="AE81" s="752" t="inlineStr">
        <is>
          <t>HIGH</t>
        </is>
      </c>
      <c r="AF81" s="752" t="inlineStr">
        <is>
          <t>MEDIUM</t>
        </is>
      </c>
      <c r="AG81" s="752" t="inlineStr">
        <is>
          <t>MEDIUM</t>
        </is>
      </c>
      <c r="AH81" s="752" t="inlineStr">
        <is>
          <t>HIGH</t>
        </is>
      </c>
      <c r="AI81" s="752" t="inlineStr">
        <is>
          <t>LOW</t>
        </is>
      </c>
      <c r="AJ81" s="752" t="inlineStr">
        <is>
          <t>PENDING</t>
        </is>
      </c>
      <c r="AK81" s="759" t="n"/>
      <c r="AL81" s="752" t="n"/>
      <c r="AM81" s="752" t="inlineStr">
        <is>
          <t>CURRENT</t>
        </is>
      </c>
      <c r="AN81" s="752" t="inlineStr">
        <is>
          <t>CS008</t>
        </is>
      </c>
      <c r="AO81" s="752" t="inlineStr">
        <is>
          <t>Official expansion. Relevant to feed-sourcing requirements under IFA aquaculture.</t>
        </is>
      </c>
      <c r="AP81" s="752" t="inlineStr">
        <is>
          <t>OFFICIAL_WEBSITE</t>
        </is>
      </c>
      <c r="AQ81" s="752" t="inlineStr">
        <is>
          <t>OFFICIAL_ORIGINAL</t>
        </is>
      </c>
      <c r="AR81" s="752" t="inlineStr">
        <is>
          <t>VERSIONED</t>
        </is>
      </c>
      <c r="AS81" s="752" t="n"/>
    </row>
    <row r="82" ht="30" customHeight="1" s="36">
      <c r="A82" s="751" t="inlineStr">
        <is>
          <t>CS013</t>
        </is>
      </c>
      <c r="B82" s="751" t="inlineStr">
        <is>
          <t>CS013-001</t>
        </is>
      </c>
      <c r="C82" s="751" t="inlineStr">
        <is>
          <t>CS013-001_GLOBALG.A.P._General_Regulations_-_Rules_for_individual_producers.pdf</t>
        </is>
      </c>
      <c r="D82" s="751" t="inlineStr">
        <is>
          <t>STORED</t>
        </is>
      </c>
      <c r="E82" s="751">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
      </c>
      <c r="F82" s="751" t="inlineStr">
        <is>
          <t>SUCCESS</t>
        </is>
      </c>
      <c r="G82" s="755" t="n">
        <v>46262.53116898148</v>
      </c>
      <c r="H82" s="755" t="n">
        <v>46262.53118055555</v>
      </c>
      <c r="I82" s="751" t="inlineStr">
        <is>
          <t>INITIAL</t>
        </is>
      </c>
      <c r="J82" s="751" t="inlineStr">
        <is>
          <t>AUTO</t>
        </is>
      </c>
      <c r="K82" s="757">
        <f>IF(A82="","",IF(J82="AUTO",H82,IF(J82="MANUAL",AK82,"")))</f>
        <v/>
      </c>
      <c r="L82" s="751" t="inlineStr">
        <is>
          <t>NONE</t>
        </is>
      </c>
      <c r="M82" s="751" t="n"/>
      <c r="N82" s="751">
        <f>IF(A82="","",IF(COUNTIFS('Human Operation Desktop'!$A$3:$A$502,A82,'Human Operation Desktop'!$I$3:$I$502,"&lt;&gt;APPLIED",'Human Operation Desktop'!$I$3:$I$502,"&lt;&gt;REJECTED")&gt;0,"YES","NO"))</f>
        <v/>
      </c>
      <c r="O82" s="751" t="inlineStr">
        <is>
          <t>1015d3e9d049ce63876f8e511408e9d9e61c38598caf48442dc42be26c6d2716</t>
        </is>
      </c>
      <c r="P82" s="752" t="inlineStr">
        <is>
          <t>GLOBALG.A.P. General Regulations - Rules for individual producers</t>
        </is>
      </c>
      <c r="Q82" s="752" t="inlineStr">
        <is>
          <t>https://globalgap.org/what-we-offer/solutions/ifa-aquaculture/</t>
        </is>
      </c>
      <c r="R82" s="752" t="inlineStr">
        <is>
          <t>https://documents.globalgap.org/documents/240902_GG_GR_Rules_for_IP_v6_0_Aug24_en.pdf</t>
        </is>
      </c>
      <c r="S82" s="752" t="inlineStr">
        <is>
          <t>C_Certification_Scheme</t>
        </is>
      </c>
      <c r="T82" s="752" t="inlineStr">
        <is>
          <t>pdf</t>
        </is>
      </c>
      <c r="U82" s="752" t="inlineStr">
        <is>
          <t>GLOBALG.A.P.</t>
        </is>
      </c>
      <c r="V82" s="752" t="inlineStr">
        <is>
          <t>International</t>
        </is>
      </c>
      <c r="W82" s="752" t="inlineStr">
        <is>
          <t>English</t>
        </is>
      </c>
      <c r="X82" s="752" t="inlineStr">
        <is>
          <t>6.0_Aug24</t>
        </is>
      </c>
      <c r="Y82" s="752" t="n">
        <v>45510</v>
      </c>
      <c r="Z82" s="752" t="inlineStr">
        <is>
          <t>Certification scheme</t>
        </is>
      </c>
      <c r="AA82" s="752" t="inlineStr">
        <is>
          <t>Scheme standard</t>
        </is>
      </c>
      <c r="AB82" s="752" t="inlineStr">
        <is>
          <t>Referenced normative</t>
        </is>
      </c>
      <c r="AC82" s="752" t="inlineStr">
        <is>
          <t>Official referenced source from GLOBALG.A.P.; included because an applicable law, permit or certification scheme may make its provisions binding within the approved scope.</t>
        </is>
      </c>
      <c r="AD82" s="752" t="inlineStr">
        <is>
          <t>HIGH</t>
        </is>
      </c>
      <c r="AE82" s="752" t="inlineStr">
        <is>
          <t>MEDIUM</t>
        </is>
      </c>
      <c r="AF82" s="752" t="inlineStr">
        <is>
          <t>HIGH</t>
        </is>
      </c>
      <c r="AG82" s="752" t="inlineStr">
        <is>
          <t>HIGH</t>
        </is>
      </c>
      <c r="AH82" s="752" t="inlineStr">
        <is>
          <t>HIGH</t>
        </is>
      </c>
      <c r="AI82" s="752" t="inlineStr">
        <is>
          <t>HIGH</t>
        </is>
      </c>
      <c r="AJ82" s="752" t="inlineStr">
        <is>
          <t>PENDING</t>
        </is>
      </c>
      <c r="AK82" s="759" t="n"/>
      <c r="AL82" s="752" t="n"/>
      <c r="AM82" s="752" t="inlineStr">
        <is>
          <t>CURRENT</t>
        </is>
      </c>
      <c r="AN82" s="752" t="inlineStr">
        <is>
          <t>CS008</t>
        </is>
      </c>
      <c r="AO82" s="752" t="inlineStr">
        <is>
          <t>Coverage-audit expansion. The project checklist explicitly cites these rules for individual-producer self-assessment and certification.</t>
        </is>
      </c>
      <c r="AP82" s="752" t="inlineStr">
        <is>
          <t>OFFICIAL_WEBSITE</t>
        </is>
      </c>
      <c r="AQ82" s="752" t="inlineStr">
        <is>
          <t>OFFICIAL_ORIGINAL</t>
        </is>
      </c>
      <c r="AR82" s="752" t="inlineStr">
        <is>
          <t>VERSIONED</t>
        </is>
      </c>
      <c r="AS82" s="752" t="n"/>
    </row>
    <row r="83" ht="30" customHeight="1" s="36">
      <c r="A83" s="751" t="inlineStr">
        <is>
          <t>CS014</t>
        </is>
      </c>
      <c r="B83" s="751" t="inlineStr">
        <is>
          <t>CS014-001</t>
        </is>
      </c>
      <c r="C83" s="751" t="inlineStr">
        <is>
          <t>CS014-001_GLOBALG.A.P._General_Regulations_-_Rules_for_producer_groups_and_multisite_producers_with_QMS.pdf</t>
        </is>
      </c>
      <c r="D83" s="751" t="inlineStr">
        <is>
          <t>STORED</t>
        </is>
      </c>
      <c r="E83" s="751">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
      </c>
      <c r="F83" s="751" t="inlineStr">
        <is>
          <t>SUCCESS</t>
        </is>
      </c>
      <c r="G83" s="755" t="n">
        <v>46262.53118055555</v>
      </c>
      <c r="H83" s="755" t="n">
        <v>46262.53119212963</v>
      </c>
      <c r="I83" s="751" t="inlineStr">
        <is>
          <t>INITIAL</t>
        </is>
      </c>
      <c r="J83" s="751" t="inlineStr">
        <is>
          <t>AUTO</t>
        </is>
      </c>
      <c r="K83" s="757">
        <f>IF(A83="","",IF(J83="AUTO",H83,IF(J83="MANUAL",AK83,"")))</f>
        <v/>
      </c>
      <c r="L83" s="751" t="inlineStr">
        <is>
          <t>NONE</t>
        </is>
      </c>
      <c r="M83" s="751" t="n"/>
      <c r="N83" s="751">
        <f>IF(A83="","",IF(COUNTIFS('Human Operation Desktop'!$A$3:$A$502,A83,'Human Operation Desktop'!$I$3:$I$502,"&lt;&gt;APPLIED",'Human Operation Desktop'!$I$3:$I$502,"&lt;&gt;REJECTED")&gt;0,"YES","NO"))</f>
        <v/>
      </c>
      <c r="O83" s="751" t="inlineStr">
        <is>
          <t>28042ea052f0ef9fe863d94d9035ef3fe4b390ef0f51c304eeb677cf22156dcf</t>
        </is>
      </c>
      <c r="P83" s="752" t="inlineStr">
        <is>
          <t>GLOBALG.A.P. General Regulations - Rules for producer groups and multisite producers with QMS</t>
        </is>
      </c>
      <c r="Q83" s="752" t="inlineStr">
        <is>
          <t>https://globalgap.org/what-we-offer/solutions/ifa-aquaculture/</t>
        </is>
      </c>
      <c r="R83" s="752" t="inlineStr">
        <is>
          <t>https://documents.globalgap.org/documents/240902_GG_GR_Rules_for_QMS_v6_0_Aug24_en.pdf</t>
        </is>
      </c>
      <c r="S83" s="752" t="inlineStr">
        <is>
          <t>C_Certification_Scheme</t>
        </is>
      </c>
      <c r="T83" s="752" t="inlineStr">
        <is>
          <t>pdf</t>
        </is>
      </c>
      <c r="U83" s="752" t="inlineStr">
        <is>
          <t>GLOBALG.A.P.</t>
        </is>
      </c>
      <c r="V83" s="752" t="inlineStr">
        <is>
          <t>International</t>
        </is>
      </c>
      <c r="W83" s="752" t="inlineStr">
        <is>
          <t>English</t>
        </is>
      </c>
      <c r="X83" s="752" t="inlineStr">
        <is>
          <t>6.0_Aug24</t>
        </is>
      </c>
      <c r="Y83" s="752" t="n">
        <v>45510</v>
      </c>
      <c r="Z83" s="752" t="inlineStr">
        <is>
          <t>Certification scheme</t>
        </is>
      </c>
      <c r="AA83" s="752" t="inlineStr">
        <is>
          <t>Scheme standard</t>
        </is>
      </c>
      <c r="AB83" s="752" t="inlineStr">
        <is>
          <t>Referenced normative</t>
        </is>
      </c>
      <c r="AC83" s="752" t="inlineStr">
        <is>
          <t>Official referenced source from GLOBALG.A.P.; included because an applicable law, permit or certification scheme may make its provisions binding within the approved scope.</t>
        </is>
      </c>
      <c r="AD83" s="752" t="inlineStr">
        <is>
          <t>HIGH</t>
        </is>
      </c>
      <c r="AE83" s="752" t="inlineStr">
        <is>
          <t>MEDIUM</t>
        </is>
      </c>
      <c r="AF83" s="752" t="inlineStr">
        <is>
          <t>HIGH</t>
        </is>
      </c>
      <c r="AG83" s="752" t="inlineStr">
        <is>
          <t>HIGH</t>
        </is>
      </c>
      <c r="AH83" s="752" t="inlineStr">
        <is>
          <t>HIGH</t>
        </is>
      </c>
      <c r="AI83" s="752" t="inlineStr">
        <is>
          <t>HIGH</t>
        </is>
      </c>
      <c r="AJ83" s="752" t="inlineStr">
        <is>
          <t>PENDING</t>
        </is>
      </c>
      <c r="AK83" s="759" t="n"/>
      <c r="AL83" s="752" t="n"/>
      <c r="AM83" s="752" t="inlineStr">
        <is>
          <t>CURRENT</t>
        </is>
      </c>
      <c r="AN83" s="752" t="inlineStr">
        <is>
          <t>CS008</t>
        </is>
      </c>
      <c r="AO83" s="752" t="inlineStr">
        <is>
          <t>Coverage-audit expansion. The project checklist explicitly cites these rules for QMS audits and group or multisite certification.</t>
        </is>
      </c>
      <c r="AP83" s="752" t="inlineStr">
        <is>
          <t>OFFICIAL_WEBSITE</t>
        </is>
      </c>
      <c r="AQ83" s="752" t="inlineStr">
        <is>
          <t>OFFICIAL_ORIGINAL</t>
        </is>
      </c>
      <c r="AR83" s="752" t="inlineStr">
        <is>
          <t>VERSIONED</t>
        </is>
      </c>
      <c r="AS83" s="752" t="n"/>
    </row>
    <row r="84" ht="30" customHeight="1" s="36">
      <c r="A84" s="751" t="inlineStr">
        <is>
          <t>CS015</t>
        </is>
      </c>
      <c r="B84" s="751" t="inlineStr">
        <is>
          <t>CS015-001</t>
        </is>
      </c>
      <c r="C84" s="751" t="inlineStr">
        <is>
          <t>CS015-001_GLOBALG.A.P._trademarks_use_Policy_and_guidelines.pdf</t>
        </is>
      </c>
      <c r="D84" s="751" t="inlineStr">
        <is>
          <t>STORED</t>
        </is>
      </c>
      <c r="E84" s="751">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
      </c>
      <c r="F84" s="751" t="inlineStr">
        <is>
          <t>SUCCESS</t>
        </is>
      </c>
      <c r="G84" s="755" t="n">
        <v>46262.53119212963</v>
      </c>
      <c r="H84" s="755" t="n">
        <v>46262.5312037037</v>
      </c>
      <c r="I84" s="751" t="inlineStr">
        <is>
          <t>INITIAL</t>
        </is>
      </c>
      <c r="J84" s="751" t="inlineStr">
        <is>
          <t>AUTO</t>
        </is>
      </c>
      <c r="K84" s="757">
        <f>IF(A84="","",IF(J84="AUTO",H84,IF(J84="MANUAL",AK84,"")))</f>
        <v/>
      </c>
      <c r="L84" s="751" t="inlineStr">
        <is>
          <t>NONE</t>
        </is>
      </c>
      <c r="M84" s="751" t="n"/>
      <c r="N84" s="751">
        <f>IF(A84="","",IF(COUNTIFS('Human Operation Desktop'!$A$3:$A$502,A84,'Human Operation Desktop'!$I$3:$I$502,"&lt;&gt;APPLIED",'Human Operation Desktop'!$I$3:$I$502,"&lt;&gt;REJECTED")&gt;0,"YES","NO"))</f>
        <v/>
      </c>
      <c r="O84" s="751" t="inlineStr">
        <is>
          <t>7279130c3617610cebaaceb4ecae44014f8df742aa4a7ac741a4e4346a066096</t>
        </is>
      </c>
      <c r="P84" s="752" t="inlineStr">
        <is>
          <t>GLOBALG.A.P. trademarks use: Policy and guidelines</t>
        </is>
      </c>
      <c r="Q84" s="752" t="inlineStr">
        <is>
          <t>https://globalgap.org/what-we-offer/solutions/ifa-aquaculture/</t>
        </is>
      </c>
      <c r="R84" s="752" t="inlineStr">
        <is>
          <t>https://documents.globalgap.org/documents/230523_GG_Trademarks_policy_v1_0-1_en.pdf</t>
        </is>
      </c>
      <c r="S84" s="752" t="inlineStr">
        <is>
          <t>C_Certification_Scheme</t>
        </is>
      </c>
      <c r="T84" s="752" t="inlineStr">
        <is>
          <t>pdf</t>
        </is>
      </c>
      <c r="U84" s="752" t="inlineStr">
        <is>
          <t>GLOBALG.A.P.</t>
        </is>
      </c>
      <c r="V84" s="752" t="inlineStr">
        <is>
          <t>International</t>
        </is>
      </c>
      <c r="W84" s="752" t="inlineStr">
        <is>
          <t>English</t>
        </is>
      </c>
      <c r="X84" s="752" t="inlineStr">
        <is>
          <t>1.0-1</t>
        </is>
      </c>
      <c r="Y84" s="752" t="n"/>
      <c r="Z84" s="752" t="inlineStr">
        <is>
          <t>Certification scheme</t>
        </is>
      </c>
      <c r="AA84" s="752" t="inlineStr">
        <is>
          <t>Scheme standard</t>
        </is>
      </c>
      <c r="AB84" s="752" t="inlineStr">
        <is>
          <t>Referenced normative</t>
        </is>
      </c>
      <c r="AC84" s="752" t="inlineStr">
        <is>
          <t>Official referenced source from GLOBALG.A.P.; included because an applicable law, permit or certification scheme may make its provisions binding within the approved scope.</t>
        </is>
      </c>
      <c r="AD84" s="752" t="inlineStr">
        <is>
          <t>HIGH</t>
        </is>
      </c>
      <c r="AE84" s="752" t="inlineStr">
        <is>
          <t>HIGH</t>
        </is>
      </c>
      <c r="AF84" s="752" t="inlineStr">
        <is>
          <t>HIGH</t>
        </is>
      </c>
      <c r="AG84" s="752" t="inlineStr">
        <is>
          <t>HIGH</t>
        </is>
      </c>
      <c r="AH84" s="752" t="inlineStr">
        <is>
          <t>HIGH</t>
        </is>
      </c>
      <c r="AI84" s="752" t="inlineStr">
        <is>
          <t>HIGH</t>
        </is>
      </c>
      <c r="AJ84" s="752" t="inlineStr">
        <is>
          <t>INCLUDE</t>
        </is>
      </c>
      <c r="AK84" s="759" t="n"/>
      <c r="AL84" s="752" t="n"/>
      <c r="AM84" s="752" t="inlineStr">
        <is>
          <t>CURRENT</t>
        </is>
      </c>
      <c r="AN84" s="752" t="inlineStr">
        <is>
          <t>CS008</t>
        </is>
      </c>
      <c r="AO84" s="752" t="inlineStr">
        <is>
          <t>Coverage-audit expansion. The project checklist cites this policy for certification claims, marks and identification numbers.</t>
        </is>
      </c>
      <c r="AP84" s="752" t="inlineStr">
        <is>
          <t>OFFICIAL_WEBSITE</t>
        </is>
      </c>
      <c r="AQ84" s="752" t="inlineStr">
        <is>
          <t>OFFICIAL_ORIGINAL</t>
        </is>
      </c>
      <c r="AR84" s="752" t="inlineStr">
        <is>
          <t>VERSIONED</t>
        </is>
      </c>
      <c r="AS84" s="752" t="n"/>
    </row>
    <row r="85" ht="30" customHeight="1" s="36">
      <c r="A85" s="751" t="inlineStr">
        <is>
          <t>CS016</t>
        </is>
      </c>
      <c r="B85" s="751" t="inlineStr">
        <is>
          <t>CS016-001</t>
        </is>
      </c>
      <c r="C85" s="751" t="inlineStr">
        <is>
          <t>CS016-001_GLOBALG.A.P._GRASP_-_General_Rules.pdf</t>
        </is>
      </c>
      <c r="D85" s="751" t="inlineStr">
        <is>
          <t>STORED</t>
        </is>
      </c>
      <c r="E85" s="751">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
      </c>
      <c r="F85" s="751" t="inlineStr">
        <is>
          <t>SUCCESS</t>
        </is>
      </c>
      <c r="G85" s="755" t="n">
        <v>46262.5312037037</v>
      </c>
      <c r="H85" s="755" t="n">
        <v>46262.53121527778</v>
      </c>
      <c r="I85" s="751" t="inlineStr">
        <is>
          <t>INITIAL</t>
        </is>
      </c>
      <c r="J85" s="751" t="inlineStr">
        <is>
          <t>AUTO</t>
        </is>
      </c>
      <c r="K85" s="757">
        <f>IF(A85="","",IF(J85="AUTO",H85,IF(J85="MANUAL",AK85,"")))</f>
        <v/>
      </c>
      <c r="L85" s="751" t="inlineStr">
        <is>
          <t>NONE</t>
        </is>
      </c>
      <c r="M85" s="751" t="n"/>
      <c r="N85" s="751">
        <f>IF(A85="","",IF(COUNTIFS('Human Operation Desktop'!$A$3:$A$502,A85,'Human Operation Desktop'!$I$3:$I$502,"&lt;&gt;APPLIED",'Human Operation Desktop'!$I$3:$I$502,"&lt;&gt;REJECTED")&gt;0,"YES","NO"))</f>
        <v/>
      </c>
      <c r="O85" s="751" t="inlineStr">
        <is>
          <t>57c35d150287f8092a9af4a79842d206e1761e9428cf9201d828f9ac563a96e5</t>
        </is>
      </c>
      <c r="P85" s="752" t="inlineStr">
        <is>
          <t>GLOBALG.A.P. GRASP - General Rules</t>
        </is>
      </c>
      <c r="Q85" s="752" t="inlineStr">
        <is>
          <t>https://globalgap.org/what-we-offer/solutions/grasp/</t>
        </is>
      </c>
      <c r="R85" s="752" t="inlineStr">
        <is>
          <t>https://documents.globalgap.org/documents/220929_GRASP_general_rules_v2_0_Sep22_en.pdf</t>
        </is>
      </c>
      <c r="S85" s="752" t="inlineStr">
        <is>
          <t>C_Certification_Scheme</t>
        </is>
      </c>
      <c r="T85" s="752" t="inlineStr">
        <is>
          <t>pdf</t>
        </is>
      </c>
      <c r="U85" s="752" t="inlineStr">
        <is>
          <t>GLOBALG.A.P.</t>
        </is>
      </c>
      <c r="V85" s="752" t="inlineStr">
        <is>
          <t>International</t>
        </is>
      </c>
      <c r="W85" s="752" t="inlineStr">
        <is>
          <t>English</t>
        </is>
      </c>
      <c r="X85" s="752" t="inlineStr">
        <is>
          <t>2.0_Sep22</t>
        </is>
      </c>
      <c r="Y85" s="752" t="n">
        <v>45292</v>
      </c>
      <c r="Z85" s="752" t="inlineStr">
        <is>
          <t>Certification scheme</t>
        </is>
      </c>
      <c r="AA85" s="752" t="inlineStr">
        <is>
          <t>Scheme standard</t>
        </is>
      </c>
      <c r="AB85" s="752" t="inlineStr">
        <is>
          <t>Referenced normative</t>
        </is>
      </c>
      <c r="AC85" s="752" t="inlineStr">
        <is>
          <t>Official referenced source from GLOBALG.A.P.; included because an applicable law, permit or certification scheme may make its provisions binding within the approved scope.</t>
        </is>
      </c>
      <c r="AD85" s="752" t="inlineStr">
        <is>
          <t>HIGH</t>
        </is>
      </c>
      <c r="AE85" s="752" t="inlineStr">
        <is>
          <t>HIGH</t>
        </is>
      </c>
      <c r="AF85" s="752" t="inlineStr">
        <is>
          <t>HIGH</t>
        </is>
      </c>
      <c r="AG85" s="752" t="inlineStr">
        <is>
          <t>HIGH</t>
        </is>
      </c>
      <c r="AH85" s="752" t="inlineStr">
        <is>
          <t>HIGH</t>
        </is>
      </c>
      <c r="AI85" s="752" t="inlineStr">
        <is>
          <t>HIGH</t>
        </is>
      </c>
      <c r="AJ85" s="752" t="inlineStr">
        <is>
          <t>INCLUDE</t>
        </is>
      </c>
      <c r="AK85" s="759" t="n"/>
      <c r="AL85" s="752" t="n"/>
      <c r="AM85" s="752" t="inlineStr">
        <is>
          <t>CURRENT</t>
        </is>
      </c>
      <c r="AN85" s="752" t="inlineStr">
        <is>
          <t>CS011</t>
        </is>
      </c>
      <c r="AO85" s="752" t="inlineStr">
        <is>
          <t>Coverage-audit expansion. GRASP is mandatory for IFA v6 aquaculture and these rules define its application and assessment process.</t>
        </is>
      </c>
      <c r="AP85" s="752" t="inlineStr">
        <is>
          <t>OFFICIAL_WEBSITE</t>
        </is>
      </c>
      <c r="AQ85" s="752" t="inlineStr">
        <is>
          <t>OFFICIAL_ORIGINAL</t>
        </is>
      </c>
      <c r="AR85" s="752" t="inlineStr">
        <is>
          <t>VERSIONED</t>
        </is>
      </c>
      <c r="AS85" s="752" t="n"/>
    </row>
    <row r="86" ht="30" customHeight="1" s="36">
      <c r="A86" s="751" t="inlineStr">
        <is>
          <t>CS017</t>
        </is>
      </c>
      <c r="B86" s="751" t="inlineStr">
        <is>
          <t>CS017-001</t>
        </is>
      </c>
      <c r="C86" s="751" t="inlineStr">
        <is>
          <t>CS017-001_GLOBALG.A.P._GRASP_v2_National_Interpretation_Guideline_for_Norway.pdf</t>
        </is>
      </c>
      <c r="D86" s="751" t="inlineStr">
        <is>
          <t>NOT_COLLECTED</t>
        </is>
      </c>
      <c r="E86" s="751">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
      </c>
      <c r="F86" s="751" t="inlineStr">
        <is>
          <t>NOT_RUN</t>
        </is>
      </c>
      <c r="G86" s="755" t="n"/>
      <c r="H86" s="755" t="n"/>
      <c r="I86" s="751" t="inlineStr">
        <is>
          <t>UNKNOWN</t>
        </is>
      </c>
      <c r="J86" s="751" t="inlineStr">
        <is>
          <t>NONE</t>
        </is>
      </c>
      <c r="K86" s="757">
        <f>IF(A86="","",IF(J86="AUTO",H86,IF(J86="MANUAL",AK86,"")))</f>
        <v/>
      </c>
      <c r="L86" s="751" t="inlineStr">
        <is>
          <t>NONE</t>
        </is>
      </c>
      <c r="M86" s="751" t="n"/>
      <c r="N86" s="751">
        <f>IF(A86="","",IF(COUNTIFS('Human Operation Desktop'!$A$3:$A$502,A86,'Human Operation Desktop'!$I$3:$I$502,"&lt;&gt;APPLIED",'Human Operation Desktop'!$I$3:$I$502,"&lt;&gt;REJECTED")&gt;0,"YES","NO"))</f>
        <v/>
      </c>
      <c r="O86" s="751" t="n"/>
      <c r="P86" s="752" t="inlineStr">
        <is>
          <t>GLOBALG.A.P. GRASP v2 National Interpretation Guideline for Norway</t>
        </is>
      </c>
      <c r="Q86" s="752" t="inlineStr">
        <is>
          <t>https://globalgap.org/what-we-offer/solutions/grasp/</t>
        </is>
      </c>
      <c r="R86" s="752" t="n"/>
      <c r="S86" s="752" t="inlineStr">
        <is>
          <t>C_Certification_Scheme</t>
        </is>
      </c>
      <c r="T86" s="752" t="inlineStr">
        <is>
          <t>pdf</t>
        </is>
      </c>
      <c r="U86" s="752" t="inlineStr">
        <is>
          <t>GLOBALG.A.P.</t>
        </is>
      </c>
      <c r="V86" s="752" t="inlineStr">
        <is>
          <t>Norway</t>
        </is>
      </c>
      <c r="W86" s="752" t="inlineStr">
        <is>
          <t>Norwegian</t>
        </is>
      </c>
      <c r="X86" s="752" t="inlineStr">
        <is>
          <t>V2</t>
        </is>
      </c>
      <c r="Y86" s="752" t="n"/>
      <c r="Z86" s="752" t="inlineStr">
        <is>
          <t>Certification scheme</t>
        </is>
      </c>
      <c r="AA86" s="752" t="inlineStr">
        <is>
          <t>Interpretation document</t>
        </is>
      </c>
      <c r="AB86" s="752" t="inlineStr">
        <is>
          <t>Referenced normative</t>
        </is>
      </c>
      <c r="AC86" s="752" t="inlineStr">
        <is>
          <t>Official referenced source from GLOBALG.A.P.; included because an applicable law, permit or certification scheme may make its provisions binding within the approved scope.</t>
        </is>
      </c>
      <c r="AD86" s="752" t="inlineStr">
        <is>
          <t>HIGH</t>
        </is>
      </c>
      <c r="AE86" s="752" t="inlineStr">
        <is>
          <t>HIGH</t>
        </is>
      </c>
      <c r="AF86" s="752" t="inlineStr">
        <is>
          <t>MEDIUM</t>
        </is>
      </c>
      <c r="AG86" s="752" t="inlineStr">
        <is>
          <t>MEDIUM</t>
        </is>
      </c>
      <c r="AH86" s="752" t="inlineStr">
        <is>
          <t>HIGH</t>
        </is>
      </c>
      <c r="AI86" s="752" t="inlineStr">
        <is>
          <t>LOW</t>
        </is>
      </c>
      <c r="AJ86" s="752" t="inlineStr">
        <is>
          <t>PENDING</t>
        </is>
      </c>
      <c r="AK86" s="759" t="n"/>
      <c r="AL86" s="752" t="n"/>
      <c r="AM86" s="752" t="inlineStr">
        <is>
          <t>CURRENT</t>
        </is>
      </c>
      <c r="AN86" s="752" t="inlineStr">
        <is>
          <t>CS011</t>
        </is>
      </c>
      <c r="AO86" s="752" t="inlineStr">
        <is>
          <t>Coverage-audit expansion. An existing country NIG must be applied; confirm the current Norway document and direct download in the GLOBALG.A.P. document center.</t>
        </is>
      </c>
      <c r="AP86" s="752" t="inlineStr">
        <is>
          <t>OFFICIAL_WEBSITE</t>
        </is>
      </c>
      <c r="AQ86" s="752" t="inlineStr">
        <is>
          <t>OFFICIAL_ORIGINAL</t>
        </is>
      </c>
      <c r="AR86" s="752" t="inlineStr">
        <is>
          <t>VERSIONED</t>
        </is>
      </c>
      <c r="AS86" s="752" t="n"/>
    </row>
    <row r="87" ht="30" customHeight="1" s="36">
      <c r="A87" s="751" t="inlineStr">
        <is>
          <t>CS018</t>
        </is>
      </c>
      <c r="B87" s="751" t="inlineStr">
        <is>
          <t>CS018-001</t>
        </is>
      </c>
      <c r="C87" s="751" t="inlineStr">
        <is>
          <t>CS018-001_ASC_Vocabulary.pdf</t>
        </is>
      </c>
      <c r="D87" s="751" t="inlineStr">
        <is>
          <t>NOT_COLLECTED</t>
        </is>
      </c>
      <c r="E87" s="751">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
      </c>
      <c r="F87" s="751" t="inlineStr">
        <is>
          <t>NOT_RUN</t>
        </is>
      </c>
      <c r="G87" s="755" t="n"/>
      <c r="H87" s="755" t="n"/>
      <c r="I87" s="751" t="inlineStr">
        <is>
          <t>UNKNOWN</t>
        </is>
      </c>
      <c r="J87" s="751" t="inlineStr">
        <is>
          <t>NONE</t>
        </is>
      </c>
      <c r="K87" s="757">
        <f>IF(A87="","",IF(J87="AUTO",H87,IF(J87="MANUAL",AK87,"")))</f>
        <v/>
      </c>
      <c r="L87" s="751" t="inlineStr">
        <is>
          <t>NONE</t>
        </is>
      </c>
      <c r="M87" s="751" t="n"/>
      <c r="N87" s="751">
        <f>IF(A87="","",IF(COUNTIFS('Human Operation Desktop'!$A$3:$A$502,A87,'Human Operation Desktop'!$I$3:$I$502,"&lt;&gt;APPLIED",'Human Operation Desktop'!$I$3:$I$502,"&lt;&gt;REJECTED")&gt;0,"YES","NO"))</f>
        <v/>
      </c>
      <c r="O87" s="751" t="n"/>
      <c r="P87" s="752" t="inlineStr">
        <is>
          <t>ASC Vocabulary</t>
        </is>
      </c>
      <c r="Q87" s="752" t="inlineStr">
        <is>
          <t>https://programme-centre.asc-aqua.org/resource-hub/?filter=farm</t>
        </is>
      </c>
      <c r="R87" s="752" t="n"/>
      <c r="S87" s="752" t="inlineStr">
        <is>
          <t>C_Certification_Scheme</t>
        </is>
      </c>
      <c r="T87" s="752" t="inlineStr">
        <is>
          <t>pdf</t>
        </is>
      </c>
      <c r="U87" s="752" t="inlineStr">
        <is>
          <t>Aquaculture Stewardship Council</t>
        </is>
      </c>
      <c r="V87" s="752" t="inlineStr">
        <is>
          <t>International</t>
        </is>
      </c>
      <c r="W87" s="752" t="inlineStr">
        <is>
          <t>English</t>
        </is>
      </c>
      <c r="X87" s="752" t="n"/>
      <c r="Y87" s="752" t="n"/>
      <c r="Z87" s="752" t="inlineStr">
        <is>
          <t>Certification scheme</t>
        </is>
      </c>
      <c r="AA87" s="752" t="inlineStr">
        <is>
          <t>Scheme standard</t>
        </is>
      </c>
      <c r="AB87" s="752" t="inlineStr">
        <is>
          <t>Referenced normative</t>
        </is>
      </c>
      <c r="AC87" s="752" t="inlineStr">
        <is>
          <t>Official referenced source from Aquaculture Stewardship Council; included because an applicable law, permit or certification scheme may make its provisions binding within the approved scope.</t>
        </is>
      </c>
      <c r="AD87" s="752" t="inlineStr">
        <is>
          <t>HIGH</t>
        </is>
      </c>
      <c r="AE87" s="752" t="inlineStr">
        <is>
          <t>HIGH</t>
        </is>
      </c>
      <c r="AF87" s="752" t="inlineStr">
        <is>
          <t>MEDIUM</t>
        </is>
      </c>
      <c r="AG87" s="752" t="inlineStr">
        <is>
          <t>MEDIUM</t>
        </is>
      </c>
      <c r="AH87" s="752" t="inlineStr">
        <is>
          <t>HIGH</t>
        </is>
      </c>
      <c r="AI87" s="752" t="inlineStr">
        <is>
          <t>LOW</t>
        </is>
      </c>
      <c r="AJ87" s="752" t="inlineStr">
        <is>
          <t>PENDING</t>
        </is>
      </c>
      <c r="AK87" s="759" t="n"/>
      <c r="AL87" s="752" t="n"/>
      <c r="AM87" s="752" t="inlineStr">
        <is>
          <t>CURRENT</t>
        </is>
      </c>
      <c r="AN87" s="752" t="inlineStr">
        <is>
          <t>CS001</t>
        </is>
      </c>
      <c r="AO87" s="752" t="inlineStr">
        <is>
          <t>Official coverage expansion. The current ASC Farm Standard lists the vocabulary as a normative reference; direct-file traceability still requires confirmation.</t>
        </is>
      </c>
      <c r="AP87" s="752" t="inlineStr">
        <is>
          <t>OFFICIAL_WEBSITE</t>
        </is>
      </c>
      <c r="AQ87" s="752" t="inlineStr">
        <is>
          <t>OFFICIAL_ORIGINAL</t>
        </is>
      </c>
      <c r="AR87" s="752" t="inlineStr">
        <is>
          <t>VERSIONED</t>
        </is>
      </c>
      <c r="AS87" s="752" t="n"/>
    </row>
    <row r="88" ht="30" customHeight="1" s="36">
      <c r="A88" s="751" t="inlineStr">
        <is>
          <t>CS019</t>
        </is>
      </c>
      <c r="B88" s="751" t="inlineStr">
        <is>
          <t>CS019-001</t>
        </is>
      </c>
      <c r="C88" s="751" t="inlineStr">
        <is>
          <t>CS019-001_ASC_Data_Submission_Requirements.pdf</t>
        </is>
      </c>
      <c r="D88" s="751" t="inlineStr">
        <is>
          <t>NOT_COLLECTED</t>
        </is>
      </c>
      <c r="E88" s="751">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
      </c>
      <c r="F88" s="751" t="inlineStr">
        <is>
          <t>NOT_RUN</t>
        </is>
      </c>
      <c r="G88" s="755" t="n"/>
      <c r="H88" s="755" t="n"/>
      <c r="I88" s="751" t="inlineStr">
        <is>
          <t>UNKNOWN</t>
        </is>
      </c>
      <c r="J88" s="751" t="inlineStr">
        <is>
          <t>NONE</t>
        </is>
      </c>
      <c r="K88" s="757">
        <f>IF(A88="","",IF(J88="AUTO",H88,IF(J88="MANUAL",AK88,"")))</f>
        <v/>
      </c>
      <c r="L88" s="751" t="inlineStr">
        <is>
          <t>NONE</t>
        </is>
      </c>
      <c r="M88" s="751" t="n"/>
      <c r="N88" s="751">
        <f>IF(A88="","",IF(COUNTIFS('Human Operation Desktop'!$A$3:$A$502,A88,'Human Operation Desktop'!$I$3:$I$502,"&lt;&gt;APPLIED",'Human Operation Desktop'!$I$3:$I$502,"&lt;&gt;REJECTED")&gt;0,"YES","NO"))</f>
        <v/>
      </c>
      <c r="O88" s="751" t="n"/>
      <c r="P88" s="752" t="inlineStr">
        <is>
          <t>ASC Data Submission Requirements</t>
        </is>
      </c>
      <c r="Q88" s="752" t="inlineStr">
        <is>
          <t>https://programme-centre.asc-aqua.org/resource-hub/?filter=farm</t>
        </is>
      </c>
      <c r="R88" s="752" t="n"/>
      <c r="S88" s="752" t="inlineStr">
        <is>
          <t>C_Certification_Scheme</t>
        </is>
      </c>
      <c r="T88" s="752" t="inlineStr">
        <is>
          <t>pdf</t>
        </is>
      </c>
      <c r="U88" s="752" t="inlineStr">
        <is>
          <t>Aquaculture Stewardship Council</t>
        </is>
      </c>
      <c r="V88" s="752" t="inlineStr">
        <is>
          <t>International</t>
        </is>
      </c>
      <c r="W88" s="752" t="inlineStr">
        <is>
          <t>English</t>
        </is>
      </c>
      <c r="X88" s="752" t="n"/>
      <c r="Y88" s="752" t="n"/>
      <c r="Z88" s="752" t="inlineStr">
        <is>
          <t>Certification scheme</t>
        </is>
      </c>
      <c r="AA88" s="752" t="inlineStr">
        <is>
          <t>Scheme standard</t>
        </is>
      </c>
      <c r="AB88" s="752" t="inlineStr">
        <is>
          <t>Referenced normative</t>
        </is>
      </c>
      <c r="AC88" s="752" t="inlineStr">
        <is>
          <t>Official referenced source from Aquaculture Stewardship Council; included because an applicable law, permit or certification scheme may make its provisions binding within the approved scope.</t>
        </is>
      </c>
      <c r="AD88" s="752" t="inlineStr">
        <is>
          <t>HIGH</t>
        </is>
      </c>
      <c r="AE88" s="752" t="inlineStr">
        <is>
          <t>HIGH</t>
        </is>
      </c>
      <c r="AF88" s="752" t="inlineStr">
        <is>
          <t>MEDIUM</t>
        </is>
      </c>
      <c r="AG88" s="752" t="inlineStr">
        <is>
          <t>MEDIUM</t>
        </is>
      </c>
      <c r="AH88" s="752" t="inlineStr">
        <is>
          <t>HIGH</t>
        </is>
      </c>
      <c r="AI88" s="752" t="inlineStr">
        <is>
          <t>LOW</t>
        </is>
      </c>
      <c r="AJ88" s="752" t="inlineStr">
        <is>
          <t>PENDING</t>
        </is>
      </c>
      <c r="AK88" s="759" t="n"/>
      <c r="AL88" s="752" t="n"/>
      <c r="AM88" s="752" t="inlineStr">
        <is>
          <t>CURRENT</t>
        </is>
      </c>
      <c r="AN88" s="752" t="inlineStr">
        <is>
          <t>CS001</t>
        </is>
      </c>
      <c r="AO88" s="752" t="inlineStr">
        <is>
          <t>Official coverage expansion. The current ASC Farm Standard lists data submission requirements as a normative reference; direct-file traceability still requires confirmation.</t>
        </is>
      </c>
      <c r="AP88" s="752" t="inlineStr">
        <is>
          <t>OFFICIAL_WEBSITE</t>
        </is>
      </c>
      <c r="AQ88" s="752" t="inlineStr">
        <is>
          <t>OFFICIAL_ORIGINAL</t>
        </is>
      </c>
      <c r="AR88" s="752" t="inlineStr">
        <is>
          <t>VERSIONED</t>
        </is>
      </c>
      <c r="AS88" s="752" t="n"/>
    </row>
    <row r="89" ht="30" customHeight="1" s="36">
      <c r="A89" s="751" t="inlineStr">
        <is>
          <t>CS020</t>
        </is>
      </c>
      <c r="B89" s="751" t="inlineStr">
        <is>
          <t>CS020-001</t>
        </is>
      </c>
      <c r="C89" s="751" t="inlineStr">
        <is>
          <t>CS020-001_GLOBALG.A.P._GRASP_v2_-_Checklist.xlsx</t>
        </is>
      </c>
      <c r="D89" s="751" t="inlineStr">
        <is>
          <t>NOT_COLLECTED</t>
        </is>
      </c>
      <c r="E89" s="751">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
      </c>
      <c r="F89" s="751" t="inlineStr">
        <is>
          <t>NOT_RUN</t>
        </is>
      </c>
      <c r="G89" s="755" t="n"/>
      <c r="H89" s="755" t="n"/>
      <c r="I89" s="751" t="inlineStr">
        <is>
          <t>UNKNOWN</t>
        </is>
      </c>
      <c r="J89" s="751" t="inlineStr">
        <is>
          <t>NONE</t>
        </is>
      </c>
      <c r="K89" s="757">
        <f>IF(A89="","",IF(J89="AUTO",H89,IF(J89="MANUAL",AK89,"")))</f>
        <v/>
      </c>
      <c r="L89" s="751" t="inlineStr">
        <is>
          <t>NONE</t>
        </is>
      </c>
      <c r="M89" s="751" t="n"/>
      <c r="N89" s="751">
        <f>IF(A89="","",IF(COUNTIFS('Human Operation Desktop'!$A$3:$A$502,A89,'Human Operation Desktop'!$I$3:$I$502,"&lt;&gt;APPLIED",'Human Operation Desktop'!$I$3:$I$502,"&lt;&gt;REJECTED")&gt;0,"YES","NO"))</f>
        <v/>
      </c>
      <c r="O89" s="751" t="n"/>
      <c r="P89" s="752" t="inlineStr">
        <is>
          <t>GLOBALG.A.P. GRASP v2 - Checklist</t>
        </is>
      </c>
      <c r="Q89" s="752" t="inlineStr">
        <is>
          <t>https://globalgap.org/what-we-offer/solutions/grasp/</t>
        </is>
      </c>
      <c r="R89" s="752" t="n"/>
      <c r="S89" s="752" t="inlineStr">
        <is>
          <t>C_Certification_Scheme</t>
        </is>
      </c>
      <c r="T89" s="752" t="inlineStr">
        <is>
          <t>xlsx</t>
        </is>
      </c>
      <c r="U89" s="752" t="inlineStr">
        <is>
          <t>GLOBALG.A.P.</t>
        </is>
      </c>
      <c r="V89" s="752" t="inlineStr">
        <is>
          <t>International</t>
        </is>
      </c>
      <c r="W89" s="752" t="inlineStr">
        <is>
          <t>English</t>
        </is>
      </c>
      <c r="X89" s="752" t="inlineStr">
        <is>
          <t>V2</t>
        </is>
      </c>
      <c r="Y89" s="752" t="n"/>
      <c r="Z89" s="752" t="inlineStr">
        <is>
          <t>Certification scheme</t>
        </is>
      </c>
      <c r="AA89" s="752" t="inlineStr">
        <is>
          <t>Audit / assessment document</t>
        </is>
      </c>
      <c r="AB89" s="752" t="inlineStr">
        <is>
          <t>Audit / assessment tool</t>
        </is>
      </c>
      <c r="AC89" s="752" t="inlineStr">
        <is>
          <t>Official assessment tool from GLOBALG.A.P.; included to structure compliance checks and trace evidence back to its linked normative source.</t>
        </is>
      </c>
      <c r="AD89" s="752" t="inlineStr">
        <is>
          <t>HIGH</t>
        </is>
      </c>
      <c r="AE89" s="752" t="inlineStr">
        <is>
          <t>HIGH</t>
        </is>
      </c>
      <c r="AF89" s="752" t="inlineStr">
        <is>
          <t>HIGH</t>
        </is>
      </c>
      <c r="AG89" s="752" t="inlineStr">
        <is>
          <t>MEDIUM</t>
        </is>
      </c>
      <c r="AH89" s="752" t="inlineStr">
        <is>
          <t>HIGH</t>
        </is>
      </c>
      <c r="AI89" s="752" t="inlineStr">
        <is>
          <t>LOW</t>
        </is>
      </c>
      <c r="AJ89" s="752" t="inlineStr">
        <is>
          <t>PENDING</t>
        </is>
      </c>
      <c r="AK89" s="759" t="n"/>
      <c r="AL89" s="752" t="n"/>
      <c r="AM89" s="752" t="inlineStr">
        <is>
          <t>CURRENT</t>
        </is>
      </c>
      <c r="AN89" s="752" t="inlineStr">
        <is>
          <t>CS011</t>
        </is>
      </c>
      <c r="AO89" s="752" t="inlineStr">
        <is>
          <t>Official coverage expansion. Assessment tool linked to CS011 and CS016; direct-file URL must be confirmed before automated retrieval.</t>
        </is>
      </c>
      <c r="AP89" s="752" t="inlineStr">
        <is>
          <t>OFFICIAL_WEBSITE</t>
        </is>
      </c>
      <c r="AQ89" s="752" t="inlineStr">
        <is>
          <t>OFFICIAL_ORIGINAL</t>
        </is>
      </c>
      <c r="AR89" s="752" t="inlineStr">
        <is>
          <t>VERSIONED</t>
        </is>
      </c>
      <c r="AS89" s="752" t="n"/>
    </row>
    <row r="90" ht="30" customHeight="1" s="36">
      <c r="A90" s="751" t="n"/>
      <c r="B90" s="751" t="n"/>
      <c r="C90" s="751" t="n"/>
      <c r="D90" s="751" t="n"/>
      <c r="E90" s="751">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751" t="n"/>
      <c r="G90" s="755" t="n"/>
      <c r="H90" s="755" t="n"/>
      <c r="I90" s="751" t="n"/>
      <c r="J90" s="751" t="n"/>
      <c r="K90" s="757">
        <f>IF(A90="","",IF(J90="AUTO",H90,IF(J90="MANUAL",AK90,"")))</f>
        <v/>
      </c>
      <c r="L90" s="751" t="n"/>
      <c r="M90" s="751" t="n"/>
      <c r="N90" s="751">
        <f>IF(A90="","",IF(COUNTIFS('Human Operation Desktop'!$A$3:$A$502,A90,'Human Operation Desktop'!$I$3:$I$502,"&lt;&gt;APPLIED",'Human Operation Desktop'!$I$3:$I$502,"&lt;&gt;REJECTED")&gt;0,"YES","NO"))</f>
        <v/>
      </c>
      <c r="O90" s="751" t="n"/>
      <c r="P90" s="752" t="n"/>
      <c r="Q90" s="752" t="n"/>
      <c r="R90" s="752" t="n"/>
      <c r="S90" s="752" t="n"/>
      <c r="T90" s="752" t="n"/>
      <c r="U90" s="752" t="n"/>
      <c r="V90" s="752" t="n"/>
      <c r="W90" s="752" t="n"/>
      <c r="X90" s="752" t="n"/>
      <c r="Y90" s="752" t="n"/>
      <c r="Z90" s="752" t="n"/>
      <c r="AA90" s="752" t="n"/>
      <c r="AB90" s="752" t="n"/>
      <c r="AC90" s="752" t="n"/>
      <c r="AD90" s="752" t="n"/>
      <c r="AE90" s="752" t="n"/>
      <c r="AF90" s="752" t="n"/>
      <c r="AG90" s="752" t="n"/>
      <c r="AH90" s="752" t="n"/>
      <c r="AI90" s="752" t="n"/>
      <c r="AJ90" s="752" t="n"/>
      <c r="AK90" s="759" t="n"/>
      <c r="AL90" s="752" t="n"/>
      <c r="AM90" s="752" t="n"/>
      <c r="AN90" s="752" t="n"/>
      <c r="AO90" s="752" t="n"/>
      <c r="AP90" s="752" t="n"/>
      <c r="AQ90" s="752" t="n"/>
      <c r="AR90" s="752" t="n"/>
      <c r="AS90" s="752" t="n"/>
    </row>
    <row r="91" ht="30" customHeight="1" s="36">
      <c r="A91" s="751" t="n"/>
      <c r="B91" s="751" t="n"/>
      <c r="C91" s="751" t="n"/>
      <c r="D91" s="751" t="n"/>
      <c r="E91" s="751">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751" t="n"/>
      <c r="G91" s="755" t="n"/>
      <c r="H91" s="755" t="n"/>
      <c r="I91" s="751" t="n"/>
      <c r="J91" s="751" t="n"/>
      <c r="K91" s="757">
        <f>IF(A91="","",IF(J91="AUTO",H91,IF(J91="MANUAL",AK91,"")))</f>
        <v/>
      </c>
      <c r="L91" s="751" t="n"/>
      <c r="M91" s="751" t="n"/>
      <c r="N91" s="751">
        <f>IF(A91="","",IF(COUNTIFS('Human Operation Desktop'!$A$3:$A$502,A91,'Human Operation Desktop'!$I$3:$I$502,"&lt;&gt;APPLIED",'Human Operation Desktop'!$I$3:$I$502,"&lt;&gt;REJECTED")&gt;0,"YES","NO"))</f>
        <v/>
      </c>
      <c r="O91" s="751" t="n"/>
      <c r="P91" s="752" t="n"/>
      <c r="Q91" s="752" t="n"/>
      <c r="R91" s="752" t="n"/>
      <c r="S91" s="752" t="n"/>
      <c r="T91" s="752" t="n"/>
      <c r="U91" s="752" t="n"/>
      <c r="V91" s="752" t="n"/>
      <c r="W91" s="752" t="n"/>
      <c r="X91" s="752" t="n"/>
      <c r="Y91" s="752" t="n"/>
      <c r="Z91" s="752" t="n"/>
      <c r="AA91" s="752" t="n"/>
      <c r="AB91" s="752" t="n"/>
      <c r="AC91" s="752" t="n"/>
      <c r="AD91" s="752" t="n"/>
      <c r="AE91" s="752" t="n"/>
      <c r="AF91" s="752" t="n"/>
      <c r="AG91" s="752" t="n"/>
      <c r="AH91" s="752" t="n"/>
      <c r="AI91" s="752" t="n"/>
      <c r="AJ91" s="752" t="n"/>
      <c r="AK91" s="759" t="n"/>
      <c r="AL91" s="752" t="n"/>
      <c r="AM91" s="752" t="n"/>
      <c r="AN91" s="752" t="n"/>
      <c r="AO91" s="752" t="n"/>
      <c r="AP91" s="752" t="n"/>
      <c r="AQ91" s="752" t="n"/>
      <c r="AR91" s="752" t="n"/>
      <c r="AS91" s="752" t="n"/>
    </row>
    <row r="92" ht="30" customHeight="1" s="36">
      <c r="A92" s="751" t="n"/>
      <c r="B92" s="751" t="n"/>
      <c r="C92" s="751" t="n"/>
      <c r="D92" s="751" t="n"/>
      <c r="E92" s="751">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751" t="n"/>
      <c r="G92" s="755" t="n"/>
      <c r="H92" s="755" t="n"/>
      <c r="I92" s="751" t="n"/>
      <c r="J92" s="751" t="n"/>
      <c r="K92" s="757">
        <f>IF(A92="","",IF(J92="AUTO",H92,IF(J92="MANUAL",AK92,"")))</f>
        <v/>
      </c>
      <c r="L92" s="751" t="n"/>
      <c r="M92" s="751" t="n"/>
      <c r="N92" s="751">
        <f>IF(A92="","",IF(COUNTIFS('Human Operation Desktop'!$A$3:$A$502,A92,'Human Operation Desktop'!$I$3:$I$502,"&lt;&gt;APPLIED",'Human Operation Desktop'!$I$3:$I$502,"&lt;&gt;REJECTED")&gt;0,"YES","NO"))</f>
        <v/>
      </c>
      <c r="O92" s="751" t="n"/>
      <c r="P92" s="752" t="n"/>
      <c r="Q92" s="752" t="n"/>
      <c r="R92" s="752" t="n"/>
      <c r="S92" s="752" t="n"/>
      <c r="T92" s="752" t="n"/>
      <c r="U92" s="752" t="n"/>
      <c r="V92" s="752" t="n"/>
      <c r="W92" s="752" t="n"/>
      <c r="X92" s="752" t="n"/>
      <c r="Y92" s="752" t="n"/>
      <c r="Z92" s="752" t="n"/>
      <c r="AA92" s="752" t="n"/>
      <c r="AB92" s="752" t="n"/>
      <c r="AC92" s="752" t="n"/>
      <c r="AD92" s="752" t="n"/>
      <c r="AE92" s="752" t="n"/>
      <c r="AF92" s="752" t="n"/>
      <c r="AG92" s="752" t="n"/>
      <c r="AH92" s="752" t="n"/>
      <c r="AI92" s="752" t="n"/>
      <c r="AJ92" s="752" t="n"/>
      <c r="AK92" s="759" t="n"/>
      <c r="AL92" s="752" t="n"/>
      <c r="AM92" s="752" t="n"/>
      <c r="AN92" s="752" t="n"/>
      <c r="AO92" s="752" t="n"/>
      <c r="AP92" s="752" t="n"/>
      <c r="AQ92" s="752" t="n"/>
      <c r="AR92" s="752" t="n"/>
      <c r="AS92" s="752" t="n"/>
    </row>
    <row r="93" ht="30" customHeight="1" s="36">
      <c r="A93" s="751" t="n"/>
      <c r="B93" s="751" t="n"/>
      <c r="C93" s="751" t="n"/>
      <c r="D93" s="751" t="n"/>
      <c r="E93" s="751">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751" t="n"/>
      <c r="G93" s="755" t="n"/>
      <c r="H93" s="755" t="n"/>
      <c r="I93" s="751" t="n"/>
      <c r="J93" s="751" t="n"/>
      <c r="K93" s="757">
        <f>IF(A93="","",IF(J93="AUTO",H93,IF(J93="MANUAL",AK93,"")))</f>
        <v/>
      </c>
      <c r="L93" s="751" t="n"/>
      <c r="M93" s="751" t="n"/>
      <c r="N93" s="751">
        <f>IF(A93="","",IF(COUNTIFS('Human Operation Desktop'!$A$3:$A$502,A93,'Human Operation Desktop'!$I$3:$I$502,"&lt;&gt;APPLIED",'Human Operation Desktop'!$I$3:$I$502,"&lt;&gt;REJECTED")&gt;0,"YES","NO"))</f>
        <v/>
      </c>
      <c r="O93" s="751" t="n"/>
      <c r="P93" s="752" t="n"/>
      <c r="Q93" s="752" t="n"/>
      <c r="R93" s="752" t="n"/>
      <c r="S93" s="752" t="n"/>
      <c r="T93" s="752" t="n"/>
      <c r="U93" s="752" t="n"/>
      <c r="V93" s="752" t="n"/>
      <c r="W93" s="752" t="n"/>
      <c r="X93" s="752" t="n"/>
      <c r="Y93" s="752" t="n"/>
      <c r="Z93" s="752" t="n"/>
      <c r="AA93" s="752" t="n"/>
      <c r="AB93" s="752" t="n"/>
      <c r="AC93" s="752" t="n"/>
      <c r="AD93" s="752" t="n"/>
      <c r="AE93" s="752" t="n"/>
      <c r="AF93" s="752" t="n"/>
      <c r="AG93" s="752" t="n"/>
      <c r="AH93" s="752" t="n"/>
      <c r="AI93" s="752" t="n"/>
      <c r="AJ93" s="752" t="n"/>
      <c r="AK93" s="759" t="n"/>
      <c r="AL93" s="752" t="n"/>
      <c r="AM93" s="752" t="n"/>
      <c r="AN93" s="752" t="n"/>
      <c r="AO93" s="752" t="n"/>
      <c r="AP93" s="752" t="n"/>
      <c r="AQ93" s="752" t="n"/>
      <c r="AR93" s="752" t="n"/>
      <c r="AS93" s="752" t="n"/>
    </row>
    <row r="94" ht="30" customHeight="1" s="36">
      <c r="A94" s="751" t="n"/>
      <c r="B94" s="751" t="n"/>
      <c r="C94" s="751" t="n"/>
      <c r="D94" s="751" t="n"/>
      <c r="E94" s="751">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751" t="n"/>
      <c r="G94" s="755" t="n"/>
      <c r="H94" s="755" t="n"/>
      <c r="I94" s="751" t="n"/>
      <c r="J94" s="751" t="n"/>
      <c r="K94" s="757">
        <f>IF(A94="","",IF(J94="AUTO",H94,IF(J94="MANUAL",AK94,"")))</f>
        <v/>
      </c>
      <c r="L94" s="751" t="n"/>
      <c r="M94" s="751" t="n"/>
      <c r="N94" s="751">
        <f>IF(A94="","",IF(COUNTIFS('Human Operation Desktop'!$A$3:$A$502,A94,'Human Operation Desktop'!$I$3:$I$502,"&lt;&gt;APPLIED",'Human Operation Desktop'!$I$3:$I$502,"&lt;&gt;REJECTED")&gt;0,"YES","NO"))</f>
        <v/>
      </c>
      <c r="O94" s="751" t="n"/>
      <c r="P94" s="752" t="n"/>
      <c r="Q94" s="752" t="n"/>
      <c r="R94" s="752" t="n"/>
      <c r="S94" s="752" t="n"/>
      <c r="T94" s="752" t="n"/>
      <c r="U94" s="752" t="n"/>
      <c r="V94" s="752" t="n"/>
      <c r="W94" s="752" t="n"/>
      <c r="X94" s="752" t="n"/>
      <c r="Y94" s="752" t="n"/>
      <c r="Z94" s="752" t="n"/>
      <c r="AA94" s="752" t="n"/>
      <c r="AB94" s="752" t="n"/>
      <c r="AC94" s="752" t="n"/>
      <c r="AD94" s="752" t="n"/>
      <c r="AE94" s="752" t="n"/>
      <c r="AF94" s="752" t="n"/>
      <c r="AG94" s="752" t="n"/>
      <c r="AH94" s="752" t="n"/>
      <c r="AI94" s="752" t="n"/>
      <c r="AJ94" s="752" t="n"/>
      <c r="AK94" s="759" t="n"/>
      <c r="AL94" s="752" t="n"/>
      <c r="AM94" s="752" t="n"/>
      <c r="AN94" s="752" t="n"/>
      <c r="AO94" s="752" t="n"/>
      <c r="AP94" s="752" t="n"/>
      <c r="AQ94" s="752" t="n"/>
      <c r="AR94" s="752" t="n"/>
      <c r="AS94" s="752" t="n"/>
    </row>
    <row r="95" ht="30" customHeight="1" s="36">
      <c r="A95" s="751" t="n"/>
      <c r="B95" s="751" t="n"/>
      <c r="C95" s="751" t="n"/>
      <c r="D95" s="751" t="n"/>
      <c r="E95" s="751">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751" t="n"/>
      <c r="G95" s="755" t="n"/>
      <c r="H95" s="755" t="n"/>
      <c r="I95" s="751" t="n"/>
      <c r="J95" s="751" t="n"/>
      <c r="K95" s="757">
        <f>IF(A95="","",IF(J95="AUTO",H95,IF(J95="MANUAL",AK95,"")))</f>
        <v/>
      </c>
      <c r="L95" s="751" t="n"/>
      <c r="M95" s="751" t="n"/>
      <c r="N95" s="751">
        <f>IF(A95="","",IF(COUNTIFS('Human Operation Desktop'!$A$3:$A$502,A95,'Human Operation Desktop'!$I$3:$I$502,"&lt;&gt;APPLIED",'Human Operation Desktop'!$I$3:$I$502,"&lt;&gt;REJECTED")&gt;0,"YES","NO"))</f>
        <v/>
      </c>
      <c r="O95" s="751" t="n"/>
      <c r="P95" s="752" t="n"/>
      <c r="Q95" s="752" t="n"/>
      <c r="R95" s="752" t="n"/>
      <c r="S95" s="752" t="n"/>
      <c r="T95" s="752" t="n"/>
      <c r="U95" s="752" t="n"/>
      <c r="V95" s="752" t="n"/>
      <c r="W95" s="752" t="n"/>
      <c r="X95" s="752" t="n"/>
      <c r="Y95" s="752" t="n"/>
      <c r="Z95" s="752" t="n"/>
      <c r="AA95" s="752" t="n"/>
      <c r="AB95" s="752" t="n"/>
      <c r="AC95" s="752" t="n"/>
      <c r="AD95" s="752" t="n"/>
      <c r="AE95" s="752" t="n"/>
      <c r="AF95" s="752" t="n"/>
      <c r="AG95" s="752" t="n"/>
      <c r="AH95" s="752" t="n"/>
      <c r="AI95" s="752" t="n"/>
      <c r="AJ95" s="752" t="n"/>
      <c r="AK95" s="759" t="n"/>
      <c r="AL95" s="752" t="n"/>
      <c r="AM95" s="752" t="n"/>
      <c r="AN95" s="752" t="n"/>
      <c r="AO95" s="752" t="n"/>
      <c r="AP95" s="752" t="n"/>
      <c r="AQ95" s="752" t="n"/>
      <c r="AR95" s="752" t="n"/>
      <c r="AS95" s="752" t="n"/>
    </row>
    <row r="96" ht="30" customHeight="1" s="36">
      <c r="A96" s="751" t="n"/>
      <c r="B96" s="751" t="n"/>
      <c r="C96" s="751" t="n"/>
      <c r="D96" s="751" t="n"/>
      <c r="E96" s="751">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751" t="n"/>
      <c r="G96" s="755" t="n"/>
      <c r="H96" s="755" t="n"/>
      <c r="I96" s="751" t="n"/>
      <c r="J96" s="751" t="n"/>
      <c r="K96" s="757">
        <f>IF(A96="","",IF(J96="AUTO",H96,IF(J96="MANUAL",AK96,"")))</f>
        <v/>
      </c>
      <c r="L96" s="751" t="n"/>
      <c r="M96" s="751" t="n"/>
      <c r="N96" s="751">
        <f>IF(A96="","",IF(COUNTIFS('Human Operation Desktop'!$A$3:$A$502,A96,'Human Operation Desktop'!$I$3:$I$502,"&lt;&gt;APPLIED",'Human Operation Desktop'!$I$3:$I$502,"&lt;&gt;REJECTED")&gt;0,"YES","NO"))</f>
        <v/>
      </c>
      <c r="O96" s="751" t="n"/>
      <c r="P96" s="752" t="n"/>
      <c r="Q96" s="752" t="n"/>
      <c r="R96" s="752" t="n"/>
      <c r="S96" s="752" t="n"/>
      <c r="T96" s="752" t="n"/>
      <c r="U96" s="752" t="n"/>
      <c r="V96" s="752" t="n"/>
      <c r="W96" s="752" t="n"/>
      <c r="X96" s="752" t="n"/>
      <c r="Y96" s="752" t="n"/>
      <c r="Z96" s="752" t="n"/>
      <c r="AA96" s="752" t="n"/>
      <c r="AB96" s="752" t="n"/>
      <c r="AC96" s="752" t="n"/>
      <c r="AD96" s="752" t="n"/>
      <c r="AE96" s="752" t="n"/>
      <c r="AF96" s="752" t="n"/>
      <c r="AG96" s="752" t="n"/>
      <c r="AH96" s="752" t="n"/>
      <c r="AI96" s="752" t="n"/>
      <c r="AJ96" s="752" t="n"/>
      <c r="AK96" s="759" t="n"/>
      <c r="AL96" s="752" t="n"/>
      <c r="AM96" s="752" t="n"/>
      <c r="AN96" s="752" t="n"/>
      <c r="AO96" s="752" t="n"/>
      <c r="AP96" s="752" t="n"/>
      <c r="AQ96" s="752" t="n"/>
      <c r="AR96" s="752" t="n"/>
      <c r="AS96" s="752" t="n"/>
    </row>
    <row r="97" ht="30" customHeight="1" s="36">
      <c r="A97" s="751" t="n"/>
      <c r="B97" s="751" t="n"/>
      <c r="C97" s="751" t="n"/>
      <c r="D97" s="751" t="n"/>
      <c r="E97" s="751">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751" t="n"/>
      <c r="G97" s="755" t="n"/>
      <c r="H97" s="755" t="n"/>
      <c r="I97" s="751" t="n"/>
      <c r="J97" s="751" t="n"/>
      <c r="K97" s="757">
        <f>IF(A97="","",IF(J97="AUTO",H97,IF(J97="MANUAL",AK97,"")))</f>
        <v/>
      </c>
      <c r="L97" s="751" t="n"/>
      <c r="M97" s="751" t="n"/>
      <c r="N97" s="751">
        <f>IF(A97="","",IF(COUNTIFS('Human Operation Desktop'!$A$3:$A$502,A97,'Human Operation Desktop'!$I$3:$I$502,"&lt;&gt;APPLIED",'Human Operation Desktop'!$I$3:$I$502,"&lt;&gt;REJECTED")&gt;0,"YES","NO"))</f>
        <v/>
      </c>
      <c r="O97" s="751" t="n"/>
      <c r="P97" s="752" t="n"/>
      <c r="Q97" s="752" t="n"/>
      <c r="R97" s="752" t="n"/>
      <c r="S97" s="752" t="n"/>
      <c r="T97" s="752" t="n"/>
      <c r="U97" s="752" t="n"/>
      <c r="V97" s="752" t="n"/>
      <c r="W97" s="752" t="n"/>
      <c r="X97" s="752" t="n"/>
      <c r="Y97" s="752" t="n"/>
      <c r="Z97" s="752" t="n"/>
      <c r="AA97" s="752" t="n"/>
      <c r="AB97" s="752" t="n"/>
      <c r="AC97" s="752" t="n"/>
      <c r="AD97" s="752" t="n"/>
      <c r="AE97" s="752" t="n"/>
      <c r="AF97" s="752" t="n"/>
      <c r="AG97" s="752" t="n"/>
      <c r="AH97" s="752" t="n"/>
      <c r="AI97" s="752" t="n"/>
      <c r="AJ97" s="752" t="n"/>
      <c r="AK97" s="759" t="n"/>
      <c r="AL97" s="752" t="n"/>
      <c r="AM97" s="752" t="n"/>
      <c r="AN97" s="752" t="n"/>
      <c r="AO97" s="752" t="n"/>
      <c r="AP97" s="752" t="n"/>
      <c r="AQ97" s="752" t="n"/>
      <c r="AR97" s="752" t="n"/>
      <c r="AS97" s="752" t="n"/>
    </row>
    <row r="98" ht="30" customHeight="1" s="36">
      <c r="A98" s="751" t="n"/>
      <c r="B98" s="751" t="n"/>
      <c r="C98" s="751" t="n"/>
      <c r="D98" s="751" t="n"/>
      <c r="E98" s="751">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751" t="n"/>
      <c r="G98" s="755" t="n"/>
      <c r="H98" s="755" t="n"/>
      <c r="I98" s="751" t="n"/>
      <c r="J98" s="751" t="n"/>
      <c r="K98" s="757">
        <f>IF(A98="","",IF(J98="AUTO",H98,IF(J98="MANUAL",AK98,"")))</f>
        <v/>
      </c>
      <c r="L98" s="751" t="n"/>
      <c r="M98" s="751" t="n"/>
      <c r="N98" s="751">
        <f>IF(A98="","",IF(COUNTIFS('Human Operation Desktop'!$A$3:$A$502,A98,'Human Operation Desktop'!$I$3:$I$502,"&lt;&gt;APPLIED",'Human Operation Desktop'!$I$3:$I$502,"&lt;&gt;REJECTED")&gt;0,"YES","NO"))</f>
        <v/>
      </c>
      <c r="O98" s="751" t="n"/>
      <c r="P98" s="752" t="n"/>
      <c r="Q98" s="752" t="n"/>
      <c r="R98" s="752" t="n"/>
      <c r="S98" s="752" t="n"/>
      <c r="T98" s="752" t="n"/>
      <c r="U98" s="752" t="n"/>
      <c r="V98" s="752" t="n"/>
      <c r="W98" s="752" t="n"/>
      <c r="X98" s="752" t="n"/>
      <c r="Y98" s="752" t="n"/>
      <c r="Z98" s="752" t="n"/>
      <c r="AA98" s="752" t="n"/>
      <c r="AB98" s="752" t="n"/>
      <c r="AC98" s="752" t="n"/>
      <c r="AD98" s="752" t="n"/>
      <c r="AE98" s="752" t="n"/>
      <c r="AF98" s="752" t="n"/>
      <c r="AG98" s="752" t="n"/>
      <c r="AH98" s="752" t="n"/>
      <c r="AI98" s="752" t="n"/>
      <c r="AJ98" s="752" t="n"/>
      <c r="AK98" s="759" t="n"/>
      <c r="AL98" s="752" t="n"/>
      <c r="AM98" s="752" t="n"/>
      <c r="AN98" s="752" t="n"/>
      <c r="AO98" s="752" t="n"/>
      <c r="AP98" s="752" t="n"/>
      <c r="AQ98" s="752" t="n"/>
      <c r="AR98" s="752" t="n"/>
      <c r="AS98" s="752" t="n"/>
    </row>
    <row r="99" ht="30" customHeight="1" s="36">
      <c r="A99" s="751" t="n"/>
      <c r="B99" s="751" t="n"/>
      <c r="C99" s="751" t="n"/>
      <c r="D99" s="751" t="n"/>
      <c r="E99" s="751">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751" t="n"/>
      <c r="G99" s="755" t="n"/>
      <c r="H99" s="755" t="n"/>
      <c r="I99" s="751" t="n"/>
      <c r="J99" s="751" t="n"/>
      <c r="K99" s="757">
        <f>IF(A99="","",IF(J99="AUTO",H99,IF(J99="MANUAL",AK99,"")))</f>
        <v/>
      </c>
      <c r="L99" s="751" t="n"/>
      <c r="M99" s="751" t="n"/>
      <c r="N99" s="751">
        <f>IF(A99="","",IF(COUNTIFS('Human Operation Desktop'!$A$3:$A$502,A99,'Human Operation Desktop'!$I$3:$I$502,"&lt;&gt;APPLIED",'Human Operation Desktop'!$I$3:$I$502,"&lt;&gt;REJECTED")&gt;0,"YES","NO"))</f>
        <v/>
      </c>
      <c r="O99" s="751" t="n"/>
      <c r="P99" s="752" t="n"/>
      <c r="Q99" s="752" t="n"/>
      <c r="R99" s="752" t="n"/>
      <c r="S99" s="752" t="n"/>
      <c r="T99" s="752" t="n"/>
      <c r="U99" s="752" t="n"/>
      <c r="V99" s="752" t="n"/>
      <c r="W99" s="752" t="n"/>
      <c r="X99" s="752" t="n"/>
      <c r="Y99" s="752" t="n"/>
      <c r="Z99" s="752" t="n"/>
      <c r="AA99" s="752" t="n"/>
      <c r="AB99" s="752" t="n"/>
      <c r="AC99" s="752" t="n"/>
      <c r="AD99" s="752" t="n"/>
      <c r="AE99" s="752" t="n"/>
      <c r="AF99" s="752" t="n"/>
      <c r="AG99" s="752" t="n"/>
      <c r="AH99" s="752" t="n"/>
      <c r="AI99" s="752" t="n"/>
      <c r="AJ99" s="752" t="n"/>
      <c r="AK99" s="759" t="n"/>
      <c r="AL99" s="752" t="n"/>
      <c r="AM99" s="752" t="n"/>
      <c r="AN99" s="752" t="n"/>
      <c r="AO99" s="752" t="n"/>
      <c r="AP99" s="752" t="n"/>
      <c r="AQ99" s="752" t="n"/>
      <c r="AR99" s="752" t="n"/>
      <c r="AS99" s="752" t="n"/>
    </row>
    <row r="100" ht="30" customHeight="1" s="36">
      <c r="A100" s="751" t="n"/>
      <c r="B100" s="751" t="n"/>
      <c r="C100" s="751" t="n"/>
      <c r="D100" s="751" t="n"/>
      <c r="E100" s="751">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751" t="n"/>
      <c r="G100" s="755" t="n"/>
      <c r="H100" s="755" t="n"/>
      <c r="I100" s="751" t="n"/>
      <c r="J100" s="751" t="n"/>
      <c r="K100" s="757">
        <f>IF(A100="","",IF(J100="AUTO",H100,IF(J100="MANUAL",AK100,"")))</f>
        <v/>
      </c>
      <c r="L100" s="751" t="n"/>
      <c r="M100" s="751" t="n"/>
      <c r="N100" s="751">
        <f>IF(A100="","",IF(COUNTIFS('Human Operation Desktop'!$A$3:$A$502,A100,'Human Operation Desktop'!$I$3:$I$502,"&lt;&gt;APPLIED",'Human Operation Desktop'!$I$3:$I$502,"&lt;&gt;REJECTED")&gt;0,"YES","NO"))</f>
        <v/>
      </c>
      <c r="O100" s="751" t="n"/>
      <c r="P100" s="752" t="n"/>
      <c r="Q100" s="752" t="n"/>
      <c r="R100" s="752" t="n"/>
      <c r="S100" s="752" t="n"/>
      <c r="T100" s="752" t="n"/>
      <c r="U100" s="752" t="n"/>
      <c r="V100" s="752" t="n"/>
      <c r="W100" s="752" t="n"/>
      <c r="X100" s="752" t="n"/>
      <c r="Y100" s="752" t="n"/>
      <c r="Z100" s="752" t="n"/>
      <c r="AA100" s="752" t="n"/>
      <c r="AB100" s="752" t="n"/>
      <c r="AC100" s="752" t="n"/>
      <c r="AD100" s="752" t="n"/>
      <c r="AE100" s="752" t="n"/>
      <c r="AF100" s="752" t="n"/>
      <c r="AG100" s="752" t="n"/>
      <c r="AH100" s="752" t="n"/>
      <c r="AI100" s="752" t="n"/>
      <c r="AJ100" s="752" t="n"/>
      <c r="AK100" s="759" t="n"/>
      <c r="AL100" s="752" t="n"/>
      <c r="AM100" s="752" t="n"/>
      <c r="AN100" s="752" t="n"/>
      <c r="AO100" s="752" t="n"/>
      <c r="AP100" s="752" t="n"/>
      <c r="AQ100" s="752" t="n"/>
      <c r="AR100" s="752" t="n"/>
      <c r="AS100" s="752" t="n"/>
    </row>
    <row r="101" ht="30" customHeight="1" s="36">
      <c r="A101" s="751" t="n"/>
      <c r="B101" s="751" t="n"/>
      <c r="C101" s="751" t="n"/>
      <c r="D101" s="751" t="n"/>
      <c r="E101" s="751">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751" t="n"/>
      <c r="G101" s="755" t="n"/>
      <c r="H101" s="755" t="n"/>
      <c r="I101" s="751" t="n"/>
      <c r="J101" s="751" t="n"/>
      <c r="K101" s="757">
        <f>IF(A101="","",IF(J101="AUTO",H101,IF(J101="MANUAL",AK101,"")))</f>
        <v/>
      </c>
      <c r="L101" s="751" t="n"/>
      <c r="M101" s="751" t="n"/>
      <c r="N101" s="751">
        <f>IF(A101="","",IF(COUNTIFS('Human Operation Desktop'!$A$3:$A$502,A101,'Human Operation Desktop'!$I$3:$I$502,"&lt;&gt;APPLIED",'Human Operation Desktop'!$I$3:$I$502,"&lt;&gt;REJECTED")&gt;0,"YES","NO"))</f>
        <v/>
      </c>
      <c r="O101" s="751" t="n"/>
      <c r="P101" s="752" t="n"/>
      <c r="Q101" s="752" t="n"/>
      <c r="R101" s="752" t="n"/>
      <c r="S101" s="752" t="n"/>
      <c r="T101" s="752" t="n"/>
      <c r="U101" s="752" t="n"/>
      <c r="V101" s="752" t="n"/>
      <c r="W101" s="752" t="n"/>
      <c r="X101" s="752" t="n"/>
      <c r="Y101" s="752" t="n"/>
      <c r="Z101" s="752" t="n"/>
      <c r="AA101" s="752" t="n"/>
      <c r="AB101" s="752" t="n"/>
      <c r="AC101" s="752" t="n"/>
      <c r="AD101" s="752" t="n"/>
      <c r="AE101" s="752" t="n"/>
      <c r="AF101" s="752" t="n"/>
      <c r="AG101" s="752" t="n"/>
      <c r="AH101" s="752" t="n"/>
      <c r="AI101" s="752" t="n"/>
      <c r="AJ101" s="752" t="n"/>
      <c r="AK101" s="759" t="n"/>
      <c r="AL101" s="752" t="n"/>
      <c r="AM101" s="752" t="n"/>
      <c r="AN101" s="752" t="n"/>
      <c r="AO101" s="752" t="n"/>
      <c r="AP101" s="752" t="n"/>
      <c r="AQ101" s="752" t="n"/>
      <c r="AR101" s="752" t="n"/>
      <c r="AS101" s="752" t="n"/>
    </row>
    <row r="102" ht="30" customHeight="1" s="36">
      <c r="A102" s="751" t="n"/>
      <c r="B102" s="751" t="n"/>
      <c r="C102" s="751" t="n"/>
      <c r="D102" s="751" t="n"/>
      <c r="E102" s="751">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751" t="n"/>
      <c r="G102" s="755" t="n"/>
      <c r="H102" s="755" t="n"/>
      <c r="I102" s="751" t="n"/>
      <c r="J102" s="751" t="n"/>
      <c r="K102" s="757">
        <f>IF(A102="","",IF(J102="AUTO",H102,IF(J102="MANUAL",AK102,"")))</f>
        <v/>
      </c>
      <c r="L102" s="751" t="n"/>
      <c r="M102" s="751" t="n"/>
      <c r="N102" s="751">
        <f>IF(A102="","",IF(COUNTIFS('Human Operation Desktop'!$A$3:$A$502,A102,'Human Operation Desktop'!$I$3:$I$502,"&lt;&gt;APPLIED",'Human Operation Desktop'!$I$3:$I$502,"&lt;&gt;REJECTED")&gt;0,"YES","NO"))</f>
        <v/>
      </c>
      <c r="O102" s="751" t="n"/>
      <c r="P102" s="752" t="n"/>
      <c r="Q102" s="752" t="n"/>
      <c r="R102" s="752" t="n"/>
      <c r="S102" s="752" t="n"/>
      <c r="T102" s="752" t="n"/>
      <c r="U102" s="752" t="n"/>
      <c r="V102" s="752" t="n"/>
      <c r="W102" s="752" t="n"/>
      <c r="X102" s="752" t="n"/>
      <c r="Y102" s="752" t="n"/>
      <c r="Z102" s="752" t="n"/>
      <c r="AA102" s="752" t="n"/>
      <c r="AB102" s="752" t="n"/>
      <c r="AC102" s="752" t="n"/>
      <c r="AD102" s="752" t="n"/>
      <c r="AE102" s="752" t="n"/>
      <c r="AF102" s="752" t="n"/>
      <c r="AG102" s="752" t="n"/>
      <c r="AH102" s="752" t="n"/>
      <c r="AI102" s="752" t="n"/>
      <c r="AJ102" s="752" t="n"/>
      <c r="AK102" s="759" t="n"/>
      <c r="AL102" s="752" t="n"/>
      <c r="AM102" s="752" t="n"/>
      <c r="AN102" s="752" t="n"/>
      <c r="AO102" s="752" t="n"/>
      <c r="AP102" s="752" t="n"/>
      <c r="AQ102" s="752" t="n"/>
      <c r="AR102" s="752" t="n"/>
      <c r="AS102" s="752" t="n"/>
    </row>
    <row r="103" ht="30" customHeight="1" s="36">
      <c r="A103" s="751" t="n"/>
      <c r="B103" s="751" t="n"/>
      <c r="C103" s="751" t="n"/>
      <c r="D103" s="751" t="n"/>
      <c r="E103" s="751">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751" t="n"/>
      <c r="G103" s="755" t="n"/>
      <c r="H103" s="755" t="n"/>
      <c r="I103" s="751" t="n"/>
      <c r="J103" s="751" t="n"/>
      <c r="K103" s="757">
        <f>IF(A103="","",IF(J103="AUTO",H103,IF(J103="MANUAL",AK103,"")))</f>
        <v/>
      </c>
      <c r="L103" s="751" t="n"/>
      <c r="M103" s="751" t="n"/>
      <c r="N103" s="751">
        <f>IF(A103="","",IF(COUNTIFS('Human Operation Desktop'!$A$3:$A$502,A103,'Human Operation Desktop'!$I$3:$I$502,"&lt;&gt;APPLIED",'Human Operation Desktop'!$I$3:$I$502,"&lt;&gt;REJECTED")&gt;0,"YES","NO"))</f>
        <v/>
      </c>
      <c r="O103" s="751" t="n"/>
      <c r="P103" s="752" t="n"/>
      <c r="Q103" s="752" t="n"/>
      <c r="R103" s="752" t="n"/>
      <c r="S103" s="752" t="n"/>
      <c r="T103" s="752" t="n"/>
      <c r="U103" s="752" t="n"/>
      <c r="V103" s="752" t="n"/>
      <c r="W103" s="752" t="n"/>
      <c r="X103" s="752" t="n"/>
      <c r="Y103" s="752" t="n"/>
      <c r="Z103" s="752" t="n"/>
      <c r="AA103" s="752" t="n"/>
      <c r="AB103" s="752" t="n"/>
      <c r="AC103" s="752" t="n"/>
      <c r="AD103" s="752" t="n"/>
      <c r="AE103" s="752" t="n"/>
      <c r="AF103" s="752" t="n"/>
      <c r="AG103" s="752" t="n"/>
      <c r="AH103" s="752" t="n"/>
      <c r="AI103" s="752" t="n"/>
      <c r="AJ103" s="752" t="n"/>
      <c r="AK103" s="759" t="n"/>
      <c r="AL103" s="752" t="n"/>
      <c r="AM103" s="752" t="n"/>
      <c r="AN103" s="752" t="n"/>
      <c r="AO103" s="752" t="n"/>
      <c r="AP103" s="752" t="n"/>
      <c r="AQ103" s="752" t="n"/>
      <c r="AR103" s="752" t="n"/>
      <c r="AS103" s="752" t="n"/>
    </row>
    <row r="104" ht="30" customHeight="1" s="36">
      <c r="A104" s="751" t="n"/>
      <c r="B104" s="751" t="n"/>
      <c r="C104" s="751" t="n"/>
      <c r="D104" s="751" t="n"/>
      <c r="E104" s="751">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751" t="n"/>
      <c r="G104" s="755" t="n"/>
      <c r="H104" s="755" t="n"/>
      <c r="I104" s="751" t="n"/>
      <c r="J104" s="751" t="n"/>
      <c r="K104" s="757">
        <f>IF(A104="","",IF(J104="AUTO",H104,IF(J104="MANUAL",AK104,"")))</f>
        <v/>
      </c>
      <c r="L104" s="751" t="n"/>
      <c r="M104" s="751" t="n"/>
      <c r="N104" s="751">
        <f>IF(A104="","",IF(COUNTIFS('Human Operation Desktop'!$A$3:$A$502,A104,'Human Operation Desktop'!$I$3:$I$502,"&lt;&gt;APPLIED",'Human Operation Desktop'!$I$3:$I$502,"&lt;&gt;REJECTED")&gt;0,"YES","NO"))</f>
        <v/>
      </c>
      <c r="O104" s="751" t="n"/>
      <c r="P104" s="752" t="n"/>
      <c r="Q104" s="752" t="n"/>
      <c r="R104" s="752" t="n"/>
      <c r="S104" s="752" t="n"/>
      <c r="T104" s="752" t="n"/>
      <c r="U104" s="752" t="n"/>
      <c r="V104" s="752" t="n"/>
      <c r="W104" s="752" t="n"/>
      <c r="X104" s="752" t="n"/>
      <c r="Y104" s="752" t="n"/>
      <c r="Z104" s="752" t="n"/>
      <c r="AA104" s="752" t="n"/>
      <c r="AB104" s="752" t="n"/>
      <c r="AC104" s="752" t="n"/>
      <c r="AD104" s="752" t="n"/>
      <c r="AE104" s="752" t="n"/>
      <c r="AF104" s="752" t="n"/>
      <c r="AG104" s="752" t="n"/>
      <c r="AH104" s="752" t="n"/>
      <c r="AI104" s="752" t="n"/>
      <c r="AJ104" s="752" t="n"/>
      <c r="AK104" s="759" t="n"/>
      <c r="AL104" s="752" t="n"/>
      <c r="AM104" s="752" t="n"/>
      <c r="AN104" s="752" t="n"/>
      <c r="AO104" s="752" t="n"/>
      <c r="AP104" s="752" t="n"/>
      <c r="AQ104" s="752" t="n"/>
      <c r="AR104" s="752" t="n"/>
      <c r="AS104" s="752" t="n"/>
    </row>
    <row r="105" ht="30" customHeight="1" s="36">
      <c r="A105" s="751" t="n"/>
      <c r="B105" s="751" t="n"/>
      <c r="C105" s="751" t="n"/>
      <c r="D105" s="751" t="n"/>
      <c r="E105" s="751">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751" t="n"/>
      <c r="G105" s="755" t="n"/>
      <c r="H105" s="755" t="n"/>
      <c r="I105" s="751" t="n"/>
      <c r="J105" s="751" t="n"/>
      <c r="K105" s="757">
        <f>IF(A105="","",IF(J105="AUTO",H105,IF(J105="MANUAL",AK105,"")))</f>
        <v/>
      </c>
      <c r="L105" s="751" t="n"/>
      <c r="M105" s="751" t="n"/>
      <c r="N105" s="751">
        <f>IF(A105="","",IF(COUNTIFS('Human Operation Desktop'!$A$3:$A$502,A105,'Human Operation Desktop'!$I$3:$I$502,"&lt;&gt;APPLIED",'Human Operation Desktop'!$I$3:$I$502,"&lt;&gt;REJECTED")&gt;0,"YES","NO"))</f>
        <v/>
      </c>
      <c r="O105" s="751" t="n"/>
      <c r="P105" s="752" t="n"/>
      <c r="Q105" s="752" t="n"/>
      <c r="R105" s="752" t="n"/>
      <c r="S105" s="752" t="n"/>
      <c r="T105" s="752" t="n"/>
      <c r="U105" s="752" t="n"/>
      <c r="V105" s="752" t="n"/>
      <c r="W105" s="752" t="n"/>
      <c r="X105" s="752" t="n"/>
      <c r="Y105" s="752" t="n"/>
      <c r="Z105" s="752" t="n"/>
      <c r="AA105" s="752" t="n"/>
      <c r="AB105" s="752" t="n"/>
      <c r="AC105" s="752" t="n"/>
      <c r="AD105" s="752" t="n"/>
      <c r="AE105" s="752" t="n"/>
      <c r="AF105" s="752" t="n"/>
      <c r="AG105" s="752" t="n"/>
      <c r="AH105" s="752" t="n"/>
      <c r="AI105" s="752" t="n"/>
      <c r="AJ105" s="752" t="n"/>
      <c r="AK105" s="759" t="n"/>
      <c r="AL105" s="752" t="n"/>
      <c r="AM105" s="752" t="n"/>
      <c r="AN105" s="752" t="n"/>
      <c r="AO105" s="752" t="n"/>
      <c r="AP105" s="752" t="n"/>
      <c r="AQ105" s="752" t="n"/>
      <c r="AR105" s="752" t="n"/>
      <c r="AS105" s="752" t="n"/>
    </row>
    <row r="106" ht="30" customHeight="1" s="36">
      <c r="A106" s="751" t="n"/>
      <c r="B106" s="751" t="n"/>
      <c r="C106" s="751" t="n"/>
      <c r="D106" s="751" t="n"/>
      <c r="E106" s="751">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751" t="n"/>
      <c r="G106" s="755" t="n"/>
      <c r="H106" s="755" t="n"/>
      <c r="I106" s="751" t="n"/>
      <c r="J106" s="751" t="n"/>
      <c r="K106" s="757">
        <f>IF(A106="","",IF(J106="AUTO",H106,IF(J106="MANUAL",AK106,"")))</f>
        <v/>
      </c>
      <c r="L106" s="751" t="n"/>
      <c r="M106" s="751" t="n"/>
      <c r="N106" s="751">
        <f>IF(A106="","",IF(COUNTIFS('Human Operation Desktop'!$A$3:$A$502,A106,'Human Operation Desktop'!$I$3:$I$502,"&lt;&gt;APPLIED",'Human Operation Desktop'!$I$3:$I$502,"&lt;&gt;REJECTED")&gt;0,"YES","NO"))</f>
        <v/>
      </c>
      <c r="O106" s="751" t="n"/>
      <c r="P106" s="752" t="n"/>
      <c r="Q106" s="752" t="n"/>
      <c r="R106" s="752" t="n"/>
      <c r="S106" s="752" t="n"/>
      <c r="T106" s="752" t="n"/>
      <c r="U106" s="752" t="n"/>
      <c r="V106" s="752" t="n"/>
      <c r="W106" s="752" t="n"/>
      <c r="X106" s="752" t="n"/>
      <c r="Y106" s="752" t="n"/>
      <c r="Z106" s="752" t="n"/>
      <c r="AA106" s="752" t="n"/>
      <c r="AB106" s="752" t="n"/>
      <c r="AC106" s="752" t="n"/>
      <c r="AD106" s="752" t="n"/>
      <c r="AE106" s="752" t="n"/>
      <c r="AF106" s="752" t="n"/>
      <c r="AG106" s="752" t="n"/>
      <c r="AH106" s="752" t="n"/>
      <c r="AI106" s="752" t="n"/>
      <c r="AJ106" s="752" t="n"/>
      <c r="AK106" s="759" t="n"/>
      <c r="AL106" s="752" t="n"/>
      <c r="AM106" s="752" t="n"/>
      <c r="AN106" s="752" t="n"/>
      <c r="AO106" s="752" t="n"/>
      <c r="AP106" s="752" t="n"/>
      <c r="AQ106" s="752" t="n"/>
      <c r="AR106" s="752" t="n"/>
      <c r="AS106" s="752" t="n"/>
    </row>
    <row r="107" ht="30" customHeight="1" s="36">
      <c r="A107" s="751" t="n"/>
      <c r="B107" s="751" t="n"/>
      <c r="C107" s="751" t="n"/>
      <c r="D107" s="751" t="n"/>
      <c r="E107" s="751">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751" t="n"/>
      <c r="G107" s="755" t="n"/>
      <c r="H107" s="755" t="n"/>
      <c r="I107" s="751" t="n"/>
      <c r="J107" s="751" t="n"/>
      <c r="K107" s="757">
        <f>IF(A107="","",IF(J107="AUTO",H107,IF(J107="MANUAL",AK107,"")))</f>
        <v/>
      </c>
      <c r="L107" s="751" t="n"/>
      <c r="M107" s="751" t="n"/>
      <c r="N107" s="751">
        <f>IF(A107="","",IF(COUNTIFS('Human Operation Desktop'!$A$3:$A$502,A107,'Human Operation Desktop'!$I$3:$I$502,"&lt;&gt;APPLIED",'Human Operation Desktop'!$I$3:$I$502,"&lt;&gt;REJECTED")&gt;0,"YES","NO"))</f>
        <v/>
      </c>
      <c r="O107" s="751" t="n"/>
      <c r="P107" s="752" t="n"/>
      <c r="Q107" s="752" t="n"/>
      <c r="R107" s="752" t="n"/>
      <c r="S107" s="752" t="n"/>
      <c r="T107" s="752" t="n"/>
      <c r="U107" s="752" t="n"/>
      <c r="V107" s="752" t="n"/>
      <c r="W107" s="752" t="n"/>
      <c r="X107" s="752" t="n"/>
      <c r="Y107" s="752" t="n"/>
      <c r="Z107" s="752" t="n"/>
      <c r="AA107" s="752" t="n"/>
      <c r="AB107" s="752" t="n"/>
      <c r="AC107" s="752" t="n"/>
      <c r="AD107" s="752" t="n"/>
      <c r="AE107" s="752" t="n"/>
      <c r="AF107" s="752" t="n"/>
      <c r="AG107" s="752" t="n"/>
      <c r="AH107" s="752" t="n"/>
      <c r="AI107" s="752" t="n"/>
      <c r="AJ107" s="752" t="n"/>
      <c r="AK107" s="759" t="n"/>
      <c r="AL107" s="752" t="n"/>
      <c r="AM107" s="752" t="n"/>
      <c r="AN107" s="752" t="n"/>
      <c r="AO107" s="752" t="n"/>
      <c r="AP107" s="752" t="n"/>
      <c r="AQ107" s="752" t="n"/>
      <c r="AR107" s="752" t="n"/>
      <c r="AS107" s="752" t="n"/>
    </row>
    <row r="108" ht="30" customHeight="1" s="36">
      <c r="A108" s="751" t="n"/>
      <c r="B108" s="751" t="n"/>
      <c r="C108" s="751" t="n"/>
      <c r="D108" s="751" t="n"/>
      <c r="E108" s="751">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751" t="n"/>
      <c r="G108" s="755" t="n"/>
      <c r="H108" s="755" t="n"/>
      <c r="I108" s="751" t="n"/>
      <c r="J108" s="751" t="n"/>
      <c r="K108" s="757">
        <f>IF(A108="","",IF(J108="AUTO",H108,IF(J108="MANUAL",AK108,"")))</f>
        <v/>
      </c>
      <c r="L108" s="751" t="n"/>
      <c r="M108" s="751" t="n"/>
      <c r="N108" s="751">
        <f>IF(A108="","",IF(COUNTIFS('Human Operation Desktop'!$A$3:$A$502,A108,'Human Operation Desktop'!$I$3:$I$502,"&lt;&gt;APPLIED",'Human Operation Desktop'!$I$3:$I$502,"&lt;&gt;REJECTED")&gt;0,"YES","NO"))</f>
        <v/>
      </c>
      <c r="O108" s="751" t="n"/>
      <c r="P108" s="752" t="n"/>
      <c r="Q108" s="752" t="n"/>
      <c r="R108" s="752" t="n"/>
      <c r="S108" s="752" t="n"/>
      <c r="T108" s="752" t="n"/>
      <c r="U108" s="752" t="n"/>
      <c r="V108" s="752" t="n"/>
      <c r="W108" s="752" t="n"/>
      <c r="X108" s="752" t="n"/>
      <c r="Y108" s="752" t="n"/>
      <c r="Z108" s="752" t="n"/>
      <c r="AA108" s="752" t="n"/>
      <c r="AB108" s="752" t="n"/>
      <c r="AC108" s="752" t="n"/>
      <c r="AD108" s="752" t="n"/>
      <c r="AE108" s="752" t="n"/>
      <c r="AF108" s="752" t="n"/>
      <c r="AG108" s="752" t="n"/>
      <c r="AH108" s="752" t="n"/>
      <c r="AI108" s="752" t="n"/>
      <c r="AJ108" s="752" t="n"/>
      <c r="AK108" s="759" t="n"/>
      <c r="AL108" s="752" t="n"/>
      <c r="AM108" s="752" t="n"/>
      <c r="AN108" s="752" t="n"/>
      <c r="AO108" s="752" t="n"/>
      <c r="AP108" s="752" t="n"/>
      <c r="AQ108" s="752" t="n"/>
      <c r="AR108" s="752" t="n"/>
      <c r="AS108" s="752" t="n"/>
    </row>
    <row r="109" ht="30" customHeight="1" s="36">
      <c r="A109" s="751" t="n"/>
      <c r="B109" s="751" t="n"/>
      <c r="C109" s="751" t="n"/>
      <c r="D109" s="751" t="n"/>
      <c r="E109" s="751">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751" t="n"/>
      <c r="G109" s="755" t="n"/>
      <c r="H109" s="755" t="n"/>
      <c r="I109" s="751" t="n"/>
      <c r="J109" s="751" t="n"/>
      <c r="K109" s="757">
        <f>IF(A109="","",IF(J109="AUTO",H109,IF(J109="MANUAL",AK109,"")))</f>
        <v/>
      </c>
      <c r="L109" s="751" t="n"/>
      <c r="M109" s="751" t="n"/>
      <c r="N109" s="751">
        <f>IF(A109="","",IF(COUNTIFS('Human Operation Desktop'!$A$3:$A$502,A109,'Human Operation Desktop'!$I$3:$I$502,"&lt;&gt;APPLIED",'Human Operation Desktop'!$I$3:$I$502,"&lt;&gt;REJECTED")&gt;0,"YES","NO"))</f>
        <v/>
      </c>
      <c r="O109" s="751" t="n"/>
      <c r="P109" s="752" t="n"/>
      <c r="Q109" s="752" t="n"/>
      <c r="R109" s="752" t="n"/>
      <c r="S109" s="752" t="n"/>
      <c r="T109" s="752" t="n"/>
      <c r="U109" s="752" t="n"/>
      <c r="V109" s="752" t="n"/>
      <c r="W109" s="752" t="n"/>
      <c r="X109" s="752" t="n"/>
      <c r="Y109" s="752" t="n"/>
      <c r="Z109" s="752" t="n"/>
      <c r="AA109" s="752" t="n"/>
      <c r="AB109" s="752" t="n"/>
      <c r="AC109" s="752" t="n"/>
      <c r="AD109" s="752" t="n"/>
      <c r="AE109" s="752" t="n"/>
      <c r="AF109" s="752" t="n"/>
      <c r="AG109" s="752" t="n"/>
      <c r="AH109" s="752" t="n"/>
      <c r="AI109" s="752" t="n"/>
      <c r="AJ109" s="752" t="n"/>
      <c r="AK109" s="759" t="n"/>
      <c r="AL109" s="752" t="n"/>
      <c r="AM109" s="752" t="n"/>
      <c r="AN109" s="752" t="n"/>
      <c r="AO109" s="752" t="n"/>
      <c r="AP109" s="752" t="n"/>
      <c r="AQ109" s="752" t="n"/>
      <c r="AR109" s="752" t="n"/>
      <c r="AS109" s="752" t="n"/>
    </row>
    <row r="110" ht="30" customHeight="1" s="36">
      <c r="A110" s="751" t="n"/>
      <c r="B110" s="751" t="n"/>
      <c r="C110" s="751" t="n"/>
      <c r="D110" s="751" t="n"/>
      <c r="E110" s="751">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751" t="n"/>
      <c r="G110" s="755" t="n"/>
      <c r="H110" s="755" t="n"/>
      <c r="I110" s="751" t="n"/>
      <c r="J110" s="751" t="n"/>
      <c r="K110" s="757">
        <f>IF(A110="","",IF(J110="AUTO",H110,IF(J110="MANUAL",AK110,"")))</f>
        <v/>
      </c>
      <c r="L110" s="751" t="n"/>
      <c r="M110" s="751" t="n"/>
      <c r="N110" s="751">
        <f>IF(A110="","",IF(COUNTIFS('Human Operation Desktop'!$A$3:$A$502,A110,'Human Operation Desktop'!$I$3:$I$502,"&lt;&gt;APPLIED",'Human Operation Desktop'!$I$3:$I$502,"&lt;&gt;REJECTED")&gt;0,"YES","NO"))</f>
        <v/>
      </c>
      <c r="O110" s="751" t="n"/>
      <c r="P110" s="752" t="n"/>
      <c r="Q110" s="752" t="n"/>
      <c r="R110" s="752" t="n"/>
      <c r="S110" s="752" t="n"/>
      <c r="T110" s="752" t="n"/>
      <c r="U110" s="752" t="n"/>
      <c r="V110" s="752" t="n"/>
      <c r="W110" s="752" t="n"/>
      <c r="X110" s="752" t="n"/>
      <c r="Y110" s="752" t="n"/>
      <c r="Z110" s="752" t="n"/>
      <c r="AA110" s="752" t="n"/>
      <c r="AB110" s="752" t="n"/>
      <c r="AC110" s="752" t="n"/>
      <c r="AD110" s="752" t="n"/>
      <c r="AE110" s="752" t="n"/>
      <c r="AF110" s="752" t="n"/>
      <c r="AG110" s="752" t="n"/>
      <c r="AH110" s="752" t="n"/>
      <c r="AI110" s="752" t="n"/>
      <c r="AJ110" s="752" t="n"/>
      <c r="AK110" s="759" t="n"/>
      <c r="AL110" s="752" t="n"/>
      <c r="AM110" s="752" t="n"/>
      <c r="AN110" s="752" t="n"/>
      <c r="AO110" s="752" t="n"/>
      <c r="AP110" s="752" t="n"/>
      <c r="AQ110" s="752" t="n"/>
      <c r="AR110" s="752" t="n"/>
      <c r="AS110" s="752" t="n"/>
    </row>
    <row r="111" ht="30" customHeight="1" s="36">
      <c r="A111" s="751" t="n"/>
      <c r="B111" s="751" t="n"/>
      <c r="C111" s="751" t="n"/>
      <c r="D111" s="751" t="n"/>
      <c r="E111" s="751">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751" t="n"/>
      <c r="G111" s="755" t="n"/>
      <c r="H111" s="755" t="n"/>
      <c r="I111" s="751" t="n"/>
      <c r="J111" s="751" t="n"/>
      <c r="K111" s="757">
        <f>IF(A111="","",IF(J111="AUTO",H111,IF(J111="MANUAL",AK111,"")))</f>
        <v/>
      </c>
      <c r="L111" s="751" t="n"/>
      <c r="M111" s="751" t="n"/>
      <c r="N111" s="751">
        <f>IF(A111="","",IF(COUNTIFS('Human Operation Desktop'!$A$3:$A$502,A111,'Human Operation Desktop'!$I$3:$I$502,"&lt;&gt;APPLIED",'Human Operation Desktop'!$I$3:$I$502,"&lt;&gt;REJECTED")&gt;0,"YES","NO"))</f>
        <v/>
      </c>
      <c r="O111" s="751" t="n"/>
      <c r="P111" s="752" t="n"/>
      <c r="Q111" s="752" t="n"/>
      <c r="R111" s="752" t="n"/>
      <c r="S111" s="752" t="n"/>
      <c r="T111" s="752" t="n"/>
      <c r="U111" s="752" t="n"/>
      <c r="V111" s="752" t="n"/>
      <c r="W111" s="752" t="n"/>
      <c r="X111" s="752" t="n"/>
      <c r="Y111" s="752" t="n"/>
      <c r="Z111" s="752" t="n"/>
      <c r="AA111" s="752" t="n"/>
      <c r="AB111" s="752" t="n"/>
      <c r="AC111" s="752" t="n"/>
      <c r="AD111" s="752" t="n"/>
      <c r="AE111" s="752" t="n"/>
      <c r="AF111" s="752" t="n"/>
      <c r="AG111" s="752" t="n"/>
      <c r="AH111" s="752" t="n"/>
      <c r="AI111" s="752" t="n"/>
      <c r="AJ111" s="752" t="n"/>
      <c r="AK111" s="759" t="n"/>
      <c r="AL111" s="752" t="n"/>
      <c r="AM111" s="752" t="n"/>
      <c r="AN111" s="752" t="n"/>
      <c r="AO111" s="752" t="n"/>
      <c r="AP111" s="752" t="n"/>
      <c r="AQ111" s="752" t="n"/>
      <c r="AR111" s="752" t="n"/>
      <c r="AS111" s="752" t="n"/>
    </row>
    <row r="112" ht="30" customHeight="1" s="36">
      <c r="A112" s="751" t="n"/>
      <c r="B112" s="751" t="n"/>
      <c r="C112" s="751" t="n"/>
      <c r="D112" s="751" t="n"/>
      <c r="E112" s="751">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751" t="n"/>
      <c r="G112" s="755" t="n"/>
      <c r="H112" s="755" t="n"/>
      <c r="I112" s="751" t="n"/>
      <c r="J112" s="751" t="n"/>
      <c r="K112" s="757">
        <f>IF(A112="","",IF(J112="AUTO",H112,IF(J112="MANUAL",AK112,"")))</f>
        <v/>
      </c>
      <c r="L112" s="751" t="n"/>
      <c r="M112" s="751" t="n"/>
      <c r="N112" s="751">
        <f>IF(A112="","",IF(COUNTIFS('Human Operation Desktop'!$A$3:$A$502,A112,'Human Operation Desktop'!$I$3:$I$502,"&lt;&gt;APPLIED",'Human Operation Desktop'!$I$3:$I$502,"&lt;&gt;REJECTED")&gt;0,"YES","NO"))</f>
        <v/>
      </c>
      <c r="O112" s="751" t="n"/>
      <c r="P112" s="752" t="n"/>
      <c r="Q112" s="752" t="n"/>
      <c r="R112" s="752" t="n"/>
      <c r="S112" s="752" t="n"/>
      <c r="T112" s="752" t="n"/>
      <c r="U112" s="752" t="n"/>
      <c r="V112" s="752" t="n"/>
      <c r="W112" s="752" t="n"/>
      <c r="X112" s="752" t="n"/>
      <c r="Y112" s="752" t="n"/>
      <c r="Z112" s="752" t="n"/>
      <c r="AA112" s="752" t="n"/>
      <c r="AB112" s="752" t="n"/>
      <c r="AC112" s="752" t="n"/>
      <c r="AD112" s="752" t="n"/>
      <c r="AE112" s="752" t="n"/>
      <c r="AF112" s="752" t="n"/>
      <c r="AG112" s="752" t="n"/>
      <c r="AH112" s="752" t="n"/>
      <c r="AI112" s="752" t="n"/>
      <c r="AJ112" s="752" t="n"/>
      <c r="AK112" s="759" t="n"/>
      <c r="AL112" s="752" t="n"/>
      <c r="AM112" s="752" t="n"/>
      <c r="AN112" s="752" t="n"/>
      <c r="AO112" s="752" t="n"/>
      <c r="AP112" s="752" t="n"/>
      <c r="AQ112" s="752" t="n"/>
      <c r="AR112" s="752" t="n"/>
      <c r="AS112" s="752" t="n"/>
    </row>
    <row r="113" ht="30" customHeight="1" s="36">
      <c r="A113" s="751" t="n"/>
      <c r="B113" s="751" t="n"/>
      <c r="C113" s="751" t="n"/>
      <c r="D113" s="751" t="n"/>
      <c r="E113" s="751">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751" t="n"/>
      <c r="G113" s="755" t="n"/>
      <c r="H113" s="755" t="n"/>
      <c r="I113" s="751" t="n"/>
      <c r="J113" s="751" t="n"/>
      <c r="K113" s="757">
        <f>IF(A113="","",IF(J113="AUTO",H113,IF(J113="MANUAL",AK113,"")))</f>
        <v/>
      </c>
      <c r="L113" s="751" t="n"/>
      <c r="M113" s="751" t="n"/>
      <c r="N113" s="751">
        <f>IF(A113="","",IF(COUNTIFS('Human Operation Desktop'!$A$3:$A$502,A113,'Human Operation Desktop'!$I$3:$I$502,"&lt;&gt;APPLIED",'Human Operation Desktop'!$I$3:$I$502,"&lt;&gt;REJECTED")&gt;0,"YES","NO"))</f>
        <v/>
      </c>
      <c r="O113" s="751" t="n"/>
      <c r="P113" s="752" t="n"/>
      <c r="Q113" s="752" t="n"/>
      <c r="R113" s="752" t="n"/>
      <c r="S113" s="752" t="n"/>
      <c r="T113" s="752" t="n"/>
      <c r="U113" s="752" t="n"/>
      <c r="V113" s="752" t="n"/>
      <c r="W113" s="752" t="n"/>
      <c r="X113" s="752" t="n"/>
      <c r="Y113" s="752" t="n"/>
      <c r="Z113" s="752" t="n"/>
      <c r="AA113" s="752" t="n"/>
      <c r="AB113" s="752" t="n"/>
      <c r="AC113" s="752" t="n"/>
      <c r="AD113" s="752" t="n"/>
      <c r="AE113" s="752" t="n"/>
      <c r="AF113" s="752" t="n"/>
      <c r="AG113" s="752" t="n"/>
      <c r="AH113" s="752" t="n"/>
      <c r="AI113" s="752" t="n"/>
      <c r="AJ113" s="752" t="n"/>
      <c r="AK113" s="759" t="n"/>
      <c r="AL113" s="752" t="n"/>
      <c r="AM113" s="752" t="n"/>
      <c r="AN113" s="752" t="n"/>
      <c r="AO113" s="752" t="n"/>
      <c r="AP113" s="752" t="n"/>
      <c r="AQ113" s="752" t="n"/>
      <c r="AR113" s="752" t="n"/>
      <c r="AS113" s="752" t="n"/>
    </row>
    <row r="114" ht="30" customHeight="1" s="36">
      <c r="A114" s="751" t="n"/>
      <c r="B114" s="751" t="n"/>
      <c r="C114" s="751" t="n"/>
      <c r="D114" s="751" t="n"/>
      <c r="E114" s="751">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751" t="n"/>
      <c r="G114" s="755" t="n"/>
      <c r="H114" s="755" t="n"/>
      <c r="I114" s="751" t="n"/>
      <c r="J114" s="751" t="n"/>
      <c r="K114" s="757">
        <f>IF(A114="","",IF(J114="AUTO",H114,IF(J114="MANUAL",AK114,"")))</f>
        <v/>
      </c>
      <c r="L114" s="751" t="n"/>
      <c r="M114" s="751" t="n"/>
      <c r="N114" s="751">
        <f>IF(A114="","",IF(COUNTIFS('Human Operation Desktop'!$A$3:$A$502,A114,'Human Operation Desktop'!$I$3:$I$502,"&lt;&gt;APPLIED",'Human Operation Desktop'!$I$3:$I$502,"&lt;&gt;REJECTED")&gt;0,"YES","NO"))</f>
        <v/>
      </c>
      <c r="O114" s="751" t="n"/>
      <c r="P114" s="752" t="n"/>
      <c r="Q114" s="752" t="n"/>
      <c r="R114" s="752" t="n"/>
      <c r="S114" s="752" t="n"/>
      <c r="T114" s="752" t="n"/>
      <c r="U114" s="752" t="n"/>
      <c r="V114" s="752" t="n"/>
      <c r="W114" s="752" t="n"/>
      <c r="X114" s="752" t="n"/>
      <c r="Y114" s="752" t="n"/>
      <c r="Z114" s="752" t="n"/>
      <c r="AA114" s="752" t="n"/>
      <c r="AB114" s="752" t="n"/>
      <c r="AC114" s="752" t="n"/>
      <c r="AD114" s="752" t="n"/>
      <c r="AE114" s="752" t="n"/>
      <c r="AF114" s="752" t="n"/>
      <c r="AG114" s="752" t="n"/>
      <c r="AH114" s="752" t="n"/>
      <c r="AI114" s="752" t="n"/>
      <c r="AJ114" s="752" t="n"/>
      <c r="AK114" s="759" t="n"/>
      <c r="AL114" s="752" t="n"/>
      <c r="AM114" s="752" t="n"/>
      <c r="AN114" s="752" t="n"/>
      <c r="AO114" s="752" t="n"/>
      <c r="AP114" s="752" t="n"/>
      <c r="AQ114" s="752" t="n"/>
      <c r="AR114" s="752" t="n"/>
      <c r="AS114" s="752" t="n"/>
    </row>
    <row r="115" ht="30" customHeight="1" s="36">
      <c r="A115" s="751" t="n"/>
      <c r="B115" s="751" t="n"/>
      <c r="C115" s="751" t="n"/>
      <c r="D115" s="751" t="n"/>
      <c r="E115" s="751">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751" t="n"/>
      <c r="G115" s="755" t="n"/>
      <c r="H115" s="755" t="n"/>
      <c r="I115" s="751" t="n"/>
      <c r="J115" s="751" t="n"/>
      <c r="K115" s="757">
        <f>IF(A115="","",IF(J115="AUTO",H115,IF(J115="MANUAL",AK115,"")))</f>
        <v/>
      </c>
      <c r="L115" s="751" t="n"/>
      <c r="M115" s="751" t="n"/>
      <c r="N115" s="751">
        <f>IF(A115="","",IF(COUNTIFS('Human Operation Desktop'!$A$3:$A$502,A115,'Human Operation Desktop'!$I$3:$I$502,"&lt;&gt;APPLIED",'Human Operation Desktop'!$I$3:$I$502,"&lt;&gt;REJECTED")&gt;0,"YES","NO"))</f>
        <v/>
      </c>
      <c r="O115" s="751" t="n"/>
      <c r="P115" s="752" t="n"/>
      <c r="Q115" s="752" t="n"/>
      <c r="R115" s="752" t="n"/>
      <c r="S115" s="752" t="n"/>
      <c r="T115" s="752" t="n"/>
      <c r="U115" s="752" t="n"/>
      <c r="V115" s="752" t="n"/>
      <c r="W115" s="752" t="n"/>
      <c r="X115" s="752" t="n"/>
      <c r="Y115" s="752" t="n"/>
      <c r="Z115" s="752" t="n"/>
      <c r="AA115" s="752" t="n"/>
      <c r="AB115" s="752" t="n"/>
      <c r="AC115" s="752" t="n"/>
      <c r="AD115" s="752" t="n"/>
      <c r="AE115" s="752" t="n"/>
      <c r="AF115" s="752" t="n"/>
      <c r="AG115" s="752" t="n"/>
      <c r="AH115" s="752" t="n"/>
      <c r="AI115" s="752" t="n"/>
      <c r="AJ115" s="752" t="n"/>
      <c r="AK115" s="759" t="n"/>
      <c r="AL115" s="752" t="n"/>
      <c r="AM115" s="752" t="n"/>
      <c r="AN115" s="752" t="n"/>
      <c r="AO115" s="752" t="n"/>
      <c r="AP115" s="752" t="n"/>
      <c r="AQ115" s="752" t="n"/>
      <c r="AR115" s="752" t="n"/>
      <c r="AS115" s="752" t="n"/>
    </row>
    <row r="116" ht="30" customHeight="1" s="36">
      <c r="A116" s="751" t="n"/>
      <c r="B116" s="751" t="n"/>
      <c r="C116" s="751" t="n"/>
      <c r="D116" s="751" t="n"/>
      <c r="E116" s="751">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751" t="n"/>
      <c r="G116" s="755" t="n"/>
      <c r="H116" s="755" t="n"/>
      <c r="I116" s="751" t="n"/>
      <c r="J116" s="751" t="n"/>
      <c r="K116" s="757">
        <f>IF(A116="","",IF(J116="AUTO",H116,IF(J116="MANUAL",AK116,"")))</f>
        <v/>
      </c>
      <c r="L116" s="751" t="n"/>
      <c r="M116" s="751" t="n"/>
      <c r="N116" s="751">
        <f>IF(A116="","",IF(COUNTIFS('Human Operation Desktop'!$A$3:$A$502,A116,'Human Operation Desktop'!$I$3:$I$502,"&lt;&gt;APPLIED",'Human Operation Desktop'!$I$3:$I$502,"&lt;&gt;REJECTED")&gt;0,"YES","NO"))</f>
        <v/>
      </c>
      <c r="O116" s="751" t="n"/>
      <c r="P116" s="752" t="n"/>
      <c r="Q116" s="752" t="n"/>
      <c r="R116" s="752" t="n"/>
      <c r="S116" s="752" t="n"/>
      <c r="T116" s="752" t="n"/>
      <c r="U116" s="752" t="n"/>
      <c r="V116" s="752" t="n"/>
      <c r="W116" s="752" t="n"/>
      <c r="X116" s="752" t="n"/>
      <c r="Y116" s="752" t="n"/>
      <c r="Z116" s="752" t="n"/>
      <c r="AA116" s="752" t="n"/>
      <c r="AB116" s="752" t="n"/>
      <c r="AC116" s="752" t="n"/>
      <c r="AD116" s="752" t="n"/>
      <c r="AE116" s="752" t="n"/>
      <c r="AF116" s="752" t="n"/>
      <c r="AG116" s="752" t="n"/>
      <c r="AH116" s="752" t="n"/>
      <c r="AI116" s="752" t="n"/>
      <c r="AJ116" s="752" t="n"/>
      <c r="AK116" s="759" t="n"/>
      <c r="AL116" s="752" t="n"/>
      <c r="AM116" s="752" t="n"/>
      <c r="AN116" s="752" t="n"/>
      <c r="AO116" s="752" t="n"/>
      <c r="AP116" s="752" t="n"/>
      <c r="AQ116" s="752" t="n"/>
      <c r="AR116" s="752" t="n"/>
      <c r="AS116" s="752" t="n"/>
    </row>
    <row r="117" ht="30" customHeight="1" s="36">
      <c r="A117" s="751" t="n"/>
      <c r="B117" s="751" t="n"/>
      <c r="C117" s="751" t="n"/>
      <c r="D117" s="751" t="n"/>
      <c r="E117" s="751">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751" t="n"/>
      <c r="G117" s="755" t="n"/>
      <c r="H117" s="755" t="n"/>
      <c r="I117" s="751" t="n"/>
      <c r="J117" s="751" t="n"/>
      <c r="K117" s="757">
        <f>IF(A117="","",IF(J117="AUTO",H117,IF(J117="MANUAL",AK117,"")))</f>
        <v/>
      </c>
      <c r="L117" s="751" t="n"/>
      <c r="M117" s="751" t="n"/>
      <c r="N117" s="751">
        <f>IF(A117="","",IF(COUNTIFS('Human Operation Desktop'!$A$3:$A$502,A117,'Human Operation Desktop'!$I$3:$I$502,"&lt;&gt;APPLIED",'Human Operation Desktop'!$I$3:$I$502,"&lt;&gt;REJECTED")&gt;0,"YES","NO"))</f>
        <v/>
      </c>
      <c r="O117" s="751" t="n"/>
      <c r="P117" s="752" t="n"/>
      <c r="Q117" s="752" t="n"/>
      <c r="R117" s="752" t="n"/>
      <c r="S117" s="752" t="n"/>
      <c r="T117" s="752" t="n"/>
      <c r="U117" s="752" t="n"/>
      <c r="V117" s="752" t="n"/>
      <c r="W117" s="752" t="n"/>
      <c r="X117" s="752" t="n"/>
      <c r="Y117" s="752" t="n"/>
      <c r="Z117" s="752" t="n"/>
      <c r="AA117" s="752" t="n"/>
      <c r="AB117" s="752" t="n"/>
      <c r="AC117" s="752" t="n"/>
      <c r="AD117" s="752" t="n"/>
      <c r="AE117" s="752" t="n"/>
      <c r="AF117" s="752" t="n"/>
      <c r="AG117" s="752" t="n"/>
      <c r="AH117" s="752" t="n"/>
      <c r="AI117" s="752" t="n"/>
      <c r="AJ117" s="752" t="n"/>
      <c r="AK117" s="759" t="n"/>
      <c r="AL117" s="752" t="n"/>
      <c r="AM117" s="752" t="n"/>
      <c r="AN117" s="752" t="n"/>
      <c r="AO117" s="752" t="n"/>
      <c r="AP117" s="752" t="n"/>
      <c r="AQ117" s="752" t="n"/>
      <c r="AR117" s="752" t="n"/>
      <c r="AS117" s="752" t="n"/>
    </row>
    <row r="118" ht="30" customHeight="1" s="36">
      <c r="A118" s="751" t="n"/>
      <c r="B118" s="751" t="n"/>
      <c r="C118" s="751" t="n"/>
      <c r="D118" s="751" t="n"/>
      <c r="E118" s="751">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751" t="n"/>
      <c r="G118" s="755" t="n"/>
      <c r="H118" s="755" t="n"/>
      <c r="I118" s="751" t="n"/>
      <c r="J118" s="751" t="n"/>
      <c r="K118" s="757">
        <f>IF(A118="","",IF(J118="AUTO",H118,IF(J118="MANUAL",AK118,"")))</f>
        <v/>
      </c>
      <c r="L118" s="751" t="n"/>
      <c r="M118" s="751" t="n"/>
      <c r="N118" s="751">
        <f>IF(A118="","",IF(COUNTIFS('Human Operation Desktop'!$A$3:$A$502,A118,'Human Operation Desktop'!$I$3:$I$502,"&lt;&gt;APPLIED",'Human Operation Desktop'!$I$3:$I$502,"&lt;&gt;REJECTED")&gt;0,"YES","NO"))</f>
        <v/>
      </c>
      <c r="O118" s="751" t="n"/>
      <c r="P118" s="752" t="n"/>
      <c r="Q118" s="752" t="n"/>
      <c r="R118" s="752" t="n"/>
      <c r="S118" s="752" t="n"/>
      <c r="T118" s="752" t="n"/>
      <c r="U118" s="752" t="n"/>
      <c r="V118" s="752" t="n"/>
      <c r="W118" s="752" t="n"/>
      <c r="X118" s="752" t="n"/>
      <c r="Y118" s="752" t="n"/>
      <c r="Z118" s="752" t="n"/>
      <c r="AA118" s="752" t="n"/>
      <c r="AB118" s="752" t="n"/>
      <c r="AC118" s="752" t="n"/>
      <c r="AD118" s="752" t="n"/>
      <c r="AE118" s="752" t="n"/>
      <c r="AF118" s="752" t="n"/>
      <c r="AG118" s="752" t="n"/>
      <c r="AH118" s="752" t="n"/>
      <c r="AI118" s="752" t="n"/>
      <c r="AJ118" s="752" t="n"/>
      <c r="AK118" s="759" t="n"/>
      <c r="AL118" s="752" t="n"/>
      <c r="AM118" s="752" t="n"/>
      <c r="AN118" s="752" t="n"/>
      <c r="AO118" s="752" t="n"/>
      <c r="AP118" s="752" t="n"/>
      <c r="AQ118" s="752" t="n"/>
      <c r="AR118" s="752" t="n"/>
      <c r="AS118" s="752" t="n"/>
    </row>
    <row r="119" ht="30" customHeight="1" s="36">
      <c r="A119" s="751" t="n"/>
      <c r="B119" s="751" t="n"/>
      <c r="C119" s="751" t="n"/>
      <c r="D119" s="751" t="n"/>
      <c r="E119" s="751">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751" t="n"/>
      <c r="G119" s="755" t="n"/>
      <c r="H119" s="755" t="n"/>
      <c r="I119" s="751" t="n"/>
      <c r="J119" s="751" t="n"/>
      <c r="K119" s="757">
        <f>IF(A119="","",IF(J119="AUTO",H119,IF(J119="MANUAL",AK119,"")))</f>
        <v/>
      </c>
      <c r="L119" s="751" t="n"/>
      <c r="M119" s="751" t="n"/>
      <c r="N119" s="751">
        <f>IF(A119="","",IF(COUNTIFS('Human Operation Desktop'!$A$3:$A$502,A119,'Human Operation Desktop'!$I$3:$I$502,"&lt;&gt;APPLIED",'Human Operation Desktop'!$I$3:$I$502,"&lt;&gt;REJECTED")&gt;0,"YES","NO"))</f>
        <v/>
      </c>
      <c r="O119" s="751" t="n"/>
      <c r="P119" s="752" t="n"/>
      <c r="Q119" s="752" t="n"/>
      <c r="R119" s="752" t="n"/>
      <c r="S119" s="752" t="n"/>
      <c r="T119" s="752" t="n"/>
      <c r="U119" s="752" t="n"/>
      <c r="V119" s="752" t="n"/>
      <c r="W119" s="752" t="n"/>
      <c r="X119" s="752" t="n"/>
      <c r="Y119" s="752" t="n"/>
      <c r="Z119" s="752" t="n"/>
      <c r="AA119" s="752" t="n"/>
      <c r="AB119" s="752" t="n"/>
      <c r="AC119" s="752" t="n"/>
      <c r="AD119" s="752" t="n"/>
      <c r="AE119" s="752" t="n"/>
      <c r="AF119" s="752" t="n"/>
      <c r="AG119" s="752" t="n"/>
      <c r="AH119" s="752" t="n"/>
      <c r="AI119" s="752" t="n"/>
      <c r="AJ119" s="752" t="n"/>
      <c r="AK119" s="759" t="n"/>
      <c r="AL119" s="752" t="n"/>
      <c r="AM119" s="752" t="n"/>
      <c r="AN119" s="752" t="n"/>
      <c r="AO119" s="752" t="n"/>
      <c r="AP119" s="752" t="n"/>
      <c r="AQ119" s="752" t="n"/>
      <c r="AR119" s="752" t="n"/>
      <c r="AS119" s="752" t="n"/>
    </row>
    <row r="120" ht="30" customHeight="1" s="36">
      <c r="A120" s="751" t="n"/>
      <c r="B120" s="751" t="n"/>
      <c r="C120" s="751" t="n"/>
      <c r="D120" s="751" t="n"/>
      <c r="E120" s="751">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751" t="n"/>
      <c r="G120" s="755" t="n"/>
      <c r="H120" s="755" t="n"/>
      <c r="I120" s="751" t="n"/>
      <c r="J120" s="751" t="n"/>
      <c r="K120" s="757">
        <f>IF(A120="","",IF(J120="AUTO",H120,IF(J120="MANUAL",AK120,"")))</f>
        <v/>
      </c>
      <c r="L120" s="751" t="n"/>
      <c r="M120" s="751" t="n"/>
      <c r="N120" s="751">
        <f>IF(A120="","",IF(COUNTIFS('Human Operation Desktop'!$A$3:$A$502,A120,'Human Operation Desktop'!$I$3:$I$502,"&lt;&gt;APPLIED",'Human Operation Desktop'!$I$3:$I$502,"&lt;&gt;REJECTED")&gt;0,"YES","NO"))</f>
        <v/>
      </c>
      <c r="O120" s="751" t="n"/>
      <c r="P120" s="752" t="n"/>
      <c r="Q120" s="752" t="n"/>
      <c r="R120" s="752" t="n"/>
      <c r="S120" s="752" t="n"/>
      <c r="T120" s="752" t="n"/>
      <c r="U120" s="752" t="n"/>
      <c r="V120" s="752" t="n"/>
      <c r="W120" s="752" t="n"/>
      <c r="X120" s="752" t="n"/>
      <c r="Y120" s="752" t="n"/>
      <c r="Z120" s="752" t="n"/>
      <c r="AA120" s="752" t="n"/>
      <c r="AB120" s="752" t="n"/>
      <c r="AC120" s="752" t="n"/>
      <c r="AD120" s="752" t="n"/>
      <c r="AE120" s="752" t="n"/>
      <c r="AF120" s="752" t="n"/>
      <c r="AG120" s="752" t="n"/>
      <c r="AH120" s="752" t="n"/>
      <c r="AI120" s="752" t="n"/>
      <c r="AJ120" s="752" t="n"/>
      <c r="AK120" s="759" t="n"/>
      <c r="AL120" s="752" t="n"/>
      <c r="AM120" s="752" t="n"/>
      <c r="AN120" s="752" t="n"/>
      <c r="AO120" s="752" t="n"/>
      <c r="AP120" s="752" t="n"/>
      <c r="AQ120" s="752" t="n"/>
      <c r="AR120" s="752" t="n"/>
      <c r="AS120" s="752" t="n"/>
    </row>
    <row r="121" ht="30" customHeight="1" s="36">
      <c r="A121" s="751" t="n"/>
      <c r="B121" s="751" t="n"/>
      <c r="C121" s="751" t="n"/>
      <c r="D121" s="751" t="n"/>
      <c r="E121" s="751">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751" t="n"/>
      <c r="G121" s="755" t="n"/>
      <c r="H121" s="755" t="n"/>
      <c r="I121" s="751" t="n"/>
      <c r="J121" s="751" t="n"/>
      <c r="K121" s="757">
        <f>IF(A121="","",IF(J121="AUTO",H121,IF(J121="MANUAL",AK121,"")))</f>
        <v/>
      </c>
      <c r="L121" s="751" t="n"/>
      <c r="M121" s="751" t="n"/>
      <c r="N121" s="751">
        <f>IF(A121="","",IF(COUNTIFS('Human Operation Desktop'!$A$3:$A$502,A121,'Human Operation Desktop'!$I$3:$I$502,"&lt;&gt;APPLIED",'Human Operation Desktop'!$I$3:$I$502,"&lt;&gt;REJECTED")&gt;0,"YES","NO"))</f>
        <v/>
      </c>
      <c r="O121" s="751" t="n"/>
      <c r="P121" s="752" t="n"/>
      <c r="Q121" s="752" t="n"/>
      <c r="R121" s="752" t="n"/>
      <c r="S121" s="752" t="n"/>
      <c r="T121" s="752" t="n"/>
      <c r="U121" s="752" t="n"/>
      <c r="V121" s="752" t="n"/>
      <c r="W121" s="752" t="n"/>
      <c r="X121" s="752" t="n"/>
      <c r="Y121" s="752" t="n"/>
      <c r="Z121" s="752" t="n"/>
      <c r="AA121" s="752" t="n"/>
      <c r="AB121" s="752" t="n"/>
      <c r="AC121" s="752" t="n"/>
      <c r="AD121" s="752" t="n"/>
      <c r="AE121" s="752" t="n"/>
      <c r="AF121" s="752" t="n"/>
      <c r="AG121" s="752" t="n"/>
      <c r="AH121" s="752" t="n"/>
      <c r="AI121" s="752" t="n"/>
      <c r="AJ121" s="752" t="n"/>
      <c r="AK121" s="759" t="n"/>
      <c r="AL121" s="752" t="n"/>
      <c r="AM121" s="752" t="n"/>
      <c r="AN121" s="752" t="n"/>
      <c r="AO121" s="752" t="n"/>
      <c r="AP121" s="752" t="n"/>
      <c r="AQ121" s="752" t="n"/>
      <c r="AR121" s="752" t="n"/>
      <c r="AS121" s="752" t="n"/>
    </row>
    <row r="122" ht="30" customHeight="1" s="36">
      <c r="A122" s="751" t="n"/>
      <c r="B122" s="751" t="n"/>
      <c r="C122" s="751" t="n"/>
      <c r="D122" s="751" t="n"/>
      <c r="E122" s="751">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751" t="n"/>
      <c r="G122" s="755" t="n"/>
      <c r="H122" s="755" t="n"/>
      <c r="I122" s="751" t="n"/>
      <c r="J122" s="751" t="n"/>
      <c r="K122" s="757">
        <f>IF(A122="","",IF(J122="AUTO",H122,IF(J122="MANUAL",AK122,"")))</f>
        <v/>
      </c>
      <c r="L122" s="751" t="n"/>
      <c r="M122" s="751" t="n"/>
      <c r="N122" s="751">
        <f>IF(A122="","",IF(COUNTIFS('Human Operation Desktop'!$A$3:$A$502,A122,'Human Operation Desktop'!$I$3:$I$502,"&lt;&gt;APPLIED",'Human Operation Desktop'!$I$3:$I$502,"&lt;&gt;REJECTED")&gt;0,"YES","NO"))</f>
        <v/>
      </c>
      <c r="O122" s="751" t="n"/>
      <c r="P122" s="752" t="n"/>
      <c r="Q122" s="752" t="n"/>
      <c r="R122" s="752" t="n"/>
      <c r="S122" s="752" t="n"/>
      <c r="T122" s="752" t="n"/>
      <c r="U122" s="752" t="n"/>
      <c r="V122" s="752" t="n"/>
      <c r="W122" s="752" t="n"/>
      <c r="X122" s="752" t="n"/>
      <c r="Y122" s="752" t="n"/>
      <c r="Z122" s="752" t="n"/>
      <c r="AA122" s="752" t="n"/>
      <c r="AB122" s="752" t="n"/>
      <c r="AC122" s="752" t="n"/>
      <c r="AD122" s="752" t="n"/>
      <c r="AE122" s="752" t="n"/>
      <c r="AF122" s="752" t="n"/>
      <c r="AG122" s="752" t="n"/>
      <c r="AH122" s="752" t="n"/>
      <c r="AI122" s="752" t="n"/>
      <c r="AJ122" s="752" t="n"/>
      <c r="AK122" s="759" t="n"/>
      <c r="AL122" s="752" t="n"/>
      <c r="AM122" s="752" t="n"/>
      <c r="AN122" s="752" t="n"/>
      <c r="AO122" s="752" t="n"/>
      <c r="AP122" s="752" t="n"/>
      <c r="AQ122" s="752" t="n"/>
      <c r="AR122" s="752" t="n"/>
      <c r="AS122" s="752" t="n"/>
    </row>
    <row r="123" ht="30" customHeight="1" s="36">
      <c r="A123" s="751" t="n"/>
      <c r="B123" s="751" t="n"/>
      <c r="C123" s="751" t="n"/>
      <c r="D123" s="751" t="n"/>
      <c r="E123" s="751">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751" t="n"/>
      <c r="G123" s="755" t="n"/>
      <c r="H123" s="755" t="n"/>
      <c r="I123" s="751" t="n"/>
      <c r="J123" s="751" t="n"/>
      <c r="K123" s="757">
        <f>IF(A123="","",IF(J123="AUTO",H123,IF(J123="MANUAL",AK123,"")))</f>
        <v/>
      </c>
      <c r="L123" s="751" t="n"/>
      <c r="M123" s="751" t="n"/>
      <c r="N123" s="751">
        <f>IF(A123="","",IF(COUNTIFS('Human Operation Desktop'!$A$3:$A$502,A123,'Human Operation Desktop'!$I$3:$I$502,"&lt;&gt;APPLIED",'Human Operation Desktop'!$I$3:$I$502,"&lt;&gt;REJECTED")&gt;0,"YES","NO"))</f>
        <v/>
      </c>
      <c r="O123" s="751" t="n"/>
      <c r="P123" s="752" t="n"/>
      <c r="Q123" s="752" t="n"/>
      <c r="R123" s="752" t="n"/>
      <c r="S123" s="752" t="n"/>
      <c r="T123" s="752" t="n"/>
      <c r="U123" s="752" t="n"/>
      <c r="V123" s="752" t="n"/>
      <c r="W123" s="752" t="n"/>
      <c r="X123" s="752" t="n"/>
      <c r="Y123" s="752" t="n"/>
      <c r="Z123" s="752" t="n"/>
      <c r="AA123" s="752" t="n"/>
      <c r="AB123" s="752" t="n"/>
      <c r="AC123" s="752" t="n"/>
      <c r="AD123" s="752" t="n"/>
      <c r="AE123" s="752" t="n"/>
      <c r="AF123" s="752" t="n"/>
      <c r="AG123" s="752" t="n"/>
      <c r="AH123" s="752" t="n"/>
      <c r="AI123" s="752" t="n"/>
      <c r="AJ123" s="752" t="n"/>
      <c r="AK123" s="759" t="n"/>
      <c r="AL123" s="752" t="n"/>
      <c r="AM123" s="752" t="n"/>
      <c r="AN123" s="752" t="n"/>
      <c r="AO123" s="752" t="n"/>
      <c r="AP123" s="752" t="n"/>
      <c r="AQ123" s="752" t="n"/>
      <c r="AR123" s="752" t="n"/>
      <c r="AS123" s="752" t="n"/>
    </row>
    <row r="124" ht="30" customHeight="1" s="36">
      <c r="A124" s="751" t="n"/>
      <c r="B124" s="751" t="n"/>
      <c r="C124" s="751" t="n"/>
      <c r="D124" s="751" t="n"/>
      <c r="E124" s="751">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751" t="n"/>
      <c r="G124" s="755" t="n"/>
      <c r="H124" s="755" t="n"/>
      <c r="I124" s="751" t="n"/>
      <c r="J124" s="751" t="n"/>
      <c r="K124" s="757">
        <f>IF(A124="","",IF(J124="AUTO",H124,IF(J124="MANUAL",AK124,"")))</f>
        <v/>
      </c>
      <c r="L124" s="751" t="n"/>
      <c r="M124" s="751" t="n"/>
      <c r="N124" s="751">
        <f>IF(A124="","",IF(COUNTIFS('Human Operation Desktop'!$A$3:$A$502,A124,'Human Operation Desktop'!$I$3:$I$502,"&lt;&gt;APPLIED",'Human Operation Desktop'!$I$3:$I$502,"&lt;&gt;REJECTED")&gt;0,"YES","NO"))</f>
        <v/>
      </c>
      <c r="O124" s="751" t="n"/>
      <c r="P124" s="752" t="n"/>
      <c r="Q124" s="752" t="n"/>
      <c r="R124" s="752" t="n"/>
      <c r="S124" s="752" t="n"/>
      <c r="T124" s="752" t="n"/>
      <c r="U124" s="752" t="n"/>
      <c r="V124" s="752" t="n"/>
      <c r="W124" s="752" t="n"/>
      <c r="X124" s="752" t="n"/>
      <c r="Y124" s="752" t="n"/>
      <c r="Z124" s="752" t="n"/>
      <c r="AA124" s="752" t="n"/>
      <c r="AB124" s="752" t="n"/>
      <c r="AC124" s="752" t="n"/>
      <c r="AD124" s="752" t="n"/>
      <c r="AE124" s="752" t="n"/>
      <c r="AF124" s="752" t="n"/>
      <c r="AG124" s="752" t="n"/>
      <c r="AH124" s="752" t="n"/>
      <c r="AI124" s="752" t="n"/>
      <c r="AJ124" s="752" t="n"/>
      <c r="AK124" s="759" t="n"/>
      <c r="AL124" s="752" t="n"/>
      <c r="AM124" s="752" t="n"/>
      <c r="AN124" s="752" t="n"/>
      <c r="AO124" s="752" t="n"/>
      <c r="AP124" s="752" t="n"/>
      <c r="AQ124" s="752" t="n"/>
      <c r="AR124" s="752" t="n"/>
      <c r="AS124" s="752" t="n"/>
    </row>
    <row r="125" ht="30" customHeight="1" s="36">
      <c r="A125" s="751" t="n"/>
      <c r="B125" s="751" t="n"/>
      <c r="C125" s="751" t="n"/>
      <c r="D125" s="751" t="n"/>
      <c r="E125" s="751">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751" t="n"/>
      <c r="G125" s="755" t="n"/>
      <c r="H125" s="755" t="n"/>
      <c r="I125" s="751" t="n"/>
      <c r="J125" s="751" t="n"/>
      <c r="K125" s="757">
        <f>IF(A125="","",IF(J125="AUTO",H125,IF(J125="MANUAL",AK125,"")))</f>
        <v/>
      </c>
      <c r="L125" s="751" t="n"/>
      <c r="M125" s="751" t="n"/>
      <c r="N125" s="751">
        <f>IF(A125="","",IF(COUNTIFS('Human Operation Desktop'!$A$3:$A$502,A125,'Human Operation Desktop'!$I$3:$I$502,"&lt;&gt;APPLIED",'Human Operation Desktop'!$I$3:$I$502,"&lt;&gt;REJECTED")&gt;0,"YES","NO"))</f>
        <v/>
      </c>
      <c r="O125" s="751" t="n"/>
      <c r="P125" s="752" t="n"/>
      <c r="Q125" s="752" t="n"/>
      <c r="R125" s="752" t="n"/>
      <c r="S125" s="752" t="n"/>
      <c r="T125" s="752" t="n"/>
      <c r="U125" s="752" t="n"/>
      <c r="V125" s="752" t="n"/>
      <c r="W125" s="752" t="n"/>
      <c r="X125" s="752" t="n"/>
      <c r="Y125" s="752" t="n"/>
      <c r="Z125" s="752" t="n"/>
      <c r="AA125" s="752" t="n"/>
      <c r="AB125" s="752" t="n"/>
      <c r="AC125" s="752" t="n"/>
      <c r="AD125" s="752" t="n"/>
      <c r="AE125" s="752" t="n"/>
      <c r="AF125" s="752" t="n"/>
      <c r="AG125" s="752" t="n"/>
      <c r="AH125" s="752" t="n"/>
      <c r="AI125" s="752" t="n"/>
      <c r="AJ125" s="752" t="n"/>
      <c r="AK125" s="759" t="n"/>
      <c r="AL125" s="752" t="n"/>
      <c r="AM125" s="752" t="n"/>
      <c r="AN125" s="752" t="n"/>
      <c r="AO125" s="752" t="n"/>
      <c r="AP125" s="752" t="n"/>
      <c r="AQ125" s="752" t="n"/>
      <c r="AR125" s="752" t="n"/>
      <c r="AS125" s="752" t="n"/>
    </row>
    <row r="126" ht="30" customHeight="1" s="36">
      <c r="A126" s="751" t="n"/>
      <c r="B126" s="751" t="n"/>
      <c r="C126" s="751" t="n"/>
      <c r="D126" s="751" t="n"/>
      <c r="E126" s="751">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751" t="n"/>
      <c r="G126" s="755" t="n"/>
      <c r="H126" s="755" t="n"/>
      <c r="I126" s="751" t="n"/>
      <c r="J126" s="751" t="n"/>
      <c r="K126" s="757">
        <f>IF(A126="","",IF(J126="AUTO",H126,IF(J126="MANUAL",AK126,"")))</f>
        <v/>
      </c>
      <c r="L126" s="751" t="n"/>
      <c r="M126" s="751" t="n"/>
      <c r="N126" s="751">
        <f>IF(A126="","",IF(COUNTIFS('Human Operation Desktop'!$A$3:$A$502,A126,'Human Operation Desktop'!$I$3:$I$502,"&lt;&gt;APPLIED",'Human Operation Desktop'!$I$3:$I$502,"&lt;&gt;REJECTED")&gt;0,"YES","NO"))</f>
        <v/>
      </c>
      <c r="O126" s="751" t="n"/>
      <c r="P126" s="752" t="n"/>
      <c r="Q126" s="752" t="n"/>
      <c r="R126" s="752" t="n"/>
      <c r="S126" s="752" t="n"/>
      <c r="T126" s="752" t="n"/>
      <c r="U126" s="752" t="n"/>
      <c r="V126" s="752" t="n"/>
      <c r="W126" s="752" t="n"/>
      <c r="X126" s="752" t="n"/>
      <c r="Y126" s="752" t="n"/>
      <c r="Z126" s="752" t="n"/>
      <c r="AA126" s="752" t="n"/>
      <c r="AB126" s="752" t="n"/>
      <c r="AC126" s="752" t="n"/>
      <c r="AD126" s="752" t="n"/>
      <c r="AE126" s="752" t="n"/>
      <c r="AF126" s="752" t="n"/>
      <c r="AG126" s="752" t="n"/>
      <c r="AH126" s="752" t="n"/>
      <c r="AI126" s="752" t="n"/>
      <c r="AJ126" s="752" t="n"/>
      <c r="AK126" s="759" t="n"/>
      <c r="AL126" s="752" t="n"/>
      <c r="AM126" s="752" t="n"/>
      <c r="AN126" s="752" t="n"/>
      <c r="AO126" s="752" t="n"/>
      <c r="AP126" s="752" t="n"/>
      <c r="AQ126" s="752" t="n"/>
      <c r="AR126" s="752" t="n"/>
      <c r="AS126" s="752" t="n"/>
    </row>
    <row r="127" ht="30" customHeight="1" s="36">
      <c r="A127" s="751" t="n"/>
      <c r="B127" s="751" t="n"/>
      <c r="C127" s="751" t="n"/>
      <c r="D127" s="751" t="n"/>
      <c r="E127" s="751">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751" t="n"/>
      <c r="G127" s="755" t="n"/>
      <c r="H127" s="755" t="n"/>
      <c r="I127" s="751" t="n"/>
      <c r="J127" s="751" t="n"/>
      <c r="K127" s="757">
        <f>IF(A127="","",IF(J127="AUTO",H127,IF(J127="MANUAL",AK127,"")))</f>
        <v/>
      </c>
      <c r="L127" s="751" t="n"/>
      <c r="M127" s="751" t="n"/>
      <c r="N127" s="751">
        <f>IF(A127="","",IF(COUNTIFS('Human Operation Desktop'!$A$3:$A$502,A127,'Human Operation Desktop'!$I$3:$I$502,"&lt;&gt;APPLIED",'Human Operation Desktop'!$I$3:$I$502,"&lt;&gt;REJECTED")&gt;0,"YES","NO"))</f>
        <v/>
      </c>
      <c r="O127" s="751" t="n"/>
      <c r="P127" s="752" t="n"/>
      <c r="Q127" s="752" t="n"/>
      <c r="R127" s="752" t="n"/>
      <c r="S127" s="752" t="n"/>
      <c r="T127" s="752" t="n"/>
      <c r="U127" s="752" t="n"/>
      <c r="V127" s="752" t="n"/>
      <c r="W127" s="752" t="n"/>
      <c r="X127" s="752" t="n"/>
      <c r="Y127" s="752" t="n"/>
      <c r="Z127" s="752" t="n"/>
      <c r="AA127" s="752" t="n"/>
      <c r="AB127" s="752" t="n"/>
      <c r="AC127" s="752" t="n"/>
      <c r="AD127" s="752" t="n"/>
      <c r="AE127" s="752" t="n"/>
      <c r="AF127" s="752" t="n"/>
      <c r="AG127" s="752" t="n"/>
      <c r="AH127" s="752" t="n"/>
      <c r="AI127" s="752" t="n"/>
      <c r="AJ127" s="752" t="n"/>
      <c r="AK127" s="759" t="n"/>
      <c r="AL127" s="752" t="n"/>
      <c r="AM127" s="752" t="n"/>
      <c r="AN127" s="752" t="n"/>
      <c r="AO127" s="752" t="n"/>
      <c r="AP127" s="752" t="n"/>
      <c r="AQ127" s="752" t="n"/>
      <c r="AR127" s="752" t="n"/>
      <c r="AS127" s="752" t="n"/>
    </row>
    <row r="128" ht="30" customHeight="1" s="36">
      <c r="A128" s="751" t="n"/>
      <c r="B128" s="751" t="n"/>
      <c r="C128" s="751" t="n"/>
      <c r="D128" s="751" t="n"/>
      <c r="E128" s="751">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751" t="n"/>
      <c r="G128" s="755" t="n"/>
      <c r="H128" s="755" t="n"/>
      <c r="I128" s="751" t="n"/>
      <c r="J128" s="751" t="n"/>
      <c r="K128" s="757">
        <f>IF(A128="","",IF(J128="AUTO",H128,IF(J128="MANUAL",AK128,"")))</f>
        <v/>
      </c>
      <c r="L128" s="751" t="n"/>
      <c r="M128" s="751" t="n"/>
      <c r="N128" s="751">
        <f>IF(A128="","",IF(COUNTIFS('Human Operation Desktop'!$A$3:$A$502,A128,'Human Operation Desktop'!$I$3:$I$502,"&lt;&gt;APPLIED",'Human Operation Desktop'!$I$3:$I$502,"&lt;&gt;REJECTED")&gt;0,"YES","NO"))</f>
        <v/>
      </c>
      <c r="O128" s="751" t="n"/>
      <c r="P128" s="752" t="n"/>
      <c r="Q128" s="752" t="n"/>
      <c r="R128" s="752" t="n"/>
      <c r="S128" s="752" t="n"/>
      <c r="T128" s="752" t="n"/>
      <c r="U128" s="752" t="n"/>
      <c r="V128" s="752" t="n"/>
      <c r="W128" s="752" t="n"/>
      <c r="X128" s="752" t="n"/>
      <c r="Y128" s="752" t="n"/>
      <c r="Z128" s="752" t="n"/>
      <c r="AA128" s="752" t="n"/>
      <c r="AB128" s="752" t="n"/>
      <c r="AC128" s="752" t="n"/>
      <c r="AD128" s="752" t="n"/>
      <c r="AE128" s="752" t="n"/>
      <c r="AF128" s="752" t="n"/>
      <c r="AG128" s="752" t="n"/>
      <c r="AH128" s="752" t="n"/>
      <c r="AI128" s="752" t="n"/>
      <c r="AJ128" s="752" t="n"/>
      <c r="AK128" s="759" t="n"/>
      <c r="AL128" s="752" t="n"/>
      <c r="AM128" s="752" t="n"/>
      <c r="AN128" s="752" t="n"/>
      <c r="AO128" s="752" t="n"/>
      <c r="AP128" s="752" t="n"/>
      <c r="AQ128" s="752" t="n"/>
      <c r="AR128" s="752" t="n"/>
      <c r="AS128" s="752" t="n"/>
    </row>
    <row r="129" ht="30" customHeight="1" s="36">
      <c r="A129" s="751" t="n"/>
      <c r="B129" s="751" t="n"/>
      <c r="C129" s="751" t="n"/>
      <c r="D129" s="751" t="n"/>
      <c r="E129" s="751">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751" t="n"/>
      <c r="G129" s="755" t="n"/>
      <c r="H129" s="755" t="n"/>
      <c r="I129" s="751" t="n"/>
      <c r="J129" s="751" t="n"/>
      <c r="K129" s="757">
        <f>IF(A129="","",IF(J129="AUTO",H129,IF(J129="MANUAL",AK129,"")))</f>
        <v/>
      </c>
      <c r="L129" s="751" t="n"/>
      <c r="M129" s="751" t="n"/>
      <c r="N129" s="751">
        <f>IF(A129="","",IF(COUNTIFS('Human Operation Desktop'!$A$3:$A$502,A129,'Human Operation Desktop'!$I$3:$I$502,"&lt;&gt;APPLIED",'Human Operation Desktop'!$I$3:$I$502,"&lt;&gt;REJECTED")&gt;0,"YES","NO"))</f>
        <v/>
      </c>
      <c r="O129" s="751" t="n"/>
      <c r="P129" s="752" t="n"/>
      <c r="Q129" s="752" t="n"/>
      <c r="R129" s="752" t="n"/>
      <c r="S129" s="752" t="n"/>
      <c r="T129" s="752" t="n"/>
      <c r="U129" s="752" t="n"/>
      <c r="V129" s="752" t="n"/>
      <c r="W129" s="752" t="n"/>
      <c r="X129" s="752" t="n"/>
      <c r="Y129" s="752" t="n"/>
      <c r="Z129" s="752" t="n"/>
      <c r="AA129" s="752" t="n"/>
      <c r="AB129" s="752" t="n"/>
      <c r="AC129" s="752" t="n"/>
      <c r="AD129" s="752" t="n"/>
      <c r="AE129" s="752" t="n"/>
      <c r="AF129" s="752" t="n"/>
      <c r="AG129" s="752" t="n"/>
      <c r="AH129" s="752" t="n"/>
      <c r="AI129" s="752" t="n"/>
      <c r="AJ129" s="752" t="n"/>
      <c r="AK129" s="759" t="n"/>
      <c r="AL129" s="752" t="n"/>
      <c r="AM129" s="752" t="n"/>
      <c r="AN129" s="752" t="n"/>
      <c r="AO129" s="752" t="n"/>
      <c r="AP129" s="752" t="n"/>
      <c r="AQ129" s="752" t="n"/>
      <c r="AR129" s="752" t="n"/>
      <c r="AS129" s="752" t="n"/>
    </row>
    <row r="130" ht="30" customHeight="1" s="36">
      <c r="A130" s="751" t="n"/>
      <c r="B130" s="751" t="n"/>
      <c r="C130" s="751" t="n"/>
      <c r="D130" s="751" t="n"/>
      <c r="E130" s="751">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751" t="n"/>
      <c r="G130" s="755" t="n"/>
      <c r="H130" s="755" t="n"/>
      <c r="I130" s="751" t="n"/>
      <c r="J130" s="751" t="n"/>
      <c r="K130" s="757">
        <f>IF(A130="","",IF(J130="AUTO",H130,IF(J130="MANUAL",AK130,"")))</f>
        <v/>
      </c>
      <c r="L130" s="751" t="n"/>
      <c r="M130" s="751" t="n"/>
      <c r="N130" s="751">
        <f>IF(A130="","",IF(COUNTIFS('Human Operation Desktop'!$A$3:$A$502,A130,'Human Operation Desktop'!$I$3:$I$502,"&lt;&gt;APPLIED",'Human Operation Desktop'!$I$3:$I$502,"&lt;&gt;REJECTED")&gt;0,"YES","NO"))</f>
        <v/>
      </c>
      <c r="O130" s="751" t="n"/>
      <c r="P130" s="752" t="n"/>
      <c r="Q130" s="752" t="n"/>
      <c r="R130" s="752" t="n"/>
      <c r="S130" s="752" t="n"/>
      <c r="T130" s="752" t="n"/>
      <c r="U130" s="752" t="n"/>
      <c r="V130" s="752" t="n"/>
      <c r="W130" s="752" t="n"/>
      <c r="X130" s="752" t="n"/>
      <c r="Y130" s="752" t="n"/>
      <c r="Z130" s="752" t="n"/>
      <c r="AA130" s="752" t="n"/>
      <c r="AB130" s="752" t="n"/>
      <c r="AC130" s="752" t="n"/>
      <c r="AD130" s="752" t="n"/>
      <c r="AE130" s="752" t="n"/>
      <c r="AF130" s="752" t="n"/>
      <c r="AG130" s="752" t="n"/>
      <c r="AH130" s="752" t="n"/>
      <c r="AI130" s="752" t="n"/>
      <c r="AJ130" s="752" t="n"/>
      <c r="AK130" s="759" t="n"/>
      <c r="AL130" s="752" t="n"/>
      <c r="AM130" s="752" t="n"/>
      <c r="AN130" s="752" t="n"/>
      <c r="AO130" s="752" t="n"/>
      <c r="AP130" s="752" t="n"/>
      <c r="AQ130" s="752" t="n"/>
      <c r="AR130" s="752" t="n"/>
      <c r="AS130" s="752" t="n"/>
    </row>
    <row r="131" ht="30" customHeight="1" s="36">
      <c r="A131" s="751" t="n"/>
      <c r="B131" s="751" t="n"/>
      <c r="C131" s="751" t="n"/>
      <c r="D131" s="751" t="n"/>
      <c r="E131" s="751">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751" t="n"/>
      <c r="G131" s="755" t="n"/>
      <c r="H131" s="755" t="n"/>
      <c r="I131" s="751" t="n"/>
      <c r="J131" s="751" t="n"/>
      <c r="K131" s="757">
        <f>IF(A131="","",IF(J131="AUTO",H131,IF(J131="MANUAL",AK131,"")))</f>
        <v/>
      </c>
      <c r="L131" s="751" t="n"/>
      <c r="M131" s="751" t="n"/>
      <c r="N131" s="751">
        <f>IF(A131="","",IF(COUNTIFS('Human Operation Desktop'!$A$3:$A$502,A131,'Human Operation Desktop'!$I$3:$I$502,"&lt;&gt;APPLIED",'Human Operation Desktop'!$I$3:$I$502,"&lt;&gt;REJECTED")&gt;0,"YES","NO"))</f>
        <v/>
      </c>
      <c r="O131" s="751" t="n"/>
      <c r="P131" s="752" t="n"/>
      <c r="Q131" s="752" t="n"/>
      <c r="R131" s="752" t="n"/>
      <c r="S131" s="752" t="n"/>
      <c r="T131" s="752" t="n"/>
      <c r="U131" s="752" t="n"/>
      <c r="V131" s="752" t="n"/>
      <c r="W131" s="752" t="n"/>
      <c r="X131" s="752" t="n"/>
      <c r="Y131" s="752" t="n"/>
      <c r="Z131" s="752" t="n"/>
      <c r="AA131" s="752" t="n"/>
      <c r="AB131" s="752" t="n"/>
      <c r="AC131" s="752" t="n"/>
      <c r="AD131" s="752" t="n"/>
      <c r="AE131" s="752" t="n"/>
      <c r="AF131" s="752" t="n"/>
      <c r="AG131" s="752" t="n"/>
      <c r="AH131" s="752" t="n"/>
      <c r="AI131" s="752" t="n"/>
      <c r="AJ131" s="752" t="n"/>
      <c r="AK131" s="759" t="n"/>
      <c r="AL131" s="752" t="n"/>
      <c r="AM131" s="752" t="n"/>
      <c r="AN131" s="752" t="n"/>
      <c r="AO131" s="752" t="n"/>
      <c r="AP131" s="752" t="n"/>
      <c r="AQ131" s="752" t="n"/>
      <c r="AR131" s="752" t="n"/>
      <c r="AS131" s="752" t="n"/>
    </row>
    <row r="132" ht="30" customHeight="1" s="36">
      <c r="A132" s="751" t="n"/>
      <c r="B132" s="751" t="n"/>
      <c r="C132" s="751" t="n"/>
      <c r="D132" s="751" t="n"/>
      <c r="E132" s="751">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751" t="n"/>
      <c r="G132" s="755" t="n"/>
      <c r="H132" s="755" t="n"/>
      <c r="I132" s="751" t="n"/>
      <c r="J132" s="751" t="n"/>
      <c r="K132" s="757">
        <f>IF(A132="","",IF(J132="AUTO",H132,IF(J132="MANUAL",AK132,"")))</f>
        <v/>
      </c>
      <c r="L132" s="751" t="n"/>
      <c r="M132" s="751" t="n"/>
      <c r="N132" s="751">
        <f>IF(A132="","",IF(COUNTIFS('Human Operation Desktop'!$A$3:$A$502,A132,'Human Operation Desktop'!$I$3:$I$502,"&lt;&gt;APPLIED",'Human Operation Desktop'!$I$3:$I$502,"&lt;&gt;REJECTED")&gt;0,"YES","NO"))</f>
        <v/>
      </c>
      <c r="O132" s="751" t="n"/>
      <c r="P132" s="752" t="n"/>
      <c r="Q132" s="752" t="n"/>
      <c r="R132" s="752" t="n"/>
      <c r="S132" s="752" t="n"/>
      <c r="T132" s="752" t="n"/>
      <c r="U132" s="752" t="n"/>
      <c r="V132" s="752" t="n"/>
      <c r="W132" s="752" t="n"/>
      <c r="X132" s="752" t="n"/>
      <c r="Y132" s="752" t="n"/>
      <c r="Z132" s="752" t="n"/>
      <c r="AA132" s="752" t="n"/>
      <c r="AB132" s="752" t="n"/>
      <c r="AC132" s="752" t="n"/>
      <c r="AD132" s="752" t="n"/>
      <c r="AE132" s="752" t="n"/>
      <c r="AF132" s="752" t="n"/>
      <c r="AG132" s="752" t="n"/>
      <c r="AH132" s="752" t="n"/>
      <c r="AI132" s="752" t="n"/>
      <c r="AJ132" s="752" t="n"/>
      <c r="AK132" s="759" t="n"/>
      <c r="AL132" s="752" t="n"/>
      <c r="AM132" s="752" t="n"/>
      <c r="AN132" s="752" t="n"/>
      <c r="AO132" s="752" t="n"/>
      <c r="AP132" s="752" t="n"/>
      <c r="AQ132" s="752" t="n"/>
      <c r="AR132" s="752" t="n"/>
      <c r="AS132" s="752" t="n"/>
    </row>
    <row r="133" ht="30" customHeight="1" s="36">
      <c r="A133" s="751" t="n"/>
      <c r="B133" s="751" t="n"/>
      <c r="C133" s="751" t="n"/>
      <c r="D133" s="751" t="n"/>
      <c r="E133" s="751">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751" t="n"/>
      <c r="G133" s="755" t="n"/>
      <c r="H133" s="755" t="n"/>
      <c r="I133" s="751" t="n"/>
      <c r="J133" s="751" t="n"/>
      <c r="K133" s="757">
        <f>IF(A133="","",IF(J133="AUTO",H133,IF(J133="MANUAL",AK133,"")))</f>
        <v/>
      </c>
      <c r="L133" s="751" t="n"/>
      <c r="M133" s="751" t="n"/>
      <c r="N133" s="751">
        <f>IF(A133="","",IF(COUNTIFS('Human Operation Desktop'!$A$3:$A$502,A133,'Human Operation Desktop'!$I$3:$I$502,"&lt;&gt;APPLIED",'Human Operation Desktop'!$I$3:$I$502,"&lt;&gt;REJECTED")&gt;0,"YES","NO"))</f>
        <v/>
      </c>
      <c r="O133" s="751" t="n"/>
      <c r="P133" s="752" t="n"/>
      <c r="Q133" s="752" t="n"/>
      <c r="R133" s="752" t="n"/>
      <c r="S133" s="752" t="n"/>
      <c r="T133" s="752" t="n"/>
      <c r="U133" s="752" t="n"/>
      <c r="V133" s="752" t="n"/>
      <c r="W133" s="752" t="n"/>
      <c r="X133" s="752" t="n"/>
      <c r="Y133" s="752" t="n"/>
      <c r="Z133" s="752" t="n"/>
      <c r="AA133" s="752" t="n"/>
      <c r="AB133" s="752" t="n"/>
      <c r="AC133" s="752" t="n"/>
      <c r="AD133" s="752" t="n"/>
      <c r="AE133" s="752" t="n"/>
      <c r="AF133" s="752" t="n"/>
      <c r="AG133" s="752" t="n"/>
      <c r="AH133" s="752" t="n"/>
      <c r="AI133" s="752" t="n"/>
      <c r="AJ133" s="752" t="n"/>
      <c r="AK133" s="759" t="n"/>
      <c r="AL133" s="752" t="n"/>
      <c r="AM133" s="752" t="n"/>
      <c r="AN133" s="752" t="n"/>
      <c r="AO133" s="752" t="n"/>
      <c r="AP133" s="752" t="n"/>
      <c r="AQ133" s="752" t="n"/>
      <c r="AR133" s="752" t="n"/>
      <c r="AS133" s="752" t="n"/>
    </row>
    <row r="134" ht="30" customHeight="1" s="36">
      <c r="A134" s="751" t="n"/>
      <c r="B134" s="751" t="n"/>
      <c r="C134" s="751" t="n"/>
      <c r="D134" s="751" t="n"/>
      <c r="E134" s="751">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751" t="n"/>
      <c r="G134" s="755" t="n"/>
      <c r="H134" s="755" t="n"/>
      <c r="I134" s="751" t="n"/>
      <c r="J134" s="751" t="n"/>
      <c r="K134" s="757">
        <f>IF(A134="","",IF(J134="AUTO",H134,IF(J134="MANUAL",AK134,"")))</f>
        <v/>
      </c>
      <c r="L134" s="751" t="n"/>
      <c r="M134" s="751" t="n"/>
      <c r="N134" s="751">
        <f>IF(A134="","",IF(COUNTIFS('Human Operation Desktop'!$A$3:$A$502,A134,'Human Operation Desktop'!$I$3:$I$502,"&lt;&gt;APPLIED",'Human Operation Desktop'!$I$3:$I$502,"&lt;&gt;REJECTED")&gt;0,"YES","NO"))</f>
        <v/>
      </c>
      <c r="O134" s="751" t="n"/>
      <c r="P134" s="752" t="n"/>
      <c r="Q134" s="752" t="n"/>
      <c r="R134" s="752" t="n"/>
      <c r="S134" s="752" t="n"/>
      <c r="T134" s="752" t="n"/>
      <c r="U134" s="752" t="n"/>
      <c r="V134" s="752" t="n"/>
      <c r="W134" s="752" t="n"/>
      <c r="X134" s="752" t="n"/>
      <c r="Y134" s="752" t="n"/>
      <c r="Z134" s="752" t="n"/>
      <c r="AA134" s="752" t="n"/>
      <c r="AB134" s="752" t="n"/>
      <c r="AC134" s="752" t="n"/>
      <c r="AD134" s="752" t="n"/>
      <c r="AE134" s="752" t="n"/>
      <c r="AF134" s="752" t="n"/>
      <c r="AG134" s="752" t="n"/>
      <c r="AH134" s="752" t="n"/>
      <c r="AI134" s="752" t="n"/>
      <c r="AJ134" s="752" t="n"/>
      <c r="AK134" s="759" t="n"/>
      <c r="AL134" s="752" t="n"/>
      <c r="AM134" s="752" t="n"/>
      <c r="AN134" s="752" t="n"/>
      <c r="AO134" s="752" t="n"/>
      <c r="AP134" s="752" t="n"/>
      <c r="AQ134" s="752" t="n"/>
      <c r="AR134" s="752" t="n"/>
      <c r="AS134" s="752" t="n"/>
    </row>
    <row r="135" ht="30" customHeight="1" s="36">
      <c r="A135" s="751" t="n"/>
      <c r="B135" s="751" t="n"/>
      <c r="C135" s="751" t="n"/>
      <c r="D135" s="751" t="n"/>
      <c r="E135" s="751">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751" t="n"/>
      <c r="G135" s="755" t="n"/>
      <c r="H135" s="755" t="n"/>
      <c r="I135" s="751" t="n"/>
      <c r="J135" s="751" t="n"/>
      <c r="K135" s="757">
        <f>IF(A135="","",IF(J135="AUTO",H135,IF(J135="MANUAL",AK135,"")))</f>
        <v/>
      </c>
      <c r="L135" s="751" t="n"/>
      <c r="M135" s="751" t="n"/>
      <c r="N135" s="751">
        <f>IF(A135="","",IF(COUNTIFS('Human Operation Desktop'!$A$3:$A$502,A135,'Human Operation Desktop'!$I$3:$I$502,"&lt;&gt;APPLIED",'Human Operation Desktop'!$I$3:$I$502,"&lt;&gt;REJECTED")&gt;0,"YES","NO"))</f>
        <v/>
      </c>
      <c r="O135" s="751" t="n"/>
      <c r="P135" s="752" t="n"/>
      <c r="Q135" s="752" t="n"/>
      <c r="R135" s="752" t="n"/>
      <c r="S135" s="752" t="n"/>
      <c r="T135" s="752" t="n"/>
      <c r="U135" s="752" t="n"/>
      <c r="V135" s="752" t="n"/>
      <c r="W135" s="752" t="n"/>
      <c r="X135" s="752" t="n"/>
      <c r="Y135" s="752" t="n"/>
      <c r="Z135" s="752" t="n"/>
      <c r="AA135" s="752" t="n"/>
      <c r="AB135" s="752" t="n"/>
      <c r="AC135" s="752" t="n"/>
      <c r="AD135" s="752" t="n"/>
      <c r="AE135" s="752" t="n"/>
      <c r="AF135" s="752" t="n"/>
      <c r="AG135" s="752" t="n"/>
      <c r="AH135" s="752" t="n"/>
      <c r="AI135" s="752" t="n"/>
      <c r="AJ135" s="752" t="n"/>
      <c r="AK135" s="759" t="n"/>
      <c r="AL135" s="752" t="n"/>
      <c r="AM135" s="752" t="n"/>
      <c r="AN135" s="752" t="n"/>
      <c r="AO135" s="752" t="n"/>
      <c r="AP135" s="752" t="n"/>
      <c r="AQ135" s="752" t="n"/>
      <c r="AR135" s="752" t="n"/>
      <c r="AS135" s="752" t="n"/>
    </row>
    <row r="136" ht="30" customHeight="1" s="36">
      <c r="A136" s="751" t="n"/>
      <c r="B136" s="751" t="n"/>
      <c r="C136" s="751" t="n"/>
      <c r="D136" s="751" t="n"/>
      <c r="E136" s="751">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751" t="n"/>
      <c r="G136" s="755" t="n"/>
      <c r="H136" s="755" t="n"/>
      <c r="I136" s="751" t="n"/>
      <c r="J136" s="751" t="n"/>
      <c r="K136" s="757">
        <f>IF(A136="","",IF(J136="AUTO",H136,IF(J136="MANUAL",AK136,"")))</f>
        <v/>
      </c>
      <c r="L136" s="751" t="n"/>
      <c r="M136" s="751" t="n"/>
      <c r="N136" s="751">
        <f>IF(A136="","",IF(COUNTIFS('Human Operation Desktop'!$A$3:$A$502,A136,'Human Operation Desktop'!$I$3:$I$502,"&lt;&gt;APPLIED",'Human Operation Desktop'!$I$3:$I$502,"&lt;&gt;REJECTED")&gt;0,"YES","NO"))</f>
        <v/>
      </c>
      <c r="O136" s="751" t="n"/>
      <c r="P136" s="752" t="n"/>
      <c r="Q136" s="752" t="n"/>
      <c r="R136" s="752" t="n"/>
      <c r="S136" s="752" t="n"/>
      <c r="T136" s="752" t="n"/>
      <c r="U136" s="752" t="n"/>
      <c r="V136" s="752" t="n"/>
      <c r="W136" s="752" t="n"/>
      <c r="X136" s="752" t="n"/>
      <c r="Y136" s="752" t="n"/>
      <c r="Z136" s="752" t="n"/>
      <c r="AA136" s="752" t="n"/>
      <c r="AB136" s="752" t="n"/>
      <c r="AC136" s="752" t="n"/>
      <c r="AD136" s="752" t="n"/>
      <c r="AE136" s="752" t="n"/>
      <c r="AF136" s="752" t="n"/>
      <c r="AG136" s="752" t="n"/>
      <c r="AH136" s="752" t="n"/>
      <c r="AI136" s="752" t="n"/>
      <c r="AJ136" s="752" t="n"/>
      <c r="AK136" s="759" t="n"/>
      <c r="AL136" s="752" t="n"/>
      <c r="AM136" s="752" t="n"/>
      <c r="AN136" s="752" t="n"/>
      <c r="AO136" s="752" t="n"/>
      <c r="AP136" s="752" t="n"/>
      <c r="AQ136" s="752" t="n"/>
      <c r="AR136" s="752" t="n"/>
      <c r="AS136" s="752" t="n"/>
    </row>
    <row r="137" ht="30" customHeight="1" s="36">
      <c r="A137" s="751" t="n"/>
      <c r="B137" s="751" t="n"/>
      <c r="C137" s="751" t="n"/>
      <c r="D137" s="751" t="n"/>
      <c r="E137" s="751">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751" t="n"/>
      <c r="G137" s="755" t="n"/>
      <c r="H137" s="755" t="n"/>
      <c r="I137" s="751" t="n"/>
      <c r="J137" s="751" t="n"/>
      <c r="K137" s="757">
        <f>IF(A137="","",IF(J137="AUTO",H137,IF(J137="MANUAL",AK137,"")))</f>
        <v/>
      </c>
      <c r="L137" s="751" t="n"/>
      <c r="M137" s="751" t="n"/>
      <c r="N137" s="751">
        <f>IF(A137="","",IF(COUNTIFS('Human Operation Desktop'!$A$3:$A$502,A137,'Human Operation Desktop'!$I$3:$I$502,"&lt;&gt;APPLIED",'Human Operation Desktop'!$I$3:$I$502,"&lt;&gt;REJECTED")&gt;0,"YES","NO"))</f>
        <v/>
      </c>
      <c r="O137" s="751" t="n"/>
      <c r="P137" s="752" t="n"/>
      <c r="Q137" s="752" t="n"/>
      <c r="R137" s="752" t="n"/>
      <c r="S137" s="752" t="n"/>
      <c r="T137" s="752" t="n"/>
      <c r="U137" s="752" t="n"/>
      <c r="V137" s="752" t="n"/>
      <c r="W137" s="752" t="n"/>
      <c r="X137" s="752" t="n"/>
      <c r="Y137" s="752" t="n"/>
      <c r="Z137" s="752" t="n"/>
      <c r="AA137" s="752" t="n"/>
      <c r="AB137" s="752" t="n"/>
      <c r="AC137" s="752" t="n"/>
      <c r="AD137" s="752" t="n"/>
      <c r="AE137" s="752" t="n"/>
      <c r="AF137" s="752" t="n"/>
      <c r="AG137" s="752" t="n"/>
      <c r="AH137" s="752" t="n"/>
      <c r="AI137" s="752" t="n"/>
      <c r="AJ137" s="752" t="n"/>
      <c r="AK137" s="759" t="n"/>
      <c r="AL137" s="752" t="n"/>
      <c r="AM137" s="752" t="n"/>
      <c r="AN137" s="752" t="n"/>
      <c r="AO137" s="752" t="n"/>
      <c r="AP137" s="752" t="n"/>
      <c r="AQ137" s="752" t="n"/>
      <c r="AR137" s="752" t="n"/>
      <c r="AS137" s="752" t="n"/>
    </row>
    <row r="138" ht="30" customHeight="1" s="36">
      <c r="A138" s="751" t="n"/>
      <c r="B138" s="751" t="n"/>
      <c r="C138" s="751" t="n"/>
      <c r="D138" s="751" t="n"/>
      <c r="E138" s="751">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751" t="n"/>
      <c r="G138" s="755" t="n"/>
      <c r="H138" s="755" t="n"/>
      <c r="I138" s="751" t="n"/>
      <c r="J138" s="751" t="n"/>
      <c r="K138" s="757">
        <f>IF(A138="","",IF(J138="AUTO",H138,IF(J138="MANUAL",AK138,"")))</f>
        <v/>
      </c>
      <c r="L138" s="751" t="n"/>
      <c r="M138" s="751" t="n"/>
      <c r="N138" s="751">
        <f>IF(A138="","",IF(COUNTIFS('Human Operation Desktop'!$A$3:$A$502,A138,'Human Operation Desktop'!$I$3:$I$502,"&lt;&gt;APPLIED",'Human Operation Desktop'!$I$3:$I$502,"&lt;&gt;REJECTED")&gt;0,"YES","NO"))</f>
        <v/>
      </c>
      <c r="O138" s="751" t="n"/>
      <c r="P138" s="752" t="n"/>
      <c r="Q138" s="752" t="n"/>
      <c r="R138" s="752" t="n"/>
      <c r="S138" s="752" t="n"/>
      <c r="T138" s="752" t="n"/>
      <c r="U138" s="752" t="n"/>
      <c r="V138" s="752" t="n"/>
      <c r="W138" s="752" t="n"/>
      <c r="X138" s="752" t="n"/>
      <c r="Y138" s="752" t="n"/>
      <c r="Z138" s="752" t="n"/>
      <c r="AA138" s="752" t="n"/>
      <c r="AB138" s="752" t="n"/>
      <c r="AC138" s="752" t="n"/>
      <c r="AD138" s="752" t="n"/>
      <c r="AE138" s="752" t="n"/>
      <c r="AF138" s="752" t="n"/>
      <c r="AG138" s="752" t="n"/>
      <c r="AH138" s="752" t="n"/>
      <c r="AI138" s="752" t="n"/>
      <c r="AJ138" s="752" t="n"/>
      <c r="AK138" s="759" t="n"/>
      <c r="AL138" s="752" t="n"/>
      <c r="AM138" s="752" t="n"/>
      <c r="AN138" s="752" t="n"/>
      <c r="AO138" s="752" t="n"/>
      <c r="AP138" s="752" t="n"/>
      <c r="AQ138" s="752" t="n"/>
      <c r="AR138" s="752" t="n"/>
      <c r="AS138" s="752" t="n"/>
    </row>
    <row r="139" ht="30" customHeight="1" s="36">
      <c r="A139" s="751" t="n"/>
      <c r="B139" s="751" t="n"/>
      <c r="C139" s="751" t="n"/>
      <c r="D139" s="751" t="n"/>
      <c r="E139" s="751">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751" t="n"/>
      <c r="G139" s="755" t="n"/>
      <c r="H139" s="755" t="n"/>
      <c r="I139" s="751" t="n"/>
      <c r="J139" s="751" t="n"/>
      <c r="K139" s="757">
        <f>IF(A139="","",IF(J139="AUTO",H139,IF(J139="MANUAL",AK139,"")))</f>
        <v/>
      </c>
      <c r="L139" s="751" t="n"/>
      <c r="M139" s="751" t="n"/>
      <c r="N139" s="751">
        <f>IF(A139="","",IF(COUNTIFS('Human Operation Desktop'!$A$3:$A$502,A139,'Human Operation Desktop'!$I$3:$I$502,"&lt;&gt;APPLIED",'Human Operation Desktop'!$I$3:$I$502,"&lt;&gt;REJECTED")&gt;0,"YES","NO"))</f>
        <v/>
      </c>
      <c r="O139" s="751" t="n"/>
      <c r="P139" s="752" t="n"/>
      <c r="Q139" s="752" t="n"/>
      <c r="R139" s="752" t="n"/>
      <c r="S139" s="752" t="n"/>
      <c r="T139" s="752" t="n"/>
      <c r="U139" s="752" t="n"/>
      <c r="V139" s="752" t="n"/>
      <c r="W139" s="752" t="n"/>
      <c r="X139" s="752" t="n"/>
      <c r="Y139" s="752" t="n"/>
      <c r="Z139" s="752" t="n"/>
      <c r="AA139" s="752" t="n"/>
      <c r="AB139" s="752" t="n"/>
      <c r="AC139" s="752" t="n"/>
      <c r="AD139" s="752" t="n"/>
      <c r="AE139" s="752" t="n"/>
      <c r="AF139" s="752" t="n"/>
      <c r="AG139" s="752" t="n"/>
      <c r="AH139" s="752" t="n"/>
      <c r="AI139" s="752" t="n"/>
      <c r="AJ139" s="752" t="n"/>
      <c r="AK139" s="759" t="n"/>
      <c r="AL139" s="752" t="n"/>
      <c r="AM139" s="752" t="n"/>
      <c r="AN139" s="752" t="n"/>
      <c r="AO139" s="752" t="n"/>
      <c r="AP139" s="752" t="n"/>
      <c r="AQ139" s="752" t="n"/>
      <c r="AR139" s="752" t="n"/>
      <c r="AS139" s="752" t="n"/>
    </row>
    <row r="140" ht="30" customHeight="1" s="36">
      <c r="A140" s="751" t="n"/>
      <c r="B140" s="751" t="n"/>
      <c r="C140" s="751" t="n"/>
      <c r="D140" s="751" t="n"/>
      <c r="E140" s="751">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751" t="n"/>
      <c r="G140" s="755" t="n"/>
      <c r="H140" s="755" t="n"/>
      <c r="I140" s="751" t="n"/>
      <c r="J140" s="751" t="n"/>
      <c r="K140" s="757">
        <f>IF(A140="","",IF(J140="AUTO",H140,IF(J140="MANUAL",AK140,"")))</f>
        <v/>
      </c>
      <c r="L140" s="751" t="n"/>
      <c r="M140" s="751" t="n"/>
      <c r="N140" s="751">
        <f>IF(A140="","",IF(COUNTIFS('Human Operation Desktop'!$A$3:$A$502,A140,'Human Operation Desktop'!$I$3:$I$502,"&lt;&gt;APPLIED",'Human Operation Desktop'!$I$3:$I$502,"&lt;&gt;REJECTED")&gt;0,"YES","NO"))</f>
        <v/>
      </c>
      <c r="O140" s="751" t="n"/>
      <c r="P140" s="752" t="n"/>
      <c r="Q140" s="752" t="n"/>
      <c r="R140" s="752" t="n"/>
      <c r="S140" s="752" t="n"/>
      <c r="T140" s="752" t="n"/>
      <c r="U140" s="752" t="n"/>
      <c r="V140" s="752" t="n"/>
      <c r="W140" s="752" t="n"/>
      <c r="X140" s="752" t="n"/>
      <c r="Y140" s="752" t="n"/>
      <c r="Z140" s="752" t="n"/>
      <c r="AA140" s="752" t="n"/>
      <c r="AB140" s="752" t="n"/>
      <c r="AC140" s="752" t="n"/>
      <c r="AD140" s="752" t="n"/>
      <c r="AE140" s="752" t="n"/>
      <c r="AF140" s="752" t="n"/>
      <c r="AG140" s="752" t="n"/>
      <c r="AH140" s="752" t="n"/>
      <c r="AI140" s="752" t="n"/>
      <c r="AJ140" s="752" t="n"/>
      <c r="AK140" s="759" t="n"/>
      <c r="AL140" s="752" t="n"/>
      <c r="AM140" s="752" t="n"/>
      <c r="AN140" s="752" t="n"/>
      <c r="AO140" s="752" t="n"/>
      <c r="AP140" s="752" t="n"/>
      <c r="AQ140" s="752" t="n"/>
      <c r="AR140" s="752" t="n"/>
      <c r="AS140" s="752" t="n"/>
    </row>
    <row r="141" ht="30" customHeight="1" s="36">
      <c r="A141" s="751" t="n"/>
      <c r="B141" s="751" t="n"/>
      <c r="C141" s="751" t="n"/>
      <c r="D141" s="751" t="n"/>
      <c r="E141" s="751">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751" t="n"/>
      <c r="G141" s="755" t="n"/>
      <c r="H141" s="755" t="n"/>
      <c r="I141" s="751" t="n"/>
      <c r="J141" s="751" t="n"/>
      <c r="K141" s="757">
        <f>IF(A141="","",IF(J141="AUTO",H141,IF(J141="MANUAL",AK141,"")))</f>
        <v/>
      </c>
      <c r="L141" s="751" t="n"/>
      <c r="M141" s="751" t="n"/>
      <c r="N141" s="751">
        <f>IF(A141="","",IF(COUNTIFS('Human Operation Desktop'!$A$3:$A$502,A141,'Human Operation Desktop'!$I$3:$I$502,"&lt;&gt;APPLIED",'Human Operation Desktop'!$I$3:$I$502,"&lt;&gt;REJECTED")&gt;0,"YES","NO"))</f>
        <v/>
      </c>
      <c r="O141" s="751" t="n"/>
      <c r="P141" s="752" t="n"/>
      <c r="Q141" s="752" t="n"/>
      <c r="R141" s="752" t="n"/>
      <c r="S141" s="752" t="n"/>
      <c r="T141" s="752" t="n"/>
      <c r="U141" s="752" t="n"/>
      <c r="V141" s="752" t="n"/>
      <c r="W141" s="752" t="n"/>
      <c r="X141" s="752" t="n"/>
      <c r="Y141" s="752" t="n"/>
      <c r="Z141" s="752" t="n"/>
      <c r="AA141" s="752" t="n"/>
      <c r="AB141" s="752" t="n"/>
      <c r="AC141" s="752" t="n"/>
      <c r="AD141" s="752" t="n"/>
      <c r="AE141" s="752" t="n"/>
      <c r="AF141" s="752" t="n"/>
      <c r="AG141" s="752" t="n"/>
      <c r="AH141" s="752" t="n"/>
      <c r="AI141" s="752" t="n"/>
      <c r="AJ141" s="752" t="n"/>
      <c r="AK141" s="759" t="n"/>
      <c r="AL141" s="752" t="n"/>
      <c r="AM141" s="752" t="n"/>
      <c r="AN141" s="752" t="n"/>
      <c r="AO141" s="752" t="n"/>
      <c r="AP141" s="752" t="n"/>
      <c r="AQ141" s="752" t="n"/>
      <c r="AR141" s="752" t="n"/>
      <c r="AS141" s="752" t="n"/>
    </row>
    <row r="142" ht="30" customHeight="1" s="36">
      <c r="A142" s="751" t="n"/>
      <c r="B142" s="751" t="n"/>
      <c r="C142" s="751" t="n"/>
      <c r="D142" s="751" t="n"/>
      <c r="E142" s="751">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751" t="n"/>
      <c r="G142" s="755" t="n"/>
      <c r="H142" s="755" t="n"/>
      <c r="I142" s="751" t="n"/>
      <c r="J142" s="751" t="n"/>
      <c r="K142" s="757">
        <f>IF(A142="","",IF(J142="AUTO",H142,IF(J142="MANUAL",AK142,"")))</f>
        <v/>
      </c>
      <c r="L142" s="751" t="n"/>
      <c r="M142" s="751" t="n"/>
      <c r="N142" s="751">
        <f>IF(A142="","",IF(COUNTIFS('Human Operation Desktop'!$A$3:$A$502,A142,'Human Operation Desktop'!$I$3:$I$502,"&lt;&gt;APPLIED",'Human Operation Desktop'!$I$3:$I$502,"&lt;&gt;REJECTED")&gt;0,"YES","NO"))</f>
        <v/>
      </c>
      <c r="O142" s="751" t="n"/>
      <c r="P142" s="752" t="n"/>
      <c r="Q142" s="752" t="n"/>
      <c r="R142" s="752" t="n"/>
      <c r="S142" s="752" t="n"/>
      <c r="T142" s="752" t="n"/>
      <c r="U142" s="752" t="n"/>
      <c r="V142" s="752" t="n"/>
      <c r="W142" s="752" t="n"/>
      <c r="X142" s="752" t="n"/>
      <c r="Y142" s="752" t="n"/>
      <c r="Z142" s="752" t="n"/>
      <c r="AA142" s="752" t="n"/>
      <c r="AB142" s="752" t="n"/>
      <c r="AC142" s="752" t="n"/>
      <c r="AD142" s="752" t="n"/>
      <c r="AE142" s="752" t="n"/>
      <c r="AF142" s="752" t="n"/>
      <c r="AG142" s="752" t="n"/>
      <c r="AH142" s="752" t="n"/>
      <c r="AI142" s="752" t="n"/>
      <c r="AJ142" s="752" t="n"/>
      <c r="AK142" s="759" t="n"/>
      <c r="AL142" s="752" t="n"/>
      <c r="AM142" s="752" t="n"/>
      <c r="AN142" s="752" t="n"/>
      <c r="AO142" s="752" t="n"/>
      <c r="AP142" s="752" t="n"/>
      <c r="AQ142" s="752" t="n"/>
      <c r="AR142" s="752" t="n"/>
      <c r="AS142" s="752" t="n"/>
    </row>
    <row r="143" ht="30" customHeight="1" s="36">
      <c r="A143" s="751" t="n"/>
      <c r="B143" s="751" t="n"/>
      <c r="C143" s="751" t="n"/>
      <c r="D143" s="751" t="n"/>
      <c r="E143" s="751">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751" t="n"/>
      <c r="G143" s="755" t="n"/>
      <c r="H143" s="755" t="n"/>
      <c r="I143" s="751" t="n"/>
      <c r="J143" s="751" t="n"/>
      <c r="K143" s="757">
        <f>IF(A143="","",IF(J143="AUTO",H143,IF(J143="MANUAL",AK143,"")))</f>
        <v/>
      </c>
      <c r="L143" s="751" t="n"/>
      <c r="M143" s="751" t="n"/>
      <c r="N143" s="751">
        <f>IF(A143="","",IF(COUNTIFS('Human Operation Desktop'!$A$3:$A$502,A143,'Human Operation Desktop'!$I$3:$I$502,"&lt;&gt;APPLIED",'Human Operation Desktop'!$I$3:$I$502,"&lt;&gt;REJECTED")&gt;0,"YES","NO"))</f>
        <v/>
      </c>
      <c r="O143" s="751" t="n"/>
      <c r="P143" s="752" t="n"/>
      <c r="Q143" s="752" t="n"/>
      <c r="R143" s="752" t="n"/>
      <c r="S143" s="752" t="n"/>
      <c r="T143" s="752" t="n"/>
      <c r="U143" s="752" t="n"/>
      <c r="V143" s="752" t="n"/>
      <c r="W143" s="752" t="n"/>
      <c r="X143" s="752" t="n"/>
      <c r="Y143" s="752" t="n"/>
      <c r="Z143" s="752" t="n"/>
      <c r="AA143" s="752" t="n"/>
      <c r="AB143" s="752" t="n"/>
      <c r="AC143" s="752" t="n"/>
      <c r="AD143" s="752" t="n"/>
      <c r="AE143" s="752" t="n"/>
      <c r="AF143" s="752" t="n"/>
      <c r="AG143" s="752" t="n"/>
      <c r="AH143" s="752" t="n"/>
      <c r="AI143" s="752" t="n"/>
      <c r="AJ143" s="752" t="n"/>
      <c r="AK143" s="759" t="n"/>
      <c r="AL143" s="752" t="n"/>
      <c r="AM143" s="752" t="n"/>
      <c r="AN143" s="752" t="n"/>
      <c r="AO143" s="752" t="n"/>
      <c r="AP143" s="752" t="n"/>
      <c r="AQ143" s="752" t="n"/>
      <c r="AR143" s="752" t="n"/>
      <c r="AS143" s="752" t="n"/>
    </row>
    <row r="144" ht="30" customHeight="1" s="36">
      <c r="A144" s="751" t="n"/>
      <c r="B144" s="751" t="n"/>
      <c r="C144" s="751" t="n"/>
      <c r="D144" s="751" t="n"/>
      <c r="E144" s="751">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751" t="n"/>
      <c r="G144" s="755" t="n"/>
      <c r="H144" s="755" t="n"/>
      <c r="I144" s="751" t="n"/>
      <c r="J144" s="751" t="n"/>
      <c r="K144" s="757">
        <f>IF(A144="","",IF(J144="AUTO",H144,IF(J144="MANUAL",AK144,"")))</f>
        <v/>
      </c>
      <c r="L144" s="751" t="n"/>
      <c r="M144" s="751" t="n"/>
      <c r="N144" s="751">
        <f>IF(A144="","",IF(COUNTIFS('Human Operation Desktop'!$A$3:$A$502,A144,'Human Operation Desktop'!$I$3:$I$502,"&lt;&gt;APPLIED",'Human Operation Desktop'!$I$3:$I$502,"&lt;&gt;REJECTED")&gt;0,"YES","NO"))</f>
        <v/>
      </c>
      <c r="O144" s="751" t="n"/>
      <c r="P144" s="752" t="n"/>
      <c r="Q144" s="752" t="n"/>
      <c r="R144" s="752" t="n"/>
      <c r="S144" s="752" t="n"/>
      <c r="T144" s="752" t="n"/>
      <c r="U144" s="752" t="n"/>
      <c r="V144" s="752" t="n"/>
      <c r="W144" s="752" t="n"/>
      <c r="X144" s="752" t="n"/>
      <c r="Y144" s="752" t="n"/>
      <c r="Z144" s="752" t="n"/>
      <c r="AA144" s="752" t="n"/>
      <c r="AB144" s="752" t="n"/>
      <c r="AC144" s="752" t="n"/>
      <c r="AD144" s="752" t="n"/>
      <c r="AE144" s="752" t="n"/>
      <c r="AF144" s="752" t="n"/>
      <c r="AG144" s="752" t="n"/>
      <c r="AH144" s="752" t="n"/>
      <c r="AI144" s="752" t="n"/>
      <c r="AJ144" s="752" t="n"/>
      <c r="AK144" s="759" t="n"/>
      <c r="AL144" s="752" t="n"/>
      <c r="AM144" s="752" t="n"/>
      <c r="AN144" s="752" t="n"/>
      <c r="AO144" s="752" t="n"/>
      <c r="AP144" s="752" t="n"/>
      <c r="AQ144" s="752" t="n"/>
      <c r="AR144" s="752" t="n"/>
      <c r="AS144" s="752" t="n"/>
    </row>
    <row r="145" ht="30" customHeight="1" s="36">
      <c r="A145" s="751" t="n"/>
      <c r="B145" s="751" t="n"/>
      <c r="C145" s="751" t="n"/>
      <c r="D145" s="751" t="n"/>
      <c r="E145" s="751">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751" t="n"/>
      <c r="G145" s="755" t="n"/>
      <c r="H145" s="755" t="n"/>
      <c r="I145" s="751" t="n"/>
      <c r="J145" s="751" t="n"/>
      <c r="K145" s="757">
        <f>IF(A145="","",IF(J145="AUTO",H145,IF(J145="MANUAL",AK145,"")))</f>
        <v/>
      </c>
      <c r="L145" s="751" t="n"/>
      <c r="M145" s="751" t="n"/>
      <c r="N145" s="751">
        <f>IF(A145="","",IF(COUNTIFS('Human Operation Desktop'!$A$3:$A$502,A145,'Human Operation Desktop'!$I$3:$I$502,"&lt;&gt;APPLIED",'Human Operation Desktop'!$I$3:$I$502,"&lt;&gt;REJECTED")&gt;0,"YES","NO"))</f>
        <v/>
      </c>
      <c r="O145" s="751" t="n"/>
      <c r="P145" s="752" t="n"/>
      <c r="Q145" s="752" t="n"/>
      <c r="R145" s="752" t="n"/>
      <c r="S145" s="752" t="n"/>
      <c r="T145" s="752" t="n"/>
      <c r="U145" s="752" t="n"/>
      <c r="V145" s="752" t="n"/>
      <c r="W145" s="752" t="n"/>
      <c r="X145" s="752" t="n"/>
      <c r="Y145" s="752" t="n"/>
      <c r="Z145" s="752" t="n"/>
      <c r="AA145" s="752" t="n"/>
      <c r="AB145" s="752" t="n"/>
      <c r="AC145" s="752" t="n"/>
      <c r="AD145" s="752" t="n"/>
      <c r="AE145" s="752" t="n"/>
      <c r="AF145" s="752" t="n"/>
      <c r="AG145" s="752" t="n"/>
      <c r="AH145" s="752" t="n"/>
      <c r="AI145" s="752" t="n"/>
      <c r="AJ145" s="752" t="n"/>
      <c r="AK145" s="759" t="n"/>
      <c r="AL145" s="752" t="n"/>
      <c r="AM145" s="752" t="n"/>
      <c r="AN145" s="752" t="n"/>
      <c r="AO145" s="752" t="n"/>
      <c r="AP145" s="752" t="n"/>
      <c r="AQ145" s="752" t="n"/>
      <c r="AR145" s="752" t="n"/>
      <c r="AS145" s="752" t="n"/>
    </row>
    <row r="146" ht="30" customHeight="1" s="36">
      <c r="A146" s="751" t="n"/>
      <c r="B146" s="751" t="n"/>
      <c r="C146" s="751" t="n"/>
      <c r="D146" s="751" t="n"/>
      <c r="E146" s="751">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751" t="n"/>
      <c r="G146" s="755" t="n"/>
      <c r="H146" s="755" t="n"/>
      <c r="I146" s="751" t="n"/>
      <c r="J146" s="751" t="n"/>
      <c r="K146" s="757">
        <f>IF(A146="","",IF(J146="AUTO",H146,IF(J146="MANUAL",AK146,"")))</f>
        <v/>
      </c>
      <c r="L146" s="751" t="n"/>
      <c r="M146" s="751" t="n"/>
      <c r="N146" s="751">
        <f>IF(A146="","",IF(COUNTIFS('Human Operation Desktop'!$A$3:$A$502,A146,'Human Operation Desktop'!$I$3:$I$502,"&lt;&gt;APPLIED",'Human Operation Desktop'!$I$3:$I$502,"&lt;&gt;REJECTED")&gt;0,"YES","NO"))</f>
        <v/>
      </c>
      <c r="O146" s="751" t="n"/>
      <c r="P146" s="752" t="n"/>
      <c r="Q146" s="752" t="n"/>
      <c r="R146" s="752" t="n"/>
      <c r="S146" s="752" t="n"/>
      <c r="T146" s="752" t="n"/>
      <c r="U146" s="752" t="n"/>
      <c r="V146" s="752" t="n"/>
      <c r="W146" s="752" t="n"/>
      <c r="X146" s="752" t="n"/>
      <c r="Y146" s="752" t="n"/>
      <c r="Z146" s="752" t="n"/>
      <c r="AA146" s="752" t="n"/>
      <c r="AB146" s="752" t="n"/>
      <c r="AC146" s="752" t="n"/>
      <c r="AD146" s="752" t="n"/>
      <c r="AE146" s="752" t="n"/>
      <c r="AF146" s="752" t="n"/>
      <c r="AG146" s="752" t="n"/>
      <c r="AH146" s="752" t="n"/>
      <c r="AI146" s="752" t="n"/>
      <c r="AJ146" s="752" t="n"/>
      <c r="AK146" s="759" t="n"/>
      <c r="AL146" s="752" t="n"/>
      <c r="AM146" s="752" t="n"/>
      <c r="AN146" s="752" t="n"/>
      <c r="AO146" s="752" t="n"/>
      <c r="AP146" s="752" t="n"/>
      <c r="AQ146" s="752" t="n"/>
      <c r="AR146" s="752" t="n"/>
      <c r="AS146" s="752" t="n"/>
    </row>
    <row r="147" ht="30" customHeight="1" s="36">
      <c r="A147" s="751" t="n"/>
      <c r="B147" s="751" t="n"/>
      <c r="C147" s="751" t="n"/>
      <c r="D147" s="751" t="n"/>
      <c r="E147" s="751">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751" t="n"/>
      <c r="G147" s="755" t="n"/>
      <c r="H147" s="755" t="n"/>
      <c r="I147" s="751" t="n"/>
      <c r="J147" s="751" t="n"/>
      <c r="K147" s="757">
        <f>IF(A147="","",IF(J147="AUTO",H147,IF(J147="MANUAL",AK147,"")))</f>
        <v/>
      </c>
      <c r="L147" s="751" t="n"/>
      <c r="M147" s="751" t="n"/>
      <c r="N147" s="751">
        <f>IF(A147="","",IF(COUNTIFS('Human Operation Desktop'!$A$3:$A$502,A147,'Human Operation Desktop'!$I$3:$I$502,"&lt;&gt;APPLIED",'Human Operation Desktop'!$I$3:$I$502,"&lt;&gt;REJECTED")&gt;0,"YES","NO"))</f>
        <v/>
      </c>
      <c r="O147" s="751" t="n"/>
      <c r="P147" s="752" t="n"/>
      <c r="Q147" s="752" t="n"/>
      <c r="R147" s="752" t="n"/>
      <c r="S147" s="752" t="n"/>
      <c r="T147" s="752" t="n"/>
      <c r="U147" s="752" t="n"/>
      <c r="V147" s="752" t="n"/>
      <c r="W147" s="752" t="n"/>
      <c r="X147" s="752" t="n"/>
      <c r="Y147" s="752" t="n"/>
      <c r="Z147" s="752" t="n"/>
      <c r="AA147" s="752" t="n"/>
      <c r="AB147" s="752" t="n"/>
      <c r="AC147" s="752" t="n"/>
      <c r="AD147" s="752" t="n"/>
      <c r="AE147" s="752" t="n"/>
      <c r="AF147" s="752" t="n"/>
      <c r="AG147" s="752" t="n"/>
      <c r="AH147" s="752" t="n"/>
      <c r="AI147" s="752" t="n"/>
      <c r="AJ147" s="752" t="n"/>
      <c r="AK147" s="759" t="n"/>
      <c r="AL147" s="752" t="n"/>
      <c r="AM147" s="752" t="n"/>
      <c r="AN147" s="752" t="n"/>
      <c r="AO147" s="752" t="n"/>
      <c r="AP147" s="752" t="n"/>
      <c r="AQ147" s="752" t="n"/>
      <c r="AR147" s="752" t="n"/>
      <c r="AS147" s="752" t="n"/>
    </row>
    <row r="148" ht="30" customHeight="1" s="36">
      <c r="A148" s="751" t="n"/>
      <c r="B148" s="751" t="n"/>
      <c r="C148" s="751" t="n"/>
      <c r="D148" s="751" t="n"/>
      <c r="E148" s="751">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751" t="n"/>
      <c r="G148" s="755" t="n"/>
      <c r="H148" s="755" t="n"/>
      <c r="I148" s="751" t="n"/>
      <c r="J148" s="751" t="n"/>
      <c r="K148" s="757">
        <f>IF(A148="","",IF(J148="AUTO",H148,IF(J148="MANUAL",AK148,"")))</f>
        <v/>
      </c>
      <c r="L148" s="751" t="n"/>
      <c r="M148" s="751" t="n"/>
      <c r="N148" s="751">
        <f>IF(A148="","",IF(COUNTIFS('Human Operation Desktop'!$A$3:$A$502,A148,'Human Operation Desktop'!$I$3:$I$502,"&lt;&gt;APPLIED",'Human Operation Desktop'!$I$3:$I$502,"&lt;&gt;REJECTED")&gt;0,"YES","NO"))</f>
        <v/>
      </c>
      <c r="O148" s="751" t="n"/>
      <c r="P148" s="752" t="n"/>
      <c r="Q148" s="752" t="n"/>
      <c r="R148" s="752" t="n"/>
      <c r="S148" s="752" t="n"/>
      <c r="T148" s="752" t="n"/>
      <c r="U148" s="752" t="n"/>
      <c r="V148" s="752" t="n"/>
      <c r="W148" s="752" t="n"/>
      <c r="X148" s="752" t="n"/>
      <c r="Y148" s="752" t="n"/>
      <c r="Z148" s="752" t="n"/>
      <c r="AA148" s="752" t="n"/>
      <c r="AB148" s="752" t="n"/>
      <c r="AC148" s="752" t="n"/>
      <c r="AD148" s="752" t="n"/>
      <c r="AE148" s="752" t="n"/>
      <c r="AF148" s="752" t="n"/>
      <c r="AG148" s="752" t="n"/>
      <c r="AH148" s="752" t="n"/>
      <c r="AI148" s="752" t="n"/>
      <c r="AJ148" s="752" t="n"/>
      <c r="AK148" s="759" t="n"/>
      <c r="AL148" s="752" t="n"/>
      <c r="AM148" s="752" t="n"/>
      <c r="AN148" s="752" t="n"/>
      <c r="AO148" s="752" t="n"/>
      <c r="AP148" s="752" t="n"/>
      <c r="AQ148" s="752" t="n"/>
      <c r="AR148" s="752" t="n"/>
      <c r="AS148" s="752" t="n"/>
    </row>
    <row r="149" ht="30" customHeight="1" s="36">
      <c r="A149" s="751" t="n"/>
      <c r="B149" s="751" t="n"/>
      <c r="C149" s="751" t="n"/>
      <c r="D149" s="751" t="n"/>
      <c r="E149" s="751">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751" t="n"/>
      <c r="G149" s="755" t="n"/>
      <c r="H149" s="755" t="n"/>
      <c r="I149" s="751" t="n"/>
      <c r="J149" s="751" t="n"/>
      <c r="K149" s="757">
        <f>IF(A149="","",IF(J149="AUTO",H149,IF(J149="MANUAL",AK149,"")))</f>
        <v/>
      </c>
      <c r="L149" s="751" t="n"/>
      <c r="M149" s="751" t="n"/>
      <c r="N149" s="751">
        <f>IF(A149="","",IF(COUNTIFS('Human Operation Desktop'!$A$3:$A$502,A149,'Human Operation Desktop'!$I$3:$I$502,"&lt;&gt;APPLIED",'Human Operation Desktop'!$I$3:$I$502,"&lt;&gt;REJECTED")&gt;0,"YES","NO"))</f>
        <v/>
      </c>
      <c r="O149" s="751" t="n"/>
      <c r="P149" s="752" t="n"/>
      <c r="Q149" s="752" t="n"/>
      <c r="R149" s="752" t="n"/>
      <c r="S149" s="752" t="n"/>
      <c r="T149" s="752" t="n"/>
      <c r="U149" s="752" t="n"/>
      <c r="V149" s="752" t="n"/>
      <c r="W149" s="752" t="n"/>
      <c r="X149" s="752" t="n"/>
      <c r="Y149" s="752" t="n"/>
      <c r="Z149" s="752" t="n"/>
      <c r="AA149" s="752" t="n"/>
      <c r="AB149" s="752" t="n"/>
      <c r="AC149" s="752" t="n"/>
      <c r="AD149" s="752" t="n"/>
      <c r="AE149" s="752" t="n"/>
      <c r="AF149" s="752" t="n"/>
      <c r="AG149" s="752" t="n"/>
      <c r="AH149" s="752" t="n"/>
      <c r="AI149" s="752" t="n"/>
      <c r="AJ149" s="752" t="n"/>
      <c r="AK149" s="759" t="n"/>
      <c r="AL149" s="752" t="n"/>
      <c r="AM149" s="752" t="n"/>
      <c r="AN149" s="752" t="n"/>
      <c r="AO149" s="752" t="n"/>
      <c r="AP149" s="752" t="n"/>
      <c r="AQ149" s="752" t="n"/>
      <c r="AR149" s="752" t="n"/>
      <c r="AS149" s="752" t="n"/>
    </row>
    <row r="150" ht="30" customHeight="1" s="36">
      <c r="A150" s="751" t="n"/>
      <c r="B150" s="751" t="n"/>
      <c r="C150" s="751" t="n"/>
      <c r="D150" s="751" t="n"/>
      <c r="E150" s="751">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751" t="n"/>
      <c r="G150" s="755" t="n"/>
      <c r="H150" s="755" t="n"/>
      <c r="I150" s="751" t="n"/>
      <c r="J150" s="751" t="n"/>
      <c r="K150" s="757">
        <f>IF(A150="","",IF(J150="AUTO",H150,IF(J150="MANUAL",AK150,"")))</f>
        <v/>
      </c>
      <c r="L150" s="751" t="n"/>
      <c r="M150" s="751" t="n"/>
      <c r="N150" s="751">
        <f>IF(A150="","",IF(COUNTIFS('Human Operation Desktop'!$A$3:$A$502,A150,'Human Operation Desktop'!$I$3:$I$502,"&lt;&gt;APPLIED",'Human Operation Desktop'!$I$3:$I$502,"&lt;&gt;REJECTED")&gt;0,"YES","NO"))</f>
        <v/>
      </c>
      <c r="O150" s="751" t="n"/>
      <c r="P150" s="752" t="n"/>
      <c r="Q150" s="752" t="n"/>
      <c r="R150" s="752" t="n"/>
      <c r="S150" s="752" t="n"/>
      <c r="T150" s="752" t="n"/>
      <c r="U150" s="752" t="n"/>
      <c r="V150" s="752" t="n"/>
      <c r="W150" s="752" t="n"/>
      <c r="X150" s="752" t="n"/>
      <c r="Y150" s="752" t="n"/>
      <c r="Z150" s="752" t="n"/>
      <c r="AA150" s="752" t="n"/>
      <c r="AB150" s="752" t="n"/>
      <c r="AC150" s="752" t="n"/>
      <c r="AD150" s="752" t="n"/>
      <c r="AE150" s="752" t="n"/>
      <c r="AF150" s="752" t="n"/>
      <c r="AG150" s="752" t="n"/>
      <c r="AH150" s="752" t="n"/>
      <c r="AI150" s="752" t="n"/>
      <c r="AJ150" s="752" t="n"/>
      <c r="AK150" s="759" t="n"/>
      <c r="AL150" s="752" t="n"/>
      <c r="AM150" s="752" t="n"/>
      <c r="AN150" s="752" t="n"/>
      <c r="AO150" s="752" t="n"/>
      <c r="AP150" s="752" t="n"/>
      <c r="AQ150" s="752" t="n"/>
      <c r="AR150" s="752" t="n"/>
      <c r="AS150" s="752" t="n"/>
    </row>
    <row r="151" ht="30" customHeight="1" s="36">
      <c r="A151" s="751" t="n"/>
      <c r="B151" s="751" t="n"/>
      <c r="C151" s="751" t="n"/>
      <c r="D151" s="751" t="n"/>
      <c r="E151" s="751">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751" t="n"/>
      <c r="G151" s="755" t="n"/>
      <c r="H151" s="755" t="n"/>
      <c r="I151" s="751" t="n"/>
      <c r="J151" s="751" t="n"/>
      <c r="K151" s="757">
        <f>IF(A151="","",IF(J151="AUTO",H151,IF(J151="MANUAL",AK151,"")))</f>
        <v/>
      </c>
      <c r="L151" s="751" t="n"/>
      <c r="M151" s="751" t="n"/>
      <c r="N151" s="751">
        <f>IF(A151="","",IF(COUNTIFS('Human Operation Desktop'!$A$3:$A$502,A151,'Human Operation Desktop'!$I$3:$I$502,"&lt;&gt;APPLIED",'Human Operation Desktop'!$I$3:$I$502,"&lt;&gt;REJECTED")&gt;0,"YES","NO"))</f>
        <v/>
      </c>
      <c r="O151" s="751" t="n"/>
      <c r="P151" s="752" t="n"/>
      <c r="Q151" s="752" t="n"/>
      <c r="R151" s="752" t="n"/>
      <c r="S151" s="752" t="n"/>
      <c r="T151" s="752" t="n"/>
      <c r="U151" s="752" t="n"/>
      <c r="V151" s="752" t="n"/>
      <c r="W151" s="752" t="n"/>
      <c r="X151" s="752" t="n"/>
      <c r="Y151" s="752" t="n"/>
      <c r="Z151" s="752" t="n"/>
      <c r="AA151" s="752" t="n"/>
      <c r="AB151" s="752" t="n"/>
      <c r="AC151" s="752" t="n"/>
      <c r="AD151" s="752" t="n"/>
      <c r="AE151" s="752" t="n"/>
      <c r="AF151" s="752" t="n"/>
      <c r="AG151" s="752" t="n"/>
      <c r="AH151" s="752" t="n"/>
      <c r="AI151" s="752" t="n"/>
      <c r="AJ151" s="752" t="n"/>
      <c r="AK151" s="759" t="n"/>
      <c r="AL151" s="752" t="n"/>
      <c r="AM151" s="752" t="n"/>
      <c r="AN151" s="752" t="n"/>
      <c r="AO151" s="752" t="n"/>
      <c r="AP151" s="752" t="n"/>
      <c r="AQ151" s="752" t="n"/>
      <c r="AR151" s="752" t="n"/>
      <c r="AS151" s="752" t="n"/>
    </row>
    <row r="152" ht="30" customHeight="1" s="36">
      <c r="A152" s="751" t="n"/>
      <c r="B152" s="751" t="n"/>
      <c r="C152" s="751" t="n"/>
      <c r="D152" s="751" t="n"/>
      <c r="E152" s="751">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751" t="n"/>
      <c r="G152" s="755" t="n"/>
      <c r="H152" s="755" t="n"/>
      <c r="I152" s="751" t="n"/>
      <c r="J152" s="751" t="n"/>
      <c r="K152" s="757">
        <f>IF(A152="","",IF(J152="AUTO",H152,IF(J152="MANUAL",AK152,"")))</f>
        <v/>
      </c>
      <c r="L152" s="751" t="n"/>
      <c r="M152" s="751" t="n"/>
      <c r="N152" s="751">
        <f>IF(A152="","",IF(COUNTIFS('Human Operation Desktop'!$A$3:$A$502,A152,'Human Operation Desktop'!$I$3:$I$502,"&lt;&gt;APPLIED",'Human Operation Desktop'!$I$3:$I$502,"&lt;&gt;REJECTED")&gt;0,"YES","NO"))</f>
        <v/>
      </c>
      <c r="O152" s="751" t="n"/>
      <c r="P152" s="752" t="n"/>
      <c r="Q152" s="752" t="n"/>
      <c r="R152" s="752" t="n"/>
      <c r="S152" s="752" t="n"/>
      <c r="T152" s="752" t="n"/>
      <c r="U152" s="752" t="n"/>
      <c r="V152" s="752" t="n"/>
      <c r="W152" s="752" t="n"/>
      <c r="X152" s="752" t="n"/>
      <c r="Y152" s="752" t="n"/>
      <c r="Z152" s="752" t="n"/>
      <c r="AA152" s="752" t="n"/>
      <c r="AB152" s="752" t="n"/>
      <c r="AC152" s="752" t="n"/>
      <c r="AD152" s="752" t="n"/>
      <c r="AE152" s="752" t="n"/>
      <c r="AF152" s="752" t="n"/>
      <c r="AG152" s="752" t="n"/>
      <c r="AH152" s="752" t="n"/>
      <c r="AI152" s="752" t="n"/>
      <c r="AJ152" s="752" t="n"/>
      <c r="AK152" s="759" t="n"/>
      <c r="AL152" s="752" t="n"/>
      <c r="AM152" s="752" t="n"/>
      <c r="AN152" s="752" t="n"/>
      <c r="AO152" s="752" t="n"/>
      <c r="AP152" s="752" t="n"/>
      <c r="AQ152" s="752" t="n"/>
      <c r="AR152" s="752" t="n"/>
      <c r="AS152" s="752" t="n"/>
    </row>
    <row r="153" ht="30" customHeight="1" s="36">
      <c r="A153" s="751" t="n"/>
      <c r="B153" s="751" t="n"/>
      <c r="C153" s="751" t="n"/>
      <c r="D153" s="751" t="n"/>
      <c r="E153" s="751">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751" t="n"/>
      <c r="G153" s="755" t="n"/>
      <c r="H153" s="755" t="n"/>
      <c r="I153" s="751" t="n"/>
      <c r="J153" s="751" t="n"/>
      <c r="K153" s="757">
        <f>IF(A153="","",IF(J153="AUTO",H153,IF(J153="MANUAL",AK153,"")))</f>
        <v/>
      </c>
      <c r="L153" s="751" t="n"/>
      <c r="M153" s="751" t="n"/>
      <c r="N153" s="751">
        <f>IF(A153="","",IF(COUNTIFS('Human Operation Desktop'!$A$3:$A$502,A153,'Human Operation Desktop'!$I$3:$I$502,"&lt;&gt;APPLIED",'Human Operation Desktop'!$I$3:$I$502,"&lt;&gt;REJECTED")&gt;0,"YES","NO"))</f>
        <v/>
      </c>
      <c r="O153" s="751" t="n"/>
      <c r="P153" s="752" t="n"/>
      <c r="Q153" s="752" t="n"/>
      <c r="R153" s="752" t="n"/>
      <c r="S153" s="752" t="n"/>
      <c r="T153" s="752" t="n"/>
      <c r="U153" s="752" t="n"/>
      <c r="V153" s="752" t="n"/>
      <c r="W153" s="752" t="n"/>
      <c r="X153" s="752" t="n"/>
      <c r="Y153" s="752" t="n"/>
      <c r="Z153" s="752" t="n"/>
      <c r="AA153" s="752" t="n"/>
      <c r="AB153" s="752" t="n"/>
      <c r="AC153" s="752" t="n"/>
      <c r="AD153" s="752" t="n"/>
      <c r="AE153" s="752" t="n"/>
      <c r="AF153" s="752" t="n"/>
      <c r="AG153" s="752" t="n"/>
      <c r="AH153" s="752" t="n"/>
      <c r="AI153" s="752" t="n"/>
      <c r="AJ153" s="752" t="n"/>
      <c r="AK153" s="759" t="n"/>
      <c r="AL153" s="752" t="n"/>
      <c r="AM153" s="752" t="n"/>
      <c r="AN153" s="752" t="n"/>
      <c r="AO153" s="752" t="n"/>
      <c r="AP153" s="752" t="n"/>
      <c r="AQ153" s="752" t="n"/>
      <c r="AR153" s="752" t="n"/>
      <c r="AS153" s="752" t="n"/>
    </row>
    <row r="154" ht="30" customHeight="1" s="36">
      <c r="A154" s="751" t="n"/>
      <c r="B154" s="751" t="n"/>
      <c r="C154" s="751" t="n"/>
      <c r="D154" s="751" t="n"/>
      <c r="E154" s="751">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751" t="n"/>
      <c r="G154" s="755" t="n"/>
      <c r="H154" s="755" t="n"/>
      <c r="I154" s="751" t="n"/>
      <c r="J154" s="751" t="n"/>
      <c r="K154" s="757">
        <f>IF(A154="","",IF(J154="AUTO",H154,IF(J154="MANUAL",AK154,"")))</f>
        <v/>
      </c>
      <c r="L154" s="751" t="n"/>
      <c r="M154" s="751" t="n"/>
      <c r="N154" s="751">
        <f>IF(A154="","",IF(COUNTIFS('Human Operation Desktop'!$A$3:$A$502,A154,'Human Operation Desktop'!$I$3:$I$502,"&lt;&gt;APPLIED",'Human Operation Desktop'!$I$3:$I$502,"&lt;&gt;REJECTED")&gt;0,"YES","NO"))</f>
        <v/>
      </c>
      <c r="O154" s="751" t="n"/>
      <c r="P154" s="752" t="n"/>
      <c r="Q154" s="752" t="n"/>
      <c r="R154" s="752" t="n"/>
      <c r="S154" s="752" t="n"/>
      <c r="T154" s="752" t="n"/>
      <c r="U154" s="752" t="n"/>
      <c r="V154" s="752" t="n"/>
      <c r="W154" s="752" t="n"/>
      <c r="X154" s="752" t="n"/>
      <c r="Y154" s="752" t="n"/>
      <c r="Z154" s="752" t="n"/>
      <c r="AA154" s="752" t="n"/>
      <c r="AB154" s="752" t="n"/>
      <c r="AC154" s="752" t="n"/>
      <c r="AD154" s="752" t="n"/>
      <c r="AE154" s="752" t="n"/>
      <c r="AF154" s="752" t="n"/>
      <c r="AG154" s="752" t="n"/>
      <c r="AH154" s="752" t="n"/>
      <c r="AI154" s="752" t="n"/>
      <c r="AJ154" s="752" t="n"/>
      <c r="AK154" s="759" t="n"/>
      <c r="AL154" s="752" t="n"/>
      <c r="AM154" s="752" t="n"/>
      <c r="AN154" s="752" t="n"/>
      <c r="AO154" s="752" t="n"/>
      <c r="AP154" s="752" t="n"/>
      <c r="AQ154" s="752" t="n"/>
      <c r="AR154" s="752" t="n"/>
      <c r="AS154" s="752" t="n"/>
    </row>
    <row r="155" ht="30" customHeight="1" s="36">
      <c r="A155" s="751" t="n"/>
      <c r="B155" s="751" t="n"/>
      <c r="C155" s="751" t="n"/>
      <c r="D155" s="751" t="n"/>
      <c r="E155" s="751">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751" t="n"/>
      <c r="G155" s="755" t="n"/>
      <c r="H155" s="755" t="n"/>
      <c r="I155" s="751" t="n"/>
      <c r="J155" s="751" t="n"/>
      <c r="K155" s="757">
        <f>IF(A155="","",IF(J155="AUTO",H155,IF(J155="MANUAL",AK155,"")))</f>
        <v/>
      </c>
      <c r="L155" s="751" t="n"/>
      <c r="M155" s="751" t="n"/>
      <c r="N155" s="751">
        <f>IF(A155="","",IF(COUNTIFS('Human Operation Desktop'!$A$3:$A$502,A155,'Human Operation Desktop'!$I$3:$I$502,"&lt;&gt;APPLIED",'Human Operation Desktop'!$I$3:$I$502,"&lt;&gt;REJECTED")&gt;0,"YES","NO"))</f>
        <v/>
      </c>
      <c r="O155" s="751" t="n"/>
      <c r="P155" s="752" t="n"/>
      <c r="Q155" s="752" t="n"/>
      <c r="R155" s="752" t="n"/>
      <c r="S155" s="752" t="n"/>
      <c r="T155" s="752" t="n"/>
      <c r="U155" s="752" t="n"/>
      <c r="V155" s="752" t="n"/>
      <c r="W155" s="752" t="n"/>
      <c r="X155" s="752" t="n"/>
      <c r="Y155" s="752" t="n"/>
      <c r="Z155" s="752" t="n"/>
      <c r="AA155" s="752" t="n"/>
      <c r="AB155" s="752" t="n"/>
      <c r="AC155" s="752" t="n"/>
      <c r="AD155" s="752" t="n"/>
      <c r="AE155" s="752" t="n"/>
      <c r="AF155" s="752" t="n"/>
      <c r="AG155" s="752" t="n"/>
      <c r="AH155" s="752" t="n"/>
      <c r="AI155" s="752" t="n"/>
      <c r="AJ155" s="752" t="n"/>
      <c r="AK155" s="759" t="n"/>
      <c r="AL155" s="752" t="n"/>
      <c r="AM155" s="752" t="n"/>
      <c r="AN155" s="752" t="n"/>
      <c r="AO155" s="752" t="n"/>
      <c r="AP155" s="752" t="n"/>
      <c r="AQ155" s="752" t="n"/>
      <c r="AR155" s="752" t="n"/>
      <c r="AS155" s="752" t="n"/>
    </row>
    <row r="156" ht="30" customHeight="1" s="36">
      <c r="A156" s="751" t="n"/>
      <c r="B156" s="751" t="n"/>
      <c r="C156" s="751" t="n"/>
      <c r="D156" s="751" t="n"/>
      <c r="E156" s="751">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751" t="n"/>
      <c r="G156" s="755" t="n"/>
      <c r="H156" s="755" t="n"/>
      <c r="I156" s="751" t="n"/>
      <c r="J156" s="751" t="n"/>
      <c r="K156" s="757">
        <f>IF(A156="","",IF(J156="AUTO",H156,IF(J156="MANUAL",AK156,"")))</f>
        <v/>
      </c>
      <c r="L156" s="751" t="n"/>
      <c r="M156" s="751" t="n"/>
      <c r="N156" s="751">
        <f>IF(A156="","",IF(COUNTIFS('Human Operation Desktop'!$A$3:$A$502,A156,'Human Operation Desktop'!$I$3:$I$502,"&lt;&gt;APPLIED",'Human Operation Desktop'!$I$3:$I$502,"&lt;&gt;REJECTED")&gt;0,"YES","NO"))</f>
        <v/>
      </c>
      <c r="O156" s="751" t="n"/>
      <c r="P156" s="752" t="n"/>
      <c r="Q156" s="752" t="n"/>
      <c r="R156" s="752" t="n"/>
      <c r="S156" s="752" t="n"/>
      <c r="T156" s="752" t="n"/>
      <c r="U156" s="752" t="n"/>
      <c r="V156" s="752" t="n"/>
      <c r="W156" s="752" t="n"/>
      <c r="X156" s="752" t="n"/>
      <c r="Y156" s="752" t="n"/>
      <c r="Z156" s="752" t="n"/>
      <c r="AA156" s="752" t="n"/>
      <c r="AB156" s="752" t="n"/>
      <c r="AC156" s="752" t="n"/>
      <c r="AD156" s="752" t="n"/>
      <c r="AE156" s="752" t="n"/>
      <c r="AF156" s="752" t="n"/>
      <c r="AG156" s="752" t="n"/>
      <c r="AH156" s="752" t="n"/>
      <c r="AI156" s="752" t="n"/>
      <c r="AJ156" s="752" t="n"/>
      <c r="AK156" s="759" t="n"/>
      <c r="AL156" s="752" t="n"/>
      <c r="AM156" s="752" t="n"/>
      <c r="AN156" s="752" t="n"/>
      <c r="AO156" s="752" t="n"/>
      <c r="AP156" s="752" t="n"/>
      <c r="AQ156" s="752" t="n"/>
      <c r="AR156" s="752" t="n"/>
      <c r="AS156" s="752" t="n"/>
    </row>
    <row r="157" ht="30" customHeight="1" s="36">
      <c r="A157" s="751" t="n"/>
      <c r="B157" s="751" t="n"/>
      <c r="C157" s="751" t="n"/>
      <c r="D157" s="751" t="n"/>
      <c r="E157" s="751">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751" t="n"/>
      <c r="G157" s="755" t="n"/>
      <c r="H157" s="755" t="n"/>
      <c r="I157" s="751" t="n"/>
      <c r="J157" s="751" t="n"/>
      <c r="K157" s="757">
        <f>IF(A157="","",IF(J157="AUTO",H157,IF(J157="MANUAL",AK157,"")))</f>
        <v/>
      </c>
      <c r="L157" s="751" t="n"/>
      <c r="M157" s="751" t="n"/>
      <c r="N157" s="751">
        <f>IF(A157="","",IF(COUNTIFS('Human Operation Desktop'!$A$3:$A$502,A157,'Human Operation Desktop'!$I$3:$I$502,"&lt;&gt;APPLIED",'Human Operation Desktop'!$I$3:$I$502,"&lt;&gt;REJECTED")&gt;0,"YES","NO"))</f>
        <v/>
      </c>
      <c r="O157" s="751" t="n"/>
      <c r="P157" s="752" t="n"/>
      <c r="Q157" s="752" t="n"/>
      <c r="R157" s="752" t="n"/>
      <c r="S157" s="752" t="n"/>
      <c r="T157" s="752" t="n"/>
      <c r="U157" s="752" t="n"/>
      <c r="V157" s="752" t="n"/>
      <c r="W157" s="752" t="n"/>
      <c r="X157" s="752" t="n"/>
      <c r="Y157" s="752" t="n"/>
      <c r="Z157" s="752" t="n"/>
      <c r="AA157" s="752" t="n"/>
      <c r="AB157" s="752" t="n"/>
      <c r="AC157" s="752" t="n"/>
      <c r="AD157" s="752" t="n"/>
      <c r="AE157" s="752" t="n"/>
      <c r="AF157" s="752" t="n"/>
      <c r="AG157" s="752" t="n"/>
      <c r="AH157" s="752" t="n"/>
      <c r="AI157" s="752" t="n"/>
      <c r="AJ157" s="752" t="n"/>
      <c r="AK157" s="759" t="n"/>
      <c r="AL157" s="752" t="n"/>
      <c r="AM157" s="752" t="n"/>
      <c r="AN157" s="752" t="n"/>
      <c r="AO157" s="752" t="n"/>
      <c r="AP157" s="752" t="n"/>
      <c r="AQ157" s="752" t="n"/>
      <c r="AR157" s="752" t="n"/>
      <c r="AS157" s="752" t="n"/>
    </row>
    <row r="158" ht="30" customHeight="1" s="36">
      <c r="A158" s="751" t="n"/>
      <c r="B158" s="751" t="n"/>
      <c r="C158" s="751" t="n"/>
      <c r="D158" s="751" t="n"/>
      <c r="E158" s="751">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751" t="n"/>
      <c r="G158" s="755" t="n"/>
      <c r="H158" s="755" t="n"/>
      <c r="I158" s="751" t="n"/>
      <c r="J158" s="751" t="n"/>
      <c r="K158" s="757">
        <f>IF(A158="","",IF(J158="AUTO",H158,IF(J158="MANUAL",AK158,"")))</f>
        <v/>
      </c>
      <c r="L158" s="751" t="n"/>
      <c r="M158" s="751" t="n"/>
      <c r="N158" s="751">
        <f>IF(A158="","",IF(COUNTIFS('Human Operation Desktop'!$A$3:$A$502,A158,'Human Operation Desktop'!$I$3:$I$502,"&lt;&gt;APPLIED",'Human Operation Desktop'!$I$3:$I$502,"&lt;&gt;REJECTED")&gt;0,"YES","NO"))</f>
        <v/>
      </c>
      <c r="O158" s="751" t="n"/>
      <c r="P158" s="752" t="n"/>
      <c r="Q158" s="752" t="n"/>
      <c r="R158" s="752" t="n"/>
      <c r="S158" s="752" t="n"/>
      <c r="T158" s="752" t="n"/>
      <c r="U158" s="752" t="n"/>
      <c r="V158" s="752" t="n"/>
      <c r="W158" s="752" t="n"/>
      <c r="X158" s="752" t="n"/>
      <c r="Y158" s="752" t="n"/>
      <c r="Z158" s="752" t="n"/>
      <c r="AA158" s="752" t="n"/>
      <c r="AB158" s="752" t="n"/>
      <c r="AC158" s="752" t="n"/>
      <c r="AD158" s="752" t="n"/>
      <c r="AE158" s="752" t="n"/>
      <c r="AF158" s="752" t="n"/>
      <c r="AG158" s="752" t="n"/>
      <c r="AH158" s="752" t="n"/>
      <c r="AI158" s="752" t="n"/>
      <c r="AJ158" s="752" t="n"/>
      <c r="AK158" s="759" t="n"/>
      <c r="AL158" s="752" t="n"/>
      <c r="AM158" s="752" t="n"/>
      <c r="AN158" s="752" t="n"/>
      <c r="AO158" s="752" t="n"/>
      <c r="AP158" s="752" t="n"/>
      <c r="AQ158" s="752" t="n"/>
      <c r="AR158" s="752" t="n"/>
      <c r="AS158" s="752" t="n"/>
    </row>
    <row r="159" ht="30" customHeight="1" s="36">
      <c r="A159" s="751" t="n"/>
      <c r="B159" s="751" t="n"/>
      <c r="C159" s="751" t="n"/>
      <c r="D159" s="751" t="n"/>
      <c r="E159" s="751">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751" t="n"/>
      <c r="G159" s="755" t="n"/>
      <c r="H159" s="755" t="n"/>
      <c r="I159" s="751" t="n"/>
      <c r="J159" s="751" t="n"/>
      <c r="K159" s="757">
        <f>IF(A159="","",IF(J159="AUTO",H159,IF(J159="MANUAL",AK159,"")))</f>
        <v/>
      </c>
      <c r="L159" s="751" t="n"/>
      <c r="M159" s="751" t="n"/>
      <c r="N159" s="751">
        <f>IF(A159="","",IF(COUNTIFS('Human Operation Desktop'!$A$3:$A$502,A159,'Human Operation Desktop'!$I$3:$I$502,"&lt;&gt;APPLIED",'Human Operation Desktop'!$I$3:$I$502,"&lt;&gt;REJECTED")&gt;0,"YES","NO"))</f>
        <v/>
      </c>
      <c r="O159" s="751" t="n"/>
      <c r="P159" s="752" t="n"/>
      <c r="Q159" s="752" t="n"/>
      <c r="R159" s="752" t="n"/>
      <c r="S159" s="752" t="n"/>
      <c r="T159" s="752" t="n"/>
      <c r="U159" s="752" t="n"/>
      <c r="V159" s="752" t="n"/>
      <c r="W159" s="752" t="n"/>
      <c r="X159" s="752" t="n"/>
      <c r="Y159" s="752" t="n"/>
      <c r="Z159" s="752" t="n"/>
      <c r="AA159" s="752" t="n"/>
      <c r="AB159" s="752" t="n"/>
      <c r="AC159" s="752" t="n"/>
      <c r="AD159" s="752" t="n"/>
      <c r="AE159" s="752" t="n"/>
      <c r="AF159" s="752" t="n"/>
      <c r="AG159" s="752" t="n"/>
      <c r="AH159" s="752" t="n"/>
      <c r="AI159" s="752" t="n"/>
      <c r="AJ159" s="752" t="n"/>
      <c r="AK159" s="759" t="n"/>
      <c r="AL159" s="752" t="n"/>
      <c r="AM159" s="752" t="n"/>
      <c r="AN159" s="752" t="n"/>
      <c r="AO159" s="752" t="n"/>
      <c r="AP159" s="752" t="n"/>
      <c r="AQ159" s="752" t="n"/>
      <c r="AR159" s="752" t="n"/>
      <c r="AS159" s="752" t="n"/>
    </row>
    <row r="160" ht="30" customHeight="1" s="36">
      <c r="A160" s="751" t="n"/>
      <c r="B160" s="751" t="n"/>
      <c r="C160" s="751" t="n"/>
      <c r="D160" s="751" t="n"/>
      <c r="E160" s="751">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751" t="n"/>
      <c r="G160" s="755" t="n"/>
      <c r="H160" s="755" t="n"/>
      <c r="I160" s="751" t="n"/>
      <c r="J160" s="751" t="n"/>
      <c r="K160" s="757">
        <f>IF(A160="","",IF(J160="AUTO",H160,IF(J160="MANUAL",AK160,"")))</f>
        <v/>
      </c>
      <c r="L160" s="751" t="n"/>
      <c r="M160" s="751" t="n"/>
      <c r="N160" s="751">
        <f>IF(A160="","",IF(COUNTIFS('Human Operation Desktop'!$A$3:$A$502,A160,'Human Operation Desktop'!$I$3:$I$502,"&lt;&gt;APPLIED",'Human Operation Desktop'!$I$3:$I$502,"&lt;&gt;REJECTED")&gt;0,"YES","NO"))</f>
        <v/>
      </c>
      <c r="O160" s="751" t="n"/>
      <c r="P160" s="752" t="n"/>
      <c r="Q160" s="752" t="n"/>
      <c r="R160" s="752" t="n"/>
      <c r="S160" s="752" t="n"/>
      <c r="T160" s="752" t="n"/>
      <c r="U160" s="752" t="n"/>
      <c r="V160" s="752" t="n"/>
      <c r="W160" s="752" t="n"/>
      <c r="X160" s="752" t="n"/>
      <c r="Y160" s="752" t="n"/>
      <c r="Z160" s="752" t="n"/>
      <c r="AA160" s="752" t="n"/>
      <c r="AB160" s="752" t="n"/>
      <c r="AC160" s="752" t="n"/>
      <c r="AD160" s="752" t="n"/>
      <c r="AE160" s="752" t="n"/>
      <c r="AF160" s="752" t="n"/>
      <c r="AG160" s="752" t="n"/>
      <c r="AH160" s="752" t="n"/>
      <c r="AI160" s="752" t="n"/>
      <c r="AJ160" s="752" t="n"/>
      <c r="AK160" s="759" t="n"/>
      <c r="AL160" s="752" t="n"/>
      <c r="AM160" s="752" t="n"/>
      <c r="AN160" s="752" t="n"/>
      <c r="AO160" s="752" t="n"/>
      <c r="AP160" s="752" t="n"/>
      <c r="AQ160" s="752" t="n"/>
      <c r="AR160" s="752" t="n"/>
      <c r="AS160" s="752" t="n"/>
    </row>
    <row r="161" ht="30" customHeight="1" s="36">
      <c r="A161" s="751" t="n"/>
      <c r="B161" s="751" t="n"/>
      <c r="C161" s="751" t="n"/>
      <c r="D161" s="751" t="n"/>
      <c r="E161" s="751">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751" t="n"/>
      <c r="G161" s="755" t="n"/>
      <c r="H161" s="755" t="n"/>
      <c r="I161" s="751" t="n"/>
      <c r="J161" s="751" t="n"/>
      <c r="K161" s="757">
        <f>IF(A161="","",IF(J161="AUTO",H161,IF(J161="MANUAL",AK161,"")))</f>
        <v/>
      </c>
      <c r="L161" s="751" t="n"/>
      <c r="M161" s="751" t="n"/>
      <c r="N161" s="751">
        <f>IF(A161="","",IF(COUNTIFS('Human Operation Desktop'!$A$3:$A$502,A161,'Human Operation Desktop'!$I$3:$I$502,"&lt;&gt;APPLIED",'Human Operation Desktop'!$I$3:$I$502,"&lt;&gt;REJECTED")&gt;0,"YES","NO"))</f>
        <v/>
      </c>
      <c r="O161" s="751" t="n"/>
      <c r="P161" s="752" t="n"/>
      <c r="Q161" s="752" t="n"/>
      <c r="R161" s="752" t="n"/>
      <c r="S161" s="752" t="n"/>
      <c r="T161" s="752" t="n"/>
      <c r="U161" s="752" t="n"/>
      <c r="V161" s="752" t="n"/>
      <c r="W161" s="752" t="n"/>
      <c r="X161" s="752" t="n"/>
      <c r="Y161" s="752" t="n"/>
      <c r="Z161" s="752" t="n"/>
      <c r="AA161" s="752" t="n"/>
      <c r="AB161" s="752" t="n"/>
      <c r="AC161" s="752" t="n"/>
      <c r="AD161" s="752" t="n"/>
      <c r="AE161" s="752" t="n"/>
      <c r="AF161" s="752" t="n"/>
      <c r="AG161" s="752" t="n"/>
      <c r="AH161" s="752" t="n"/>
      <c r="AI161" s="752" t="n"/>
      <c r="AJ161" s="752" t="n"/>
      <c r="AK161" s="759" t="n"/>
      <c r="AL161" s="752" t="n"/>
      <c r="AM161" s="752" t="n"/>
      <c r="AN161" s="752" t="n"/>
      <c r="AO161" s="752" t="n"/>
      <c r="AP161" s="752" t="n"/>
      <c r="AQ161" s="752" t="n"/>
      <c r="AR161" s="752" t="n"/>
      <c r="AS161" s="752" t="n"/>
    </row>
    <row r="162" ht="30" customHeight="1" s="36">
      <c r="A162" s="751" t="n"/>
      <c r="B162" s="751" t="n"/>
      <c r="C162" s="751" t="n"/>
      <c r="D162" s="751" t="n"/>
      <c r="E162" s="751">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751" t="n"/>
      <c r="G162" s="755" t="n"/>
      <c r="H162" s="755" t="n"/>
      <c r="I162" s="751" t="n"/>
      <c r="J162" s="751" t="n"/>
      <c r="K162" s="757">
        <f>IF(A162="","",IF(J162="AUTO",H162,IF(J162="MANUAL",AK162,"")))</f>
        <v/>
      </c>
      <c r="L162" s="751" t="n"/>
      <c r="M162" s="751" t="n"/>
      <c r="N162" s="751">
        <f>IF(A162="","",IF(COUNTIFS('Human Operation Desktop'!$A$3:$A$502,A162,'Human Operation Desktop'!$I$3:$I$502,"&lt;&gt;APPLIED",'Human Operation Desktop'!$I$3:$I$502,"&lt;&gt;REJECTED")&gt;0,"YES","NO"))</f>
        <v/>
      </c>
      <c r="O162" s="751" t="n"/>
      <c r="P162" s="752" t="n"/>
      <c r="Q162" s="752" t="n"/>
      <c r="R162" s="752" t="n"/>
      <c r="S162" s="752" t="n"/>
      <c r="T162" s="752" t="n"/>
      <c r="U162" s="752" t="n"/>
      <c r="V162" s="752" t="n"/>
      <c r="W162" s="752" t="n"/>
      <c r="X162" s="752" t="n"/>
      <c r="Y162" s="752" t="n"/>
      <c r="Z162" s="752" t="n"/>
      <c r="AA162" s="752" t="n"/>
      <c r="AB162" s="752" t="n"/>
      <c r="AC162" s="752" t="n"/>
      <c r="AD162" s="752" t="n"/>
      <c r="AE162" s="752" t="n"/>
      <c r="AF162" s="752" t="n"/>
      <c r="AG162" s="752" t="n"/>
      <c r="AH162" s="752" t="n"/>
      <c r="AI162" s="752" t="n"/>
      <c r="AJ162" s="752" t="n"/>
      <c r="AK162" s="759" t="n"/>
      <c r="AL162" s="752" t="n"/>
      <c r="AM162" s="752" t="n"/>
      <c r="AN162" s="752" t="n"/>
      <c r="AO162" s="752" t="n"/>
      <c r="AP162" s="752" t="n"/>
      <c r="AQ162" s="752" t="n"/>
      <c r="AR162" s="752" t="n"/>
      <c r="AS162" s="752" t="n"/>
    </row>
    <row r="163" ht="30" customHeight="1" s="36">
      <c r="A163" s="751" t="n"/>
      <c r="B163" s="751" t="n"/>
      <c r="C163" s="751" t="n"/>
      <c r="D163" s="751" t="n"/>
      <c r="E163" s="751">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751" t="n"/>
      <c r="G163" s="755" t="n"/>
      <c r="H163" s="755" t="n"/>
      <c r="I163" s="751" t="n"/>
      <c r="J163" s="751" t="n"/>
      <c r="K163" s="757">
        <f>IF(A163="","",IF(J163="AUTO",H163,IF(J163="MANUAL",AK163,"")))</f>
        <v/>
      </c>
      <c r="L163" s="751" t="n"/>
      <c r="M163" s="751" t="n"/>
      <c r="N163" s="751">
        <f>IF(A163="","",IF(COUNTIFS('Human Operation Desktop'!$A$3:$A$502,A163,'Human Operation Desktop'!$I$3:$I$502,"&lt;&gt;APPLIED",'Human Operation Desktop'!$I$3:$I$502,"&lt;&gt;REJECTED")&gt;0,"YES","NO"))</f>
        <v/>
      </c>
      <c r="O163" s="751" t="n"/>
      <c r="P163" s="752" t="n"/>
      <c r="Q163" s="752" t="n"/>
      <c r="R163" s="752" t="n"/>
      <c r="S163" s="752" t="n"/>
      <c r="T163" s="752" t="n"/>
      <c r="U163" s="752" t="n"/>
      <c r="V163" s="752" t="n"/>
      <c r="W163" s="752" t="n"/>
      <c r="X163" s="752" t="n"/>
      <c r="Y163" s="752" t="n"/>
      <c r="Z163" s="752" t="n"/>
      <c r="AA163" s="752" t="n"/>
      <c r="AB163" s="752" t="n"/>
      <c r="AC163" s="752" t="n"/>
      <c r="AD163" s="752" t="n"/>
      <c r="AE163" s="752" t="n"/>
      <c r="AF163" s="752" t="n"/>
      <c r="AG163" s="752" t="n"/>
      <c r="AH163" s="752" t="n"/>
      <c r="AI163" s="752" t="n"/>
      <c r="AJ163" s="752" t="n"/>
      <c r="AK163" s="759" t="n"/>
      <c r="AL163" s="752" t="n"/>
      <c r="AM163" s="752" t="n"/>
      <c r="AN163" s="752" t="n"/>
      <c r="AO163" s="752" t="n"/>
      <c r="AP163" s="752" t="n"/>
      <c r="AQ163" s="752" t="n"/>
      <c r="AR163" s="752" t="n"/>
      <c r="AS163" s="752" t="n"/>
    </row>
    <row r="164" ht="30" customHeight="1" s="36">
      <c r="A164" s="751" t="n"/>
      <c r="B164" s="751" t="n"/>
      <c r="C164" s="751" t="n"/>
      <c r="D164" s="751" t="n"/>
      <c r="E164" s="751">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751" t="n"/>
      <c r="G164" s="755" t="n"/>
      <c r="H164" s="755" t="n"/>
      <c r="I164" s="751" t="n"/>
      <c r="J164" s="751" t="n"/>
      <c r="K164" s="757">
        <f>IF(A164="","",IF(J164="AUTO",H164,IF(J164="MANUAL",AK164,"")))</f>
        <v/>
      </c>
      <c r="L164" s="751" t="n"/>
      <c r="M164" s="751" t="n"/>
      <c r="N164" s="751">
        <f>IF(A164="","",IF(COUNTIFS('Human Operation Desktop'!$A$3:$A$502,A164,'Human Operation Desktop'!$I$3:$I$502,"&lt;&gt;APPLIED",'Human Operation Desktop'!$I$3:$I$502,"&lt;&gt;REJECTED")&gt;0,"YES","NO"))</f>
        <v/>
      </c>
      <c r="O164" s="751" t="n"/>
      <c r="P164" s="752" t="n"/>
      <c r="Q164" s="752" t="n"/>
      <c r="R164" s="752" t="n"/>
      <c r="S164" s="752" t="n"/>
      <c r="T164" s="752" t="n"/>
      <c r="U164" s="752" t="n"/>
      <c r="V164" s="752" t="n"/>
      <c r="W164" s="752" t="n"/>
      <c r="X164" s="752" t="n"/>
      <c r="Y164" s="752" t="n"/>
      <c r="Z164" s="752" t="n"/>
      <c r="AA164" s="752" t="n"/>
      <c r="AB164" s="752" t="n"/>
      <c r="AC164" s="752" t="n"/>
      <c r="AD164" s="752" t="n"/>
      <c r="AE164" s="752" t="n"/>
      <c r="AF164" s="752" t="n"/>
      <c r="AG164" s="752" t="n"/>
      <c r="AH164" s="752" t="n"/>
      <c r="AI164" s="752" t="n"/>
      <c r="AJ164" s="752" t="n"/>
      <c r="AK164" s="759" t="n"/>
      <c r="AL164" s="752" t="n"/>
      <c r="AM164" s="752" t="n"/>
      <c r="AN164" s="752" t="n"/>
      <c r="AO164" s="752" t="n"/>
      <c r="AP164" s="752" t="n"/>
      <c r="AQ164" s="752" t="n"/>
      <c r="AR164" s="752" t="n"/>
      <c r="AS164" s="752" t="n"/>
    </row>
    <row r="165" ht="30" customHeight="1" s="36">
      <c r="A165" s="751" t="n"/>
      <c r="B165" s="751" t="n"/>
      <c r="C165" s="751" t="n"/>
      <c r="D165" s="751" t="n"/>
      <c r="E165" s="751">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751" t="n"/>
      <c r="G165" s="755" t="n"/>
      <c r="H165" s="755" t="n"/>
      <c r="I165" s="751" t="n"/>
      <c r="J165" s="751" t="n"/>
      <c r="K165" s="757">
        <f>IF(A165="","",IF(J165="AUTO",H165,IF(J165="MANUAL",AK165,"")))</f>
        <v/>
      </c>
      <c r="L165" s="751" t="n"/>
      <c r="M165" s="751" t="n"/>
      <c r="N165" s="751">
        <f>IF(A165="","",IF(COUNTIFS('Human Operation Desktop'!$A$3:$A$502,A165,'Human Operation Desktop'!$I$3:$I$502,"&lt;&gt;APPLIED",'Human Operation Desktop'!$I$3:$I$502,"&lt;&gt;REJECTED")&gt;0,"YES","NO"))</f>
        <v/>
      </c>
      <c r="O165" s="751" t="n"/>
      <c r="P165" s="752" t="n"/>
      <c r="Q165" s="752" t="n"/>
      <c r="R165" s="752" t="n"/>
      <c r="S165" s="752" t="n"/>
      <c r="T165" s="752" t="n"/>
      <c r="U165" s="752" t="n"/>
      <c r="V165" s="752" t="n"/>
      <c r="W165" s="752" t="n"/>
      <c r="X165" s="752" t="n"/>
      <c r="Y165" s="752" t="n"/>
      <c r="Z165" s="752" t="n"/>
      <c r="AA165" s="752" t="n"/>
      <c r="AB165" s="752" t="n"/>
      <c r="AC165" s="752" t="n"/>
      <c r="AD165" s="752" t="n"/>
      <c r="AE165" s="752" t="n"/>
      <c r="AF165" s="752" t="n"/>
      <c r="AG165" s="752" t="n"/>
      <c r="AH165" s="752" t="n"/>
      <c r="AI165" s="752" t="n"/>
      <c r="AJ165" s="752" t="n"/>
      <c r="AK165" s="759" t="n"/>
      <c r="AL165" s="752" t="n"/>
      <c r="AM165" s="752" t="n"/>
      <c r="AN165" s="752" t="n"/>
      <c r="AO165" s="752" t="n"/>
      <c r="AP165" s="752" t="n"/>
      <c r="AQ165" s="752" t="n"/>
      <c r="AR165" s="752" t="n"/>
      <c r="AS165" s="752" t="n"/>
    </row>
    <row r="166" ht="30" customHeight="1" s="36">
      <c r="A166" s="751" t="n"/>
      <c r="B166" s="751" t="n"/>
      <c r="C166" s="751" t="n"/>
      <c r="D166" s="751" t="n"/>
      <c r="E166" s="751">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751" t="n"/>
      <c r="G166" s="755" t="n"/>
      <c r="H166" s="755" t="n"/>
      <c r="I166" s="751" t="n"/>
      <c r="J166" s="751" t="n"/>
      <c r="K166" s="757">
        <f>IF(A166="","",IF(J166="AUTO",H166,IF(J166="MANUAL",AK166,"")))</f>
        <v/>
      </c>
      <c r="L166" s="751" t="n"/>
      <c r="M166" s="751" t="n"/>
      <c r="N166" s="751">
        <f>IF(A166="","",IF(COUNTIFS('Human Operation Desktop'!$A$3:$A$502,A166,'Human Operation Desktop'!$I$3:$I$502,"&lt;&gt;APPLIED",'Human Operation Desktop'!$I$3:$I$502,"&lt;&gt;REJECTED")&gt;0,"YES","NO"))</f>
        <v/>
      </c>
      <c r="O166" s="751" t="n"/>
      <c r="P166" s="752" t="n"/>
      <c r="Q166" s="752" t="n"/>
      <c r="R166" s="752" t="n"/>
      <c r="S166" s="752" t="n"/>
      <c r="T166" s="752" t="n"/>
      <c r="U166" s="752" t="n"/>
      <c r="V166" s="752" t="n"/>
      <c r="W166" s="752" t="n"/>
      <c r="X166" s="752" t="n"/>
      <c r="Y166" s="752" t="n"/>
      <c r="Z166" s="752" t="n"/>
      <c r="AA166" s="752" t="n"/>
      <c r="AB166" s="752" t="n"/>
      <c r="AC166" s="752" t="n"/>
      <c r="AD166" s="752" t="n"/>
      <c r="AE166" s="752" t="n"/>
      <c r="AF166" s="752" t="n"/>
      <c r="AG166" s="752" t="n"/>
      <c r="AH166" s="752" t="n"/>
      <c r="AI166" s="752" t="n"/>
      <c r="AJ166" s="752" t="n"/>
      <c r="AK166" s="759" t="n"/>
      <c r="AL166" s="752" t="n"/>
      <c r="AM166" s="752" t="n"/>
      <c r="AN166" s="752" t="n"/>
      <c r="AO166" s="752" t="n"/>
      <c r="AP166" s="752" t="n"/>
      <c r="AQ166" s="752" t="n"/>
      <c r="AR166" s="752" t="n"/>
      <c r="AS166" s="752" t="n"/>
    </row>
    <row r="167" ht="30" customHeight="1" s="36">
      <c r="A167" s="751" t="n"/>
      <c r="B167" s="751" t="n"/>
      <c r="C167" s="751" t="n"/>
      <c r="D167" s="751" t="n"/>
      <c r="E167" s="751">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751" t="n"/>
      <c r="G167" s="755" t="n"/>
      <c r="H167" s="755" t="n"/>
      <c r="I167" s="751" t="n"/>
      <c r="J167" s="751" t="n"/>
      <c r="K167" s="757">
        <f>IF(A167="","",IF(J167="AUTO",H167,IF(J167="MANUAL",AK167,"")))</f>
        <v/>
      </c>
      <c r="L167" s="751" t="n"/>
      <c r="M167" s="751" t="n"/>
      <c r="N167" s="751">
        <f>IF(A167="","",IF(COUNTIFS('Human Operation Desktop'!$A$3:$A$502,A167,'Human Operation Desktop'!$I$3:$I$502,"&lt;&gt;APPLIED",'Human Operation Desktop'!$I$3:$I$502,"&lt;&gt;REJECTED")&gt;0,"YES","NO"))</f>
        <v/>
      </c>
      <c r="O167" s="751" t="n"/>
      <c r="P167" s="752" t="n"/>
      <c r="Q167" s="752" t="n"/>
      <c r="R167" s="752" t="n"/>
      <c r="S167" s="752" t="n"/>
      <c r="T167" s="752" t="n"/>
      <c r="U167" s="752" t="n"/>
      <c r="V167" s="752" t="n"/>
      <c r="W167" s="752" t="n"/>
      <c r="X167" s="752" t="n"/>
      <c r="Y167" s="752" t="n"/>
      <c r="Z167" s="752" t="n"/>
      <c r="AA167" s="752" t="n"/>
      <c r="AB167" s="752" t="n"/>
      <c r="AC167" s="752" t="n"/>
      <c r="AD167" s="752" t="n"/>
      <c r="AE167" s="752" t="n"/>
      <c r="AF167" s="752" t="n"/>
      <c r="AG167" s="752" t="n"/>
      <c r="AH167" s="752" t="n"/>
      <c r="AI167" s="752" t="n"/>
      <c r="AJ167" s="752" t="n"/>
      <c r="AK167" s="759" t="n"/>
      <c r="AL167" s="752" t="n"/>
      <c r="AM167" s="752" t="n"/>
      <c r="AN167" s="752" t="n"/>
      <c r="AO167" s="752" t="n"/>
      <c r="AP167" s="752" t="n"/>
      <c r="AQ167" s="752" t="n"/>
      <c r="AR167" s="752" t="n"/>
      <c r="AS167" s="752" t="n"/>
    </row>
    <row r="168" ht="30" customHeight="1" s="36">
      <c r="A168" s="751" t="n"/>
      <c r="B168" s="751" t="n"/>
      <c r="C168" s="751" t="n"/>
      <c r="D168" s="751" t="n"/>
      <c r="E168" s="751">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751" t="n"/>
      <c r="G168" s="755" t="n"/>
      <c r="H168" s="755" t="n"/>
      <c r="I168" s="751" t="n"/>
      <c r="J168" s="751" t="n"/>
      <c r="K168" s="757">
        <f>IF(A168="","",IF(J168="AUTO",H168,IF(J168="MANUAL",AK168,"")))</f>
        <v/>
      </c>
      <c r="L168" s="751" t="n"/>
      <c r="M168" s="751" t="n"/>
      <c r="N168" s="751">
        <f>IF(A168="","",IF(COUNTIFS('Human Operation Desktop'!$A$3:$A$502,A168,'Human Operation Desktop'!$I$3:$I$502,"&lt;&gt;APPLIED",'Human Operation Desktop'!$I$3:$I$502,"&lt;&gt;REJECTED")&gt;0,"YES","NO"))</f>
        <v/>
      </c>
      <c r="O168" s="751" t="n"/>
      <c r="P168" s="752" t="n"/>
      <c r="Q168" s="752" t="n"/>
      <c r="R168" s="752" t="n"/>
      <c r="S168" s="752" t="n"/>
      <c r="T168" s="752" t="n"/>
      <c r="U168" s="752" t="n"/>
      <c r="V168" s="752" t="n"/>
      <c r="W168" s="752" t="n"/>
      <c r="X168" s="752" t="n"/>
      <c r="Y168" s="752" t="n"/>
      <c r="Z168" s="752" t="n"/>
      <c r="AA168" s="752" t="n"/>
      <c r="AB168" s="752" t="n"/>
      <c r="AC168" s="752" t="n"/>
      <c r="AD168" s="752" t="n"/>
      <c r="AE168" s="752" t="n"/>
      <c r="AF168" s="752" t="n"/>
      <c r="AG168" s="752" t="n"/>
      <c r="AH168" s="752" t="n"/>
      <c r="AI168" s="752" t="n"/>
      <c r="AJ168" s="752" t="n"/>
      <c r="AK168" s="759" t="n"/>
      <c r="AL168" s="752" t="n"/>
      <c r="AM168" s="752" t="n"/>
      <c r="AN168" s="752" t="n"/>
      <c r="AO168" s="752" t="n"/>
      <c r="AP168" s="752" t="n"/>
      <c r="AQ168" s="752" t="n"/>
      <c r="AR168" s="752" t="n"/>
      <c r="AS168" s="752" t="n"/>
    </row>
    <row r="169" ht="30" customHeight="1" s="36">
      <c r="A169" s="751" t="n"/>
      <c r="B169" s="751" t="n"/>
      <c r="C169" s="751" t="n"/>
      <c r="D169" s="751" t="n"/>
      <c r="E169" s="751">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751" t="n"/>
      <c r="G169" s="755" t="n"/>
      <c r="H169" s="755" t="n"/>
      <c r="I169" s="751" t="n"/>
      <c r="J169" s="751" t="n"/>
      <c r="K169" s="757">
        <f>IF(A169="","",IF(J169="AUTO",H169,IF(J169="MANUAL",AK169,"")))</f>
        <v/>
      </c>
      <c r="L169" s="751" t="n"/>
      <c r="M169" s="751" t="n"/>
      <c r="N169" s="751">
        <f>IF(A169="","",IF(COUNTIFS('Human Operation Desktop'!$A$3:$A$502,A169,'Human Operation Desktop'!$I$3:$I$502,"&lt;&gt;APPLIED",'Human Operation Desktop'!$I$3:$I$502,"&lt;&gt;REJECTED")&gt;0,"YES","NO"))</f>
        <v/>
      </c>
      <c r="O169" s="751" t="n"/>
      <c r="P169" s="752" t="n"/>
      <c r="Q169" s="752" t="n"/>
      <c r="R169" s="752" t="n"/>
      <c r="S169" s="752" t="n"/>
      <c r="T169" s="752" t="n"/>
      <c r="U169" s="752" t="n"/>
      <c r="V169" s="752" t="n"/>
      <c r="W169" s="752" t="n"/>
      <c r="X169" s="752" t="n"/>
      <c r="Y169" s="752" t="n"/>
      <c r="Z169" s="752" t="n"/>
      <c r="AA169" s="752" t="n"/>
      <c r="AB169" s="752" t="n"/>
      <c r="AC169" s="752" t="n"/>
      <c r="AD169" s="752" t="n"/>
      <c r="AE169" s="752" t="n"/>
      <c r="AF169" s="752" t="n"/>
      <c r="AG169" s="752" t="n"/>
      <c r="AH169" s="752" t="n"/>
      <c r="AI169" s="752" t="n"/>
      <c r="AJ169" s="752" t="n"/>
      <c r="AK169" s="759" t="n"/>
      <c r="AL169" s="752" t="n"/>
      <c r="AM169" s="752" t="n"/>
      <c r="AN169" s="752" t="n"/>
      <c r="AO169" s="752" t="n"/>
      <c r="AP169" s="752" t="n"/>
      <c r="AQ169" s="752" t="n"/>
      <c r="AR169" s="752" t="n"/>
      <c r="AS169" s="752" t="n"/>
    </row>
    <row r="170" ht="30" customHeight="1" s="36">
      <c r="A170" s="751" t="n"/>
      <c r="B170" s="751" t="n"/>
      <c r="C170" s="751" t="n"/>
      <c r="D170" s="751" t="n"/>
      <c r="E170" s="751">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751" t="n"/>
      <c r="G170" s="755" t="n"/>
      <c r="H170" s="755" t="n"/>
      <c r="I170" s="751" t="n"/>
      <c r="J170" s="751" t="n"/>
      <c r="K170" s="757">
        <f>IF(A170="","",IF(J170="AUTO",H170,IF(J170="MANUAL",AK170,"")))</f>
        <v/>
      </c>
      <c r="L170" s="751" t="n"/>
      <c r="M170" s="751" t="n"/>
      <c r="N170" s="751">
        <f>IF(A170="","",IF(COUNTIFS('Human Operation Desktop'!$A$3:$A$502,A170,'Human Operation Desktop'!$I$3:$I$502,"&lt;&gt;APPLIED",'Human Operation Desktop'!$I$3:$I$502,"&lt;&gt;REJECTED")&gt;0,"YES","NO"))</f>
        <v/>
      </c>
      <c r="O170" s="751" t="n"/>
      <c r="P170" s="752" t="n"/>
      <c r="Q170" s="752" t="n"/>
      <c r="R170" s="752" t="n"/>
      <c r="S170" s="752" t="n"/>
      <c r="T170" s="752" t="n"/>
      <c r="U170" s="752" t="n"/>
      <c r="V170" s="752" t="n"/>
      <c r="W170" s="752" t="n"/>
      <c r="X170" s="752" t="n"/>
      <c r="Y170" s="752" t="n"/>
      <c r="Z170" s="752" t="n"/>
      <c r="AA170" s="752" t="n"/>
      <c r="AB170" s="752" t="n"/>
      <c r="AC170" s="752" t="n"/>
      <c r="AD170" s="752" t="n"/>
      <c r="AE170" s="752" t="n"/>
      <c r="AF170" s="752" t="n"/>
      <c r="AG170" s="752" t="n"/>
      <c r="AH170" s="752" t="n"/>
      <c r="AI170" s="752" t="n"/>
      <c r="AJ170" s="752" t="n"/>
      <c r="AK170" s="759" t="n"/>
      <c r="AL170" s="752" t="n"/>
      <c r="AM170" s="752" t="n"/>
      <c r="AN170" s="752" t="n"/>
      <c r="AO170" s="752" t="n"/>
      <c r="AP170" s="752" t="n"/>
      <c r="AQ170" s="752" t="n"/>
      <c r="AR170" s="752" t="n"/>
      <c r="AS170" s="752" t="n"/>
    </row>
    <row r="171" ht="30" customHeight="1" s="36">
      <c r="A171" s="751" t="n"/>
      <c r="B171" s="751" t="n"/>
      <c r="C171" s="751" t="n"/>
      <c r="D171" s="751" t="n"/>
      <c r="E171" s="751">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751" t="n"/>
      <c r="G171" s="755" t="n"/>
      <c r="H171" s="755" t="n"/>
      <c r="I171" s="751" t="n"/>
      <c r="J171" s="751" t="n"/>
      <c r="K171" s="757">
        <f>IF(A171="","",IF(J171="AUTO",H171,IF(J171="MANUAL",AK171,"")))</f>
        <v/>
      </c>
      <c r="L171" s="751" t="n"/>
      <c r="M171" s="751" t="n"/>
      <c r="N171" s="751">
        <f>IF(A171="","",IF(COUNTIFS('Human Operation Desktop'!$A$3:$A$502,A171,'Human Operation Desktop'!$I$3:$I$502,"&lt;&gt;APPLIED",'Human Operation Desktop'!$I$3:$I$502,"&lt;&gt;REJECTED")&gt;0,"YES","NO"))</f>
        <v/>
      </c>
      <c r="O171" s="751" t="n"/>
      <c r="P171" s="752" t="n"/>
      <c r="Q171" s="752" t="n"/>
      <c r="R171" s="752" t="n"/>
      <c r="S171" s="752" t="n"/>
      <c r="T171" s="752" t="n"/>
      <c r="U171" s="752" t="n"/>
      <c r="V171" s="752" t="n"/>
      <c r="W171" s="752" t="n"/>
      <c r="X171" s="752" t="n"/>
      <c r="Y171" s="752" t="n"/>
      <c r="Z171" s="752" t="n"/>
      <c r="AA171" s="752" t="n"/>
      <c r="AB171" s="752" t="n"/>
      <c r="AC171" s="752" t="n"/>
      <c r="AD171" s="752" t="n"/>
      <c r="AE171" s="752" t="n"/>
      <c r="AF171" s="752" t="n"/>
      <c r="AG171" s="752" t="n"/>
      <c r="AH171" s="752" t="n"/>
      <c r="AI171" s="752" t="n"/>
      <c r="AJ171" s="752" t="n"/>
      <c r="AK171" s="759" t="n"/>
      <c r="AL171" s="752" t="n"/>
      <c r="AM171" s="752" t="n"/>
      <c r="AN171" s="752" t="n"/>
      <c r="AO171" s="752" t="n"/>
      <c r="AP171" s="752" t="n"/>
      <c r="AQ171" s="752" t="n"/>
      <c r="AR171" s="752" t="n"/>
      <c r="AS171" s="752" t="n"/>
    </row>
    <row r="172" ht="30" customHeight="1" s="36">
      <c r="A172" s="751" t="n"/>
      <c r="B172" s="751" t="n"/>
      <c r="C172" s="751" t="n"/>
      <c r="D172" s="751" t="n"/>
      <c r="E172" s="751">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751" t="n"/>
      <c r="G172" s="755" t="n"/>
      <c r="H172" s="755" t="n"/>
      <c r="I172" s="751" t="n"/>
      <c r="J172" s="751" t="n"/>
      <c r="K172" s="757">
        <f>IF(A172="","",IF(J172="AUTO",H172,IF(J172="MANUAL",AK172,"")))</f>
        <v/>
      </c>
      <c r="L172" s="751" t="n"/>
      <c r="M172" s="751" t="n"/>
      <c r="N172" s="751">
        <f>IF(A172="","",IF(COUNTIFS('Human Operation Desktop'!$A$3:$A$502,A172,'Human Operation Desktop'!$I$3:$I$502,"&lt;&gt;APPLIED",'Human Operation Desktop'!$I$3:$I$502,"&lt;&gt;REJECTED")&gt;0,"YES","NO"))</f>
        <v/>
      </c>
      <c r="O172" s="751" t="n"/>
      <c r="P172" s="752" t="n"/>
      <c r="Q172" s="752" t="n"/>
      <c r="R172" s="752" t="n"/>
      <c r="S172" s="752" t="n"/>
      <c r="T172" s="752" t="n"/>
      <c r="U172" s="752" t="n"/>
      <c r="V172" s="752" t="n"/>
      <c r="W172" s="752" t="n"/>
      <c r="X172" s="752" t="n"/>
      <c r="Y172" s="752" t="n"/>
      <c r="Z172" s="752" t="n"/>
      <c r="AA172" s="752" t="n"/>
      <c r="AB172" s="752" t="n"/>
      <c r="AC172" s="752" t="n"/>
      <c r="AD172" s="752" t="n"/>
      <c r="AE172" s="752" t="n"/>
      <c r="AF172" s="752" t="n"/>
      <c r="AG172" s="752" t="n"/>
      <c r="AH172" s="752" t="n"/>
      <c r="AI172" s="752" t="n"/>
      <c r="AJ172" s="752" t="n"/>
      <c r="AK172" s="759" t="n"/>
      <c r="AL172" s="752" t="n"/>
      <c r="AM172" s="752" t="n"/>
      <c r="AN172" s="752" t="n"/>
      <c r="AO172" s="752" t="n"/>
      <c r="AP172" s="752" t="n"/>
      <c r="AQ172" s="752" t="n"/>
      <c r="AR172" s="752" t="n"/>
      <c r="AS172" s="752" t="n"/>
    </row>
    <row r="173" ht="30" customHeight="1" s="36">
      <c r="A173" s="751" t="n"/>
      <c r="B173" s="751" t="n"/>
      <c r="C173" s="751" t="n"/>
      <c r="D173" s="751" t="n"/>
      <c r="E173" s="751">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751" t="n"/>
      <c r="G173" s="755" t="n"/>
      <c r="H173" s="755" t="n"/>
      <c r="I173" s="751" t="n"/>
      <c r="J173" s="751" t="n"/>
      <c r="K173" s="757">
        <f>IF(A173="","",IF(J173="AUTO",H173,IF(J173="MANUAL",AK173,"")))</f>
        <v/>
      </c>
      <c r="L173" s="751" t="n"/>
      <c r="M173" s="751" t="n"/>
      <c r="N173" s="751">
        <f>IF(A173="","",IF(COUNTIFS('Human Operation Desktop'!$A$3:$A$502,A173,'Human Operation Desktop'!$I$3:$I$502,"&lt;&gt;APPLIED",'Human Operation Desktop'!$I$3:$I$502,"&lt;&gt;REJECTED")&gt;0,"YES","NO"))</f>
        <v/>
      </c>
      <c r="O173" s="751" t="n"/>
      <c r="P173" s="752" t="n"/>
      <c r="Q173" s="752" t="n"/>
      <c r="R173" s="752" t="n"/>
      <c r="S173" s="752" t="n"/>
      <c r="T173" s="752" t="n"/>
      <c r="U173" s="752" t="n"/>
      <c r="V173" s="752" t="n"/>
      <c r="W173" s="752" t="n"/>
      <c r="X173" s="752" t="n"/>
      <c r="Y173" s="752" t="n"/>
      <c r="Z173" s="752" t="n"/>
      <c r="AA173" s="752" t="n"/>
      <c r="AB173" s="752" t="n"/>
      <c r="AC173" s="752" t="n"/>
      <c r="AD173" s="752" t="n"/>
      <c r="AE173" s="752" t="n"/>
      <c r="AF173" s="752" t="n"/>
      <c r="AG173" s="752" t="n"/>
      <c r="AH173" s="752" t="n"/>
      <c r="AI173" s="752" t="n"/>
      <c r="AJ173" s="752" t="n"/>
      <c r="AK173" s="759" t="n"/>
      <c r="AL173" s="752" t="n"/>
      <c r="AM173" s="752" t="n"/>
      <c r="AN173" s="752" t="n"/>
      <c r="AO173" s="752" t="n"/>
      <c r="AP173" s="752" t="n"/>
      <c r="AQ173" s="752" t="n"/>
      <c r="AR173" s="752" t="n"/>
      <c r="AS173" s="752" t="n"/>
    </row>
    <row r="174" ht="30" customHeight="1" s="36">
      <c r="A174" s="751" t="n"/>
      <c r="B174" s="751" t="n"/>
      <c r="C174" s="751" t="n"/>
      <c r="D174" s="751" t="n"/>
      <c r="E174" s="751">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751" t="n"/>
      <c r="G174" s="755" t="n"/>
      <c r="H174" s="755" t="n"/>
      <c r="I174" s="751" t="n"/>
      <c r="J174" s="751" t="n"/>
      <c r="K174" s="757">
        <f>IF(A174="","",IF(J174="AUTO",H174,IF(J174="MANUAL",AK174,"")))</f>
        <v/>
      </c>
      <c r="L174" s="751" t="n"/>
      <c r="M174" s="751" t="n"/>
      <c r="N174" s="751">
        <f>IF(A174="","",IF(COUNTIFS('Human Operation Desktop'!$A$3:$A$502,A174,'Human Operation Desktop'!$I$3:$I$502,"&lt;&gt;APPLIED",'Human Operation Desktop'!$I$3:$I$502,"&lt;&gt;REJECTED")&gt;0,"YES","NO"))</f>
        <v/>
      </c>
      <c r="O174" s="751" t="n"/>
      <c r="P174" s="752" t="n"/>
      <c r="Q174" s="752" t="n"/>
      <c r="R174" s="752" t="n"/>
      <c r="S174" s="752" t="n"/>
      <c r="T174" s="752" t="n"/>
      <c r="U174" s="752" t="n"/>
      <c r="V174" s="752" t="n"/>
      <c r="W174" s="752" t="n"/>
      <c r="X174" s="752" t="n"/>
      <c r="Y174" s="752" t="n"/>
      <c r="Z174" s="752" t="n"/>
      <c r="AA174" s="752" t="n"/>
      <c r="AB174" s="752" t="n"/>
      <c r="AC174" s="752" t="n"/>
      <c r="AD174" s="752" t="n"/>
      <c r="AE174" s="752" t="n"/>
      <c r="AF174" s="752" t="n"/>
      <c r="AG174" s="752" t="n"/>
      <c r="AH174" s="752" t="n"/>
      <c r="AI174" s="752" t="n"/>
      <c r="AJ174" s="752" t="n"/>
      <c r="AK174" s="759" t="n"/>
      <c r="AL174" s="752" t="n"/>
      <c r="AM174" s="752" t="n"/>
      <c r="AN174" s="752" t="n"/>
      <c r="AO174" s="752" t="n"/>
      <c r="AP174" s="752" t="n"/>
      <c r="AQ174" s="752" t="n"/>
      <c r="AR174" s="752" t="n"/>
      <c r="AS174" s="752" t="n"/>
    </row>
    <row r="175" ht="30" customHeight="1" s="36">
      <c r="A175" s="751" t="n"/>
      <c r="B175" s="751" t="n"/>
      <c r="C175" s="751" t="n"/>
      <c r="D175" s="751" t="n"/>
      <c r="E175" s="751">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751" t="n"/>
      <c r="G175" s="755" t="n"/>
      <c r="H175" s="755" t="n"/>
      <c r="I175" s="751" t="n"/>
      <c r="J175" s="751" t="n"/>
      <c r="K175" s="757">
        <f>IF(A175="","",IF(J175="AUTO",H175,IF(J175="MANUAL",AK175,"")))</f>
        <v/>
      </c>
      <c r="L175" s="751" t="n"/>
      <c r="M175" s="751" t="n"/>
      <c r="N175" s="751">
        <f>IF(A175="","",IF(COUNTIFS('Human Operation Desktop'!$A$3:$A$502,A175,'Human Operation Desktop'!$I$3:$I$502,"&lt;&gt;APPLIED",'Human Operation Desktop'!$I$3:$I$502,"&lt;&gt;REJECTED")&gt;0,"YES","NO"))</f>
        <v/>
      </c>
      <c r="O175" s="751" t="n"/>
      <c r="P175" s="752" t="n"/>
      <c r="Q175" s="752" t="n"/>
      <c r="R175" s="752" t="n"/>
      <c r="S175" s="752" t="n"/>
      <c r="T175" s="752" t="n"/>
      <c r="U175" s="752" t="n"/>
      <c r="V175" s="752" t="n"/>
      <c r="W175" s="752" t="n"/>
      <c r="X175" s="752" t="n"/>
      <c r="Y175" s="752" t="n"/>
      <c r="Z175" s="752" t="n"/>
      <c r="AA175" s="752" t="n"/>
      <c r="AB175" s="752" t="n"/>
      <c r="AC175" s="752" t="n"/>
      <c r="AD175" s="752" t="n"/>
      <c r="AE175" s="752" t="n"/>
      <c r="AF175" s="752" t="n"/>
      <c r="AG175" s="752" t="n"/>
      <c r="AH175" s="752" t="n"/>
      <c r="AI175" s="752" t="n"/>
      <c r="AJ175" s="752" t="n"/>
      <c r="AK175" s="759" t="n"/>
      <c r="AL175" s="752" t="n"/>
      <c r="AM175" s="752" t="n"/>
      <c r="AN175" s="752" t="n"/>
      <c r="AO175" s="752" t="n"/>
      <c r="AP175" s="752" t="n"/>
      <c r="AQ175" s="752" t="n"/>
      <c r="AR175" s="752" t="n"/>
      <c r="AS175" s="752" t="n"/>
    </row>
    <row r="176" ht="30" customHeight="1" s="36">
      <c r="A176" s="751" t="n"/>
      <c r="B176" s="751" t="n"/>
      <c r="C176" s="751" t="n"/>
      <c r="D176" s="751" t="n"/>
      <c r="E176" s="751">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751" t="n"/>
      <c r="G176" s="755" t="n"/>
      <c r="H176" s="755" t="n"/>
      <c r="I176" s="751" t="n"/>
      <c r="J176" s="751" t="n"/>
      <c r="K176" s="757">
        <f>IF(A176="","",IF(J176="AUTO",H176,IF(J176="MANUAL",AK176,"")))</f>
        <v/>
      </c>
      <c r="L176" s="751" t="n"/>
      <c r="M176" s="751" t="n"/>
      <c r="N176" s="751">
        <f>IF(A176="","",IF(COUNTIFS('Human Operation Desktop'!$A$3:$A$502,A176,'Human Operation Desktop'!$I$3:$I$502,"&lt;&gt;APPLIED",'Human Operation Desktop'!$I$3:$I$502,"&lt;&gt;REJECTED")&gt;0,"YES","NO"))</f>
        <v/>
      </c>
      <c r="O176" s="751" t="n"/>
      <c r="P176" s="752" t="n"/>
      <c r="Q176" s="752" t="n"/>
      <c r="R176" s="752" t="n"/>
      <c r="S176" s="752" t="n"/>
      <c r="T176" s="752" t="n"/>
      <c r="U176" s="752" t="n"/>
      <c r="V176" s="752" t="n"/>
      <c r="W176" s="752" t="n"/>
      <c r="X176" s="752" t="n"/>
      <c r="Y176" s="752" t="n"/>
      <c r="Z176" s="752" t="n"/>
      <c r="AA176" s="752" t="n"/>
      <c r="AB176" s="752" t="n"/>
      <c r="AC176" s="752" t="n"/>
      <c r="AD176" s="752" t="n"/>
      <c r="AE176" s="752" t="n"/>
      <c r="AF176" s="752" t="n"/>
      <c r="AG176" s="752" t="n"/>
      <c r="AH176" s="752" t="n"/>
      <c r="AI176" s="752" t="n"/>
      <c r="AJ176" s="752" t="n"/>
      <c r="AK176" s="759" t="n"/>
      <c r="AL176" s="752" t="n"/>
      <c r="AM176" s="752" t="n"/>
      <c r="AN176" s="752" t="n"/>
      <c r="AO176" s="752" t="n"/>
      <c r="AP176" s="752" t="n"/>
      <c r="AQ176" s="752" t="n"/>
      <c r="AR176" s="752" t="n"/>
      <c r="AS176" s="752" t="n"/>
    </row>
    <row r="177" ht="30" customHeight="1" s="36">
      <c r="A177" s="751" t="n"/>
      <c r="B177" s="751" t="n"/>
      <c r="C177" s="751" t="n"/>
      <c r="D177" s="751" t="n"/>
      <c r="E177" s="751">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751" t="n"/>
      <c r="G177" s="755" t="n"/>
      <c r="H177" s="755" t="n"/>
      <c r="I177" s="751" t="n"/>
      <c r="J177" s="751" t="n"/>
      <c r="K177" s="757">
        <f>IF(A177="","",IF(J177="AUTO",H177,IF(J177="MANUAL",AK177,"")))</f>
        <v/>
      </c>
      <c r="L177" s="751" t="n"/>
      <c r="M177" s="751" t="n"/>
      <c r="N177" s="751">
        <f>IF(A177="","",IF(COUNTIFS('Human Operation Desktop'!$A$3:$A$502,A177,'Human Operation Desktop'!$I$3:$I$502,"&lt;&gt;APPLIED",'Human Operation Desktop'!$I$3:$I$502,"&lt;&gt;REJECTED")&gt;0,"YES","NO"))</f>
        <v/>
      </c>
      <c r="O177" s="751" t="n"/>
      <c r="P177" s="752" t="n"/>
      <c r="Q177" s="752" t="n"/>
      <c r="R177" s="752" t="n"/>
      <c r="S177" s="752" t="n"/>
      <c r="T177" s="752" t="n"/>
      <c r="U177" s="752" t="n"/>
      <c r="V177" s="752" t="n"/>
      <c r="W177" s="752" t="n"/>
      <c r="X177" s="752" t="n"/>
      <c r="Y177" s="752" t="n"/>
      <c r="Z177" s="752" t="n"/>
      <c r="AA177" s="752" t="n"/>
      <c r="AB177" s="752" t="n"/>
      <c r="AC177" s="752" t="n"/>
      <c r="AD177" s="752" t="n"/>
      <c r="AE177" s="752" t="n"/>
      <c r="AF177" s="752" t="n"/>
      <c r="AG177" s="752" t="n"/>
      <c r="AH177" s="752" t="n"/>
      <c r="AI177" s="752" t="n"/>
      <c r="AJ177" s="752" t="n"/>
      <c r="AK177" s="759" t="n"/>
      <c r="AL177" s="752" t="n"/>
      <c r="AM177" s="752" t="n"/>
      <c r="AN177" s="752" t="n"/>
      <c r="AO177" s="752" t="n"/>
      <c r="AP177" s="752" t="n"/>
      <c r="AQ177" s="752" t="n"/>
      <c r="AR177" s="752" t="n"/>
      <c r="AS177" s="752" t="n"/>
    </row>
    <row r="178" ht="30" customHeight="1" s="36">
      <c r="A178" s="751" t="n"/>
      <c r="B178" s="751" t="n"/>
      <c r="C178" s="751" t="n"/>
      <c r="D178" s="751" t="n"/>
      <c r="E178" s="751">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751" t="n"/>
      <c r="G178" s="755" t="n"/>
      <c r="H178" s="755" t="n"/>
      <c r="I178" s="751" t="n"/>
      <c r="J178" s="751" t="n"/>
      <c r="K178" s="757">
        <f>IF(A178="","",IF(J178="AUTO",H178,IF(J178="MANUAL",AK178,"")))</f>
        <v/>
      </c>
      <c r="L178" s="751" t="n"/>
      <c r="M178" s="751" t="n"/>
      <c r="N178" s="751">
        <f>IF(A178="","",IF(COUNTIFS('Human Operation Desktop'!$A$3:$A$502,A178,'Human Operation Desktop'!$I$3:$I$502,"&lt;&gt;APPLIED",'Human Operation Desktop'!$I$3:$I$502,"&lt;&gt;REJECTED")&gt;0,"YES","NO"))</f>
        <v/>
      </c>
      <c r="O178" s="751" t="n"/>
      <c r="P178" s="752" t="n"/>
      <c r="Q178" s="752" t="n"/>
      <c r="R178" s="752" t="n"/>
      <c r="S178" s="752" t="n"/>
      <c r="T178" s="752" t="n"/>
      <c r="U178" s="752" t="n"/>
      <c r="V178" s="752" t="n"/>
      <c r="W178" s="752" t="n"/>
      <c r="X178" s="752" t="n"/>
      <c r="Y178" s="752" t="n"/>
      <c r="Z178" s="752" t="n"/>
      <c r="AA178" s="752" t="n"/>
      <c r="AB178" s="752" t="n"/>
      <c r="AC178" s="752" t="n"/>
      <c r="AD178" s="752" t="n"/>
      <c r="AE178" s="752" t="n"/>
      <c r="AF178" s="752" t="n"/>
      <c r="AG178" s="752" t="n"/>
      <c r="AH178" s="752" t="n"/>
      <c r="AI178" s="752" t="n"/>
      <c r="AJ178" s="752" t="n"/>
      <c r="AK178" s="759" t="n"/>
      <c r="AL178" s="752" t="n"/>
      <c r="AM178" s="752" t="n"/>
      <c r="AN178" s="752" t="n"/>
      <c r="AO178" s="752" t="n"/>
      <c r="AP178" s="752" t="n"/>
      <c r="AQ178" s="752" t="n"/>
      <c r="AR178" s="752" t="n"/>
      <c r="AS178" s="752" t="n"/>
    </row>
    <row r="179" ht="30" customHeight="1" s="36">
      <c r="A179" s="751" t="n"/>
      <c r="B179" s="751" t="n"/>
      <c r="C179" s="751" t="n"/>
      <c r="D179" s="751" t="n"/>
      <c r="E179" s="751">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751" t="n"/>
      <c r="G179" s="755" t="n"/>
      <c r="H179" s="755" t="n"/>
      <c r="I179" s="751" t="n"/>
      <c r="J179" s="751" t="n"/>
      <c r="K179" s="757">
        <f>IF(A179="","",IF(J179="AUTO",H179,IF(J179="MANUAL",AK179,"")))</f>
        <v/>
      </c>
      <c r="L179" s="751" t="n"/>
      <c r="M179" s="751" t="n"/>
      <c r="N179" s="751">
        <f>IF(A179="","",IF(COUNTIFS('Human Operation Desktop'!$A$3:$A$502,A179,'Human Operation Desktop'!$I$3:$I$502,"&lt;&gt;APPLIED",'Human Operation Desktop'!$I$3:$I$502,"&lt;&gt;REJECTED")&gt;0,"YES","NO"))</f>
        <v/>
      </c>
      <c r="O179" s="751" t="n"/>
      <c r="P179" s="752" t="n"/>
      <c r="Q179" s="752" t="n"/>
      <c r="R179" s="752" t="n"/>
      <c r="S179" s="752" t="n"/>
      <c r="T179" s="752" t="n"/>
      <c r="U179" s="752" t="n"/>
      <c r="V179" s="752" t="n"/>
      <c r="W179" s="752" t="n"/>
      <c r="X179" s="752" t="n"/>
      <c r="Y179" s="752" t="n"/>
      <c r="Z179" s="752" t="n"/>
      <c r="AA179" s="752" t="n"/>
      <c r="AB179" s="752" t="n"/>
      <c r="AC179" s="752" t="n"/>
      <c r="AD179" s="752" t="n"/>
      <c r="AE179" s="752" t="n"/>
      <c r="AF179" s="752" t="n"/>
      <c r="AG179" s="752" t="n"/>
      <c r="AH179" s="752" t="n"/>
      <c r="AI179" s="752" t="n"/>
      <c r="AJ179" s="752" t="n"/>
      <c r="AK179" s="759" t="n"/>
      <c r="AL179" s="752" t="n"/>
      <c r="AM179" s="752" t="n"/>
      <c r="AN179" s="752" t="n"/>
      <c r="AO179" s="752" t="n"/>
      <c r="AP179" s="752" t="n"/>
      <c r="AQ179" s="752" t="n"/>
      <c r="AR179" s="752" t="n"/>
      <c r="AS179" s="752" t="n"/>
    </row>
    <row r="180" ht="30" customHeight="1" s="36">
      <c r="A180" s="751" t="n"/>
      <c r="B180" s="751" t="n"/>
      <c r="C180" s="751" t="n"/>
      <c r="D180" s="751" t="n"/>
      <c r="E180" s="751">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751" t="n"/>
      <c r="G180" s="755" t="n"/>
      <c r="H180" s="755" t="n"/>
      <c r="I180" s="751" t="n"/>
      <c r="J180" s="751" t="n"/>
      <c r="K180" s="757">
        <f>IF(A180="","",IF(J180="AUTO",H180,IF(J180="MANUAL",AK180,"")))</f>
        <v/>
      </c>
      <c r="L180" s="751" t="n"/>
      <c r="M180" s="751" t="n"/>
      <c r="N180" s="751">
        <f>IF(A180="","",IF(COUNTIFS('Human Operation Desktop'!$A$3:$A$502,A180,'Human Operation Desktop'!$I$3:$I$502,"&lt;&gt;APPLIED",'Human Operation Desktop'!$I$3:$I$502,"&lt;&gt;REJECTED")&gt;0,"YES","NO"))</f>
        <v/>
      </c>
      <c r="O180" s="751" t="n"/>
      <c r="P180" s="752" t="n"/>
      <c r="Q180" s="752" t="n"/>
      <c r="R180" s="752" t="n"/>
      <c r="S180" s="752" t="n"/>
      <c r="T180" s="752" t="n"/>
      <c r="U180" s="752" t="n"/>
      <c r="V180" s="752" t="n"/>
      <c r="W180" s="752" t="n"/>
      <c r="X180" s="752" t="n"/>
      <c r="Y180" s="752" t="n"/>
      <c r="Z180" s="752" t="n"/>
      <c r="AA180" s="752" t="n"/>
      <c r="AB180" s="752" t="n"/>
      <c r="AC180" s="752" t="n"/>
      <c r="AD180" s="752" t="n"/>
      <c r="AE180" s="752" t="n"/>
      <c r="AF180" s="752" t="n"/>
      <c r="AG180" s="752" t="n"/>
      <c r="AH180" s="752" t="n"/>
      <c r="AI180" s="752" t="n"/>
      <c r="AJ180" s="752" t="n"/>
      <c r="AK180" s="759" t="n"/>
      <c r="AL180" s="752" t="n"/>
      <c r="AM180" s="752" t="n"/>
      <c r="AN180" s="752" t="n"/>
      <c r="AO180" s="752" t="n"/>
      <c r="AP180" s="752" t="n"/>
      <c r="AQ180" s="752" t="n"/>
      <c r="AR180" s="752" t="n"/>
      <c r="AS180" s="752" t="n"/>
    </row>
    <row r="181" ht="30" customHeight="1" s="36">
      <c r="A181" s="751" t="n"/>
      <c r="B181" s="751" t="n"/>
      <c r="C181" s="751" t="n"/>
      <c r="D181" s="751" t="n"/>
      <c r="E181" s="751">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751" t="n"/>
      <c r="G181" s="755" t="n"/>
      <c r="H181" s="755" t="n"/>
      <c r="I181" s="751" t="n"/>
      <c r="J181" s="751" t="n"/>
      <c r="K181" s="757">
        <f>IF(A181="","",IF(J181="AUTO",H181,IF(J181="MANUAL",AK181,"")))</f>
        <v/>
      </c>
      <c r="L181" s="751" t="n"/>
      <c r="M181" s="751" t="n"/>
      <c r="N181" s="751">
        <f>IF(A181="","",IF(COUNTIFS('Human Operation Desktop'!$A$3:$A$502,A181,'Human Operation Desktop'!$I$3:$I$502,"&lt;&gt;APPLIED",'Human Operation Desktop'!$I$3:$I$502,"&lt;&gt;REJECTED")&gt;0,"YES","NO"))</f>
        <v/>
      </c>
      <c r="O181" s="751" t="n"/>
      <c r="P181" s="752" t="n"/>
      <c r="Q181" s="752" t="n"/>
      <c r="R181" s="752" t="n"/>
      <c r="S181" s="752" t="n"/>
      <c r="T181" s="752" t="n"/>
      <c r="U181" s="752" t="n"/>
      <c r="V181" s="752" t="n"/>
      <c r="W181" s="752" t="n"/>
      <c r="X181" s="752" t="n"/>
      <c r="Y181" s="752" t="n"/>
      <c r="Z181" s="752" t="n"/>
      <c r="AA181" s="752" t="n"/>
      <c r="AB181" s="752" t="n"/>
      <c r="AC181" s="752" t="n"/>
      <c r="AD181" s="752" t="n"/>
      <c r="AE181" s="752" t="n"/>
      <c r="AF181" s="752" t="n"/>
      <c r="AG181" s="752" t="n"/>
      <c r="AH181" s="752" t="n"/>
      <c r="AI181" s="752" t="n"/>
      <c r="AJ181" s="752" t="n"/>
      <c r="AK181" s="759" t="n"/>
      <c r="AL181" s="752" t="n"/>
      <c r="AM181" s="752" t="n"/>
      <c r="AN181" s="752" t="n"/>
      <c r="AO181" s="752" t="n"/>
      <c r="AP181" s="752" t="n"/>
      <c r="AQ181" s="752" t="n"/>
      <c r="AR181" s="752" t="n"/>
      <c r="AS181" s="752" t="n"/>
    </row>
    <row r="182" ht="30" customHeight="1" s="36">
      <c r="A182" s="751" t="n"/>
      <c r="B182" s="751" t="n"/>
      <c r="C182" s="751" t="n"/>
      <c r="D182" s="751" t="n"/>
      <c r="E182" s="751">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751" t="n"/>
      <c r="G182" s="755" t="n"/>
      <c r="H182" s="755" t="n"/>
      <c r="I182" s="751" t="n"/>
      <c r="J182" s="751" t="n"/>
      <c r="K182" s="757">
        <f>IF(A182="","",IF(J182="AUTO",H182,IF(J182="MANUAL",AK182,"")))</f>
        <v/>
      </c>
      <c r="L182" s="751" t="n"/>
      <c r="M182" s="751" t="n"/>
      <c r="N182" s="751">
        <f>IF(A182="","",IF(COUNTIFS('Human Operation Desktop'!$A$3:$A$502,A182,'Human Operation Desktop'!$I$3:$I$502,"&lt;&gt;APPLIED",'Human Operation Desktop'!$I$3:$I$502,"&lt;&gt;REJECTED")&gt;0,"YES","NO"))</f>
        <v/>
      </c>
      <c r="O182" s="751" t="n"/>
      <c r="P182" s="752" t="n"/>
      <c r="Q182" s="752" t="n"/>
      <c r="R182" s="752" t="n"/>
      <c r="S182" s="752" t="n"/>
      <c r="T182" s="752" t="n"/>
      <c r="U182" s="752" t="n"/>
      <c r="V182" s="752" t="n"/>
      <c r="W182" s="752" t="n"/>
      <c r="X182" s="752" t="n"/>
      <c r="Y182" s="752" t="n"/>
      <c r="Z182" s="752" t="n"/>
      <c r="AA182" s="752" t="n"/>
      <c r="AB182" s="752" t="n"/>
      <c r="AC182" s="752" t="n"/>
      <c r="AD182" s="752" t="n"/>
      <c r="AE182" s="752" t="n"/>
      <c r="AF182" s="752" t="n"/>
      <c r="AG182" s="752" t="n"/>
      <c r="AH182" s="752" t="n"/>
      <c r="AI182" s="752" t="n"/>
      <c r="AJ182" s="752" t="n"/>
      <c r="AK182" s="759" t="n"/>
      <c r="AL182" s="752" t="n"/>
      <c r="AM182" s="752" t="n"/>
      <c r="AN182" s="752" t="n"/>
      <c r="AO182" s="752" t="n"/>
      <c r="AP182" s="752" t="n"/>
      <c r="AQ182" s="752" t="n"/>
      <c r="AR182" s="752" t="n"/>
      <c r="AS182" s="752" t="n"/>
    </row>
    <row r="183" ht="30" customHeight="1" s="36">
      <c r="A183" s="751" t="n"/>
      <c r="B183" s="751" t="n"/>
      <c r="C183" s="751" t="n"/>
      <c r="D183" s="751" t="n"/>
      <c r="E183" s="751">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751" t="n"/>
      <c r="G183" s="755" t="n"/>
      <c r="H183" s="755" t="n"/>
      <c r="I183" s="751" t="n"/>
      <c r="J183" s="751" t="n"/>
      <c r="K183" s="757">
        <f>IF(A183="","",IF(J183="AUTO",H183,IF(J183="MANUAL",AK183,"")))</f>
        <v/>
      </c>
      <c r="L183" s="751" t="n"/>
      <c r="M183" s="751" t="n"/>
      <c r="N183" s="751">
        <f>IF(A183="","",IF(COUNTIFS('Human Operation Desktop'!$A$3:$A$502,A183,'Human Operation Desktop'!$I$3:$I$502,"&lt;&gt;APPLIED",'Human Operation Desktop'!$I$3:$I$502,"&lt;&gt;REJECTED")&gt;0,"YES","NO"))</f>
        <v/>
      </c>
      <c r="O183" s="751" t="n"/>
      <c r="P183" s="752" t="n"/>
      <c r="Q183" s="752" t="n"/>
      <c r="R183" s="752" t="n"/>
      <c r="S183" s="752" t="n"/>
      <c r="T183" s="752" t="n"/>
      <c r="U183" s="752" t="n"/>
      <c r="V183" s="752" t="n"/>
      <c r="W183" s="752" t="n"/>
      <c r="X183" s="752" t="n"/>
      <c r="Y183" s="752" t="n"/>
      <c r="Z183" s="752" t="n"/>
      <c r="AA183" s="752" t="n"/>
      <c r="AB183" s="752" t="n"/>
      <c r="AC183" s="752" t="n"/>
      <c r="AD183" s="752" t="n"/>
      <c r="AE183" s="752" t="n"/>
      <c r="AF183" s="752" t="n"/>
      <c r="AG183" s="752" t="n"/>
      <c r="AH183" s="752" t="n"/>
      <c r="AI183" s="752" t="n"/>
      <c r="AJ183" s="752" t="n"/>
      <c r="AK183" s="759" t="n"/>
      <c r="AL183" s="752" t="n"/>
      <c r="AM183" s="752" t="n"/>
      <c r="AN183" s="752" t="n"/>
      <c r="AO183" s="752" t="n"/>
      <c r="AP183" s="752" t="n"/>
      <c r="AQ183" s="752" t="n"/>
      <c r="AR183" s="752" t="n"/>
      <c r="AS183" s="752" t="n"/>
    </row>
    <row r="184" ht="30" customHeight="1" s="36">
      <c r="A184" s="751" t="n"/>
      <c r="B184" s="751" t="n"/>
      <c r="C184" s="751" t="n"/>
      <c r="D184" s="751" t="n"/>
      <c r="E184" s="751">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751" t="n"/>
      <c r="G184" s="755" t="n"/>
      <c r="H184" s="755" t="n"/>
      <c r="I184" s="751" t="n"/>
      <c r="J184" s="751" t="n"/>
      <c r="K184" s="757">
        <f>IF(A184="","",IF(J184="AUTO",H184,IF(J184="MANUAL",AK184,"")))</f>
        <v/>
      </c>
      <c r="L184" s="751" t="n"/>
      <c r="M184" s="751" t="n"/>
      <c r="N184" s="751">
        <f>IF(A184="","",IF(COUNTIFS('Human Operation Desktop'!$A$3:$A$502,A184,'Human Operation Desktop'!$I$3:$I$502,"&lt;&gt;APPLIED",'Human Operation Desktop'!$I$3:$I$502,"&lt;&gt;REJECTED")&gt;0,"YES","NO"))</f>
        <v/>
      </c>
      <c r="O184" s="751" t="n"/>
      <c r="P184" s="752" t="n"/>
      <c r="Q184" s="752" t="n"/>
      <c r="R184" s="752" t="n"/>
      <c r="S184" s="752" t="n"/>
      <c r="T184" s="752" t="n"/>
      <c r="U184" s="752" t="n"/>
      <c r="V184" s="752" t="n"/>
      <c r="W184" s="752" t="n"/>
      <c r="X184" s="752" t="n"/>
      <c r="Y184" s="752" t="n"/>
      <c r="Z184" s="752" t="n"/>
      <c r="AA184" s="752" t="n"/>
      <c r="AB184" s="752" t="n"/>
      <c r="AC184" s="752" t="n"/>
      <c r="AD184" s="752" t="n"/>
      <c r="AE184" s="752" t="n"/>
      <c r="AF184" s="752" t="n"/>
      <c r="AG184" s="752" t="n"/>
      <c r="AH184" s="752" t="n"/>
      <c r="AI184" s="752" t="n"/>
      <c r="AJ184" s="752" t="n"/>
      <c r="AK184" s="759" t="n"/>
      <c r="AL184" s="752" t="n"/>
      <c r="AM184" s="752" t="n"/>
      <c r="AN184" s="752" t="n"/>
      <c r="AO184" s="752" t="n"/>
      <c r="AP184" s="752" t="n"/>
      <c r="AQ184" s="752" t="n"/>
      <c r="AR184" s="752" t="n"/>
      <c r="AS184" s="752" t="n"/>
    </row>
    <row r="185" ht="30" customHeight="1" s="36">
      <c r="A185" s="751" t="n"/>
      <c r="B185" s="751" t="n"/>
      <c r="C185" s="751" t="n"/>
      <c r="D185" s="751" t="n"/>
      <c r="E185" s="751">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751" t="n"/>
      <c r="G185" s="755" t="n"/>
      <c r="H185" s="755" t="n"/>
      <c r="I185" s="751" t="n"/>
      <c r="J185" s="751" t="n"/>
      <c r="K185" s="757">
        <f>IF(A185="","",IF(J185="AUTO",H185,IF(J185="MANUAL",AK185,"")))</f>
        <v/>
      </c>
      <c r="L185" s="751" t="n"/>
      <c r="M185" s="751" t="n"/>
      <c r="N185" s="751">
        <f>IF(A185="","",IF(COUNTIFS('Human Operation Desktop'!$A$3:$A$502,A185,'Human Operation Desktop'!$I$3:$I$502,"&lt;&gt;APPLIED",'Human Operation Desktop'!$I$3:$I$502,"&lt;&gt;REJECTED")&gt;0,"YES","NO"))</f>
        <v/>
      </c>
      <c r="O185" s="751" t="n"/>
      <c r="P185" s="752" t="n"/>
      <c r="Q185" s="752" t="n"/>
      <c r="R185" s="752" t="n"/>
      <c r="S185" s="752" t="n"/>
      <c r="T185" s="752" t="n"/>
      <c r="U185" s="752" t="n"/>
      <c r="V185" s="752" t="n"/>
      <c r="W185" s="752" t="n"/>
      <c r="X185" s="752" t="n"/>
      <c r="Y185" s="752" t="n"/>
      <c r="Z185" s="752" t="n"/>
      <c r="AA185" s="752" t="n"/>
      <c r="AB185" s="752" t="n"/>
      <c r="AC185" s="752" t="n"/>
      <c r="AD185" s="752" t="n"/>
      <c r="AE185" s="752" t="n"/>
      <c r="AF185" s="752" t="n"/>
      <c r="AG185" s="752" t="n"/>
      <c r="AH185" s="752" t="n"/>
      <c r="AI185" s="752" t="n"/>
      <c r="AJ185" s="752" t="n"/>
      <c r="AK185" s="759" t="n"/>
      <c r="AL185" s="752" t="n"/>
      <c r="AM185" s="752" t="n"/>
      <c r="AN185" s="752" t="n"/>
      <c r="AO185" s="752" t="n"/>
      <c r="AP185" s="752" t="n"/>
      <c r="AQ185" s="752" t="n"/>
      <c r="AR185" s="752" t="n"/>
      <c r="AS185" s="752" t="n"/>
    </row>
    <row r="186" ht="30" customHeight="1" s="36">
      <c r="A186" s="751" t="n"/>
      <c r="B186" s="751" t="n"/>
      <c r="C186" s="751" t="n"/>
      <c r="D186" s="751" t="n"/>
      <c r="E186" s="751">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751" t="n"/>
      <c r="G186" s="755" t="n"/>
      <c r="H186" s="755" t="n"/>
      <c r="I186" s="751" t="n"/>
      <c r="J186" s="751" t="n"/>
      <c r="K186" s="757">
        <f>IF(A186="","",IF(J186="AUTO",H186,IF(J186="MANUAL",AK186,"")))</f>
        <v/>
      </c>
      <c r="L186" s="751" t="n"/>
      <c r="M186" s="751" t="n"/>
      <c r="N186" s="751">
        <f>IF(A186="","",IF(COUNTIFS('Human Operation Desktop'!$A$3:$A$502,A186,'Human Operation Desktop'!$I$3:$I$502,"&lt;&gt;APPLIED",'Human Operation Desktop'!$I$3:$I$502,"&lt;&gt;REJECTED")&gt;0,"YES","NO"))</f>
        <v/>
      </c>
      <c r="O186" s="751" t="n"/>
      <c r="P186" s="752" t="n"/>
      <c r="Q186" s="752" t="n"/>
      <c r="R186" s="752" t="n"/>
      <c r="S186" s="752" t="n"/>
      <c r="T186" s="752" t="n"/>
      <c r="U186" s="752" t="n"/>
      <c r="V186" s="752" t="n"/>
      <c r="W186" s="752" t="n"/>
      <c r="X186" s="752" t="n"/>
      <c r="Y186" s="752" t="n"/>
      <c r="Z186" s="752" t="n"/>
      <c r="AA186" s="752" t="n"/>
      <c r="AB186" s="752" t="n"/>
      <c r="AC186" s="752" t="n"/>
      <c r="AD186" s="752" t="n"/>
      <c r="AE186" s="752" t="n"/>
      <c r="AF186" s="752" t="n"/>
      <c r="AG186" s="752" t="n"/>
      <c r="AH186" s="752" t="n"/>
      <c r="AI186" s="752" t="n"/>
      <c r="AJ186" s="752" t="n"/>
      <c r="AK186" s="759" t="n"/>
      <c r="AL186" s="752" t="n"/>
      <c r="AM186" s="752" t="n"/>
      <c r="AN186" s="752" t="n"/>
      <c r="AO186" s="752" t="n"/>
      <c r="AP186" s="752" t="n"/>
      <c r="AQ186" s="752" t="n"/>
      <c r="AR186" s="752" t="n"/>
      <c r="AS186" s="752" t="n"/>
    </row>
    <row r="187" ht="30" customHeight="1" s="36">
      <c r="A187" s="751" t="n"/>
      <c r="B187" s="751" t="n"/>
      <c r="C187" s="751" t="n"/>
      <c r="D187" s="751" t="n"/>
      <c r="E187" s="751">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751" t="n"/>
      <c r="G187" s="755" t="n"/>
      <c r="H187" s="755" t="n"/>
      <c r="I187" s="751" t="n"/>
      <c r="J187" s="751" t="n"/>
      <c r="K187" s="757">
        <f>IF(A187="","",IF(J187="AUTO",H187,IF(J187="MANUAL",AK187,"")))</f>
        <v/>
      </c>
      <c r="L187" s="751" t="n"/>
      <c r="M187" s="751" t="n"/>
      <c r="N187" s="751">
        <f>IF(A187="","",IF(COUNTIFS('Human Operation Desktop'!$A$3:$A$502,A187,'Human Operation Desktop'!$I$3:$I$502,"&lt;&gt;APPLIED",'Human Operation Desktop'!$I$3:$I$502,"&lt;&gt;REJECTED")&gt;0,"YES","NO"))</f>
        <v/>
      </c>
      <c r="O187" s="751" t="n"/>
      <c r="P187" s="752" t="n"/>
      <c r="Q187" s="752" t="n"/>
      <c r="R187" s="752" t="n"/>
      <c r="S187" s="752" t="n"/>
      <c r="T187" s="752" t="n"/>
      <c r="U187" s="752" t="n"/>
      <c r="V187" s="752" t="n"/>
      <c r="W187" s="752" t="n"/>
      <c r="X187" s="752" t="n"/>
      <c r="Y187" s="752" t="n"/>
      <c r="Z187" s="752" t="n"/>
      <c r="AA187" s="752" t="n"/>
      <c r="AB187" s="752" t="n"/>
      <c r="AC187" s="752" t="n"/>
      <c r="AD187" s="752" t="n"/>
      <c r="AE187" s="752" t="n"/>
      <c r="AF187" s="752" t="n"/>
      <c r="AG187" s="752" t="n"/>
      <c r="AH187" s="752" t="n"/>
      <c r="AI187" s="752" t="n"/>
      <c r="AJ187" s="752" t="n"/>
      <c r="AK187" s="759" t="n"/>
      <c r="AL187" s="752" t="n"/>
      <c r="AM187" s="752" t="n"/>
      <c r="AN187" s="752" t="n"/>
      <c r="AO187" s="752" t="n"/>
      <c r="AP187" s="752" t="n"/>
      <c r="AQ187" s="752" t="n"/>
      <c r="AR187" s="752" t="n"/>
      <c r="AS187" s="752" t="n"/>
    </row>
    <row r="188" ht="30" customHeight="1" s="36">
      <c r="A188" s="751" t="n"/>
      <c r="B188" s="751" t="n"/>
      <c r="C188" s="751" t="n"/>
      <c r="D188" s="751" t="n"/>
      <c r="E188" s="751">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751" t="n"/>
      <c r="G188" s="755" t="n"/>
      <c r="H188" s="755" t="n"/>
      <c r="I188" s="751" t="n"/>
      <c r="J188" s="751" t="n"/>
      <c r="K188" s="757">
        <f>IF(A188="","",IF(J188="AUTO",H188,IF(J188="MANUAL",AK188,"")))</f>
        <v/>
      </c>
      <c r="L188" s="751" t="n"/>
      <c r="M188" s="751" t="n"/>
      <c r="N188" s="751">
        <f>IF(A188="","",IF(COUNTIFS('Human Operation Desktop'!$A$3:$A$502,A188,'Human Operation Desktop'!$I$3:$I$502,"&lt;&gt;APPLIED",'Human Operation Desktop'!$I$3:$I$502,"&lt;&gt;REJECTED")&gt;0,"YES","NO"))</f>
        <v/>
      </c>
      <c r="O188" s="751" t="n"/>
      <c r="P188" s="752" t="n"/>
      <c r="Q188" s="752" t="n"/>
      <c r="R188" s="752" t="n"/>
      <c r="S188" s="752" t="n"/>
      <c r="T188" s="752" t="n"/>
      <c r="U188" s="752" t="n"/>
      <c r="V188" s="752" t="n"/>
      <c r="W188" s="752" t="n"/>
      <c r="X188" s="752" t="n"/>
      <c r="Y188" s="752" t="n"/>
      <c r="Z188" s="752" t="n"/>
      <c r="AA188" s="752" t="n"/>
      <c r="AB188" s="752" t="n"/>
      <c r="AC188" s="752" t="n"/>
      <c r="AD188" s="752" t="n"/>
      <c r="AE188" s="752" t="n"/>
      <c r="AF188" s="752" t="n"/>
      <c r="AG188" s="752" t="n"/>
      <c r="AH188" s="752" t="n"/>
      <c r="AI188" s="752" t="n"/>
      <c r="AJ188" s="752" t="n"/>
      <c r="AK188" s="759" t="n"/>
      <c r="AL188" s="752" t="n"/>
      <c r="AM188" s="752" t="n"/>
      <c r="AN188" s="752" t="n"/>
      <c r="AO188" s="752" t="n"/>
      <c r="AP188" s="752" t="n"/>
      <c r="AQ188" s="752" t="n"/>
      <c r="AR188" s="752" t="n"/>
      <c r="AS188" s="752" t="n"/>
    </row>
    <row r="189" ht="30" customHeight="1" s="36">
      <c r="A189" s="751" t="n"/>
      <c r="B189" s="751" t="n"/>
      <c r="C189" s="751" t="n"/>
      <c r="D189" s="751" t="n"/>
      <c r="E189" s="751">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751" t="n"/>
      <c r="G189" s="755" t="n"/>
      <c r="H189" s="755" t="n"/>
      <c r="I189" s="751" t="n"/>
      <c r="J189" s="751" t="n"/>
      <c r="K189" s="757">
        <f>IF(A189="","",IF(J189="AUTO",H189,IF(J189="MANUAL",AK189,"")))</f>
        <v/>
      </c>
      <c r="L189" s="751" t="n"/>
      <c r="M189" s="751" t="n"/>
      <c r="N189" s="751">
        <f>IF(A189="","",IF(COUNTIFS('Human Operation Desktop'!$A$3:$A$502,A189,'Human Operation Desktop'!$I$3:$I$502,"&lt;&gt;APPLIED",'Human Operation Desktop'!$I$3:$I$502,"&lt;&gt;REJECTED")&gt;0,"YES","NO"))</f>
        <v/>
      </c>
      <c r="O189" s="751" t="n"/>
      <c r="P189" s="752" t="n"/>
      <c r="Q189" s="752" t="n"/>
      <c r="R189" s="752" t="n"/>
      <c r="S189" s="752" t="n"/>
      <c r="T189" s="752" t="n"/>
      <c r="U189" s="752" t="n"/>
      <c r="V189" s="752" t="n"/>
      <c r="W189" s="752" t="n"/>
      <c r="X189" s="752" t="n"/>
      <c r="Y189" s="752" t="n"/>
      <c r="Z189" s="752" t="n"/>
      <c r="AA189" s="752" t="n"/>
      <c r="AB189" s="752" t="n"/>
      <c r="AC189" s="752" t="n"/>
      <c r="AD189" s="752" t="n"/>
      <c r="AE189" s="752" t="n"/>
      <c r="AF189" s="752" t="n"/>
      <c r="AG189" s="752" t="n"/>
      <c r="AH189" s="752" t="n"/>
      <c r="AI189" s="752" t="n"/>
      <c r="AJ189" s="752" t="n"/>
      <c r="AK189" s="759" t="n"/>
      <c r="AL189" s="752" t="n"/>
      <c r="AM189" s="752" t="n"/>
      <c r="AN189" s="752" t="n"/>
      <c r="AO189" s="752" t="n"/>
      <c r="AP189" s="752" t="n"/>
      <c r="AQ189" s="752" t="n"/>
      <c r="AR189" s="752" t="n"/>
      <c r="AS189" s="752" t="n"/>
    </row>
    <row r="190" ht="30" customHeight="1" s="36">
      <c r="A190" s="751" t="n"/>
      <c r="B190" s="751" t="n"/>
      <c r="C190" s="751" t="n"/>
      <c r="D190" s="751" t="n"/>
      <c r="E190" s="751">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751" t="n"/>
      <c r="G190" s="755" t="n"/>
      <c r="H190" s="755" t="n"/>
      <c r="I190" s="751" t="n"/>
      <c r="J190" s="751" t="n"/>
      <c r="K190" s="757">
        <f>IF(A190="","",IF(J190="AUTO",H190,IF(J190="MANUAL",AK190,"")))</f>
        <v/>
      </c>
      <c r="L190" s="751" t="n"/>
      <c r="M190" s="751" t="n"/>
      <c r="N190" s="751">
        <f>IF(A190="","",IF(COUNTIFS('Human Operation Desktop'!$A$3:$A$502,A190,'Human Operation Desktop'!$I$3:$I$502,"&lt;&gt;APPLIED",'Human Operation Desktop'!$I$3:$I$502,"&lt;&gt;REJECTED")&gt;0,"YES","NO"))</f>
        <v/>
      </c>
      <c r="O190" s="751" t="n"/>
      <c r="P190" s="752" t="n"/>
      <c r="Q190" s="752" t="n"/>
      <c r="R190" s="752" t="n"/>
      <c r="S190" s="752" t="n"/>
      <c r="T190" s="752" t="n"/>
      <c r="U190" s="752" t="n"/>
      <c r="V190" s="752" t="n"/>
      <c r="W190" s="752" t="n"/>
      <c r="X190" s="752" t="n"/>
      <c r="Y190" s="752" t="n"/>
      <c r="Z190" s="752" t="n"/>
      <c r="AA190" s="752" t="n"/>
      <c r="AB190" s="752" t="n"/>
      <c r="AC190" s="752" t="n"/>
      <c r="AD190" s="752" t="n"/>
      <c r="AE190" s="752" t="n"/>
      <c r="AF190" s="752" t="n"/>
      <c r="AG190" s="752" t="n"/>
      <c r="AH190" s="752" t="n"/>
      <c r="AI190" s="752" t="n"/>
      <c r="AJ190" s="752" t="n"/>
      <c r="AK190" s="759" t="n"/>
      <c r="AL190" s="752" t="n"/>
      <c r="AM190" s="752" t="n"/>
      <c r="AN190" s="752" t="n"/>
      <c r="AO190" s="752" t="n"/>
      <c r="AP190" s="752" t="n"/>
      <c r="AQ190" s="752" t="n"/>
      <c r="AR190" s="752" t="n"/>
      <c r="AS190" s="752" t="n"/>
    </row>
    <row r="191" ht="30" customHeight="1" s="36">
      <c r="A191" s="751" t="n"/>
      <c r="B191" s="751" t="n"/>
      <c r="C191" s="751" t="n"/>
      <c r="D191" s="751" t="n"/>
      <c r="E191" s="751">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751" t="n"/>
      <c r="G191" s="755" t="n"/>
      <c r="H191" s="755" t="n"/>
      <c r="I191" s="751" t="n"/>
      <c r="J191" s="751" t="n"/>
      <c r="K191" s="757">
        <f>IF(A191="","",IF(J191="AUTO",H191,IF(J191="MANUAL",AK191,"")))</f>
        <v/>
      </c>
      <c r="L191" s="751" t="n"/>
      <c r="M191" s="751" t="n"/>
      <c r="N191" s="751">
        <f>IF(A191="","",IF(COUNTIFS('Human Operation Desktop'!$A$3:$A$502,A191,'Human Operation Desktop'!$I$3:$I$502,"&lt;&gt;APPLIED",'Human Operation Desktop'!$I$3:$I$502,"&lt;&gt;REJECTED")&gt;0,"YES","NO"))</f>
        <v/>
      </c>
      <c r="O191" s="751" t="n"/>
      <c r="P191" s="752" t="n"/>
      <c r="Q191" s="752" t="n"/>
      <c r="R191" s="752" t="n"/>
      <c r="S191" s="752" t="n"/>
      <c r="T191" s="752" t="n"/>
      <c r="U191" s="752" t="n"/>
      <c r="V191" s="752" t="n"/>
      <c r="W191" s="752" t="n"/>
      <c r="X191" s="752" t="n"/>
      <c r="Y191" s="752" t="n"/>
      <c r="Z191" s="752" t="n"/>
      <c r="AA191" s="752" t="n"/>
      <c r="AB191" s="752" t="n"/>
      <c r="AC191" s="752" t="n"/>
      <c r="AD191" s="752" t="n"/>
      <c r="AE191" s="752" t="n"/>
      <c r="AF191" s="752" t="n"/>
      <c r="AG191" s="752" t="n"/>
      <c r="AH191" s="752" t="n"/>
      <c r="AI191" s="752" t="n"/>
      <c r="AJ191" s="752" t="n"/>
      <c r="AK191" s="759" t="n"/>
      <c r="AL191" s="752" t="n"/>
      <c r="AM191" s="752" t="n"/>
      <c r="AN191" s="752" t="n"/>
      <c r="AO191" s="752" t="n"/>
      <c r="AP191" s="752" t="n"/>
      <c r="AQ191" s="752" t="n"/>
      <c r="AR191" s="752" t="n"/>
      <c r="AS191" s="752" t="n"/>
    </row>
    <row r="192" ht="30" customHeight="1" s="36">
      <c r="A192" s="751" t="n"/>
      <c r="B192" s="751" t="n"/>
      <c r="C192" s="751" t="n"/>
      <c r="D192" s="751" t="n"/>
      <c r="E192" s="751">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751" t="n"/>
      <c r="G192" s="755" t="n"/>
      <c r="H192" s="755" t="n"/>
      <c r="I192" s="751" t="n"/>
      <c r="J192" s="751" t="n"/>
      <c r="K192" s="757">
        <f>IF(A192="","",IF(J192="AUTO",H192,IF(J192="MANUAL",AK192,"")))</f>
        <v/>
      </c>
      <c r="L192" s="751" t="n"/>
      <c r="M192" s="751" t="n"/>
      <c r="N192" s="751">
        <f>IF(A192="","",IF(COUNTIFS('Human Operation Desktop'!$A$3:$A$502,A192,'Human Operation Desktop'!$I$3:$I$502,"&lt;&gt;APPLIED",'Human Operation Desktop'!$I$3:$I$502,"&lt;&gt;REJECTED")&gt;0,"YES","NO"))</f>
        <v/>
      </c>
      <c r="O192" s="751" t="n"/>
      <c r="P192" s="752" t="n"/>
      <c r="Q192" s="752" t="n"/>
      <c r="R192" s="752" t="n"/>
      <c r="S192" s="752" t="n"/>
      <c r="T192" s="752" t="n"/>
      <c r="U192" s="752" t="n"/>
      <c r="V192" s="752" t="n"/>
      <c r="W192" s="752" t="n"/>
      <c r="X192" s="752" t="n"/>
      <c r="Y192" s="752" t="n"/>
      <c r="Z192" s="752" t="n"/>
      <c r="AA192" s="752" t="n"/>
      <c r="AB192" s="752" t="n"/>
      <c r="AC192" s="752" t="n"/>
      <c r="AD192" s="752" t="n"/>
      <c r="AE192" s="752" t="n"/>
      <c r="AF192" s="752" t="n"/>
      <c r="AG192" s="752" t="n"/>
      <c r="AH192" s="752" t="n"/>
      <c r="AI192" s="752" t="n"/>
      <c r="AJ192" s="752" t="n"/>
      <c r="AK192" s="759" t="n"/>
      <c r="AL192" s="752" t="n"/>
      <c r="AM192" s="752" t="n"/>
      <c r="AN192" s="752" t="n"/>
      <c r="AO192" s="752" t="n"/>
      <c r="AP192" s="752" t="n"/>
      <c r="AQ192" s="752" t="n"/>
      <c r="AR192" s="752" t="n"/>
      <c r="AS192" s="752" t="n"/>
    </row>
    <row r="193" ht="30" customHeight="1" s="36">
      <c r="A193" s="751" t="n"/>
      <c r="B193" s="751" t="n"/>
      <c r="C193" s="751" t="n"/>
      <c r="D193" s="751" t="n"/>
      <c r="E193" s="751">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751" t="n"/>
      <c r="G193" s="755" t="n"/>
      <c r="H193" s="755" t="n"/>
      <c r="I193" s="751" t="n"/>
      <c r="J193" s="751" t="n"/>
      <c r="K193" s="757">
        <f>IF(A193="","",IF(J193="AUTO",H193,IF(J193="MANUAL",AK193,"")))</f>
        <v/>
      </c>
      <c r="L193" s="751" t="n"/>
      <c r="M193" s="751" t="n"/>
      <c r="N193" s="751">
        <f>IF(A193="","",IF(COUNTIFS('Human Operation Desktop'!$A$3:$A$502,A193,'Human Operation Desktop'!$I$3:$I$502,"&lt;&gt;APPLIED",'Human Operation Desktop'!$I$3:$I$502,"&lt;&gt;REJECTED")&gt;0,"YES","NO"))</f>
        <v/>
      </c>
      <c r="O193" s="751" t="n"/>
      <c r="P193" s="752" t="n"/>
      <c r="Q193" s="752" t="n"/>
      <c r="R193" s="752" t="n"/>
      <c r="S193" s="752" t="n"/>
      <c r="T193" s="752" t="n"/>
      <c r="U193" s="752" t="n"/>
      <c r="V193" s="752" t="n"/>
      <c r="W193" s="752" t="n"/>
      <c r="X193" s="752" t="n"/>
      <c r="Y193" s="752" t="n"/>
      <c r="Z193" s="752" t="n"/>
      <c r="AA193" s="752" t="n"/>
      <c r="AB193" s="752" t="n"/>
      <c r="AC193" s="752" t="n"/>
      <c r="AD193" s="752" t="n"/>
      <c r="AE193" s="752" t="n"/>
      <c r="AF193" s="752" t="n"/>
      <c r="AG193" s="752" t="n"/>
      <c r="AH193" s="752" t="n"/>
      <c r="AI193" s="752" t="n"/>
      <c r="AJ193" s="752" t="n"/>
      <c r="AK193" s="759" t="n"/>
      <c r="AL193" s="752" t="n"/>
      <c r="AM193" s="752" t="n"/>
      <c r="AN193" s="752" t="n"/>
      <c r="AO193" s="752" t="n"/>
      <c r="AP193" s="752" t="n"/>
      <c r="AQ193" s="752" t="n"/>
      <c r="AR193" s="752" t="n"/>
      <c r="AS193" s="752" t="n"/>
    </row>
    <row r="194" ht="30" customHeight="1" s="36">
      <c r="A194" s="751" t="n"/>
      <c r="B194" s="751" t="n"/>
      <c r="C194" s="751" t="n"/>
      <c r="D194" s="751" t="n"/>
      <c r="E194" s="751">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751" t="n"/>
      <c r="G194" s="755" t="n"/>
      <c r="H194" s="755" t="n"/>
      <c r="I194" s="751" t="n"/>
      <c r="J194" s="751" t="n"/>
      <c r="K194" s="757">
        <f>IF(A194="","",IF(J194="AUTO",H194,IF(J194="MANUAL",AK194,"")))</f>
        <v/>
      </c>
      <c r="L194" s="751" t="n"/>
      <c r="M194" s="751" t="n"/>
      <c r="N194" s="751">
        <f>IF(A194="","",IF(COUNTIFS('Human Operation Desktop'!$A$3:$A$502,A194,'Human Operation Desktop'!$I$3:$I$502,"&lt;&gt;APPLIED",'Human Operation Desktop'!$I$3:$I$502,"&lt;&gt;REJECTED")&gt;0,"YES","NO"))</f>
        <v/>
      </c>
      <c r="O194" s="751" t="n"/>
      <c r="P194" s="752" t="n"/>
      <c r="Q194" s="752" t="n"/>
      <c r="R194" s="752" t="n"/>
      <c r="S194" s="752" t="n"/>
      <c r="T194" s="752" t="n"/>
      <c r="U194" s="752" t="n"/>
      <c r="V194" s="752" t="n"/>
      <c r="W194" s="752" t="n"/>
      <c r="X194" s="752" t="n"/>
      <c r="Y194" s="752" t="n"/>
      <c r="Z194" s="752" t="n"/>
      <c r="AA194" s="752" t="n"/>
      <c r="AB194" s="752" t="n"/>
      <c r="AC194" s="752" t="n"/>
      <c r="AD194" s="752" t="n"/>
      <c r="AE194" s="752" t="n"/>
      <c r="AF194" s="752" t="n"/>
      <c r="AG194" s="752" t="n"/>
      <c r="AH194" s="752" t="n"/>
      <c r="AI194" s="752" t="n"/>
      <c r="AJ194" s="752" t="n"/>
      <c r="AK194" s="759" t="n"/>
      <c r="AL194" s="752" t="n"/>
      <c r="AM194" s="752" t="n"/>
      <c r="AN194" s="752" t="n"/>
      <c r="AO194" s="752" t="n"/>
      <c r="AP194" s="752" t="n"/>
      <c r="AQ194" s="752" t="n"/>
      <c r="AR194" s="752" t="n"/>
      <c r="AS194" s="752" t="n"/>
    </row>
    <row r="195" ht="30" customHeight="1" s="36">
      <c r="A195" s="751" t="n"/>
      <c r="B195" s="751" t="n"/>
      <c r="C195" s="751" t="n"/>
      <c r="D195" s="751" t="n"/>
      <c r="E195" s="751">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751" t="n"/>
      <c r="G195" s="755" t="n"/>
      <c r="H195" s="755" t="n"/>
      <c r="I195" s="751" t="n"/>
      <c r="J195" s="751" t="n"/>
      <c r="K195" s="757">
        <f>IF(A195="","",IF(J195="AUTO",H195,IF(J195="MANUAL",AK195,"")))</f>
        <v/>
      </c>
      <c r="L195" s="751" t="n"/>
      <c r="M195" s="751" t="n"/>
      <c r="N195" s="751">
        <f>IF(A195="","",IF(COUNTIFS('Human Operation Desktop'!$A$3:$A$502,A195,'Human Operation Desktop'!$I$3:$I$502,"&lt;&gt;APPLIED",'Human Operation Desktop'!$I$3:$I$502,"&lt;&gt;REJECTED")&gt;0,"YES","NO"))</f>
        <v/>
      </c>
      <c r="O195" s="751" t="n"/>
      <c r="P195" s="752" t="n"/>
      <c r="Q195" s="752" t="n"/>
      <c r="R195" s="752" t="n"/>
      <c r="S195" s="752" t="n"/>
      <c r="T195" s="752" t="n"/>
      <c r="U195" s="752" t="n"/>
      <c r="V195" s="752" t="n"/>
      <c r="W195" s="752" t="n"/>
      <c r="X195" s="752" t="n"/>
      <c r="Y195" s="752" t="n"/>
      <c r="Z195" s="752" t="n"/>
      <c r="AA195" s="752" t="n"/>
      <c r="AB195" s="752" t="n"/>
      <c r="AC195" s="752" t="n"/>
      <c r="AD195" s="752" t="n"/>
      <c r="AE195" s="752" t="n"/>
      <c r="AF195" s="752" t="n"/>
      <c r="AG195" s="752" t="n"/>
      <c r="AH195" s="752" t="n"/>
      <c r="AI195" s="752" t="n"/>
      <c r="AJ195" s="752" t="n"/>
      <c r="AK195" s="759" t="n"/>
      <c r="AL195" s="752" t="n"/>
      <c r="AM195" s="752" t="n"/>
      <c r="AN195" s="752" t="n"/>
      <c r="AO195" s="752" t="n"/>
      <c r="AP195" s="752" t="n"/>
      <c r="AQ195" s="752" t="n"/>
      <c r="AR195" s="752" t="n"/>
      <c r="AS195" s="752" t="n"/>
    </row>
    <row r="196" ht="30" customHeight="1" s="36">
      <c r="A196" s="751" t="n"/>
      <c r="B196" s="751" t="n"/>
      <c r="C196" s="751" t="n"/>
      <c r="D196" s="751" t="n"/>
      <c r="E196" s="751">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751" t="n"/>
      <c r="G196" s="755" t="n"/>
      <c r="H196" s="755" t="n"/>
      <c r="I196" s="751" t="n"/>
      <c r="J196" s="751" t="n"/>
      <c r="K196" s="757">
        <f>IF(A196="","",IF(J196="AUTO",H196,IF(J196="MANUAL",AK196,"")))</f>
        <v/>
      </c>
      <c r="L196" s="751" t="n"/>
      <c r="M196" s="751" t="n"/>
      <c r="N196" s="751">
        <f>IF(A196="","",IF(COUNTIFS('Human Operation Desktop'!$A$3:$A$502,A196,'Human Operation Desktop'!$I$3:$I$502,"&lt;&gt;APPLIED",'Human Operation Desktop'!$I$3:$I$502,"&lt;&gt;REJECTED")&gt;0,"YES","NO"))</f>
        <v/>
      </c>
      <c r="O196" s="751" t="n"/>
      <c r="P196" s="752" t="n"/>
      <c r="Q196" s="752" t="n"/>
      <c r="R196" s="752" t="n"/>
      <c r="S196" s="752" t="n"/>
      <c r="T196" s="752" t="n"/>
      <c r="U196" s="752" t="n"/>
      <c r="V196" s="752" t="n"/>
      <c r="W196" s="752" t="n"/>
      <c r="X196" s="752" t="n"/>
      <c r="Y196" s="752" t="n"/>
      <c r="Z196" s="752" t="n"/>
      <c r="AA196" s="752" t="n"/>
      <c r="AB196" s="752" t="n"/>
      <c r="AC196" s="752" t="n"/>
      <c r="AD196" s="752" t="n"/>
      <c r="AE196" s="752" t="n"/>
      <c r="AF196" s="752" t="n"/>
      <c r="AG196" s="752" t="n"/>
      <c r="AH196" s="752" t="n"/>
      <c r="AI196" s="752" t="n"/>
      <c r="AJ196" s="752" t="n"/>
      <c r="AK196" s="759" t="n"/>
      <c r="AL196" s="752" t="n"/>
      <c r="AM196" s="752" t="n"/>
      <c r="AN196" s="752" t="n"/>
      <c r="AO196" s="752" t="n"/>
      <c r="AP196" s="752" t="n"/>
      <c r="AQ196" s="752" t="n"/>
      <c r="AR196" s="752" t="n"/>
      <c r="AS196" s="752" t="n"/>
    </row>
    <row r="197" ht="30" customHeight="1" s="36">
      <c r="A197" s="751" t="n"/>
      <c r="B197" s="751" t="n"/>
      <c r="C197" s="751" t="n"/>
      <c r="D197" s="751" t="n"/>
      <c r="E197" s="751">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751" t="n"/>
      <c r="G197" s="755" t="n"/>
      <c r="H197" s="755" t="n"/>
      <c r="I197" s="751" t="n"/>
      <c r="J197" s="751" t="n"/>
      <c r="K197" s="757">
        <f>IF(A197="","",IF(J197="AUTO",H197,IF(J197="MANUAL",AK197,"")))</f>
        <v/>
      </c>
      <c r="L197" s="751" t="n"/>
      <c r="M197" s="751" t="n"/>
      <c r="N197" s="751">
        <f>IF(A197="","",IF(COUNTIFS('Human Operation Desktop'!$A$3:$A$502,A197,'Human Operation Desktop'!$I$3:$I$502,"&lt;&gt;APPLIED",'Human Operation Desktop'!$I$3:$I$502,"&lt;&gt;REJECTED")&gt;0,"YES","NO"))</f>
        <v/>
      </c>
      <c r="O197" s="751" t="n"/>
      <c r="P197" s="752" t="n"/>
      <c r="Q197" s="752" t="n"/>
      <c r="R197" s="752" t="n"/>
      <c r="S197" s="752" t="n"/>
      <c r="T197" s="752" t="n"/>
      <c r="U197" s="752" t="n"/>
      <c r="V197" s="752" t="n"/>
      <c r="W197" s="752" t="n"/>
      <c r="X197" s="752" t="n"/>
      <c r="Y197" s="752" t="n"/>
      <c r="Z197" s="752" t="n"/>
      <c r="AA197" s="752" t="n"/>
      <c r="AB197" s="752" t="n"/>
      <c r="AC197" s="752" t="n"/>
      <c r="AD197" s="752" t="n"/>
      <c r="AE197" s="752" t="n"/>
      <c r="AF197" s="752" t="n"/>
      <c r="AG197" s="752" t="n"/>
      <c r="AH197" s="752" t="n"/>
      <c r="AI197" s="752" t="n"/>
      <c r="AJ197" s="752" t="n"/>
      <c r="AK197" s="759" t="n"/>
      <c r="AL197" s="752" t="n"/>
      <c r="AM197" s="752" t="n"/>
      <c r="AN197" s="752" t="n"/>
      <c r="AO197" s="752" t="n"/>
      <c r="AP197" s="752" t="n"/>
      <c r="AQ197" s="752" t="n"/>
      <c r="AR197" s="752" t="n"/>
      <c r="AS197" s="752" t="n"/>
    </row>
    <row r="198" ht="30" customHeight="1" s="36">
      <c r="A198" s="751" t="n"/>
      <c r="B198" s="751" t="n"/>
      <c r="C198" s="751" t="n"/>
      <c r="D198" s="751" t="n"/>
      <c r="E198" s="751">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751" t="n"/>
      <c r="G198" s="755" t="n"/>
      <c r="H198" s="755" t="n"/>
      <c r="I198" s="751" t="n"/>
      <c r="J198" s="751" t="n"/>
      <c r="K198" s="757">
        <f>IF(A198="","",IF(J198="AUTO",H198,IF(J198="MANUAL",AK198,"")))</f>
        <v/>
      </c>
      <c r="L198" s="751" t="n"/>
      <c r="M198" s="751" t="n"/>
      <c r="N198" s="751">
        <f>IF(A198="","",IF(COUNTIFS('Human Operation Desktop'!$A$3:$A$502,A198,'Human Operation Desktop'!$I$3:$I$502,"&lt;&gt;APPLIED",'Human Operation Desktop'!$I$3:$I$502,"&lt;&gt;REJECTED")&gt;0,"YES","NO"))</f>
        <v/>
      </c>
      <c r="O198" s="751" t="n"/>
      <c r="P198" s="752" t="n"/>
      <c r="Q198" s="752" t="n"/>
      <c r="R198" s="752" t="n"/>
      <c r="S198" s="752" t="n"/>
      <c r="T198" s="752" t="n"/>
      <c r="U198" s="752" t="n"/>
      <c r="V198" s="752" t="n"/>
      <c r="W198" s="752" t="n"/>
      <c r="X198" s="752" t="n"/>
      <c r="Y198" s="752" t="n"/>
      <c r="Z198" s="752" t="n"/>
      <c r="AA198" s="752" t="n"/>
      <c r="AB198" s="752" t="n"/>
      <c r="AC198" s="752" t="n"/>
      <c r="AD198" s="752" t="n"/>
      <c r="AE198" s="752" t="n"/>
      <c r="AF198" s="752" t="n"/>
      <c r="AG198" s="752" t="n"/>
      <c r="AH198" s="752" t="n"/>
      <c r="AI198" s="752" t="n"/>
      <c r="AJ198" s="752" t="n"/>
      <c r="AK198" s="759" t="n"/>
      <c r="AL198" s="752" t="n"/>
      <c r="AM198" s="752" t="n"/>
      <c r="AN198" s="752" t="n"/>
      <c r="AO198" s="752" t="n"/>
      <c r="AP198" s="752" t="n"/>
      <c r="AQ198" s="752" t="n"/>
      <c r="AR198" s="752" t="n"/>
      <c r="AS198" s="752" t="n"/>
    </row>
    <row r="199" ht="30" customHeight="1" s="36">
      <c r="A199" s="751" t="n"/>
      <c r="B199" s="751" t="n"/>
      <c r="C199" s="751" t="n"/>
      <c r="D199" s="751" t="n"/>
      <c r="E199" s="751">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751" t="n"/>
      <c r="G199" s="755" t="n"/>
      <c r="H199" s="755" t="n"/>
      <c r="I199" s="751" t="n"/>
      <c r="J199" s="751" t="n"/>
      <c r="K199" s="757">
        <f>IF(A199="","",IF(J199="AUTO",H199,IF(J199="MANUAL",AK199,"")))</f>
        <v/>
      </c>
      <c r="L199" s="751" t="n"/>
      <c r="M199" s="751" t="n"/>
      <c r="N199" s="751">
        <f>IF(A199="","",IF(COUNTIFS('Human Operation Desktop'!$A$3:$A$502,A199,'Human Operation Desktop'!$I$3:$I$502,"&lt;&gt;APPLIED",'Human Operation Desktop'!$I$3:$I$502,"&lt;&gt;REJECTED")&gt;0,"YES","NO"))</f>
        <v/>
      </c>
      <c r="O199" s="751" t="n"/>
      <c r="P199" s="752" t="n"/>
      <c r="Q199" s="752" t="n"/>
      <c r="R199" s="752" t="n"/>
      <c r="S199" s="752" t="n"/>
      <c r="T199" s="752" t="n"/>
      <c r="U199" s="752" t="n"/>
      <c r="V199" s="752" t="n"/>
      <c r="W199" s="752" t="n"/>
      <c r="X199" s="752" t="n"/>
      <c r="Y199" s="752" t="n"/>
      <c r="Z199" s="752" t="n"/>
      <c r="AA199" s="752" t="n"/>
      <c r="AB199" s="752" t="n"/>
      <c r="AC199" s="752" t="n"/>
      <c r="AD199" s="752" t="n"/>
      <c r="AE199" s="752" t="n"/>
      <c r="AF199" s="752" t="n"/>
      <c r="AG199" s="752" t="n"/>
      <c r="AH199" s="752" t="n"/>
      <c r="AI199" s="752" t="n"/>
      <c r="AJ199" s="752" t="n"/>
      <c r="AK199" s="759" t="n"/>
      <c r="AL199" s="752" t="n"/>
      <c r="AM199" s="752" t="n"/>
      <c r="AN199" s="752" t="n"/>
      <c r="AO199" s="752" t="n"/>
      <c r="AP199" s="752" t="n"/>
      <c r="AQ199" s="752" t="n"/>
      <c r="AR199" s="752" t="n"/>
      <c r="AS199" s="752" t="n"/>
    </row>
    <row r="200" ht="30" customHeight="1" s="36">
      <c r="A200" s="751" t="n"/>
      <c r="B200" s="751" t="n"/>
      <c r="C200" s="751" t="n"/>
      <c r="D200" s="751" t="n"/>
      <c r="E200" s="751">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751" t="n"/>
      <c r="G200" s="755" t="n"/>
      <c r="H200" s="755" t="n"/>
      <c r="I200" s="751" t="n"/>
      <c r="J200" s="751" t="n"/>
      <c r="K200" s="757">
        <f>IF(A200="","",IF(J200="AUTO",H200,IF(J200="MANUAL",AK200,"")))</f>
        <v/>
      </c>
      <c r="L200" s="751" t="n"/>
      <c r="M200" s="751" t="n"/>
      <c r="N200" s="751">
        <f>IF(A200="","",IF(COUNTIFS('Human Operation Desktop'!$A$3:$A$502,A200,'Human Operation Desktop'!$I$3:$I$502,"&lt;&gt;APPLIED",'Human Operation Desktop'!$I$3:$I$502,"&lt;&gt;REJECTED")&gt;0,"YES","NO"))</f>
        <v/>
      </c>
      <c r="O200" s="751" t="n"/>
      <c r="P200" s="752" t="n"/>
      <c r="Q200" s="752" t="n"/>
      <c r="R200" s="752" t="n"/>
      <c r="S200" s="752" t="n"/>
      <c r="T200" s="752" t="n"/>
      <c r="U200" s="752" t="n"/>
      <c r="V200" s="752" t="n"/>
      <c r="W200" s="752" t="n"/>
      <c r="X200" s="752" t="n"/>
      <c r="Y200" s="752" t="n"/>
      <c r="Z200" s="752" t="n"/>
      <c r="AA200" s="752" t="n"/>
      <c r="AB200" s="752" t="n"/>
      <c r="AC200" s="752" t="n"/>
      <c r="AD200" s="752" t="n"/>
      <c r="AE200" s="752" t="n"/>
      <c r="AF200" s="752" t="n"/>
      <c r="AG200" s="752" t="n"/>
      <c r="AH200" s="752" t="n"/>
      <c r="AI200" s="752" t="n"/>
      <c r="AJ200" s="752" t="n"/>
      <c r="AK200" s="759" t="n"/>
      <c r="AL200" s="752" t="n"/>
      <c r="AM200" s="752" t="n"/>
      <c r="AN200" s="752" t="n"/>
      <c r="AO200" s="752" t="n"/>
      <c r="AP200" s="752" t="n"/>
      <c r="AQ200" s="752" t="n"/>
      <c r="AR200" s="752" t="n"/>
      <c r="AS200" s="752" t="n"/>
    </row>
    <row r="201" ht="30" customHeight="1" s="36">
      <c r="A201" s="751" t="n"/>
      <c r="B201" s="751" t="n"/>
      <c r="C201" s="751" t="n"/>
      <c r="D201" s="751" t="n"/>
      <c r="E201" s="751">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751" t="n"/>
      <c r="G201" s="755" t="n"/>
      <c r="H201" s="755" t="n"/>
      <c r="I201" s="751" t="n"/>
      <c r="J201" s="751" t="n"/>
      <c r="K201" s="757">
        <f>IF(A201="","",IF(J201="AUTO",H201,IF(J201="MANUAL",AK201,"")))</f>
        <v/>
      </c>
      <c r="L201" s="751" t="n"/>
      <c r="M201" s="751" t="n"/>
      <c r="N201" s="751">
        <f>IF(A201="","",IF(COUNTIFS('Human Operation Desktop'!$A$3:$A$502,A201,'Human Operation Desktop'!$I$3:$I$502,"&lt;&gt;APPLIED",'Human Operation Desktop'!$I$3:$I$502,"&lt;&gt;REJECTED")&gt;0,"YES","NO"))</f>
        <v/>
      </c>
      <c r="O201" s="751" t="n"/>
      <c r="P201" s="752" t="n"/>
      <c r="Q201" s="752" t="n"/>
      <c r="R201" s="752" t="n"/>
      <c r="S201" s="752" t="n"/>
      <c r="T201" s="752" t="n"/>
      <c r="U201" s="752" t="n"/>
      <c r="V201" s="752" t="n"/>
      <c r="W201" s="752" t="n"/>
      <c r="X201" s="752" t="n"/>
      <c r="Y201" s="752" t="n"/>
      <c r="Z201" s="752" t="n"/>
      <c r="AA201" s="752" t="n"/>
      <c r="AB201" s="752" t="n"/>
      <c r="AC201" s="752" t="n"/>
      <c r="AD201" s="752" t="n"/>
      <c r="AE201" s="752" t="n"/>
      <c r="AF201" s="752" t="n"/>
      <c r="AG201" s="752" t="n"/>
      <c r="AH201" s="752" t="n"/>
      <c r="AI201" s="752" t="n"/>
      <c r="AJ201" s="752" t="n"/>
      <c r="AK201" s="759" t="n"/>
      <c r="AL201" s="752" t="n"/>
      <c r="AM201" s="752" t="n"/>
      <c r="AN201" s="752" t="n"/>
      <c r="AO201" s="752" t="n"/>
      <c r="AP201" s="752" t="n"/>
      <c r="AQ201" s="752" t="n"/>
      <c r="AR201" s="752" t="n"/>
      <c r="AS201" s="752" t="n"/>
    </row>
    <row r="202" ht="30" customHeight="1" s="36">
      <c r="A202" s="751" t="n"/>
      <c r="B202" s="751" t="n"/>
      <c r="C202" s="751" t="n"/>
      <c r="D202" s="751" t="n"/>
      <c r="E202" s="751">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751" t="n"/>
      <c r="G202" s="755" t="n"/>
      <c r="H202" s="755" t="n"/>
      <c r="I202" s="751" t="n"/>
      <c r="J202" s="751" t="n"/>
      <c r="K202" s="757">
        <f>IF(A202="","",IF(J202="AUTO",H202,IF(J202="MANUAL",AK202,"")))</f>
        <v/>
      </c>
      <c r="L202" s="751" t="n"/>
      <c r="M202" s="751" t="n"/>
      <c r="N202" s="751">
        <f>IF(A202="","",IF(COUNTIFS('Human Operation Desktop'!$A$3:$A$502,A202,'Human Operation Desktop'!$I$3:$I$502,"&lt;&gt;APPLIED",'Human Operation Desktop'!$I$3:$I$502,"&lt;&gt;REJECTED")&gt;0,"YES","NO"))</f>
        <v/>
      </c>
      <c r="O202" s="751" t="n"/>
      <c r="P202" s="752" t="n"/>
      <c r="Q202" s="752" t="n"/>
      <c r="R202" s="752" t="n"/>
      <c r="S202" s="752" t="n"/>
      <c r="T202" s="752" t="n"/>
      <c r="U202" s="752" t="n"/>
      <c r="V202" s="752" t="n"/>
      <c r="W202" s="752" t="n"/>
      <c r="X202" s="752" t="n"/>
      <c r="Y202" s="752" t="n"/>
      <c r="Z202" s="752" t="n"/>
      <c r="AA202" s="752" t="n"/>
      <c r="AB202" s="752" t="n"/>
      <c r="AC202" s="752" t="n"/>
      <c r="AD202" s="752" t="n"/>
      <c r="AE202" s="752" t="n"/>
      <c r="AF202" s="752" t="n"/>
      <c r="AG202" s="752" t="n"/>
      <c r="AH202" s="752" t="n"/>
      <c r="AI202" s="752" t="n"/>
      <c r="AJ202" s="752" t="n"/>
      <c r="AK202" s="759" t="n"/>
      <c r="AL202" s="752" t="n"/>
      <c r="AM202" s="752" t="n"/>
      <c r="AN202" s="752" t="n"/>
      <c r="AO202" s="752" t="n"/>
      <c r="AP202" s="752" t="n"/>
      <c r="AQ202" s="752" t="n"/>
      <c r="AR202" s="752" t="n"/>
      <c r="AS202" s="752" t="n"/>
    </row>
    <row r="203" ht="30" customHeight="1" s="36">
      <c r="A203" s="751" t="n"/>
      <c r="B203" s="751" t="n"/>
      <c r="C203" s="751" t="n"/>
      <c r="D203" s="751" t="n"/>
      <c r="E203" s="751">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751" t="n"/>
      <c r="G203" s="755" t="n"/>
      <c r="H203" s="755" t="n"/>
      <c r="I203" s="751" t="n"/>
      <c r="J203" s="751" t="n"/>
      <c r="K203" s="757">
        <f>IF(A203="","",IF(J203="AUTO",H203,IF(J203="MANUAL",AK203,"")))</f>
        <v/>
      </c>
      <c r="L203" s="751" t="n"/>
      <c r="M203" s="751" t="n"/>
      <c r="N203" s="751">
        <f>IF(A203="","",IF(COUNTIFS('Human Operation Desktop'!$A$3:$A$502,A203,'Human Operation Desktop'!$I$3:$I$502,"&lt;&gt;APPLIED",'Human Operation Desktop'!$I$3:$I$502,"&lt;&gt;REJECTED")&gt;0,"YES","NO"))</f>
        <v/>
      </c>
      <c r="O203" s="751" t="n"/>
      <c r="P203" s="752" t="n"/>
      <c r="Q203" s="752" t="n"/>
      <c r="R203" s="752" t="n"/>
      <c r="S203" s="752" t="n"/>
      <c r="T203" s="752" t="n"/>
      <c r="U203" s="752" t="n"/>
      <c r="V203" s="752" t="n"/>
      <c r="W203" s="752" t="n"/>
      <c r="X203" s="752" t="n"/>
      <c r="Y203" s="752" t="n"/>
      <c r="Z203" s="752" t="n"/>
      <c r="AA203" s="752" t="n"/>
      <c r="AB203" s="752" t="n"/>
      <c r="AC203" s="752" t="n"/>
      <c r="AD203" s="752" t="n"/>
      <c r="AE203" s="752" t="n"/>
      <c r="AF203" s="752" t="n"/>
      <c r="AG203" s="752" t="n"/>
      <c r="AH203" s="752" t="n"/>
      <c r="AI203" s="752" t="n"/>
      <c r="AJ203" s="752" t="n"/>
      <c r="AK203" s="759" t="n"/>
      <c r="AL203" s="752" t="n"/>
      <c r="AM203" s="752" t="n"/>
      <c r="AN203" s="752" t="n"/>
      <c r="AO203" s="752" t="n"/>
      <c r="AP203" s="752" t="n"/>
      <c r="AQ203" s="752" t="n"/>
      <c r="AR203" s="752" t="n"/>
      <c r="AS203" s="752" t="n"/>
    </row>
    <row r="204" ht="30" customHeight="1" s="36">
      <c r="A204" s="751" t="n"/>
      <c r="B204" s="751" t="n"/>
      <c r="C204" s="751" t="n"/>
      <c r="D204" s="751" t="n"/>
      <c r="E204" s="751">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751" t="n"/>
      <c r="G204" s="755" t="n"/>
      <c r="H204" s="755" t="n"/>
      <c r="I204" s="751" t="n"/>
      <c r="J204" s="751" t="n"/>
      <c r="K204" s="757">
        <f>IF(A204="","",IF(J204="AUTO",H204,IF(J204="MANUAL",AK204,"")))</f>
        <v/>
      </c>
      <c r="L204" s="751" t="n"/>
      <c r="M204" s="751" t="n"/>
      <c r="N204" s="751">
        <f>IF(A204="","",IF(COUNTIFS('Human Operation Desktop'!$A$3:$A$502,A204,'Human Operation Desktop'!$I$3:$I$502,"&lt;&gt;APPLIED",'Human Operation Desktop'!$I$3:$I$502,"&lt;&gt;REJECTED")&gt;0,"YES","NO"))</f>
        <v/>
      </c>
      <c r="O204" s="751" t="n"/>
      <c r="P204" s="752" t="n"/>
      <c r="Q204" s="752" t="n"/>
      <c r="R204" s="752" t="n"/>
      <c r="S204" s="752" t="n"/>
      <c r="T204" s="752" t="n"/>
      <c r="U204" s="752" t="n"/>
      <c r="V204" s="752" t="n"/>
      <c r="W204" s="752" t="n"/>
      <c r="X204" s="752" t="n"/>
      <c r="Y204" s="752" t="n"/>
      <c r="Z204" s="752" t="n"/>
      <c r="AA204" s="752" t="n"/>
      <c r="AB204" s="752" t="n"/>
      <c r="AC204" s="752" t="n"/>
      <c r="AD204" s="752" t="n"/>
      <c r="AE204" s="752" t="n"/>
      <c r="AF204" s="752" t="n"/>
      <c r="AG204" s="752" t="n"/>
      <c r="AH204" s="752" t="n"/>
      <c r="AI204" s="752" t="n"/>
      <c r="AJ204" s="752" t="n"/>
      <c r="AK204" s="759" t="n"/>
      <c r="AL204" s="752" t="n"/>
      <c r="AM204" s="752" t="n"/>
      <c r="AN204" s="752" t="n"/>
      <c r="AO204" s="752" t="n"/>
      <c r="AP204" s="752" t="n"/>
      <c r="AQ204" s="752" t="n"/>
      <c r="AR204" s="752" t="n"/>
      <c r="AS204" s="752" t="n"/>
    </row>
    <row r="205" ht="30" customHeight="1" s="36">
      <c r="A205" s="751" t="n"/>
      <c r="B205" s="751" t="n"/>
      <c r="C205" s="751" t="n"/>
      <c r="D205" s="751" t="n"/>
      <c r="E205" s="751">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751" t="n"/>
      <c r="G205" s="755" t="n"/>
      <c r="H205" s="755" t="n"/>
      <c r="I205" s="751" t="n"/>
      <c r="J205" s="751" t="n"/>
      <c r="K205" s="757">
        <f>IF(A205="","",IF(J205="AUTO",H205,IF(J205="MANUAL",AK205,"")))</f>
        <v/>
      </c>
      <c r="L205" s="751" t="n"/>
      <c r="M205" s="751" t="n"/>
      <c r="N205" s="751">
        <f>IF(A205="","",IF(COUNTIFS('Human Operation Desktop'!$A$3:$A$502,A205,'Human Operation Desktop'!$I$3:$I$502,"&lt;&gt;APPLIED",'Human Operation Desktop'!$I$3:$I$502,"&lt;&gt;REJECTED")&gt;0,"YES","NO"))</f>
        <v/>
      </c>
      <c r="O205" s="751" t="n"/>
      <c r="P205" s="752" t="n"/>
      <c r="Q205" s="752" t="n"/>
      <c r="R205" s="752" t="n"/>
      <c r="S205" s="752" t="n"/>
      <c r="T205" s="752" t="n"/>
      <c r="U205" s="752" t="n"/>
      <c r="V205" s="752" t="n"/>
      <c r="W205" s="752" t="n"/>
      <c r="X205" s="752" t="n"/>
      <c r="Y205" s="752" t="n"/>
      <c r="Z205" s="752" t="n"/>
      <c r="AA205" s="752" t="n"/>
      <c r="AB205" s="752" t="n"/>
      <c r="AC205" s="752" t="n"/>
      <c r="AD205" s="752" t="n"/>
      <c r="AE205" s="752" t="n"/>
      <c r="AF205" s="752" t="n"/>
      <c r="AG205" s="752" t="n"/>
      <c r="AH205" s="752" t="n"/>
      <c r="AI205" s="752" t="n"/>
      <c r="AJ205" s="752" t="n"/>
      <c r="AK205" s="759" t="n"/>
      <c r="AL205" s="752" t="n"/>
      <c r="AM205" s="752" t="n"/>
      <c r="AN205" s="752" t="n"/>
      <c r="AO205" s="752" t="n"/>
      <c r="AP205" s="752" t="n"/>
      <c r="AQ205" s="752" t="n"/>
      <c r="AR205" s="752" t="n"/>
      <c r="AS205" s="752" t="n"/>
    </row>
    <row r="206" ht="30" customHeight="1" s="36">
      <c r="A206" s="751" t="n"/>
      <c r="B206" s="751" t="n"/>
      <c r="C206" s="751" t="n"/>
      <c r="D206" s="751" t="n"/>
      <c r="E206" s="751">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751" t="n"/>
      <c r="G206" s="755" t="n"/>
      <c r="H206" s="755" t="n"/>
      <c r="I206" s="751" t="n"/>
      <c r="J206" s="751" t="n"/>
      <c r="K206" s="757">
        <f>IF(A206="","",IF(J206="AUTO",H206,IF(J206="MANUAL",AK206,"")))</f>
        <v/>
      </c>
      <c r="L206" s="751" t="n"/>
      <c r="M206" s="751" t="n"/>
      <c r="N206" s="751">
        <f>IF(A206="","",IF(COUNTIFS('Human Operation Desktop'!$A$3:$A$502,A206,'Human Operation Desktop'!$I$3:$I$502,"&lt;&gt;APPLIED",'Human Operation Desktop'!$I$3:$I$502,"&lt;&gt;REJECTED")&gt;0,"YES","NO"))</f>
        <v/>
      </c>
      <c r="O206" s="751" t="n"/>
      <c r="P206" s="752" t="n"/>
      <c r="Q206" s="752" t="n"/>
      <c r="R206" s="752" t="n"/>
      <c r="S206" s="752" t="n"/>
      <c r="T206" s="752" t="n"/>
      <c r="U206" s="752" t="n"/>
      <c r="V206" s="752" t="n"/>
      <c r="W206" s="752" t="n"/>
      <c r="X206" s="752" t="n"/>
      <c r="Y206" s="752" t="n"/>
      <c r="Z206" s="752" t="n"/>
      <c r="AA206" s="752" t="n"/>
      <c r="AB206" s="752" t="n"/>
      <c r="AC206" s="752" t="n"/>
      <c r="AD206" s="752" t="n"/>
      <c r="AE206" s="752" t="n"/>
      <c r="AF206" s="752" t="n"/>
      <c r="AG206" s="752" t="n"/>
      <c r="AH206" s="752" t="n"/>
      <c r="AI206" s="752" t="n"/>
      <c r="AJ206" s="752" t="n"/>
      <c r="AK206" s="759" t="n"/>
      <c r="AL206" s="752" t="n"/>
      <c r="AM206" s="752" t="n"/>
      <c r="AN206" s="752" t="n"/>
      <c r="AO206" s="752" t="n"/>
      <c r="AP206" s="752" t="n"/>
      <c r="AQ206" s="752" t="n"/>
      <c r="AR206" s="752" t="n"/>
      <c r="AS206" s="752" t="n"/>
    </row>
    <row r="207" ht="30" customHeight="1" s="36">
      <c r="A207" s="751" t="n"/>
      <c r="B207" s="751" t="n"/>
      <c r="C207" s="751" t="n"/>
      <c r="D207" s="751" t="n"/>
      <c r="E207" s="751">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751" t="n"/>
      <c r="G207" s="755" t="n"/>
      <c r="H207" s="755" t="n"/>
      <c r="I207" s="751" t="n"/>
      <c r="J207" s="751" t="n"/>
      <c r="K207" s="757">
        <f>IF(A207="","",IF(J207="AUTO",H207,IF(J207="MANUAL",AK207,"")))</f>
        <v/>
      </c>
      <c r="L207" s="751" t="n"/>
      <c r="M207" s="751" t="n"/>
      <c r="N207" s="751">
        <f>IF(A207="","",IF(COUNTIFS('Human Operation Desktop'!$A$3:$A$502,A207,'Human Operation Desktop'!$I$3:$I$502,"&lt;&gt;APPLIED",'Human Operation Desktop'!$I$3:$I$502,"&lt;&gt;REJECTED")&gt;0,"YES","NO"))</f>
        <v/>
      </c>
      <c r="O207" s="751" t="n"/>
      <c r="P207" s="752" t="n"/>
      <c r="Q207" s="752" t="n"/>
      <c r="R207" s="752" t="n"/>
      <c r="S207" s="752" t="n"/>
      <c r="T207" s="752" t="n"/>
      <c r="U207" s="752" t="n"/>
      <c r="V207" s="752" t="n"/>
      <c r="W207" s="752" t="n"/>
      <c r="X207" s="752" t="n"/>
      <c r="Y207" s="752" t="n"/>
      <c r="Z207" s="752" t="n"/>
      <c r="AA207" s="752" t="n"/>
      <c r="AB207" s="752" t="n"/>
      <c r="AC207" s="752" t="n"/>
      <c r="AD207" s="752" t="n"/>
      <c r="AE207" s="752" t="n"/>
      <c r="AF207" s="752" t="n"/>
      <c r="AG207" s="752" t="n"/>
      <c r="AH207" s="752" t="n"/>
      <c r="AI207" s="752" t="n"/>
      <c r="AJ207" s="752" t="n"/>
      <c r="AK207" s="759" t="n"/>
      <c r="AL207" s="752" t="n"/>
      <c r="AM207" s="752" t="n"/>
      <c r="AN207" s="752" t="n"/>
      <c r="AO207" s="752" t="n"/>
      <c r="AP207" s="752" t="n"/>
      <c r="AQ207" s="752" t="n"/>
      <c r="AR207" s="752" t="n"/>
      <c r="AS207" s="752" t="n"/>
    </row>
    <row r="208" ht="30" customHeight="1" s="36">
      <c r="A208" s="751" t="n"/>
      <c r="B208" s="751" t="n"/>
      <c r="C208" s="751" t="n"/>
      <c r="D208" s="751" t="n"/>
      <c r="E208" s="751">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751" t="n"/>
      <c r="G208" s="755" t="n"/>
      <c r="H208" s="755" t="n"/>
      <c r="I208" s="751" t="n"/>
      <c r="J208" s="751" t="n"/>
      <c r="K208" s="757">
        <f>IF(A208="","",IF(J208="AUTO",H208,IF(J208="MANUAL",AK208,"")))</f>
        <v/>
      </c>
      <c r="L208" s="751" t="n"/>
      <c r="M208" s="751" t="n"/>
      <c r="N208" s="751">
        <f>IF(A208="","",IF(COUNTIFS('Human Operation Desktop'!$A$3:$A$502,A208,'Human Operation Desktop'!$I$3:$I$502,"&lt;&gt;APPLIED",'Human Operation Desktop'!$I$3:$I$502,"&lt;&gt;REJECTED")&gt;0,"YES","NO"))</f>
        <v/>
      </c>
      <c r="O208" s="751" t="n"/>
      <c r="P208" s="752" t="n"/>
      <c r="Q208" s="752" t="n"/>
      <c r="R208" s="752" t="n"/>
      <c r="S208" s="752" t="n"/>
      <c r="T208" s="752" t="n"/>
      <c r="U208" s="752" t="n"/>
      <c r="V208" s="752" t="n"/>
      <c r="W208" s="752" t="n"/>
      <c r="X208" s="752" t="n"/>
      <c r="Y208" s="752" t="n"/>
      <c r="Z208" s="752" t="n"/>
      <c r="AA208" s="752" t="n"/>
      <c r="AB208" s="752" t="n"/>
      <c r="AC208" s="752" t="n"/>
      <c r="AD208" s="752" t="n"/>
      <c r="AE208" s="752" t="n"/>
      <c r="AF208" s="752" t="n"/>
      <c r="AG208" s="752" t="n"/>
      <c r="AH208" s="752" t="n"/>
      <c r="AI208" s="752" t="n"/>
      <c r="AJ208" s="752" t="n"/>
      <c r="AK208" s="759" t="n"/>
      <c r="AL208" s="752" t="n"/>
      <c r="AM208" s="752" t="n"/>
      <c r="AN208" s="752" t="n"/>
      <c r="AO208" s="752" t="n"/>
      <c r="AP208" s="752" t="n"/>
      <c r="AQ208" s="752" t="n"/>
      <c r="AR208" s="752" t="n"/>
      <c r="AS208" s="752" t="n"/>
    </row>
    <row r="209" ht="30" customHeight="1" s="36">
      <c r="A209" s="751" t="n"/>
      <c r="B209" s="751" t="n"/>
      <c r="C209" s="751" t="n"/>
      <c r="D209" s="751" t="n"/>
      <c r="E209" s="751">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751" t="n"/>
      <c r="G209" s="755" t="n"/>
      <c r="H209" s="755" t="n"/>
      <c r="I209" s="751" t="n"/>
      <c r="J209" s="751" t="n"/>
      <c r="K209" s="757">
        <f>IF(A209="","",IF(J209="AUTO",H209,IF(J209="MANUAL",AK209,"")))</f>
        <v/>
      </c>
      <c r="L209" s="751" t="n"/>
      <c r="M209" s="751" t="n"/>
      <c r="N209" s="751">
        <f>IF(A209="","",IF(COUNTIFS('Human Operation Desktop'!$A$3:$A$502,A209,'Human Operation Desktop'!$I$3:$I$502,"&lt;&gt;APPLIED",'Human Operation Desktop'!$I$3:$I$502,"&lt;&gt;REJECTED")&gt;0,"YES","NO"))</f>
        <v/>
      </c>
      <c r="O209" s="751" t="n"/>
      <c r="P209" s="752" t="n"/>
      <c r="Q209" s="752" t="n"/>
      <c r="R209" s="752" t="n"/>
      <c r="S209" s="752" t="n"/>
      <c r="T209" s="752" t="n"/>
      <c r="U209" s="752" t="n"/>
      <c r="V209" s="752" t="n"/>
      <c r="W209" s="752" t="n"/>
      <c r="X209" s="752" t="n"/>
      <c r="Y209" s="752" t="n"/>
      <c r="Z209" s="752" t="n"/>
      <c r="AA209" s="752" t="n"/>
      <c r="AB209" s="752" t="n"/>
      <c r="AC209" s="752" t="n"/>
      <c r="AD209" s="752" t="n"/>
      <c r="AE209" s="752" t="n"/>
      <c r="AF209" s="752" t="n"/>
      <c r="AG209" s="752" t="n"/>
      <c r="AH209" s="752" t="n"/>
      <c r="AI209" s="752" t="n"/>
      <c r="AJ209" s="752" t="n"/>
      <c r="AK209" s="759" t="n"/>
      <c r="AL209" s="752" t="n"/>
      <c r="AM209" s="752" t="n"/>
      <c r="AN209" s="752" t="n"/>
      <c r="AO209" s="752" t="n"/>
      <c r="AP209" s="752" t="n"/>
      <c r="AQ209" s="752" t="n"/>
      <c r="AR209" s="752" t="n"/>
      <c r="AS209" s="752" t="n"/>
    </row>
    <row r="210" ht="30" customHeight="1" s="36">
      <c r="A210" s="751" t="n"/>
      <c r="B210" s="751" t="n"/>
      <c r="C210" s="751" t="n"/>
      <c r="D210" s="751" t="n"/>
      <c r="E210" s="751">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751" t="n"/>
      <c r="G210" s="755" t="n"/>
      <c r="H210" s="755" t="n"/>
      <c r="I210" s="751" t="n"/>
      <c r="J210" s="751" t="n"/>
      <c r="K210" s="757">
        <f>IF(A210="","",IF(J210="AUTO",H210,IF(J210="MANUAL",AK210,"")))</f>
        <v/>
      </c>
      <c r="L210" s="751" t="n"/>
      <c r="M210" s="751" t="n"/>
      <c r="N210" s="751">
        <f>IF(A210="","",IF(COUNTIFS('Human Operation Desktop'!$A$3:$A$502,A210,'Human Operation Desktop'!$I$3:$I$502,"&lt;&gt;APPLIED",'Human Operation Desktop'!$I$3:$I$502,"&lt;&gt;REJECTED")&gt;0,"YES","NO"))</f>
        <v/>
      </c>
      <c r="O210" s="751" t="n"/>
      <c r="P210" s="752" t="n"/>
      <c r="Q210" s="752" t="n"/>
      <c r="R210" s="752" t="n"/>
      <c r="S210" s="752" t="n"/>
      <c r="T210" s="752" t="n"/>
      <c r="U210" s="752" t="n"/>
      <c r="V210" s="752" t="n"/>
      <c r="W210" s="752" t="n"/>
      <c r="X210" s="752" t="n"/>
      <c r="Y210" s="752" t="n"/>
      <c r="Z210" s="752" t="n"/>
      <c r="AA210" s="752" t="n"/>
      <c r="AB210" s="752" t="n"/>
      <c r="AC210" s="752" t="n"/>
      <c r="AD210" s="752" t="n"/>
      <c r="AE210" s="752" t="n"/>
      <c r="AF210" s="752" t="n"/>
      <c r="AG210" s="752" t="n"/>
      <c r="AH210" s="752" t="n"/>
      <c r="AI210" s="752" t="n"/>
      <c r="AJ210" s="752" t="n"/>
      <c r="AK210" s="759" t="n"/>
      <c r="AL210" s="752" t="n"/>
      <c r="AM210" s="752" t="n"/>
      <c r="AN210" s="752" t="n"/>
      <c r="AO210" s="752" t="n"/>
      <c r="AP210" s="752" t="n"/>
      <c r="AQ210" s="752" t="n"/>
      <c r="AR210" s="752" t="n"/>
      <c r="AS210" s="752" t="n"/>
    </row>
    <row r="211" ht="30" customHeight="1" s="36">
      <c r="A211" s="751" t="n"/>
      <c r="B211" s="751" t="n"/>
      <c r="C211" s="751" t="n"/>
      <c r="D211" s="751" t="n"/>
      <c r="E211" s="751">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751" t="n"/>
      <c r="G211" s="755" t="n"/>
      <c r="H211" s="755" t="n"/>
      <c r="I211" s="751" t="n"/>
      <c r="J211" s="751" t="n"/>
      <c r="K211" s="757">
        <f>IF(A211="","",IF(J211="AUTO",H211,IF(J211="MANUAL",AK211,"")))</f>
        <v/>
      </c>
      <c r="L211" s="751" t="n"/>
      <c r="M211" s="751" t="n"/>
      <c r="N211" s="751">
        <f>IF(A211="","",IF(COUNTIFS('Human Operation Desktop'!$A$3:$A$502,A211,'Human Operation Desktop'!$I$3:$I$502,"&lt;&gt;APPLIED",'Human Operation Desktop'!$I$3:$I$502,"&lt;&gt;REJECTED")&gt;0,"YES","NO"))</f>
        <v/>
      </c>
      <c r="O211" s="751" t="n"/>
      <c r="P211" s="752" t="n"/>
      <c r="Q211" s="752" t="n"/>
      <c r="R211" s="752" t="n"/>
      <c r="S211" s="752" t="n"/>
      <c r="T211" s="752" t="n"/>
      <c r="U211" s="752" t="n"/>
      <c r="V211" s="752" t="n"/>
      <c r="W211" s="752" t="n"/>
      <c r="X211" s="752" t="n"/>
      <c r="Y211" s="752" t="n"/>
      <c r="Z211" s="752" t="n"/>
      <c r="AA211" s="752" t="n"/>
      <c r="AB211" s="752" t="n"/>
      <c r="AC211" s="752" t="n"/>
      <c r="AD211" s="752" t="n"/>
      <c r="AE211" s="752" t="n"/>
      <c r="AF211" s="752" t="n"/>
      <c r="AG211" s="752" t="n"/>
      <c r="AH211" s="752" t="n"/>
      <c r="AI211" s="752" t="n"/>
      <c r="AJ211" s="752" t="n"/>
      <c r="AK211" s="759" t="n"/>
      <c r="AL211" s="752" t="n"/>
      <c r="AM211" s="752" t="n"/>
      <c r="AN211" s="752" t="n"/>
      <c r="AO211" s="752" t="n"/>
      <c r="AP211" s="752" t="n"/>
      <c r="AQ211" s="752" t="n"/>
      <c r="AR211" s="752" t="n"/>
      <c r="AS211" s="752" t="n"/>
    </row>
    <row r="212" ht="30" customHeight="1" s="36">
      <c r="A212" s="751" t="n"/>
      <c r="B212" s="751" t="n"/>
      <c r="C212" s="751" t="n"/>
      <c r="D212" s="751" t="n"/>
      <c r="E212" s="751">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751" t="n"/>
      <c r="G212" s="755" t="n"/>
      <c r="H212" s="755" t="n"/>
      <c r="I212" s="751" t="n"/>
      <c r="J212" s="751" t="n"/>
      <c r="K212" s="757">
        <f>IF(A212="","",IF(J212="AUTO",H212,IF(J212="MANUAL",AK212,"")))</f>
        <v/>
      </c>
      <c r="L212" s="751" t="n"/>
      <c r="M212" s="751" t="n"/>
      <c r="N212" s="751">
        <f>IF(A212="","",IF(COUNTIFS('Human Operation Desktop'!$A$3:$A$502,A212,'Human Operation Desktop'!$I$3:$I$502,"&lt;&gt;APPLIED",'Human Operation Desktop'!$I$3:$I$502,"&lt;&gt;REJECTED")&gt;0,"YES","NO"))</f>
        <v/>
      </c>
      <c r="O212" s="751" t="n"/>
      <c r="P212" s="752" t="n"/>
      <c r="Q212" s="752" t="n"/>
      <c r="R212" s="752" t="n"/>
      <c r="S212" s="752" t="n"/>
      <c r="T212" s="752" t="n"/>
      <c r="U212" s="752" t="n"/>
      <c r="V212" s="752" t="n"/>
      <c r="W212" s="752" t="n"/>
      <c r="X212" s="752" t="n"/>
      <c r="Y212" s="752" t="n"/>
      <c r="Z212" s="752" t="n"/>
      <c r="AA212" s="752" t="n"/>
      <c r="AB212" s="752" t="n"/>
      <c r="AC212" s="752" t="n"/>
      <c r="AD212" s="752" t="n"/>
      <c r="AE212" s="752" t="n"/>
      <c r="AF212" s="752" t="n"/>
      <c r="AG212" s="752" t="n"/>
      <c r="AH212" s="752" t="n"/>
      <c r="AI212" s="752" t="n"/>
      <c r="AJ212" s="752" t="n"/>
      <c r="AK212" s="759" t="n"/>
      <c r="AL212" s="752" t="n"/>
      <c r="AM212" s="752" t="n"/>
      <c r="AN212" s="752" t="n"/>
      <c r="AO212" s="752" t="n"/>
      <c r="AP212" s="752" t="n"/>
      <c r="AQ212" s="752" t="n"/>
      <c r="AR212" s="752" t="n"/>
      <c r="AS212" s="752" t="n"/>
    </row>
    <row r="213" ht="30" customHeight="1" s="36">
      <c r="A213" s="751" t="n"/>
      <c r="B213" s="751" t="n"/>
      <c r="C213" s="751" t="n"/>
      <c r="D213" s="751" t="n"/>
      <c r="E213" s="751">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751" t="n"/>
      <c r="G213" s="755" t="n"/>
      <c r="H213" s="755" t="n"/>
      <c r="I213" s="751" t="n"/>
      <c r="J213" s="751" t="n"/>
      <c r="K213" s="757">
        <f>IF(A213="","",IF(J213="AUTO",H213,IF(J213="MANUAL",AK213,"")))</f>
        <v/>
      </c>
      <c r="L213" s="751" t="n"/>
      <c r="M213" s="751" t="n"/>
      <c r="N213" s="751">
        <f>IF(A213="","",IF(COUNTIFS('Human Operation Desktop'!$A$3:$A$502,A213,'Human Operation Desktop'!$I$3:$I$502,"&lt;&gt;APPLIED",'Human Operation Desktop'!$I$3:$I$502,"&lt;&gt;REJECTED")&gt;0,"YES","NO"))</f>
        <v/>
      </c>
      <c r="O213" s="751" t="n"/>
      <c r="P213" s="752" t="n"/>
      <c r="Q213" s="752" t="n"/>
      <c r="R213" s="752" t="n"/>
      <c r="S213" s="752" t="n"/>
      <c r="T213" s="752" t="n"/>
      <c r="U213" s="752" t="n"/>
      <c r="V213" s="752" t="n"/>
      <c r="W213" s="752" t="n"/>
      <c r="X213" s="752" t="n"/>
      <c r="Y213" s="752" t="n"/>
      <c r="Z213" s="752" t="n"/>
      <c r="AA213" s="752" t="n"/>
      <c r="AB213" s="752" t="n"/>
      <c r="AC213" s="752" t="n"/>
      <c r="AD213" s="752" t="n"/>
      <c r="AE213" s="752" t="n"/>
      <c r="AF213" s="752" t="n"/>
      <c r="AG213" s="752" t="n"/>
      <c r="AH213" s="752" t="n"/>
      <c r="AI213" s="752" t="n"/>
      <c r="AJ213" s="752" t="n"/>
      <c r="AK213" s="759" t="n"/>
      <c r="AL213" s="752" t="n"/>
      <c r="AM213" s="752" t="n"/>
      <c r="AN213" s="752" t="n"/>
      <c r="AO213" s="752" t="n"/>
      <c r="AP213" s="752" t="n"/>
      <c r="AQ213" s="752" t="n"/>
      <c r="AR213" s="752" t="n"/>
      <c r="AS213" s="752" t="n"/>
    </row>
    <row r="214" ht="30" customHeight="1" s="36">
      <c r="A214" s="751" t="n"/>
      <c r="B214" s="751" t="n"/>
      <c r="C214" s="751" t="n"/>
      <c r="D214" s="751" t="n"/>
      <c r="E214" s="751">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751" t="n"/>
      <c r="G214" s="755" t="n"/>
      <c r="H214" s="755" t="n"/>
      <c r="I214" s="751" t="n"/>
      <c r="J214" s="751" t="n"/>
      <c r="K214" s="757">
        <f>IF(A214="","",IF(J214="AUTO",H214,IF(J214="MANUAL",AK214,"")))</f>
        <v/>
      </c>
      <c r="L214" s="751" t="n"/>
      <c r="M214" s="751" t="n"/>
      <c r="N214" s="751">
        <f>IF(A214="","",IF(COUNTIFS('Human Operation Desktop'!$A$3:$A$502,A214,'Human Operation Desktop'!$I$3:$I$502,"&lt;&gt;APPLIED",'Human Operation Desktop'!$I$3:$I$502,"&lt;&gt;REJECTED")&gt;0,"YES","NO"))</f>
        <v/>
      </c>
      <c r="O214" s="751" t="n"/>
      <c r="P214" s="752" t="n"/>
      <c r="Q214" s="752" t="n"/>
      <c r="R214" s="752" t="n"/>
      <c r="S214" s="752" t="n"/>
      <c r="T214" s="752" t="n"/>
      <c r="U214" s="752" t="n"/>
      <c r="V214" s="752" t="n"/>
      <c r="W214" s="752" t="n"/>
      <c r="X214" s="752" t="n"/>
      <c r="Y214" s="752" t="n"/>
      <c r="Z214" s="752" t="n"/>
      <c r="AA214" s="752" t="n"/>
      <c r="AB214" s="752" t="n"/>
      <c r="AC214" s="752" t="n"/>
      <c r="AD214" s="752" t="n"/>
      <c r="AE214" s="752" t="n"/>
      <c r="AF214" s="752" t="n"/>
      <c r="AG214" s="752" t="n"/>
      <c r="AH214" s="752" t="n"/>
      <c r="AI214" s="752" t="n"/>
      <c r="AJ214" s="752" t="n"/>
      <c r="AK214" s="759" t="n"/>
      <c r="AL214" s="752" t="n"/>
      <c r="AM214" s="752" t="n"/>
      <c r="AN214" s="752" t="n"/>
      <c r="AO214" s="752" t="n"/>
      <c r="AP214" s="752" t="n"/>
      <c r="AQ214" s="752" t="n"/>
      <c r="AR214" s="752" t="n"/>
      <c r="AS214" s="752" t="n"/>
    </row>
    <row r="215" ht="30" customHeight="1" s="36">
      <c r="A215" s="751" t="n"/>
      <c r="B215" s="751" t="n"/>
      <c r="C215" s="751" t="n"/>
      <c r="D215" s="751" t="n"/>
      <c r="E215" s="751">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751" t="n"/>
      <c r="G215" s="755" t="n"/>
      <c r="H215" s="755" t="n"/>
      <c r="I215" s="751" t="n"/>
      <c r="J215" s="751" t="n"/>
      <c r="K215" s="757">
        <f>IF(A215="","",IF(J215="AUTO",H215,IF(J215="MANUAL",AK215,"")))</f>
        <v/>
      </c>
      <c r="L215" s="751" t="n"/>
      <c r="M215" s="751" t="n"/>
      <c r="N215" s="751">
        <f>IF(A215="","",IF(COUNTIFS('Human Operation Desktop'!$A$3:$A$502,A215,'Human Operation Desktop'!$I$3:$I$502,"&lt;&gt;APPLIED",'Human Operation Desktop'!$I$3:$I$502,"&lt;&gt;REJECTED")&gt;0,"YES","NO"))</f>
        <v/>
      </c>
      <c r="O215" s="751" t="n"/>
      <c r="P215" s="752" t="n"/>
      <c r="Q215" s="752" t="n"/>
      <c r="R215" s="752" t="n"/>
      <c r="S215" s="752" t="n"/>
      <c r="T215" s="752" t="n"/>
      <c r="U215" s="752" t="n"/>
      <c r="V215" s="752" t="n"/>
      <c r="W215" s="752" t="n"/>
      <c r="X215" s="752" t="n"/>
      <c r="Y215" s="752" t="n"/>
      <c r="Z215" s="752" t="n"/>
      <c r="AA215" s="752" t="n"/>
      <c r="AB215" s="752" t="n"/>
      <c r="AC215" s="752" t="n"/>
      <c r="AD215" s="752" t="n"/>
      <c r="AE215" s="752" t="n"/>
      <c r="AF215" s="752" t="n"/>
      <c r="AG215" s="752" t="n"/>
      <c r="AH215" s="752" t="n"/>
      <c r="AI215" s="752" t="n"/>
      <c r="AJ215" s="752" t="n"/>
      <c r="AK215" s="759" t="n"/>
      <c r="AL215" s="752" t="n"/>
      <c r="AM215" s="752" t="n"/>
      <c r="AN215" s="752" t="n"/>
      <c r="AO215" s="752" t="n"/>
      <c r="AP215" s="752" t="n"/>
      <c r="AQ215" s="752" t="n"/>
      <c r="AR215" s="752" t="n"/>
      <c r="AS215" s="752" t="n"/>
    </row>
    <row r="216" ht="30" customHeight="1" s="36">
      <c r="A216" s="751" t="n"/>
      <c r="B216" s="751" t="n"/>
      <c r="C216" s="751" t="n"/>
      <c r="D216" s="751" t="n"/>
      <c r="E216" s="751">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751" t="n"/>
      <c r="G216" s="755" t="n"/>
      <c r="H216" s="755" t="n"/>
      <c r="I216" s="751" t="n"/>
      <c r="J216" s="751" t="n"/>
      <c r="K216" s="757">
        <f>IF(A216="","",IF(J216="AUTO",H216,IF(J216="MANUAL",AK216,"")))</f>
        <v/>
      </c>
      <c r="L216" s="751" t="n"/>
      <c r="M216" s="751" t="n"/>
      <c r="N216" s="751">
        <f>IF(A216="","",IF(COUNTIFS('Human Operation Desktop'!$A$3:$A$502,A216,'Human Operation Desktop'!$I$3:$I$502,"&lt;&gt;APPLIED",'Human Operation Desktop'!$I$3:$I$502,"&lt;&gt;REJECTED")&gt;0,"YES","NO"))</f>
        <v/>
      </c>
      <c r="O216" s="751" t="n"/>
      <c r="P216" s="752" t="n"/>
      <c r="Q216" s="752" t="n"/>
      <c r="R216" s="752" t="n"/>
      <c r="S216" s="752" t="n"/>
      <c r="T216" s="752" t="n"/>
      <c r="U216" s="752" t="n"/>
      <c r="V216" s="752" t="n"/>
      <c r="W216" s="752" t="n"/>
      <c r="X216" s="752" t="n"/>
      <c r="Y216" s="752" t="n"/>
      <c r="Z216" s="752" t="n"/>
      <c r="AA216" s="752" t="n"/>
      <c r="AB216" s="752" t="n"/>
      <c r="AC216" s="752" t="n"/>
      <c r="AD216" s="752" t="n"/>
      <c r="AE216" s="752" t="n"/>
      <c r="AF216" s="752" t="n"/>
      <c r="AG216" s="752" t="n"/>
      <c r="AH216" s="752" t="n"/>
      <c r="AI216" s="752" t="n"/>
      <c r="AJ216" s="752" t="n"/>
      <c r="AK216" s="759" t="n"/>
      <c r="AL216" s="752" t="n"/>
      <c r="AM216" s="752" t="n"/>
      <c r="AN216" s="752" t="n"/>
      <c r="AO216" s="752" t="n"/>
      <c r="AP216" s="752" t="n"/>
      <c r="AQ216" s="752" t="n"/>
      <c r="AR216" s="752" t="n"/>
      <c r="AS216" s="752" t="n"/>
    </row>
    <row r="217" ht="30" customHeight="1" s="36">
      <c r="A217" s="751" t="n"/>
      <c r="B217" s="751" t="n"/>
      <c r="C217" s="751" t="n"/>
      <c r="D217" s="751" t="n"/>
      <c r="E217" s="751">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751" t="n"/>
      <c r="G217" s="755" t="n"/>
      <c r="H217" s="755" t="n"/>
      <c r="I217" s="751" t="n"/>
      <c r="J217" s="751" t="n"/>
      <c r="K217" s="757">
        <f>IF(A217="","",IF(J217="AUTO",H217,IF(J217="MANUAL",AK217,"")))</f>
        <v/>
      </c>
      <c r="L217" s="751" t="n"/>
      <c r="M217" s="751" t="n"/>
      <c r="N217" s="751">
        <f>IF(A217="","",IF(COUNTIFS('Human Operation Desktop'!$A$3:$A$502,A217,'Human Operation Desktop'!$I$3:$I$502,"&lt;&gt;APPLIED",'Human Operation Desktop'!$I$3:$I$502,"&lt;&gt;REJECTED")&gt;0,"YES","NO"))</f>
        <v/>
      </c>
      <c r="O217" s="751" t="n"/>
      <c r="P217" s="752" t="n"/>
      <c r="Q217" s="752" t="n"/>
      <c r="R217" s="752" t="n"/>
      <c r="S217" s="752" t="n"/>
      <c r="T217" s="752" t="n"/>
      <c r="U217" s="752" t="n"/>
      <c r="V217" s="752" t="n"/>
      <c r="W217" s="752" t="n"/>
      <c r="X217" s="752" t="n"/>
      <c r="Y217" s="752" t="n"/>
      <c r="Z217" s="752" t="n"/>
      <c r="AA217" s="752" t="n"/>
      <c r="AB217" s="752" t="n"/>
      <c r="AC217" s="752" t="n"/>
      <c r="AD217" s="752" t="n"/>
      <c r="AE217" s="752" t="n"/>
      <c r="AF217" s="752" t="n"/>
      <c r="AG217" s="752" t="n"/>
      <c r="AH217" s="752" t="n"/>
      <c r="AI217" s="752" t="n"/>
      <c r="AJ217" s="752" t="n"/>
      <c r="AK217" s="759" t="n"/>
      <c r="AL217" s="752" t="n"/>
      <c r="AM217" s="752" t="n"/>
      <c r="AN217" s="752" t="n"/>
      <c r="AO217" s="752" t="n"/>
      <c r="AP217" s="752" t="n"/>
      <c r="AQ217" s="752" t="n"/>
      <c r="AR217" s="752" t="n"/>
      <c r="AS217" s="752" t="n"/>
    </row>
    <row r="218" ht="30" customHeight="1" s="36">
      <c r="A218" s="751" t="n"/>
      <c r="B218" s="751" t="n"/>
      <c r="C218" s="751" t="n"/>
      <c r="D218" s="751" t="n"/>
      <c r="E218" s="751">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751" t="n"/>
      <c r="G218" s="755" t="n"/>
      <c r="H218" s="755" t="n"/>
      <c r="I218" s="751" t="n"/>
      <c r="J218" s="751" t="n"/>
      <c r="K218" s="757">
        <f>IF(A218="","",IF(J218="AUTO",H218,IF(J218="MANUAL",AK218,"")))</f>
        <v/>
      </c>
      <c r="L218" s="751" t="n"/>
      <c r="M218" s="751" t="n"/>
      <c r="N218" s="751">
        <f>IF(A218="","",IF(COUNTIFS('Human Operation Desktop'!$A$3:$A$502,A218,'Human Operation Desktop'!$I$3:$I$502,"&lt;&gt;APPLIED",'Human Operation Desktop'!$I$3:$I$502,"&lt;&gt;REJECTED")&gt;0,"YES","NO"))</f>
        <v/>
      </c>
      <c r="O218" s="751" t="n"/>
      <c r="P218" s="752" t="n"/>
      <c r="Q218" s="752" t="n"/>
      <c r="R218" s="752" t="n"/>
      <c r="S218" s="752" t="n"/>
      <c r="T218" s="752" t="n"/>
      <c r="U218" s="752" t="n"/>
      <c r="V218" s="752" t="n"/>
      <c r="W218" s="752" t="n"/>
      <c r="X218" s="752" t="n"/>
      <c r="Y218" s="752" t="n"/>
      <c r="Z218" s="752" t="n"/>
      <c r="AA218" s="752" t="n"/>
      <c r="AB218" s="752" t="n"/>
      <c r="AC218" s="752" t="n"/>
      <c r="AD218" s="752" t="n"/>
      <c r="AE218" s="752" t="n"/>
      <c r="AF218" s="752" t="n"/>
      <c r="AG218" s="752" t="n"/>
      <c r="AH218" s="752" t="n"/>
      <c r="AI218" s="752" t="n"/>
      <c r="AJ218" s="752" t="n"/>
      <c r="AK218" s="759" t="n"/>
      <c r="AL218" s="752" t="n"/>
      <c r="AM218" s="752" t="n"/>
      <c r="AN218" s="752" t="n"/>
      <c r="AO218" s="752" t="n"/>
      <c r="AP218" s="752" t="n"/>
      <c r="AQ218" s="752" t="n"/>
      <c r="AR218" s="752" t="n"/>
      <c r="AS218" s="752" t="n"/>
    </row>
    <row r="219" ht="30" customHeight="1" s="36">
      <c r="A219" s="751" t="n"/>
      <c r="B219" s="751" t="n"/>
      <c r="C219" s="751" t="n"/>
      <c r="D219" s="751" t="n"/>
      <c r="E219" s="751">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751" t="n"/>
      <c r="G219" s="755" t="n"/>
      <c r="H219" s="755" t="n"/>
      <c r="I219" s="751" t="n"/>
      <c r="J219" s="751" t="n"/>
      <c r="K219" s="757">
        <f>IF(A219="","",IF(J219="AUTO",H219,IF(J219="MANUAL",AK219,"")))</f>
        <v/>
      </c>
      <c r="L219" s="751" t="n"/>
      <c r="M219" s="751" t="n"/>
      <c r="N219" s="751">
        <f>IF(A219="","",IF(COUNTIFS('Human Operation Desktop'!$A$3:$A$502,A219,'Human Operation Desktop'!$I$3:$I$502,"&lt;&gt;APPLIED",'Human Operation Desktop'!$I$3:$I$502,"&lt;&gt;REJECTED")&gt;0,"YES","NO"))</f>
        <v/>
      </c>
      <c r="O219" s="751" t="n"/>
      <c r="P219" s="752" t="n"/>
      <c r="Q219" s="752" t="n"/>
      <c r="R219" s="752" t="n"/>
      <c r="S219" s="752" t="n"/>
      <c r="T219" s="752" t="n"/>
      <c r="U219" s="752" t="n"/>
      <c r="V219" s="752" t="n"/>
      <c r="W219" s="752" t="n"/>
      <c r="X219" s="752" t="n"/>
      <c r="Y219" s="752" t="n"/>
      <c r="Z219" s="752" t="n"/>
      <c r="AA219" s="752" t="n"/>
      <c r="AB219" s="752" t="n"/>
      <c r="AC219" s="752" t="n"/>
      <c r="AD219" s="752" t="n"/>
      <c r="AE219" s="752" t="n"/>
      <c r="AF219" s="752" t="n"/>
      <c r="AG219" s="752" t="n"/>
      <c r="AH219" s="752" t="n"/>
      <c r="AI219" s="752" t="n"/>
      <c r="AJ219" s="752" t="n"/>
      <c r="AK219" s="759" t="n"/>
      <c r="AL219" s="752" t="n"/>
      <c r="AM219" s="752" t="n"/>
      <c r="AN219" s="752" t="n"/>
      <c r="AO219" s="752" t="n"/>
      <c r="AP219" s="752" t="n"/>
      <c r="AQ219" s="752" t="n"/>
      <c r="AR219" s="752" t="n"/>
      <c r="AS219" s="752" t="n"/>
    </row>
    <row r="220" ht="30" customHeight="1" s="36">
      <c r="A220" s="751" t="n"/>
      <c r="B220" s="751" t="n"/>
      <c r="C220" s="751" t="n"/>
      <c r="D220" s="751" t="n"/>
      <c r="E220" s="751">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751" t="n"/>
      <c r="G220" s="755" t="n"/>
      <c r="H220" s="755" t="n"/>
      <c r="I220" s="751" t="n"/>
      <c r="J220" s="751" t="n"/>
      <c r="K220" s="757">
        <f>IF(A220="","",IF(J220="AUTO",H220,IF(J220="MANUAL",AK220,"")))</f>
        <v/>
      </c>
      <c r="L220" s="751" t="n"/>
      <c r="M220" s="751" t="n"/>
      <c r="N220" s="751">
        <f>IF(A220="","",IF(COUNTIFS('Human Operation Desktop'!$A$3:$A$502,A220,'Human Operation Desktop'!$I$3:$I$502,"&lt;&gt;APPLIED",'Human Operation Desktop'!$I$3:$I$502,"&lt;&gt;REJECTED")&gt;0,"YES","NO"))</f>
        <v/>
      </c>
      <c r="O220" s="751" t="n"/>
      <c r="P220" s="752" t="n"/>
      <c r="Q220" s="752" t="n"/>
      <c r="R220" s="752" t="n"/>
      <c r="S220" s="752" t="n"/>
      <c r="T220" s="752" t="n"/>
      <c r="U220" s="752" t="n"/>
      <c r="V220" s="752" t="n"/>
      <c r="W220" s="752" t="n"/>
      <c r="X220" s="752" t="n"/>
      <c r="Y220" s="752" t="n"/>
      <c r="Z220" s="752" t="n"/>
      <c r="AA220" s="752" t="n"/>
      <c r="AB220" s="752" t="n"/>
      <c r="AC220" s="752" t="n"/>
      <c r="AD220" s="752" t="n"/>
      <c r="AE220" s="752" t="n"/>
      <c r="AF220" s="752" t="n"/>
      <c r="AG220" s="752" t="n"/>
      <c r="AH220" s="752" t="n"/>
      <c r="AI220" s="752" t="n"/>
      <c r="AJ220" s="752" t="n"/>
      <c r="AK220" s="759" t="n"/>
      <c r="AL220" s="752" t="n"/>
      <c r="AM220" s="752" t="n"/>
      <c r="AN220" s="752" t="n"/>
      <c r="AO220" s="752" t="n"/>
      <c r="AP220" s="752" t="n"/>
      <c r="AQ220" s="752" t="n"/>
      <c r="AR220" s="752" t="n"/>
      <c r="AS220" s="752" t="n"/>
    </row>
    <row r="221" ht="30" customHeight="1" s="36">
      <c r="A221" s="751" t="n"/>
      <c r="B221" s="751" t="n"/>
      <c r="C221" s="751" t="n"/>
      <c r="D221" s="751" t="n"/>
      <c r="E221" s="751">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751" t="n"/>
      <c r="G221" s="755" t="n"/>
      <c r="H221" s="755" t="n"/>
      <c r="I221" s="751" t="n"/>
      <c r="J221" s="751" t="n"/>
      <c r="K221" s="757">
        <f>IF(A221="","",IF(J221="AUTO",H221,IF(J221="MANUAL",AK221,"")))</f>
        <v/>
      </c>
      <c r="L221" s="751" t="n"/>
      <c r="M221" s="751" t="n"/>
      <c r="N221" s="751">
        <f>IF(A221="","",IF(COUNTIFS('Human Operation Desktop'!$A$3:$A$502,A221,'Human Operation Desktop'!$I$3:$I$502,"&lt;&gt;APPLIED",'Human Operation Desktop'!$I$3:$I$502,"&lt;&gt;REJECTED")&gt;0,"YES","NO"))</f>
        <v/>
      </c>
      <c r="O221" s="751" t="n"/>
      <c r="P221" s="752" t="n"/>
      <c r="Q221" s="752" t="n"/>
      <c r="R221" s="752" t="n"/>
      <c r="S221" s="752" t="n"/>
      <c r="T221" s="752" t="n"/>
      <c r="U221" s="752" t="n"/>
      <c r="V221" s="752" t="n"/>
      <c r="W221" s="752" t="n"/>
      <c r="X221" s="752" t="n"/>
      <c r="Y221" s="752" t="n"/>
      <c r="Z221" s="752" t="n"/>
      <c r="AA221" s="752" t="n"/>
      <c r="AB221" s="752" t="n"/>
      <c r="AC221" s="752" t="n"/>
      <c r="AD221" s="752" t="n"/>
      <c r="AE221" s="752" t="n"/>
      <c r="AF221" s="752" t="n"/>
      <c r="AG221" s="752" t="n"/>
      <c r="AH221" s="752" t="n"/>
      <c r="AI221" s="752" t="n"/>
      <c r="AJ221" s="752" t="n"/>
      <c r="AK221" s="759" t="n"/>
      <c r="AL221" s="752" t="n"/>
      <c r="AM221" s="752" t="n"/>
      <c r="AN221" s="752" t="n"/>
      <c r="AO221" s="752" t="n"/>
      <c r="AP221" s="752" t="n"/>
      <c r="AQ221" s="752" t="n"/>
      <c r="AR221" s="752" t="n"/>
      <c r="AS221" s="752" t="n"/>
    </row>
    <row r="222" ht="30" customHeight="1" s="36">
      <c r="A222" s="751" t="n"/>
      <c r="B222" s="751" t="n"/>
      <c r="C222" s="751" t="n"/>
      <c r="D222" s="751" t="n"/>
      <c r="E222" s="751">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751" t="n"/>
      <c r="G222" s="755" t="n"/>
      <c r="H222" s="755" t="n"/>
      <c r="I222" s="751" t="n"/>
      <c r="J222" s="751" t="n"/>
      <c r="K222" s="757">
        <f>IF(A222="","",IF(J222="AUTO",H222,IF(J222="MANUAL",AK222,"")))</f>
        <v/>
      </c>
      <c r="L222" s="751" t="n"/>
      <c r="M222" s="751" t="n"/>
      <c r="N222" s="751">
        <f>IF(A222="","",IF(COUNTIFS('Human Operation Desktop'!$A$3:$A$502,A222,'Human Operation Desktop'!$I$3:$I$502,"&lt;&gt;APPLIED",'Human Operation Desktop'!$I$3:$I$502,"&lt;&gt;REJECTED")&gt;0,"YES","NO"))</f>
        <v/>
      </c>
      <c r="O222" s="751" t="n"/>
      <c r="P222" s="752" t="n"/>
      <c r="Q222" s="752" t="n"/>
      <c r="R222" s="752" t="n"/>
      <c r="S222" s="752" t="n"/>
      <c r="T222" s="752" t="n"/>
      <c r="U222" s="752" t="n"/>
      <c r="V222" s="752" t="n"/>
      <c r="W222" s="752" t="n"/>
      <c r="X222" s="752" t="n"/>
      <c r="Y222" s="752" t="n"/>
      <c r="Z222" s="752" t="n"/>
      <c r="AA222" s="752" t="n"/>
      <c r="AB222" s="752" t="n"/>
      <c r="AC222" s="752" t="n"/>
      <c r="AD222" s="752" t="n"/>
      <c r="AE222" s="752" t="n"/>
      <c r="AF222" s="752" t="n"/>
      <c r="AG222" s="752" t="n"/>
      <c r="AH222" s="752" t="n"/>
      <c r="AI222" s="752" t="n"/>
      <c r="AJ222" s="752" t="n"/>
      <c r="AK222" s="759" t="n"/>
      <c r="AL222" s="752" t="n"/>
      <c r="AM222" s="752" t="n"/>
      <c r="AN222" s="752" t="n"/>
      <c r="AO222" s="752" t="n"/>
      <c r="AP222" s="752" t="n"/>
      <c r="AQ222" s="752" t="n"/>
      <c r="AR222" s="752" t="n"/>
      <c r="AS222" s="752" t="n"/>
    </row>
    <row r="223" ht="30" customHeight="1" s="36">
      <c r="A223" s="751" t="n"/>
      <c r="B223" s="751" t="n"/>
      <c r="C223" s="751" t="n"/>
      <c r="D223" s="751" t="n"/>
      <c r="E223" s="751">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751" t="n"/>
      <c r="G223" s="755" t="n"/>
      <c r="H223" s="755" t="n"/>
      <c r="I223" s="751" t="n"/>
      <c r="J223" s="751" t="n"/>
      <c r="K223" s="757">
        <f>IF(A223="","",IF(J223="AUTO",H223,IF(J223="MANUAL",AK223,"")))</f>
        <v/>
      </c>
      <c r="L223" s="751" t="n"/>
      <c r="M223" s="751" t="n"/>
      <c r="N223" s="751">
        <f>IF(A223="","",IF(COUNTIFS('Human Operation Desktop'!$A$3:$A$502,A223,'Human Operation Desktop'!$I$3:$I$502,"&lt;&gt;APPLIED",'Human Operation Desktop'!$I$3:$I$502,"&lt;&gt;REJECTED")&gt;0,"YES","NO"))</f>
        <v/>
      </c>
      <c r="O223" s="751" t="n"/>
      <c r="P223" s="752" t="n"/>
      <c r="Q223" s="752" t="n"/>
      <c r="R223" s="752" t="n"/>
      <c r="S223" s="752" t="n"/>
      <c r="T223" s="752" t="n"/>
      <c r="U223" s="752" t="n"/>
      <c r="V223" s="752" t="n"/>
      <c r="W223" s="752" t="n"/>
      <c r="X223" s="752" t="n"/>
      <c r="Y223" s="752" t="n"/>
      <c r="Z223" s="752" t="n"/>
      <c r="AA223" s="752" t="n"/>
      <c r="AB223" s="752" t="n"/>
      <c r="AC223" s="752" t="n"/>
      <c r="AD223" s="752" t="n"/>
      <c r="AE223" s="752" t="n"/>
      <c r="AF223" s="752" t="n"/>
      <c r="AG223" s="752" t="n"/>
      <c r="AH223" s="752" t="n"/>
      <c r="AI223" s="752" t="n"/>
      <c r="AJ223" s="752" t="n"/>
      <c r="AK223" s="759" t="n"/>
      <c r="AL223" s="752" t="n"/>
      <c r="AM223" s="752" t="n"/>
      <c r="AN223" s="752" t="n"/>
      <c r="AO223" s="752" t="n"/>
      <c r="AP223" s="752" t="n"/>
      <c r="AQ223" s="752" t="n"/>
      <c r="AR223" s="752" t="n"/>
      <c r="AS223" s="752" t="n"/>
    </row>
    <row r="224" ht="30" customHeight="1" s="36">
      <c r="A224" s="751" t="n"/>
      <c r="B224" s="751" t="n"/>
      <c r="C224" s="751" t="n"/>
      <c r="D224" s="751" t="n"/>
      <c r="E224" s="751">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751" t="n"/>
      <c r="G224" s="755" t="n"/>
      <c r="H224" s="755" t="n"/>
      <c r="I224" s="751" t="n"/>
      <c r="J224" s="751" t="n"/>
      <c r="K224" s="757">
        <f>IF(A224="","",IF(J224="AUTO",H224,IF(J224="MANUAL",AK224,"")))</f>
        <v/>
      </c>
      <c r="L224" s="751" t="n"/>
      <c r="M224" s="751" t="n"/>
      <c r="N224" s="751">
        <f>IF(A224="","",IF(COUNTIFS('Human Operation Desktop'!$A$3:$A$502,A224,'Human Operation Desktop'!$I$3:$I$502,"&lt;&gt;APPLIED",'Human Operation Desktop'!$I$3:$I$502,"&lt;&gt;REJECTED")&gt;0,"YES","NO"))</f>
        <v/>
      </c>
      <c r="O224" s="751" t="n"/>
      <c r="P224" s="752" t="n"/>
      <c r="Q224" s="752" t="n"/>
      <c r="R224" s="752" t="n"/>
      <c r="S224" s="752" t="n"/>
      <c r="T224" s="752" t="n"/>
      <c r="U224" s="752" t="n"/>
      <c r="V224" s="752" t="n"/>
      <c r="W224" s="752" t="n"/>
      <c r="X224" s="752" t="n"/>
      <c r="Y224" s="752" t="n"/>
      <c r="Z224" s="752" t="n"/>
      <c r="AA224" s="752" t="n"/>
      <c r="AB224" s="752" t="n"/>
      <c r="AC224" s="752" t="n"/>
      <c r="AD224" s="752" t="n"/>
      <c r="AE224" s="752" t="n"/>
      <c r="AF224" s="752" t="n"/>
      <c r="AG224" s="752" t="n"/>
      <c r="AH224" s="752" t="n"/>
      <c r="AI224" s="752" t="n"/>
      <c r="AJ224" s="752" t="n"/>
      <c r="AK224" s="759" t="n"/>
      <c r="AL224" s="752" t="n"/>
      <c r="AM224" s="752" t="n"/>
      <c r="AN224" s="752" t="n"/>
      <c r="AO224" s="752" t="n"/>
      <c r="AP224" s="752" t="n"/>
      <c r="AQ224" s="752" t="n"/>
      <c r="AR224" s="752" t="n"/>
      <c r="AS224" s="752" t="n"/>
    </row>
    <row r="225" ht="30" customHeight="1" s="36">
      <c r="A225" s="751" t="n"/>
      <c r="B225" s="751" t="n"/>
      <c r="C225" s="751" t="n"/>
      <c r="D225" s="751" t="n"/>
      <c r="E225" s="751">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751" t="n"/>
      <c r="G225" s="755" t="n"/>
      <c r="H225" s="755" t="n"/>
      <c r="I225" s="751" t="n"/>
      <c r="J225" s="751" t="n"/>
      <c r="K225" s="757">
        <f>IF(A225="","",IF(J225="AUTO",H225,IF(J225="MANUAL",AK225,"")))</f>
        <v/>
      </c>
      <c r="L225" s="751" t="n"/>
      <c r="M225" s="751" t="n"/>
      <c r="N225" s="751">
        <f>IF(A225="","",IF(COUNTIFS('Human Operation Desktop'!$A$3:$A$502,A225,'Human Operation Desktop'!$I$3:$I$502,"&lt;&gt;APPLIED",'Human Operation Desktop'!$I$3:$I$502,"&lt;&gt;REJECTED")&gt;0,"YES","NO"))</f>
        <v/>
      </c>
      <c r="O225" s="751" t="n"/>
      <c r="P225" s="752" t="n"/>
      <c r="Q225" s="752" t="n"/>
      <c r="R225" s="752" t="n"/>
      <c r="S225" s="752" t="n"/>
      <c r="T225" s="752" t="n"/>
      <c r="U225" s="752" t="n"/>
      <c r="V225" s="752" t="n"/>
      <c r="W225" s="752" t="n"/>
      <c r="X225" s="752" t="n"/>
      <c r="Y225" s="752" t="n"/>
      <c r="Z225" s="752" t="n"/>
      <c r="AA225" s="752" t="n"/>
      <c r="AB225" s="752" t="n"/>
      <c r="AC225" s="752" t="n"/>
      <c r="AD225" s="752" t="n"/>
      <c r="AE225" s="752" t="n"/>
      <c r="AF225" s="752" t="n"/>
      <c r="AG225" s="752" t="n"/>
      <c r="AH225" s="752" t="n"/>
      <c r="AI225" s="752" t="n"/>
      <c r="AJ225" s="752" t="n"/>
      <c r="AK225" s="759" t="n"/>
      <c r="AL225" s="752" t="n"/>
      <c r="AM225" s="752" t="n"/>
      <c r="AN225" s="752" t="n"/>
      <c r="AO225" s="752" t="n"/>
      <c r="AP225" s="752" t="n"/>
      <c r="AQ225" s="752" t="n"/>
      <c r="AR225" s="752" t="n"/>
      <c r="AS225" s="752" t="n"/>
    </row>
    <row r="226" ht="30" customHeight="1" s="36">
      <c r="A226" s="751" t="n"/>
      <c r="B226" s="751" t="n"/>
      <c r="C226" s="751" t="n"/>
      <c r="D226" s="751" t="n"/>
      <c r="E226" s="751">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751" t="n"/>
      <c r="G226" s="755" t="n"/>
      <c r="H226" s="755" t="n"/>
      <c r="I226" s="751" t="n"/>
      <c r="J226" s="751" t="n"/>
      <c r="K226" s="757">
        <f>IF(A226="","",IF(J226="AUTO",H226,IF(J226="MANUAL",AK226,"")))</f>
        <v/>
      </c>
      <c r="L226" s="751" t="n"/>
      <c r="M226" s="751" t="n"/>
      <c r="N226" s="751">
        <f>IF(A226="","",IF(COUNTIFS('Human Operation Desktop'!$A$3:$A$502,A226,'Human Operation Desktop'!$I$3:$I$502,"&lt;&gt;APPLIED",'Human Operation Desktop'!$I$3:$I$502,"&lt;&gt;REJECTED")&gt;0,"YES","NO"))</f>
        <v/>
      </c>
      <c r="O226" s="751" t="n"/>
      <c r="P226" s="752" t="n"/>
      <c r="Q226" s="752" t="n"/>
      <c r="R226" s="752" t="n"/>
      <c r="S226" s="752" t="n"/>
      <c r="T226" s="752" t="n"/>
      <c r="U226" s="752" t="n"/>
      <c r="V226" s="752" t="n"/>
      <c r="W226" s="752" t="n"/>
      <c r="X226" s="752" t="n"/>
      <c r="Y226" s="752" t="n"/>
      <c r="Z226" s="752" t="n"/>
      <c r="AA226" s="752" t="n"/>
      <c r="AB226" s="752" t="n"/>
      <c r="AC226" s="752" t="n"/>
      <c r="AD226" s="752" t="n"/>
      <c r="AE226" s="752" t="n"/>
      <c r="AF226" s="752" t="n"/>
      <c r="AG226" s="752" t="n"/>
      <c r="AH226" s="752" t="n"/>
      <c r="AI226" s="752" t="n"/>
      <c r="AJ226" s="752" t="n"/>
      <c r="AK226" s="759" t="n"/>
      <c r="AL226" s="752" t="n"/>
      <c r="AM226" s="752" t="n"/>
      <c r="AN226" s="752" t="n"/>
      <c r="AO226" s="752" t="n"/>
      <c r="AP226" s="752" t="n"/>
      <c r="AQ226" s="752" t="n"/>
      <c r="AR226" s="752" t="n"/>
      <c r="AS226" s="752" t="n"/>
    </row>
    <row r="227" ht="30" customHeight="1" s="36">
      <c r="A227" s="751" t="n"/>
      <c r="B227" s="751" t="n"/>
      <c r="C227" s="751" t="n"/>
      <c r="D227" s="751" t="n"/>
      <c r="E227" s="751">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751" t="n"/>
      <c r="G227" s="755" t="n"/>
      <c r="H227" s="755" t="n"/>
      <c r="I227" s="751" t="n"/>
      <c r="J227" s="751" t="n"/>
      <c r="K227" s="757">
        <f>IF(A227="","",IF(J227="AUTO",H227,IF(J227="MANUAL",AK227,"")))</f>
        <v/>
      </c>
      <c r="L227" s="751" t="n"/>
      <c r="M227" s="751" t="n"/>
      <c r="N227" s="751">
        <f>IF(A227="","",IF(COUNTIFS('Human Operation Desktop'!$A$3:$A$502,A227,'Human Operation Desktop'!$I$3:$I$502,"&lt;&gt;APPLIED",'Human Operation Desktop'!$I$3:$I$502,"&lt;&gt;REJECTED")&gt;0,"YES","NO"))</f>
        <v/>
      </c>
      <c r="O227" s="751" t="n"/>
      <c r="P227" s="752" t="n"/>
      <c r="Q227" s="752" t="n"/>
      <c r="R227" s="752" t="n"/>
      <c r="S227" s="752" t="n"/>
      <c r="T227" s="752" t="n"/>
      <c r="U227" s="752" t="n"/>
      <c r="V227" s="752" t="n"/>
      <c r="W227" s="752" t="n"/>
      <c r="X227" s="752" t="n"/>
      <c r="Y227" s="752" t="n"/>
      <c r="Z227" s="752" t="n"/>
      <c r="AA227" s="752" t="n"/>
      <c r="AB227" s="752" t="n"/>
      <c r="AC227" s="752" t="n"/>
      <c r="AD227" s="752" t="n"/>
      <c r="AE227" s="752" t="n"/>
      <c r="AF227" s="752" t="n"/>
      <c r="AG227" s="752" t="n"/>
      <c r="AH227" s="752" t="n"/>
      <c r="AI227" s="752" t="n"/>
      <c r="AJ227" s="752" t="n"/>
      <c r="AK227" s="759" t="n"/>
      <c r="AL227" s="752" t="n"/>
      <c r="AM227" s="752" t="n"/>
      <c r="AN227" s="752" t="n"/>
      <c r="AO227" s="752" t="n"/>
      <c r="AP227" s="752" t="n"/>
      <c r="AQ227" s="752" t="n"/>
      <c r="AR227" s="752" t="n"/>
      <c r="AS227" s="752" t="n"/>
    </row>
    <row r="228" ht="30" customHeight="1" s="36">
      <c r="A228" s="751" t="n"/>
      <c r="B228" s="751" t="n"/>
      <c r="C228" s="751" t="n"/>
      <c r="D228" s="751" t="n"/>
      <c r="E228" s="751">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751" t="n"/>
      <c r="G228" s="755" t="n"/>
      <c r="H228" s="755" t="n"/>
      <c r="I228" s="751" t="n"/>
      <c r="J228" s="751" t="n"/>
      <c r="K228" s="757">
        <f>IF(A228="","",IF(J228="AUTO",H228,IF(J228="MANUAL",AK228,"")))</f>
        <v/>
      </c>
      <c r="L228" s="751" t="n"/>
      <c r="M228" s="751" t="n"/>
      <c r="N228" s="751">
        <f>IF(A228="","",IF(COUNTIFS('Human Operation Desktop'!$A$3:$A$502,A228,'Human Operation Desktop'!$I$3:$I$502,"&lt;&gt;APPLIED",'Human Operation Desktop'!$I$3:$I$502,"&lt;&gt;REJECTED")&gt;0,"YES","NO"))</f>
        <v/>
      </c>
      <c r="O228" s="751" t="n"/>
      <c r="P228" s="752" t="n"/>
      <c r="Q228" s="752" t="n"/>
      <c r="R228" s="752" t="n"/>
      <c r="S228" s="752" t="n"/>
      <c r="T228" s="752" t="n"/>
      <c r="U228" s="752" t="n"/>
      <c r="V228" s="752" t="n"/>
      <c r="W228" s="752" t="n"/>
      <c r="X228" s="752" t="n"/>
      <c r="Y228" s="752" t="n"/>
      <c r="Z228" s="752" t="n"/>
      <c r="AA228" s="752" t="n"/>
      <c r="AB228" s="752" t="n"/>
      <c r="AC228" s="752" t="n"/>
      <c r="AD228" s="752" t="n"/>
      <c r="AE228" s="752" t="n"/>
      <c r="AF228" s="752" t="n"/>
      <c r="AG228" s="752" t="n"/>
      <c r="AH228" s="752" t="n"/>
      <c r="AI228" s="752" t="n"/>
      <c r="AJ228" s="752" t="n"/>
      <c r="AK228" s="759" t="n"/>
      <c r="AL228" s="752" t="n"/>
      <c r="AM228" s="752" t="n"/>
      <c r="AN228" s="752" t="n"/>
      <c r="AO228" s="752" t="n"/>
      <c r="AP228" s="752" t="n"/>
      <c r="AQ228" s="752" t="n"/>
      <c r="AR228" s="752" t="n"/>
      <c r="AS228" s="752" t="n"/>
    </row>
    <row r="229" ht="30" customHeight="1" s="36">
      <c r="A229" s="751" t="n"/>
      <c r="B229" s="751" t="n"/>
      <c r="C229" s="751" t="n"/>
      <c r="D229" s="751" t="n"/>
      <c r="E229" s="751">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751" t="n"/>
      <c r="G229" s="755" t="n"/>
      <c r="H229" s="755" t="n"/>
      <c r="I229" s="751" t="n"/>
      <c r="J229" s="751" t="n"/>
      <c r="K229" s="757">
        <f>IF(A229="","",IF(J229="AUTO",H229,IF(J229="MANUAL",AK229,"")))</f>
        <v/>
      </c>
      <c r="L229" s="751" t="n"/>
      <c r="M229" s="751" t="n"/>
      <c r="N229" s="751">
        <f>IF(A229="","",IF(COUNTIFS('Human Operation Desktop'!$A$3:$A$502,A229,'Human Operation Desktop'!$I$3:$I$502,"&lt;&gt;APPLIED",'Human Operation Desktop'!$I$3:$I$502,"&lt;&gt;REJECTED")&gt;0,"YES","NO"))</f>
        <v/>
      </c>
      <c r="O229" s="751" t="n"/>
      <c r="P229" s="752" t="n"/>
      <c r="Q229" s="752" t="n"/>
      <c r="R229" s="752" t="n"/>
      <c r="S229" s="752" t="n"/>
      <c r="T229" s="752" t="n"/>
      <c r="U229" s="752" t="n"/>
      <c r="V229" s="752" t="n"/>
      <c r="W229" s="752" t="n"/>
      <c r="X229" s="752" t="n"/>
      <c r="Y229" s="752" t="n"/>
      <c r="Z229" s="752" t="n"/>
      <c r="AA229" s="752" t="n"/>
      <c r="AB229" s="752" t="n"/>
      <c r="AC229" s="752" t="n"/>
      <c r="AD229" s="752" t="n"/>
      <c r="AE229" s="752" t="n"/>
      <c r="AF229" s="752" t="n"/>
      <c r="AG229" s="752" t="n"/>
      <c r="AH229" s="752" t="n"/>
      <c r="AI229" s="752" t="n"/>
      <c r="AJ229" s="752" t="n"/>
      <c r="AK229" s="759" t="n"/>
      <c r="AL229" s="752" t="n"/>
      <c r="AM229" s="752" t="n"/>
      <c r="AN229" s="752" t="n"/>
      <c r="AO229" s="752" t="n"/>
      <c r="AP229" s="752" t="n"/>
      <c r="AQ229" s="752" t="n"/>
      <c r="AR229" s="752" t="n"/>
      <c r="AS229" s="752" t="n"/>
    </row>
    <row r="230" ht="30" customHeight="1" s="36">
      <c r="A230" s="751" t="n"/>
      <c r="B230" s="751" t="n"/>
      <c r="C230" s="751" t="n"/>
      <c r="D230" s="751" t="n"/>
      <c r="E230" s="751">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751" t="n"/>
      <c r="G230" s="755" t="n"/>
      <c r="H230" s="755" t="n"/>
      <c r="I230" s="751" t="n"/>
      <c r="J230" s="751" t="n"/>
      <c r="K230" s="757">
        <f>IF(A230="","",IF(J230="AUTO",H230,IF(J230="MANUAL",AK230,"")))</f>
        <v/>
      </c>
      <c r="L230" s="751" t="n"/>
      <c r="M230" s="751" t="n"/>
      <c r="N230" s="751">
        <f>IF(A230="","",IF(COUNTIFS('Human Operation Desktop'!$A$3:$A$502,A230,'Human Operation Desktop'!$I$3:$I$502,"&lt;&gt;APPLIED",'Human Operation Desktop'!$I$3:$I$502,"&lt;&gt;REJECTED")&gt;0,"YES","NO"))</f>
        <v/>
      </c>
      <c r="O230" s="751" t="n"/>
      <c r="P230" s="752" t="n"/>
      <c r="Q230" s="752" t="n"/>
      <c r="R230" s="752" t="n"/>
      <c r="S230" s="752" t="n"/>
      <c r="T230" s="752" t="n"/>
      <c r="U230" s="752" t="n"/>
      <c r="V230" s="752" t="n"/>
      <c r="W230" s="752" t="n"/>
      <c r="X230" s="752" t="n"/>
      <c r="Y230" s="752" t="n"/>
      <c r="Z230" s="752" t="n"/>
      <c r="AA230" s="752" t="n"/>
      <c r="AB230" s="752" t="n"/>
      <c r="AC230" s="752" t="n"/>
      <c r="AD230" s="752" t="n"/>
      <c r="AE230" s="752" t="n"/>
      <c r="AF230" s="752" t="n"/>
      <c r="AG230" s="752" t="n"/>
      <c r="AH230" s="752" t="n"/>
      <c r="AI230" s="752" t="n"/>
      <c r="AJ230" s="752" t="n"/>
      <c r="AK230" s="759" t="n"/>
      <c r="AL230" s="752" t="n"/>
      <c r="AM230" s="752" t="n"/>
      <c r="AN230" s="752" t="n"/>
      <c r="AO230" s="752" t="n"/>
      <c r="AP230" s="752" t="n"/>
      <c r="AQ230" s="752" t="n"/>
      <c r="AR230" s="752" t="n"/>
      <c r="AS230" s="752" t="n"/>
    </row>
    <row r="231" ht="30" customHeight="1" s="36">
      <c r="A231" s="751" t="n"/>
      <c r="B231" s="751" t="n"/>
      <c r="C231" s="751" t="n"/>
      <c r="D231" s="751" t="n"/>
      <c r="E231" s="751">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751" t="n"/>
      <c r="G231" s="755" t="n"/>
      <c r="H231" s="755" t="n"/>
      <c r="I231" s="751" t="n"/>
      <c r="J231" s="751" t="n"/>
      <c r="K231" s="757">
        <f>IF(A231="","",IF(J231="AUTO",H231,IF(J231="MANUAL",AK231,"")))</f>
        <v/>
      </c>
      <c r="L231" s="751" t="n"/>
      <c r="M231" s="751" t="n"/>
      <c r="N231" s="751">
        <f>IF(A231="","",IF(COUNTIFS('Human Operation Desktop'!$A$3:$A$502,A231,'Human Operation Desktop'!$I$3:$I$502,"&lt;&gt;APPLIED",'Human Operation Desktop'!$I$3:$I$502,"&lt;&gt;REJECTED")&gt;0,"YES","NO"))</f>
        <v/>
      </c>
      <c r="O231" s="751" t="n"/>
      <c r="P231" s="752" t="n"/>
      <c r="Q231" s="752" t="n"/>
      <c r="R231" s="752" t="n"/>
      <c r="S231" s="752" t="n"/>
      <c r="T231" s="752" t="n"/>
      <c r="U231" s="752" t="n"/>
      <c r="V231" s="752" t="n"/>
      <c r="W231" s="752" t="n"/>
      <c r="X231" s="752" t="n"/>
      <c r="Y231" s="752" t="n"/>
      <c r="Z231" s="752" t="n"/>
      <c r="AA231" s="752" t="n"/>
      <c r="AB231" s="752" t="n"/>
      <c r="AC231" s="752" t="n"/>
      <c r="AD231" s="752" t="n"/>
      <c r="AE231" s="752" t="n"/>
      <c r="AF231" s="752" t="n"/>
      <c r="AG231" s="752" t="n"/>
      <c r="AH231" s="752" t="n"/>
      <c r="AI231" s="752" t="n"/>
      <c r="AJ231" s="752" t="n"/>
      <c r="AK231" s="759" t="n"/>
      <c r="AL231" s="752" t="n"/>
      <c r="AM231" s="752" t="n"/>
      <c r="AN231" s="752" t="n"/>
      <c r="AO231" s="752" t="n"/>
      <c r="AP231" s="752" t="n"/>
      <c r="AQ231" s="752" t="n"/>
      <c r="AR231" s="752" t="n"/>
      <c r="AS231" s="752" t="n"/>
    </row>
    <row r="232" ht="30" customHeight="1" s="36">
      <c r="A232" s="751" t="n"/>
      <c r="B232" s="751" t="n"/>
      <c r="C232" s="751" t="n"/>
      <c r="D232" s="751" t="n"/>
      <c r="E232" s="751">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751" t="n"/>
      <c r="G232" s="755" t="n"/>
      <c r="H232" s="755" t="n"/>
      <c r="I232" s="751" t="n"/>
      <c r="J232" s="751" t="n"/>
      <c r="K232" s="757">
        <f>IF(A232="","",IF(J232="AUTO",H232,IF(J232="MANUAL",AK232,"")))</f>
        <v/>
      </c>
      <c r="L232" s="751" t="n"/>
      <c r="M232" s="751" t="n"/>
      <c r="N232" s="751">
        <f>IF(A232="","",IF(COUNTIFS('Human Operation Desktop'!$A$3:$A$502,A232,'Human Operation Desktop'!$I$3:$I$502,"&lt;&gt;APPLIED",'Human Operation Desktop'!$I$3:$I$502,"&lt;&gt;REJECTED")&gt;0,"YES","NO"))</f>
        <v/>
      </c>
      <c r="O232" s="751" t="n"/>
      <c r="P232" s="752" t="n"/>
      <c r="Q232" s="752" t="n"/>
      <c r="R232" s="752" t="n"/>
      <c r="S232" s="752" t="n"/>
      <c r="T232" s="752" t="n"/>
      <c r="U232" s="752" t="n"/>
      <c r="V232" s="752" t="n"/>
      <c r="W232" s="752" t="n"/>
      <c r="X232" s="752" t="n"/>
      <c r="Y232" s="752" t="n"/>
      <c r="Z232" s="752" t="n"/>
      <c r="AA232" s="752" t="n"/>
      <c r="AB232" s="752" t="n"/>
      <c r="AC232" s="752" t="n"/>
      <c r="AD232" s="752" t="n"/>
      <c r="AE232" s="752" t="n"/>
      <c r="AF232" s="752" t="n"/>
      <c r="AG232" s="752" t="n"/>
      <c r="AH232" s="752" t="n"/>
      <c r="AI232" s="752" t="n"/>
      <c r="AJ232" s="752" t="n"/>
      <c r="AK232" s="759" t="n"/>
      <c r="AL232" s="752" t="n"/>
      <c r="AM232" s="752" t="n"/>
      <c r="AN232" s="752" t="n"/>
      <c r="AO232" s="752" t="n"/>
      <c r="AP232" s="752" t="n"/>
      <c r="AQ232" s="752" t="n"/>
      <c r="AR232" s="752" t="n"/>
      <c r="AS232" s="752" t="n"/>
    </row>
    <row r="233" ht="30" customHeight="1" s="36">
      <c r="A233" s="751" t="n"/>
      <c r="B233" s="751" t="n"/>
      <c r="C233" s="751" t="n"/>
      <c r="D233" s="751" t="n"/>
      <c r="E233" s="751">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751" t="n"/>
      <c r="G233" s="755" t="n"/>
      <c r="H233" s="755" t="n"/>
      <c r="I233" s="751" t="n"/>
      <c r="J233" s="751" t="n"/>
      <c r="K233" s="757">
        <f>IF(A233="","",IF(J233="AUTO",H233,IF(J233="MANUAL",AK233,"")))</f>
        <v/>
      </c>
      <c r="L233" s="751" t="n"/>
      <c r="M233" s="751" t="n"/>
      <c r="N233" s="751">
        <f>IF(A233="","",IF(COUNTIFS('Human Operation Desktop'!$A$3:$A$502,A233,'Human Operation Desktop'!$I$3:$I$502,"&lt;&gt;APPLIED",'Human Operation Desktop'!$I$3:$I$502,"&lt;&gt;REJECTED")&gt;0,"YES","NO"))</f>
        <v/>
      </c>
      <c r="O233" s="751" t="n"/>
      <c r="P233" s="752" t="n"/>
      <c r="Q233" s="752" t="n"/>
      <c r="R233" s="752" t="n"/>
      <c r="S233" s="752" t="n"/>
      <c r="T233" s="752" t="n"/>
      <c r="U233" s="752" t="n"/>
      <c r="V233" s="752" t="n"/>
      <c r="W233" s="752" t="n"/>
      <c r="X233" s="752" t="n"/>
      <c r="Y233" s="752" t="n"/>
      <c r="Z233" s="752" t="n"/>
      <c r="AA233" s="752" t="n"/>
      <c r="AB233" s="752" t="n"/>
      <c r="AC233" s="752" t="n"/>
      <c r="AD233" s="752" t="n"/>
      <c r="AE233" s="752" t="n"/>
      <c r="AF233" s="752" t="n"/>
      <c r="AG233" s="752" t="n"/>
      <c r="AH233" s="752" t="n"/>
      <c r="AI233" s="752" t="n"/>
      <c r="AJ233" s="752" t="n"/>
      <c r="AK233" s="759" t="n"/>
      <c r="AL233" s="752" t="n"/>
      <c r="AM233" s="752" t="n"/>
      <c r="AN233" s="752" t="n"/>
      <c r="AO233" s="752" t="n"/>
      <c r="AP233" s="752" t="n"/>
      <c r="AQ233" s="752" t="n"/>
      <c r="AR233" s="752" t="n"/>
      <c r="AS233" s="752" t="n"/>
    </row>
    <row r="234" ht="30" customHeight="1" s="36">
      <c r="A234" s="751" t="n"/>
      <c r="B234" s="751" t="n"/>
      <c r="C234" s="751" t="n"/>
      <c r="D234" s="751" t="n"/>
      <c r="E234" s="751">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751" t="n"/>
      <c r="G234" s="755" t="n"/>
      <c r="H234" s="755" t="n"/>
      <c r="I234" s="751" t="n"/>
      <c r="J234" s="751" t="n"/>
      <c r="K234" s="757">
        <f>IF(A234="","",IF(J234="AUTO",H234,IF(J234="MANUAL",AK234,"")))</f>
        <v/>
      </c>
      <c r="L234" s="751" t="n"/>
      <c r="M234" s="751" t="n"/>
      <c r="N234" s="751">
        <f>IF(A234="","",IF(COUNTIFS('Human Operation Desktop'!$A$3:$A$502,A234,'Human Operation Desktop'!$I$3:$I$502,"&lt;&gt;APPLIED",'Human Operation Desktop'!$I$3:$I$502,"&lt;&gt;REJECTED")&gt;0,"YES","NO"))</f>
        <v/>
      </c>
      <c r="O234" s="751" t="n"/>
      <c r="P234" s="752" t="n"/>
      <c r="Q234" s="752" t="n"/>
      <c r="R234" s="752" t="n"/>
      <c r="S234" s="752" t="n"/>
      <c r="T234" s="752" t="n"/>
      <c r="U234" s="752" t="n"/>
      <c r="V234" s="752" t="n"/>
      <c r="W234" s="752" t="n"/>
      <c r="X234" s="752" t="n"/>
      <c r="Y234" s="752" t="n"/>
      <c r="Z234" s="752" t="n"/>
      <c r="AA234" s="752" t="n"/>
      <c r="AB234" s="752" t="n"/>
      <c r="AC234" s="752" t="n"/>
      <c r="AD234" s="752" t="n"/>
      <c r="AE234" s="752" t="n"/>
      <c r="AF234" s="752" t="n"/>
      <c r="AG234" s="752" t="n"/>
      <c r="AH234" s="752" t="n"/>
      <c r="AI234" s="752" t="n"/>
      <c r="AJ234" s="752" t="n"/>
      <c r="AK234" s="759" t="n"/>
      <c r="AL234" s="752" t="n"/>
      <c r="AM234" s="752" t="n"/>
      <c r="AN234" s="752" t="n"/>
      <c r="AO234" s="752" t="n"/>
      <c r="AP234" s="752" t="n"/>
      <c r="AQ234" s="752" t="n"/>
      <c r="AR234" s="752" t="n"/>
      <c r="AS234" s="752" t="n"/>
    </row>
    <row r="235" ht="30" customHeight="1" s="36">
      <c r="A235" s="751" t="n"/>
      <c r="B235" s="751" t="n"/>
      <c r="C235" s="751" t="n"/>
      <c r="D235" s="751" t="n"/>
      <c r="E235" s="751">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751" t="n"/>
      <c r="G235" s="755" t="n"/>
      <c r="H235" s="755" t="n"/>
      <c r="I235" s="751" t="n"/>
      <c r="J235" s="751" t="n"/>
      <c r="K235" s="757">
        <f>IF(A235="","",IF(J235="AUTO",H235,IF(J235="MANUAL",AK235,"")))</f>
        <v/>
      </c>
      <c r="L235" s="751" t="n"/>
      <c r="M235" s="751" t="n"/>
      <c r="N235" s="751">
        <f>IF(A235="","",IF(COUNTIFS('Human Operation Desktop'!$A$3:$A$502,A235,'Human Operation Desktop'!$I$3:$I$502,"&lt;&gt;APPLIED",'Human Operation Desktop'!$I$3:$I$502,"&lt;&gt;REJECTED")&gt;0,"YES","NO"))</f>
        <v/>
      </c>
      <c r="O235" s="751" t="n"/>
      <c r="P235" s="752" t="n"/>
      <c r="Q235" s="752" t="n"/>
      <c r="R235" s="752" t="n"/>
      <c r="S235" s="752" t="n"/>
      <c r="T235" s="752" t="n"/>
      <c r="U235" s="752" t="n"/>
      <c r="V235" s="752" t="n"/>
      <c r="W235" s="752" t="n"/>
      <c r="X235" s="752" t="n"/>
      <c r="Y235" s="752" t="n"/>
      <c r="Z235" s="752" t="n"/>
      <c r="AA235" s="752" t="n"/>
      <c r="AB235" s="752" t="n"/>
      <c r="AC235" s="752" t="n"/>
      <c r="AD235" s="752" t="n"/>
      <c r="AE235" s="752" t="n"/>
      <c r="AF235" s="752" t="n"/>
      <c r="AG235" s="752" t="n"/>
      <c r="AH235" s="752" t="n"/>
      <c r="AI235" s="752" t="n"/>
      <c r="AJ235" s="752" t="n"/>
      <c r="AK235" s="759" t="n"/>
      <c r="AL235" s="752" t="n"/>
      <c r="AM235" s="752" t="n"/>
      <c r="AN235" s="752" t="n"/>
      <c r="AO235" s="752" t="n"/>
      <c r="AP235" s="752" t="n"/>
      <c r="AQ235" s="752" t="n"/>
      <c r="AR235" s="752" t="n"/>
      <c r="AS235" s="752" t="n"/>
    </row>
    <row r="236" ht="30" customHeight="1" s="36">
      <c r="A236" s="751" t="n"/>
      <c r="B236" s="751" t="n"/>
      <c r="C236" s="751" t="n"/>
      <c r="D236" s="751" t="n"/>
      <c r="E236" s="751">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751" t="n"/>
      <c r="G236" s="755" t="n"/>
      <c r="H236" s="755" t="n"/>
      <c r="I236" s="751" t="n"/>
      <c r="J236" s="751" t="n"/>
      <c r="K236" s="757">
        <f>IF(A236="","",IF(J236="AUTO",H236,IF(J236="MANUAL",AK236,"")))</f>
        <v/>
      </c>
      <c r="L236" s="751" t="n"/>
      <c r="M236" s="751" t="n"/>
      <c r="N236" s="751">
        <f>IF(A236="","",IF(COUNTIFS('Human Operation Desktop'!$A$3:$A$502,A236,'Human Operation Desktop'!$I$3:$I$502,"&lt;&gt;APPLIED",'Human Operation Desktop'!$I$3:$I$502,"&lt;&gt;REJECTED")&gt;0,"YES","NO"))</f>
        <v/>
      </c>
      <c r="O236" s="751" t="n"/>
      <c r="P236" s="752" t="n"/>
      <c r="Q236" s="752" t="n"/>
      <c r="R236" s="752" t="n"/>
      <c r="S236" s="752" t="n"/>
      <c r="T236" s="752" t="n"/>
      <c r="U236" s="752" t="n"/>
      <c r="V236" s="752" t="n"/>
      <c r="W236" s="752" t="n"/>
      <c r="X236" s="752" t="n"/>
      <c r="Y236" s="752" t="n"/>
      <c r="Z236" s="752" t="n"/>
      <c r="AA236" s="752" t="n"/>
      <c r="AB236" s="752" t="n"/>
      <c r="AC236" s="752" t="n"/>
      <c r="AD236" s="752" t="n"/>
      <c r="AE236" s="752" t="n"/>
      <c r="AF236" s="752" t="n"/>
      <c r="AG236" s="752" t="n"/>
      <c r="AH236" s="752" t="n"/>
      <c r="AI236" s="752" t="n"/>
      <c r="AJ236" s="752" t="n"/>
      <c r="AK236" s="759" t="n"/>
      <c r="AL236" s="752" t="n"/>
      <c r="AM236" s="752" t="n"/>
      <c r="AN236" s="752" t="n"/>
      <c r="AO236" s="752" t="n"/>
      <c r="AP236" s="752" t="n"/>
      <c r="AQ236" s="752" t="n"/>
      <c r="AR236" s="752" t="n"/>
      <c r="AS236" s="752" t="n"/>
    </row>
    <row r="237" ht="30" customHeight="1" s="36">
      <c r="A237" s="751" t="n"/>
      <c r="B237" s="751" t="n"/>
      <c r="C237" s="751" t="n"/>
      <c r="D237" s="751" t="n"/>
      <c r="E237" s="751">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751" t="n"/>
      <c r="G237" s="755" t="n"/>
      <c r="H237" s="755" t="n"/>
      <c r="I237" s="751" t="n"/>
      <c r="J237" s="751" t="n"/>
      <c r="K237" s="757">
        <f>IF(A237="","",IF(J237="AUTO",H237,IF(J237="MANUAL",AK237,"")))</f>
        <v/>
      </c>
      <c r="L237" s="751" t="n"/>
      <c r="M237" s="751" t="n"/>
      <c r="N237" s="751">
        <f>IF(A237="","",IF(COUNTIFS('Human Operation Desktop'!$A$3:$A$502,A237,'Human Operation Desktop'!$I$3:$I$502,"&lt;&gt;APPLIED",'Human Operation Desktop'!$I$3:$I$502,"&lt;&gt;REJECTED")&gt;0,"YES","NO"))</f>
        <v/>
      </c>
      <c r="O237" s="751" t="n"/>
      <c r="P237" s="752" t="n"/>
      <c r="Q237" s="752" t="n"/>
      <c r="R237" s="752" t="n"/>
      <c r="S237" s="752" t="n"/>
      <c r="T237" s="752" t="n"/>
      <c r="U237" s="752" t="n"/>
      <c r="V237" s="752" t="n"/>
      <c r="W237" s="752" t="n"/>
      <c r="X237" s="752" t="n"/>
      <c r="Y237" s="752" t="n"/>
      <c r="Z237" s="752" t="n"/>
      <c r="AA237" s="752" t="n"/>
      <c r="AB237" s="752" t="n"/>
      <c r="AC237" s="752" t="n"/>
      <c r="AD237" s="752" t="n"/>
      <c r="AE237" s="752" t="n"/>
      <c r="AF237" s="752" t="n"/>
      <c r="AG237" s="752" t="n"/>
      <c r="AH237" s="752" t="n"/>
      <c r="AI237" s="752" t="n"/>
      <c r="AJ237" s="752" t="n"/>
      <c r="AK237" s="759" t="n"/>
      <c r="AL237" s="752" t="n"/>
      <c r="AM237" s="752" t="n"/>
      <c r="AN237" s="752" t="n"/>
      <c r="AO237" s="752" t="n"/>
      <c r="AP237" s="752" t="n"/>
      <c r="AQ237" s="752" t="n"/>
      <c r="AR237" s="752" t="n"/>
      <c r="AS237" s="752" t="n"/>
    </row>
    <row r="238" ht="30" customHeight="1" s="36">
      <c r="A238" s="751" t="n"/>
      <c r="B238" s="751" t="n"/>
      <c r="C238" s="751" t="n"/>
      <c r="D238" s="751" t="n"/>
      <c r="E238" s="751">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751" t="n"/>
      <c r="G238" s="755" t="n"/>
      <c r="H238" s="755" t="n"/>
      <c r="I238" s="751" t="n"/>
      <c r="J238" s="751" t="n"/>
      <c r="K238" s="757">
        <f>IF(A238="","",IF(J238="AUTO",H238,IF(J238="MANUAL",AK238,"")))</f>
        <v/>
      </c>
      <c r="L238" s="751" t="n"/>
      <c r="M238" s="751" t="n"/>
      <c r="N238" s="751">
        <f>IF(A238="","",IF(COUNTIFS('Human Operation Desktop'!$A$3:$A$502,A238,'Human Operation Desktop'!$I$3:$I$502,"&lt;&gt;APPLIED",'Human Operation Desktop'!$I$3:$I$502,"&lt;&gt;REJECTED")&gt;0,"YES","NO"))</f>
        <v/>
      </c>
      <c r="O238" s="751" t="n"/>
      <c r="P238" s="752" t="n"/>
      <c r="Q238" s="752" t="n"/>
      <c r="R238" s="752" t="n"/>
      <c r="S238" s="752" t="n"/>
      <c r="T238" s="752" t="n"/>
      <c r="U238" s="752" t="n"/>
      <c r="V238" s="752" t="n"/>
      <c r="W238" s="752" t="n"/>
      <c r="X238" s="752" t="n"/>
      <c r="Y238" s="752" t="n"/>
      <c r="Z238" s="752" t="n"/>
      <c r="AA238" s="752" t="n"/>
      <c r="AB238" s="752" t="n"/>
      <c r="AC238" s="752" t="n"/>
      <c r="AD238" s="752" t="n"/>
      <c r="AE238" s="752" t="n"/>
      <c r="AF238" s="752" t="n"/>
      <c r="AG238" s="752" t="n"/>
      <c r="AH238" s="752" t="n"/>
      <c r="AI238" s="752" t="n"/>
      <c r="AJ238" s="752" t="n"/>
      <c r="AK238" s="759" t="n"/>
      <c r="AL238" s="752" t="n"/>
      <c r="AM238" s="752" t="n"/>
      <c r="AN238" s="752" t="n"/>
      <c r="AO238" s="752" t="n"/>
      <c r="AP238" s="752" t="n"/>
      <c r="AQ238" s="752" t="n"/>
      <c r="AR238" s="752" t="n"/>
      <c r="AS238" s="752" t="n"/>
    </row>
    <row r="239" ht="30" customHeight="1" s="36">
      <c r="A239" s="751" t="n"/>
      <c r="B239" s="751" t="n"/>
      <c r="C239" s="751" t="n"/>
      <c r="D239" s="751" t="n"/>
      <c r="E239" s="751">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751" t="n"/>
      <c r="G239" s="755" t="n"/>
      <c r="H239" s="755" t="n"/>
      <c r="I239" s="751" t="n"/>
      <c r="J239" s="751" t="n"/>
      <c r="K239" s="757">
        <f>IF(A239="","",IF(J239="AUTO",H239,IF(J239="MANUAL",AK239,"")))</f>
        <v/>
      </c>
      <c r="L239" s="751" t="n"/>
      <c r="M239" s="751" t="n"/>
      <c r="N239" s="751">
        <f>IF(A239="","",IF(COUNTIFS('Human Operation Desktop'!$A$3:$A$502,A239,'Human Operation Desktop'!$I$3:$I$502,"&lt;&gt;APPLIED",'Human Operation Desktop'!$I$3:$I$502,"&lt;&gt;REJECTED")&gt;0,"YES","NO"))</f>
        <v/>
      </c>
      <c r="O239" s="751" t="n"/>
      <c r="P239" s="752" t="n"/>
      <c r="Q239" s="752" t="n"/>
      <c r="R239" s="752" t="n"/>
      <c r="S239" s="752" t="n"/>
      <c r="T239" s="752" t="n"/>
      <c r="U239" s="752" t="n"/>
      <c r="V239" s="752" t="n"/>
      <c r="W239" s="752" t="n"/>
      <c r="X239" s="752" t="n"/>
      <c r="Y239" s="752" t="n"/>
      <c r="Z239" s="752" t="n"/>
      <c r="AA239" s="752" t="n"/>
      <c r="AB239" s="752" t="n"/>
      <c r="AC239" s="752" t="n"/>
      <c r="AD239" s="752" t="n"/>
      <c r="AE239" s="752" t="n"/>
      <c r="AF239" s="752" t="n"/>
      <c r="AG239" s="752" t="n"/>
      <c r="AH239" s="752" t="n"/>
      <c r="AI239" s="752" t="n"/>
      <c r="AJ239" s="752" t="n"/>
      <c r="AK239" s="759" t="n"/>
      <c r="AL239" s="752" t="n"/>
      <c r="AM239" s="752" t="n"/>
      <c r="AN239" s="752" t="n"/>
      <c r="AO239" s="752" t="n"/>
      <c r="AP239" s="752" t="n"/>
      <c r="AQ239" s="752" t="n"/>
      <c r="AR239" s="752" t="n"/>
      <c r="AS239" s="752" t="n"/>
    </row>
    <row r="240" ht="30" customHeight="1" s="36">
      <c r="A240" s="751" t="n"/>
      <c r="B240" s="751" t="n"/>
      <c r="C240" s="751" t="n"/>
      <c r="D240" s="751" t="n"/>
      <c r="E240" s="751">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751" t="n"/>
      <c r="G240" s="755" t="n"/>
      <c r="H240" s="755" t="n"/>
      <c r="I240" s="751" t="n"/>
      <c r="J240" s="751" t="n"/>
      <c r="K240" s="757">
        <f>IF(A240="","",IF(J240="AUTO",H240,IF(J240="MANUAL",AK240,"")))</f>
        <v/>
      </c>
      <c r="L240" s="751" t="n"/>
      <c r="M240" s="751" t="n"/>
      <c r="N240" s="751">
        <f>IF(A240="","",IF(COUNTIFS('Human Operation Desktop'!$A$3:$A$502,A240,'Human Operation Desktop'!$I$3:$I$502,"&lt;&gt;APPLIED",'Human Operation Desktop'!$I$3:$I$502,"&lt;&gt;REJECTED")&gt;0,"YES","NO"))</f>
        <v/>
      </c>
      <c r="O240" s="751" t="n"/>
      <c r="P240" s="752" t="n"/>
      <c r="Q240" s="752" t="n"/>
      <c r="R240" s="752" t="n"/>
      <c r="S240" s="752" t="n"/>
      <c r="T240" s="752" t="n"/>
      <c r="U240" s="752" t="n"/>
      <c r="V240" s="752" t="n"/>
      <c r="W240" s="752" t="n"/>
      <c r="X240" s="752" t="n"/>
      <c r="Y240" s="752" t="n"/>
      <c r="Z240" s="752" t="n"/>
      <c r="AA240" s="752" t="n"/>
      <c r="AB240" s="752" t="n"/>
      <c r="AC240" s="752" t="n"/>
      <c r="AD240" s="752" t="n"/>
      <c r="AE240" s="752" t="n"/>
      <c r="AF240" s="752" t="n"/>
      <c r="AG240" s="752" t="n"/>
      <c r="AH240" s="752" t="n"/>
      <c r="AI240" s="752" t="n"/>
      <c r="AJ240" s="752" t="n"/>
      <c r="AK240" s="759" t="n"/>
      <c r="AL240" s="752" t="n"/>
      <c r="AM240" s="752" t="n"/>
      <c r="AN240" s="752" t="n"/>
      <c r="AO240" s="752" t="n"/>
      <c r="AP240" s="752" t="n"/>
      <c r="AQ240" s="752" t="n"/>
      <c r="AR240" s="752" t="n"/>
      <c r="AS240" s="752" t="n"/>
    </row>
    <row r="241" ht="30" customHeight="1" s="36">
      <c r="A241" s="751" t="n"/>
      <c r="B241" s="751" t="n"/>
      <c r="C241" s="751" t="n"/>
      <c r="D241" s="751" t="n"/>
      <c r="E241" s="751">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751" t="n"/>
      <c r="G241" s="755" t="n"/>
      <c r="H241" s="755" t="n"/>
      <c r="I241" s="751" t="n"/>
      <c r="J241" s="751" t="n"/>
      <c r="K241" s="757">
        <f>IF(A241="","",IF(J241="AUTO",H241,IF(J241="MANUAL",AK241,"")))</f>
        <v/>
      </c>
      <c r="L241" s="751" t="n"/>
      <c r="M241" s="751" t="n"/>
      <c r="N241" s="751">
        <f>IF(A241="","",IF(COUNTIFS('Human Operation Desktop'!$A$3:$A$502,A241,'Human Operation Desktop'!$I$3:$I$502,"&lt;&gt;APPLIED",'Human Operation Desktop'!$I$3:$I$502,"&lt;&gt;REJECTED")&gt;0,"YES","NO"))</f>
        <v/>
      </c>
      <c r="O241" s="751" t="n"/>
      <c r="P241" s="752" t="n"/>
      <c r="Q241" s="752" t="n"/>
      <c r="R241" s="752" t="n"/>
      <c r="S241" s="752" t="n"/>
      <c r="T241" s="752" t="n"/>
      <c r="U241" s="752" t="n"/>
      <c r="V241" s="752" t="n"/>
      <c r="W241" s="752" t="n"/>
      <c r="X241" s="752" t="n"/>
      <c r="Y241" s="752" t="n"/>
      <c r="Z241" s="752" t="n"/>
      <c r="AA241" s="752" t="n"/>
      <c r="AB241" s="752" t="n"/>
      <c r="AC241" s="752" t="n"/>
      <c r="AD241" s="752" t="n"/>
      <c r="AE241" s="752" t="n"/>
      <c r="AF241" s="752" t="n"/>
      <c r="AG241" s="752" t="n"/>
      <c r="AH241" s="752" t="n"/>
      <c r="AI241" s="752" t="n"/>
      <c r="AJ241" s="752" t="n"/>
      <c r="AK241" s="759" t="n"/>
      <c r="AL241" s="752" t="n"/>
      <c r="AM241" s="752" t="n"/>
      <c r="AN241" s="752" t="n"/>
      <c r="AO241" s="752" t="n"/>
      <c r="AP241" s="752" t="n"/>
      <c r="AQ241" s="752" t="n"/>
      <c r="AR241" s="752" t="n"/>
      <c r="AS241" s="752" t="n"/>
    </row>
    <row r="242" ht="30" customHeight="1" s="36">
      <c r="A242" s="751" t="n"/>
      <c r="B242" s="751" t="n"/>
      <c r="C242" s="751" t="n"/>
      <c r="D242" s="751" t="n"/>
      <c r="E242" s="751">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751" t="n"/>
      <c r="G242" s="755" t="n"/>
      <c r="H242" s="755" t="n"/>
      <c r="I242" s="751" t="n"/>
      <c r="J242" s="751" t="n"/>
      <c r="K242" s="757">
        <f>IF(A242="","",IF(J242="AUTO",H242,IF(J242="MANUAL",AK242,"")))</f>
        <v/>
      </c>
      <c r="L242" s="751" t="n"/>
      <c r="M242" s="751" t="n"/>
      <c r="N242" s="751">
        <f>IF(A242="","",IF(COUNTIFS('Human Operation Desktop'!$A$3:$A$502,A242,'Human Operation Desktop'!$I$3:$I$502,"&lt;&gt;APPLIED",'Human Operation Desktop'!$I$3:$I$502,"&lt;&gt;REJECTED")&gt;0,"YES","NO"))</f>
        <v/>
      </c>
      <c r="O242" s="751" t="n"/>
      <c r="P242" s="752" t="n"/>
      <c r="Q242" s="752" t="n"/>
      <c r="R242" s="752" t="n"/>
      <c r="S242" s="752" t="n"/>
      <c r="T242" s="752" t="n"/>
      <c r="U242" s="752" t="n"/>
      <c r="V242" s="752" t="n"/>
      <c r="W242" s="752" t="n"/>
      <c r="X242" s="752" t="n"/>
      <c r="Y242" s="752" t="n"/>
      <c r="Z242" s="752" t="n"/>
      <c r="AA242" s="752" t="n"/>
      <c r="AB242" s="752" t="n"/>
      <c r="AC242" s="752" t="n"/>
      <c r="AD242" s="752" t="n"/>
      <c r="AE242" s="752" t="n"/>
      <c r="AF242" s="752" t="n"/>
      <c r="AG242" s="752" t="n"/>
      <c r="AH242" s="752" t="n"/>
      <c r="AI242" s="752" t="n"/>
      <c r="AJ242" s="752" t="n"/>
      <c r="AK242" s="759" t="n"/>
      <c r="AL242" s="752" t="n"/>
      <c r="AM242" s="752" t="n"/>
      <c r="AN242" s="752" t="n"/>
      <c r="AO242" s="752" t="n"/>
      <c r="AP242" s="752" t="n"/>
      <c r="AQ242" s="752" t="n"/>
      <c r="AR242" s="752" t="n"/>
      <c r="AS242" s="752" t="n"/>
    </row>
    <row r="243" ht="30" customHeight="1" s="36">
      <c r="A243" s="751" t="n"/>
      <c r="B243" s="751" t="n"/>
      <c r="C243" s="751" t="n"/>
      <c r="D243" s="751" t="n"/>
      <c r="E243" s="751">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751" t="n"/>
      <c r="G243" s="755" t="n"/>
      <c r="H243" s="755" t="n"/>
      <c r="I243" s="751" t="n"/>
      <c r="J243" s="751" t="n"/>
      <c r="K243" s="757">
        <f>IF(A243="","",IF(J243="AUTO",H243,IF(J243="MANUAL",AK243,"")))</f>
        <v/>
      </c>
      <c r="L243" s="751" t="n"/>
      <c r="M243" s="751" t="n"/>
      <c r="N243" s="751">
        <f>IF(A243="","",IF(COUNTIFS('Human Operation Desktop'!$A$3:$A$502,A243,'Human Operation Desktop'!$I$3:$I$502,"&lt;&gt;APPLIED",'Human Operation Desktop'!$I$3:$I$502,"&lt;&gt;REJECTED")&gt;0,"YES","NO"))</f>
        <v/>
      </c>
      <c r="O243" s="751" t="n"/>
      <c r="P243" s="752" t="n"/>
      <c r="Q243" s="752" t="n"/>
      <c r="R243" s="752" t="n"/>
      <c r="S243" s="752" t="n"/>
      <c r="T243" s="752" t="n"/>
      <c r="U243" s="752" t="n"/>
      <c r="V243" s="752" t="n"/>
      <c r="W243" s="752" t="n"/>
      <c r="X243" s="752" t="n"/>
      <c r="Y243" s="752" t="n"/>
      <c r="Z243" s="752" t="n"/>
      <c r="AA243" s="752" t="n"/>
      <c r="AB243" s="752" t="n"/>
      <c r="AC243" s="752" t="n"/>
      <c r="AD243" s="752" t="n"/>
      <c r="AE243" s="752" t="n"/>
      <c r="AF243" s="752" t="n"/>
      <c r="AG243" s="752" t="n"/>
      <c r="AH243" s="752" t="n"/>
      <c r="AI243" s="752" t="n"/>
      <c r="AJ243" s="752" t="n"/>
      <c r="AK243" s="759" t="n"/>
      <c r="AL243" s="752" t="n"/>
      <c r="AM243" s="752" t="n"/>
      <c r="AN243" s="752" t="n"/>
      <c r="AO243" s="752" t="n"/>
      <c r="AP243" s="752" t="n"/>
      <c r="AQ243" s="752" t="n"/>
      <c r="AR243" s="752" t="n"/>
      <c r="AS243" s="752" t="n"/>
    </row>
    <row r="244" ht="30" customHeight="1" s="36">
      <c r="A244" s="751" t="n"/>
      <c r="B244" s="751" t="n"/>
      <c r="C244" s="751" t="n"/>
      <c r="D244" s="751" t="n"/>
      <c r="E244" s="751">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751" t="n"/>
      <c r="G244" s="755" t="n"/>
      <c r="H244" s="755" t="n"/>
      <c r="I244" s="751" t="n"/>
      <c r="J244" s="751" t="n"/>
      <c r="K244" s="757">
        <f>IF(A244="","",IF(J244="AUTO",H244,IF(J244="MANUAL",AK244,"")))</f>
        <v/>
      </c>
      <c r="L244" s="751" t="n"/>
      <c r="M244" s="751" t="n"/>
      <c r="N244" s="751">
        <f>IF(A244="","",IF(COUNTIFS('Human Operation Desktop'!$A$3:$A$502,A244,'Human Operation Desktop'!$I$3:$I$502,"&lt;&gt;APPLIED",'Human Operation Desktop'!$I$3:$I$502,"&lt;&gt;REJECTED")&gt;0,"YES","NO"))</f>
        <v/>
      </c>
      <c r="O244" s="751" t="n"/>
      <c r="P244" s="752" t="n"/>
      <c r="Q244" s="752" t="n"/>
      <c r="R244" s="752" t="n"/>
      <c r="S244" s="752" t="n"/>
      <c r="T244" s="752" t="n"/>
      <c r="U244" s="752" t="n"/>
      <c r="V244" s="752" t="n"/>
      <c r="W244" s="752" t="n"/>
      <c r="X244" s="752" t="n"/>
      <c r="Y244" s="752" t="n"/>
      <c r="Z244" s="752" t="n"/>
      <c r="AA244" s="752" t="n"/>
      <c r="AB244" s="752" t="n"/>
      <c r="AC244" s="752" t="n"/>
      <c r="AD244" s="752" t="n"/>
      <c r="AE244" s="752" t="n"/>
      <c r="AF244" s="752" t="n"/>
      <c r="AG244" s="752" t="n"/>
      <c r="AH244" s="752" t="n"/>
      <c r="AI244" s="752" t="n"/>
      <c r="AJ244" s="752" t="n"/>
      <c r="AK244" s="759" t="n"/>
      <c r="AL244" s="752" t="n"/>
      <c r="AM244" s="752" t="n"/>
      <c r="AN244" s="752" t="n"/>
      <c r="AO244" s="752" t="n"/>
      <c r="AP244" s="752" t="n"/>
      <c r="AQ244" s="752" t="n"/>
      <c r="AR244" s="752" t="n"/>
      <c r="AS244" s="752" t="n"/>
    </row>
    <row r="245" ht="30" customHeight="1" s="36">
      <c r="A245" s="751" t="n"/>
      <c r="B245" s="751" t="n"/>
      <c r="C245" s="751" t="n"/>
      <c r="D245" s="751" t="n"/>
      <c r="E245" s="751">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751" t="n"/>
      <c r="G245" s="755" t="n"/>
      <c r="H245" s="755" t="n"/>
      <c r="I245" s="751" t="n"/>
      <c r="J245" s="751" t="n"/>
      <c r="K245" s="757">
        <f>IF(A245="","",IF(J245="AUTO",H245,IF(J245="MANUAL",AK245,"")))</f>
        <v/>
      </c>
      <c r="L245" s="751" t="n"/>
      <c r="M245" s="751" t="n"/>
      <c r="N245" s="751">
        <f>IF(A245="","",IF(COUNTIFS('Human Operation Desktop'!$A$3:$A$502,A245,'Human Operation Desktop'!$I$3:$I$502,"&lt;&gt;APPLIED",'Human Operation Desktop'!$I$3:$I$502,"&lt;&gt;REJECTED")&gt;0,"YES","NO"))</f>
        <v/>
      </c>
      <c r="O245" s="751" t="n"/>
      <c r="P245" s="752" t="n"/>
      <c r="Q245" s="752" t="n"/>
      <c r="R245" s="752" t="n"/>
      <c r="S245" s="752" t="n"/>
      <c r="T245" s="752" t="n"/>
      <c r="U245" s="752" t="n"/>
      <c r="V245" s="752" t="n"/>
      <c r="W245" s="752" t="n"/>
      <c r="X245" s="752" t="n"/>
      <c r="Y245" s="752" t="n"/>
      <c r="Z245" s="752" t="n"/>
      <c r="AA245" s="752" t="n"/>
      <c r="AB245" s="752" t="n"/>
      <c r="AC245" s="752" t="n"/>
      <c r="AD245" s="752" t="n"/>
      <c r="AE245" s="752" t="n"/>
      <c r="AF245" s="752" t="n"/>
      <c r="AG245" s="752" t="n"/>
      <c r="AH245" s="752" t="n"/>
      <c r="AI245" s="752" t="n"/>
      <c r="AJ245" s="752" t="n"/>
      <c r="AK245" s="759" t="n"/>
      <c r="AL245" s="752" t="n"/>
      <c r="AM245" s="752" t="n"/>
      <c r="AN245" s="752" t="n"/>
      <c r="AO245" s="752" t="n"/>
      <c r="AP245" s="752" t="n"/>
      <c r="AQ245" s="752" t="n"/>
      <c r="AR245" s="752" t="n"/>
      <c r="AS245" s="752" t="n"/>
    </row>
    <row r="246" ht="30" customHeight="1" s="36">
      <c r="A246" s="751" t="n"/>
      <c r="B246" s="751" t="n"/>
      <c r="C246" s="751" t="n"/>
      <c r="D246" s="751" t="n"/>
      <c r="E246" s="751">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751" t="n"/>
      <c r="G246" s="755" t="n"/>
      <c r="H246" s="755" t="n"/>
      <c r="I246" s="751" t="n"/>
      <c r="J246" s="751" t="n"/>
      <c r="K246" s="757">
        <f>IF(A246="","",IF(J246="AUTO",H246,IF(J246="MANUAL",AK246,"")))</f>
        <v/>
      </c>
      <c r="L246" s="751" t="n"/>
      <c r="M246" s="751" t="n"/>
      <c r="N246" s="751">
        <f>IF(A246="","",IF(COUNTIFS('Human Operation Desktop'!$A$3:$A$502,A246,'Human Operation Desktop'!$I$3:$I$502,"&lt;&gt;APPLIED",'Human Operation Desktop'!$I$3:$I$502,"&lt;&gt;REJECTED")&gt;0,"YES","NO"))</f>
        <v/>
      </c>
      <c r="O246" s="751" t="n"/>
      <c r="P246" s="752" t="n"/>
      <c r="Q246" s="752" t="n"/>
      <c r="R246" s="752" t="n"/>
      <c r="S246" s="752" t="n"/>
      <c r="T246" s="752" t="n"/>
      <c r="U246" s="752" t="n"/>
      <c r="V246" s="752" t="n"/>
      <c r="W246" s="752" t="n"/>
      <c r="X246" s="752" t="n"/>
      <c r="Y246" s="752" t="n"/>
      <c r="Z246" s="752" t="n"/>
      <c r="AA246" s="752" t="n"/>
      <c r="AB246" s="752" t="n"/>
      <c r="AC246" s="752" t="n"/>
      <c r="AD246" s="752" t="n"/>
      <c r="AE246" s="752" t="n"/>
      <c r="AF246" s="752" t="n"/>
      <c r="AG246" s="752" t="n"/>
      <c r="AH246" s="752" t="n"/>
      <c r="AI246" s="752" t="n"/>
      <c r="AJ246" s="752" t="n"/>
      <c r="AK246" s="759" t="n"/>
      <c r="AL246" s="752" t="n"/>
      <c r="AM246" s="752" t="n"/>
      <c r="AN246" s="752" t="n"/>
      <c r="AO246" s="752" t="n"/>
      <c r="AP246" s="752" t="n"/>
      <c r="AQ246" s="752" t="n"/>
      <c r="AR246" s="752" t="n"/>
      <c r="AS246" s="752" t="n"/>
    </row>
    <row r="247" ht="30" customHeight="1" s="36">
      <c r="A247" s="751" t="n"/>
      <c r="B247" s="751" t="n"/>
      <c r="C247" s="751" t="n"/>
      <c r="D247" s="751" t="n"/>
      <c r="E247" s="751">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751" t="n"/>
      <c r="G247" s="755" t="n"/>
      <c r="H247" s="755" t="n"/>
      <c r="I247" s="751" t="n"/>
      <c r="J247" s="751" t="n"/>
      <c r="K247" s="757">
        <f>IF(A247="","",IF(J247="AUTO",H247,IF(J247="MANUAL",AK247,"")))</f>
        <v/>
      </c>
      <c r="L247" s="751" t="n"/>
      <c r="M247" s="751" t="n"/>
      <c r="N247" s="751">
        <f>IF(A247="","",IF(COUNTIFS('Human Operation Desktop'!$A$3:$A$502,A247,'Human Operation Desktop'!$I$3:$I$502,"&lt;&gt;APPLIED",'Human Operation Desktop'!$I$3:$I$502,"&lt;&gt;REJECTED")&gt;0,"YES","NO"))</f>
        <v/>
      </c>
      <c r="O247" s="751" t="n"/>
      <c r="P247" s="752" t="n"/>
      <c r="Q247" s="752" t="n"/>
      <c r="R247" s="752" t="n"/>
      <c r="S247" s="752" t="n"/>
      <c r="T247" s="752" t="n"/>
      <c r="U247" s="752" t="n"/>
      <c r="V247" s="752" t="n"/>
      <c r="W247" s="752" t="n"/>
      <c r="X247" s="752" t="n"/>
      <c r="Y247" s="752" t="n"/>
      <c r="Z247" s="752" t="n"/>
      <c r="AA247" s="752" t="n"/>
      <c r="AB247" s="752" t="n"/>
      <c r="AC247" s="752" t="n"/>
      <c r="AD247" s="752" t="n"/>
      <c r="AE247" s="752" t="n"/>
      <c r="AF247" s="752" t="n"/>
      <c r="AG247" s="752" t="n"/>
      <c r="AH247" s="752" t="n"/>
      <c r="AI247" s="752" t="n"/>
      <c r="AJ247" s="752" t="n"/>
      <c r="AK247" s="759" t="n"/>
      <c r="AL247" s="752" t="n"/>
      <c r="AM247" s="752" t="n"/>
      <c r="AN247" s="752" t="n"/>
      <c r="AO247" s="752" t="n"/>
      <c r="AP247" s="752" t="n"/>
      <c r="AQ247" s="752" t="n"/>
      <c r="AR247" s="752" t="n"/>
      <c r="AS247" s="752" t="n"/>
    </row>
    <row r="248" ht="30" customHeight="1" s="36">
      <c r="A248" s="751" t="n"/>
      <c r="B248" s="751" t="n"/>
      <c r="C248" s="751" t="n"/>
      <c r="D248" s="751" t="n"/>
      <c r="E248" s="751">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751" t="n"/>
      <c r="G248" s="755" t="n"/>
      <c r="H248" s="755" t="n"/>
      <c r="I248" s="751" t="n"/>
      <c r="J248" s="751" t="n"/>
      <c r="K248" s="757">
        <f>IF(A248="","",IF(J248="AUTO",H248,IF(J248="MANUAL",AK248,"")))</f>
        <v/>
      </c>
      <c r="L248" s="751" t="n"/>
      <c r="M248" s="751" t="n"/>
      <c r="N248" s="751">
        <f>IF(A248="","",IF(COUNTIFS('Human Operation Desktop'!$A$3:$A$502,A248,'Human Operation Desktop'!$I$3:$I$502,"&lt;&gt;APPLIED",'Human Operation Desktop'!$I$3:$I$502,"&lt;&gt;REJECTED")&gt;0,"YES","NO"))</f>
        <v/>
      </c>
      <c r="O248" s="751" t="n"/>
      <c r="P248" s="752" t="n"/>
      <c r="Q248" s="752" t="n"/>
      <c r="R248" s="752" t="n"/>
      <c r="S248" s="752" t="n"/>
      <c r="T248" s="752" t="n"/>
      <c r="U248" s="752" t="n"/>
      <c r="V248" s="752" t="n"/>
      <c r="W248" s="752" t="n"/>
      <c r="X248" s="752" t="n"/>
      <c r="Y248" s="752" t="n"/>
      <c r="Z248" s="752" t="n"/>
      <c r="AA248" s="752" t="n"/>
      <c r="AB248" s="752" t="n"/>
      <c r="AC248" s="752" t="n"/>
      <c r="AD248" s="752" t="n"/>
      <c r="AE248" s="752" t="n"/>
      <c r="AF248" s="752" t="n"/>
      <c r="AG248" s="752" t="n"/>
      <c r="AH248" s="752" t="n"/>
      <c r="AI248" s="752" t="n"/>
      <c r="AJ248" s="752" t="n"/>
      <c r="AK248" s="759" t="n"/>
      <c r="AL248" s="752" t="n"/>
      <c r="AM248" s="752" t="n"/>
      <c r="AN248" s="752" t="n"/>
      <c r="AO248" s="752" t="n"/>
      <c r="AP248" s="752" t="n"/>
      <c r="AQ248" s="752" t="n"/>
      <c r="AR248" s="752" t="n"/>
      <c r="AS248" s="752" t="n"/>
    </row>
    <row r="249" ht="30" customHeight="1" s="36">
      <c r="A249" s="751" t="n"/>
      <c r="B249" s="751" t="n"/>
      <c r="C249" s="751" t="n"/>
      <c r="D249" s="751" t="n"/>
      <c r="E249" s="751">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751" t="n"/>
      <c r="G249" s="755" t="n"/>
      <c r="H249" s="755" t="n"/>
      <c r="I249" s="751" t="n"/>
      <c r="J249" s="751" t="n"/>
      <c r="K249" s="757">
        <f>IF(A249="","",IF(J249="AUTO",H249,IF(J249="MANUAL",AK249,"")))</f>
        <v/>
      </c>
      <c r="L249" s="751" t="n"/>
      <c r="M249" s="751" t="n"/>
      <c r="N249" s="751">
        <f>IF(A249="","",IF(COUNTIFS('Human Operation Desktop'!$A$3:$A$502,A249,'Human Operation Desktop'!$I$3:$I$502,"&lt;&gt;APPLIED",'Human Operation Desktop'!$I$3:$I$502,"&lt;&gt;REJECTED")&gt;0,"YES","NO"))</f>
        <v/>
      </c>
      <c r="O249" s="751" t="n"/>
      <c r="P249" s="752" t="n"/>
      <c r="Q249" s="752" t="n"/>
      <c r="R249" s="752" t="n"/>
      <c r="S249" s="752" t="n"/>
      <c r="T249" s="752" t="n"/>
      <c r="U249" s="752" t="n"/>
      <c r="V249" s="752" t="n"/>
      <c r="W249" s="752" t="n"/>
      <c r="X249" s="752" t="n"/>
      <c r="Y249" s="752" t="n"/>
      <c r="Z249" s="752" t="n"/>
      <c r="AA249" s="752" t="n"/>
      <c r="AB249" s="752" t="n"/>
      <c r="AC249" s="752" t="n"/>
      <c r="AD249" s="752" t="n"/>
      <c r="AE249" s="752" t="n"/>
      <c r="AF249" s="752" t="n"/>
      <c r="AG249" s="752" t="n"/>
      <c r="AH249" s="752" t="n"/>
      <c r="AI249" s="752" t="n"/>
      <c r="AJ249" s="752" t="n"/>
      <c r="AK249" s="759" t="n"/>
      <c r="AL249" s="752" t="n"/>
      <c r="AM249" s="752" t="n"/>
      <c r="AN249" s="752" t="n"/>
      <c r="AO249" s="752" t="n"/>
      <c r="AP249" s="752" t="n"/>
      <c r="AQ249" s="752" t="n"/>
      <c r="AR249" s="752" t="n"/>
      <c r="AS249" s="752" t="n"/>
    </row>
    <row r="250" ht="30" customHeight="1" s="36">
      <c r="A250" s="751" t="n"/>
      <c r="B250" s="751" t="n"/>
      <c r="C250" s="751" t="n"/>
      <c r="D250" s="751" t="n"/>
      <c r="E250" s="751">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751" t="n"/>
      <c r="G250" s="755" t="n"/>
      <c r="H250" s="755" t="n"/>
      <c r="I250" s="751" t="n"/>
      <c r="J250" s="751" t="n"/>
      <c r="K250" s="757">
        <f>IF(A250="","",IF(J250="AUTO",H250,IF(J250="MANUAL",AK250,"")))</f>
        <v/>
      </c>
      <c r="L250" s="751" t="n"/>
      <c r="M250" s="751" t="n"/>
      <c r="N250" s="751">
        <f>IF(A250="","",IF(COUNTIFS('Human Operation Desktop'!$A$3:$A$502,A250,'Human Operation Desktop'!$I$3:$I$502,"&lt;&gt;APPLIED",'Human Operation Desktop'!$I$3:$I$502,"&lt;&gt;REJECTED")&gt;0,"YES","NO"))</f>
        <v/>
      </c>
      <c r="O250" s="751" t="n"/>
      <c r="P250" s="752" t="n"/>
      <c r="Q250" s="752" t="n"/>
      <c r="R250" s="752" t="n"/>
      <c r="S250" s="752" t="n"/>
      <c r="T250" s="752" t="n"/>
      <c r="U250" s="752" t="n"/>
      <c r="V250" s="752" t="n"/>
      <c r="W250" s="752" t="n"/>
      <c r="X250" s="752" t="n"/>
      <c r="Y250" s="752" t="n"/>
      <c r="Z250" s="752" t="n"/>
      <c r="AA250" s="752" t="n"/>
      <c r="AB250" s="752" t="n"/>
      <c r="AC250" s="752" t="n"/>
      <c r="AD250" s="752" t="n"/>
      <c r="AE250" s="752" t="n"/>
      <c r="AF250" s="752" t="n"/>
      <c r="AG250" s="752" t="n"/>
      <c r="AH250" s="752" t="n"/>
      <c r="AI250" s="752" t="n"/>
      <c r="AJ250" s="752" t="n"/>
      <c r="AK250" s="759" t="n"/>
      <c r="AL250" s="752" t="n"/>
      <c r="AM250" s="752" t="n"/>
      <c r="AN250" s="752" t="n"/>
      <c r="AO250" s="752" t="n"/>
      <c r="AP250" s="752" t="n"/>
      <c r="AQ250" s="752" t="n"/>
      <c r="AR250" s="752" t="n"/>
      <c r="AS250" s="752" t="n"/>
    </row>
    <row r="251" ht="30" customHeight="1" s="36">
      <c r="A251" s="751" t="n"/>
      <c r="B251" s="751" t="n"/>
      <c r="C251" s="751" t="n"/>
      <c r="D251" s="751" t="n"/>
      <c r="E251" s="751">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751" t="n"/>
      <c r="G251" s="755" t="n"/>
      <c r="H251" s="755" t="n"/>
      <c r="I251" s="751" t="n"/>
      <c r="J251" s="751" t="n"/>
      <c r="K251" s="757">
        <f>IF(A251="","",IF(J251="AUTO",H251,IF(J251="MANUAL",AK251,"")))</f>
        <v/>
      </c>
      <c r="L251" s="751" t="n"/>
      <c r="M251" s="751" t="n"/>
      <c r="N251" s="751">
        <f>IF(A251="","",IF(COUNTIFS('Human Operation Desktop'!$A$3:$A$502,A251,'Human Operation Desktop'!$I$3:$I$502,"&lt;&gt;APPLIED",'Human Operation Desktop'!$I$3:$I$502,"&lt;&gt;REJECTED")&gt;0,"YES","NO"))</f>
        <v/>
      </c>
      <c r="O251" s="751" t="n"/>
      <c r="P251" s="752" t="n"/>
      <c r="Q251" s="752" t="n"/>
      <c r="R251" s="752" t="n"/>
      <c r="S251" s="752" t="n"/>
      <c r="T251" s="752" t="n"/>
      <c r="U251" s="752" t="n"/>
      <c r="V251" s="752" t="n"/>
      <c r="W251" s="752" t="n"/>
      <c r="X251" s="752" t="n"/>
      <c r="Y251" s="752" t="n"/>
      <c r="Z251" s="752" t="n"/>
      <c r="AA251" s="752" t="n"/>
      <c r="AB251" s="752" t="n"/>
      <c r="AC251" s="752" t="n"/>
      <c r="AD251" s="752" t="n"/>
      <c r="AE251" s="752" t="n"/>
      <c r="AF251" s="752" t="n"/>
      <c r="AG251" s="752" t="n"/>
      <c r="AH251" s="752" t="n"/>
      <c r="AI251" s="752" t="n"/>
      <c r="AJ251" s="752" t="n"/>
      <c r="AK251" s="759" t="n"/>
      <c r="AL251" s="752" t="n"/>
      <c r="AM251" s="752" t="n"/>
      <c r="AN251" s="752" t="n"/>
      <c r="AO251" s="752" t="n"/>
      <c r="AP251" s="752" t="n"/>
      <c r="AQ251" s="752" t="n"/>
      <c r="AR251" s="752" t="n"/>
      <c r="AS251" s="752" t="n"/>
    </row>
    <row r="252" ht="30" customHeight="1" s="36">
      <c r="A252" s="751" t="n"/>
      <c r="B252" s="751" t="n"/>
      <c r="C252" s="751" t="n"/>
      <c r="D252" s="751" t="n"/>
      <c r="E252" s="751">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751" t="n"/>
      <c r="G252" s="755" t="n"/>
      <c r="H252" s="755" t="n"/>
      <c r="I252" s="751" t="n"/>
      <c r="J252" s="751" t="n"/>
      <c r="K252" s="757">
        <f>IF(A252="","",IF(J252="AUTO",H252,IF(J252="MANUAL",AK252,"")))</f>
        <v/>
      </c>
      <c r="L252" s="751" t="n"/>
      <c r="M252" s="751" t="n"/>
      <c r="N252" s="751">
        <f>IF(A252="","",IF(COUNTIFS('Human Operation Desktop'!$A$3:$A$502,A252,'Human Operation Desktop'!$I$3:$I$502,"&lt;&gt;APPLIED",'Human Operation Desktop'!$I$3:$I$502,"&lt;&gt;REJECTED")&gt;0,"YES","NO"))</f>
        <v/>
      </c>
      <c r="O252" s="751" t="n"/>
      <c r="P252" s="752" t="n"/>
      <c r="Q252" s="752" t="n"/>
      <c r="R252" s="752" t="n"/>
      <c r="S252" s="752" t="n"/>
      <c r="T252" s="752" t="n"/>
      <c r="U252" s="752" t="n"/>
      <c r="V252" s="752" t="n"/>
      <c r="W252" s="752" t="n"/>
      <c r="X252" s="752" t="n"/>
      <c r="Y252" s="752" t="n"/>
      <c r="Z252" s="752" t="n"/>
      <c r="AA252" s="752" t="n"/>
      <c r="AB252" s="752" t="n"/>
      <c r="AC252" s="752" t="n"/>
      <c r="AD252" s="752" t="n"/>
      <c r="AE252" s="752" t="n"/>
      <c r="AF252" s="752" t="n"/>
      <c r="AG252" s="752" t="n"/>
      <c r="AH252" s="752" t="n"/>
      <c r="AI252" s="752" t="n"/>
      <c r="AJ252" s="752" t="n"/>
      <c r="AK252" s="759" t="n"/>
      <c r="AL252" s="752" t="n"/>
      <c r="AM252" s="752" t="n"/>
      <c r="AN252" s="752" t="n"/>
      <c r="AO252" s="752" t="n"/>
      <c r="AP252" s="752" t="n"/>
      <c r="AQ252" s="752" t="n"/>
      <c r="AR252" s="752" t="n"/>
      <c r="AS252" s="752" t="n"/>
    </row>
    <row r="253" ht="30" customHeight="1" s="36">
      <c r="A253" s="751" t="n"/>
      <c r="B253" s="751" t="n"/>
      <c r="C253" s="751" t="n"/>
      <c r="D253" s="751" t="n"/>
      <c r="E253" s="751">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751" t="n"/>
      <c r="G253" s="755" t="n"/>
      <c r="H253" s="755" t="n"/>
      <c r="I253" s="751" t="n"/>
      <c r="J253" s="751" t="n"/>
      <c r="K253" s="757">
        <f>IF(A253="","",IF(J253="AUTO",H253,IF(J253="MANUAL",AK253,"")))</f>
        <v/>
      </c>
      <c r="L253" s="751" t="n"/>
      <c r="M253" s="751" t="n"/>
      <c r="N253" s="751">
        <f>IF(A253="","",IF(COUNTIFS('Human Operation Desktop'!$A$3:$A$502,A253,'Human Operation Desktop'!$I$3:$I$502,"&lt;&gt;APPLIED",'Human Operation Desktop'!$I$3:$I$502,"&lt;&gt;REJECTED")&gt;0,"YES","NO"))</f>
        <v/>
      </c>
      <c r="O253" s="751" t="n"/>
      <c r="P253" s="752" t="n"/>
      <c r="Q253" s="752" t="n"/>
      <c r="R253" s="752" t="n"/>
      <c r="S253" s="752" t="n"/>
      <c r="T253" s="752" t="n"/>
      <c r="U253" s="752" t="n"/>
      <c r="V253" s="752" t="n"/>
      <c r="W253" s="752" t="n"/>
      <c r="X253" s="752" t="n"/>
      <c r="Y253" s="752" t="n"/>
      <c r="Z253" s="752" t="n"/>
      <c r="AA253" s="752" t="n"/>
      <c r="AB253" s="752" t="n"/>
      <c r="AC253" s="752" t="n"/>
      <c r="AD253" s="752" t="n"/>
      <c r="AE253" s="752" t="n"/>
      <c r="AF253" s="752" t="n"/>
      <c r="AG253" s="752" t="n"/>
      <c r="AH253" s="752" t="n"/>
      <c r="AI253" s="752" t="n"/>
      <c r="AJ253" s="752" t="n"/>
      <c r="AK253" s="759" t="n"/>
      <c r="AL253" s="752" t="n"/>
      <c r="AM253" s="752" t="n"/>
      <c r="AN253" s="752" t="n"/>
      <c r="AO253" s="752" t="n"/>
      <c r="AP253" s="752" t="n"/>
      <c r="AQ253" s="752" t="n"/>
      <c r="AR253" s="752" t="n"/>
      <c r="AS253" s="752" t="n"/>
    </row>
    <row r="254" ht="30" customHeight="1" s="36">
      <c r="A254" s="751" t="n"/>
      <c r="B254" s="751" t="n"/>
      <c r="C254" s="751" t="n"/>
      <c r="D254" s="751" t="n"/>
      <c r="E254" s="751">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751" t="n"/>
      <c r="G254" s="755" t="n"/>
      <c r="H254" s="755" t="n"/>
      <c r="I254" s="751" t="n"/>
      <c r="J254" s="751" t="n"/>
      <c r="K254" s="757">
        <f>IF(A254="","",IF(J254="AUTO",H254,IF(J254="MANUAL",AK254,"")))</f>
        <v/>
      </c>
      <c r="L254" s="751" t="n"/>
      <c r="M254" s="751" t="n"/>
      <c r="N254" s="751">
        <f>IF(A254="","",IF(COUNTIFS('Human Operation Desktop'!$A$3:$A$502,A254,'Human Operation Desktop'!$I$3:$I$502,"&lt;&gt;APPLIED",'Human Operation Desktop'!$I$3:$I$502,"&lt;&gt;REJECTED")&gt;0,"YES","NO"))</f>
        <v/>
      </c>
      <c r="O254" s="751" t="n"/>
      <c r="P254" s="752" t="n"/>
      <c r="Q254" s="752" t="n"/>
      <c r="R254" s="752" t="n"/>
      <c r="S254" s="752" t="n"/>
      <c r="T254" s="752" t="n"/>
      <c r="U254" s="752" t="n"/>
      <c r="V254" s="752" t="n"/>
      <c r="W254" s="752" t="n"/>
      <c r="X254" s="752" t="n"/>
      <c r="Y254" s="752" t="n"/>
      <c r="Z254" s="752" t="n"/>
      <c r="AA254" s="752" t="n"/>
      <c r="AB254" s="752" t="n"/>
      <c r="AC254" s="752" t="n"/>
      <c r="AD254" s="752" t="n"/>
      <c r="AE254" s="752" t="n"/>
      <c r="AF254" s="752" t="n"/>
      <c r="AG254" s="752" t="n"/>
      <c r="AH254" s="752" t="n"/>
      <c r="AI254" s="752" t="n"/>
      <c r="AJ254" s="752" t="n"/>
      <c r="AK254" s="759" t="n"/>
      <c r="AL254" s="752" t="n"/>
      <c r="AM254" s="752" t="n"/>
      <c r="AN254" s="752" t="n"/>
      <c r="AO254" s="752" t="n"/>
      <c r="AP254" s="752" t="n"/>
      <c r="AQ254" s="752" t="n"/>
      <c r="AR254" s="752" t="n"/>
      <c r="AS254" s="752" t="n"/>
    </row>
    <row r="255" ht="30" customHeight="1" s="36">
      <c r="A255" s="751" t="n"/>
      <c r="B255" s="751" t="n"/>
      <c r="C255" s="751" t="n"/>
      <c r="D255" s="751" t="n"/>
      <c r="E255" s="751">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751" t="n"/>
      <c r="G255" s="755" t="n"/>
      <c r="H255" s="755" t="n"/>
      <c r="I255" s="751" t="n"/>
      <c r="J255" s="751" t="n"/>
      <c r="K255" s="757">
        <f>IF(A255="","",IF(J255="AUTO",H255,IF(J255="MANUAL",AK255,"")))</f>
        <v/>
      </c>
      <c r="L255" s="751" t="n"/>
      <c r="M255" s="751" t="n"/>
      <c r="N255" s="751">
        <f>IF(A255="","",IF(COUNTIFS('Human Operation Desktop'!$A$3:$A$502,A255,'Human Operation Desktop'!$I$3:$I$502,"&lt;&gt;APPLIED",'Human Operation Desktop'!$I$3:$I$502,"&lt;&gt;REJECTED")&gt;0,"YES","NO"))</f>
        <v/>
      </c>
      <c r="O255" s="751" t="n"/>
      <c r="P255" s="752" t="n"/>
      <c r="Q255" s="752" t="n"/>
      <c r="R255" s="752" t="n"/>
      <c r="S255" s="752" t="n"/>
      <c r="T255" s="752" t="n"/>
      <c r="U255" s="752" t="n"/>
      <c r="V255" s="752" t="n"/>
      <c r="W255" s="752" t="n"/>
      <c r="X255" s="752" t="n"/>
      <c r="Y255" s="752" t="n"/>
      <c r="Z255" s="752" t="n"/>
      <c r="AA255" s="752" t="n"/>
      <c r="AB255" s="752" t="n"/>
      <c r="AC255" s="752" t="n"/>
      <c r="AD255" s="752" t="n"/>
      <c r="AE255" s="752" t="n"/>
      <c r="AF255" s="752" t="n"/>
      <c r="AG255" s="752" t="n"/>
      <c r="AH255" s="752" t="n"/>
      <c r="AI255" s="752" t="n"/>
      <c r="AJ255" s="752" t="n"/>
      <c r="AK255" s="759" t="n"/>
      <c r="AL255" s="752" t="n"/>
      <c r="AM255" s="752" t="n"/>
      <c r="AN255" s="752" t="n"/>
      <c r="AO255" s="752" t="n"/>
      <c r="AP255" s="752" t="n"/>
      <c r="AQ255" s="752" t="n"/>
      <c r="AR255" s="752" t="n"/>
      <c r="AS255" s="752" t="n"/>
    </row>
    <row r="256" ht="30" customHeight="1" s="36">
      <c r="A256" s="751" t="n"/>
      <c r="B256" s="751" t="n"/>
      <c r="C256" s="751" t="n"/>
      <c r="D256" s="751" t="n"/>
      <c r="E256" s="751">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751" t="n"/>
      <c r="G256" s="755" t="n"/>
      <c r="H256" s="755" t="n"/>
      <c r="I256" s="751" t="n"/>
      <c r="J256" s="751" t="n"/>
      <c r="K256" s="757">
        <f>IF(A256="","",IF(J256="AUTO",H256,IF(J256="MANUAL",AK256,"")))</f>
        <v/>
      </c>
      <c r="L256" s="751" t="n"/>
      <c r="M256" s="751" t="n"/>
      <c r="N256" s="751">
        <f>IF(A256="","",IF(COUNTIFS('Human Operation Desktop'!$A$3:$A$502,A256,'Human Operation Desktop'!$I$3:$I$502,"&lt;&gt;APPLIED",'Human Operation Desktop'!$I$3:$I$502,"&lt;&gt;REJECTED")&gt;0,"YES","NO"))</f>
        <v/>
      </c>
      <c r="O256" s="751" t="n"/>
      <c r="P256" s="752" t="n"/>
      <c r="Q256" s="752" t="n"/>
      <c r="R256" s="752" t="n"/>
      <c r="S256" s="752" t="n"/>
      <c r="T256" s="752" t="n"/>
      <c r="U256" s="752" t="n"/>
      <c r="V256" s="752" t="n"/>
      <c r="W256" s="752" t="n"/>
      <c r="X256" s="752" t="n"/>
      <c r="Y256" s="752" t="n"/>
      <c r="Z256" s="752" t="n"/>
      <c r="AA256" s="752" t="n"/>
      <c r="AB256" s="752" t="n"/>
      <c r="AC256" s="752" t="n"/>
      <c r="AD256" s="752" t="n"/>
      <c r="AE256" s="752" t="n"/>
      <c r="AF256" s="752" t="n"/>
      <c r="AG256" s="752" t="n"/>
      <c r="AH256" s="752" t="n"/>
      <c r="AI256" s="752" t="n"/>
      <c r="AJ256" s="752" t="n"/>
      <c r="AK256" s="759" t="n"/>
      <c r="AL256" s="752" t="n"/>
      <c r="AM256" s="752" t="n"/>
      <c r="AN256" s="752" t="n"/>
      <c r="AO256" s="752" t="n"/>
      <c r="AP256" s="752" t="n"/>
      <c r="AQ256" s="752" t="n"/>
      <c r="AR256" s="752" t="n"/>
      <c r="AS256" s="752" t="n"/>
    </row>
    <row r="257" ht="30" customHeight="1" s="36">
      <c r="A257" s="751" t="n"/>
      <c r="B257" s="751" t="n"/>
      <c r="C257" s="751" t="n"/>
      <c r="D257" s="751" t="n"/>
      <c r="E257" s="751">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751" t="n"/>
      <c r="G257" s="755" t="n"/>
      <c r="H257" s="755" t="n"/>
      <c r="I257" s="751" t="n"/>
      <c r="J257" s="751" t="n"/>
      <c r="K257" s="757">
        <f>IF(A257="","",IF(J257="AUTO",H257,IF(J257="MANUAL",AK257,"")))</f>
        <v/>
      </c>
      <c r="L257" s="751" t="n"/>
      <c r="M257" s="751" t="n"/>
      <c r="N257" s="751">
        <f>IF(A257="","",IF(COUNTIFS('Human Operation Desktop'!$A$3:$A$502,A257,'Human Operation Desktop'!$I$3:$I$502,"&lt;&gt;APPLIED",'Human Operation Desktop'!$I$3:$I$502,"&lt;&gt;REJECTED")&gt;0,"YES","NO"))</f>
        <v/>
      </c>
      <c r="O257" s="751" t="n"/>
      <c r="P257" s="752" t="n"/>
      <c r="Q257" s="752" t="n"/>
      <c r="R257" s="752" t="n"/>
      <c r="S257" s="752" t="n"/>
      <c r="T257" s="752" t="n"/>
      <c r="U257" s="752" t="n"/>
      <c r="V257" s="752" t="n"/>
      <c r="W257" s="752" t="n"/>
      <c r="X257" s="752" t="n"/>
      <c r="Y257" s="752" t="n"/>
      <c r="Z257" s="752" t="n"/>
      <c r="AA257" s="752" t="n"/>
      <c r="AB257" s="752" t="n"/>
      <c r="AC257" s="752" t="n"/>
      <c r="AD257" s="752" t="n"/>
      <c r="AE257" s="752" t="n"/>
      <c r="AF257" s="752" t="n"/>
      <c r="AG257" s="752" t="n"/>
      <c r="AH257" s="752" t="n"/>
      <c r="AI257" s="752" t="n"/>
      <c r="AJ257" s="752" t="n"/>
      <c r="AK257" s="759" t="n"/>
      <c r="AL257" s="752" t="n"/>
      <c r="AM257" s="752" t="n"/>
      <c r="AN257" s="752" t="n"/>
      <c r="AO257" s="752" t="n"/>
      <c r="AP257" s="752" t="n"/>
      <c r="AQ257" s="752" t="n"/>
      <c r="AR257" s="752" t="n"/>
      <c r="AS257" s="752" t="n"/>
    </row>
    <row r="258" ht="30" customHeight="1" s="36">
      <c r="A258" s="751" t="n"/>
      <c r="B258" s="751" t="n"/>
      <c r="C258" s="751" t="n"/>
      <c r="D258" s="751" t="n"/>
      <c r="E258" s="751">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751" t="n"/>
      <c r="G258" s="755" t="n"/>
      <c r="H258" s="755" t="n"/>
      <c r="I258" s="751" t="n"/>
      <c r="J258" s="751" t="n"/>
      <c r="K258" s="757">
        <f>IF(A258="","",IF(J258="AUTO",H258,IF(J258="MANUAL",AK258,"")))</f>
        <v/>
      </c>
      <c r="L258" s="751" t="n"/>
      <c r="M258" s="751" t="n"/>
      <c r="N258" s="751">
        <f>IF(A258="","",IF(COUNTIFS('Human Operation Desktop'!$A$3:$A$502,A258,'Human Operation Desktop'!$I$3:$I$502,"&lt;&gt;APPLIED",'Human Operation Desktop'!$I$3:$I$502,"&lt;&gt;REJECTED")&gt;0,"YES","NO"))</f>
        <v/>
      </c>
      <c r="O258" s="751" t="n"/>
      <c r="P258" s="752" t="n"/>
      <c r="Q258" s="752" t="n"/>
      <c r="R258" s="752" t="n"/>
      <c r="S258" s="752" t="n"/>
      <c r="T258" s="752" t="n"/>
      <c r="U258" s="752" t="n"/>
      <c r="V258" s="752" t="n"/>
      <c r="W258" s="752" t="n"/>
      <c r="X258" s="752" t="n"/>
      <c r="Y258" s="752" t="n"/>
      <c r="Z258" s="752" t="n"/>
      <c r="AA258" s="752" t="n"/>
      <c r="AB258" s="752" t="n"/>
      <c r="AC258" s="752" t="n"/>
      <c r="AD258" s="752" t="n"/>
      <c r="AE258" s="752" t="n"/>
      <c r="AF258" s="752" t="n"/>
      <c r="AG258" s="752" t="n"/>
      <c r="AH258" s="752" t="n"/>
      <c r="AI258" s="752" t="n"/>
      <c r="AJ258" s="752" t="n"/>
      <c r="AK258" s="759" t="n"/>
      <c r="AL258" s="752" t="n"/>
      <c r="AM258" s="752" t="n"/>
      <c r="AN258" s="752" t="n"/>
      <c r="AO258" s="752" t="n"/>
      <c r="AP258" s="752" t="n"/>
      <c r="AQ258" s="752" t="n"/>
      <c r="AR258" s="752" t="n"/>
      <c r="AS258" s="752" t="n"/>
    </row>
    <row r="259" ht="30" customHeight="1" s="36">
      <c r="A259" s="751" t="n"/>
      <c r="B259" s="751" t="n"/>
      <c r="C259" s="751" t="n"/>
      <c r="D259" s="751" t="n"/>
      <c r="E259" s="751">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751" t="n"/>
      <c r="G259" s="755" t="n"/>
      <c r="H259" s="755" t="n"/>
      <c r="I259" s="751" t="n"/>
      <c r="J259" s="751" t="n"/>
      <c r="K259" s="757">
        <f>IF(A259="","",IF(J259="AUTO",H259,IF(J259="MANUAL",AK259,"")))</f>
        <v/>
      </c>
      <c r="L259" s="751" t="n"/>
      <c r="M259" s="751" t="n"/>
      <c r="N259" s="751">
        <f>IF(A259="","",IF(COUNTIFS('Human Operation Desktop'!$A$3:$A$502,A259,'Human Operation Desktop'!$I$3:$I$502,"&lt;&gt;APPLIED",'Human Operation Desktop'!$I$3:$I$502,"&lt;&gt;REJECTED")&gt;0,"YES","NO"))</f>
        <v/>
      </c>
      <c r="O259" s="751" t="n"/>
      <c r="P259" s="752" t="n"/>
      <c r="Q259" s="752" t="n"/>
      <c r="R259" s="752" t="n"/>
      <c r="S259" s="752" t="n"/>
      <c r="T259" s="752" t="n"/>
      <c r="U259" s="752" t="n"/>
      <c r="V259" s="752" t="n"/>
      <c r="W259" s="752" t="n"/>
      <c r="X259" s="752" t="n"/>
      <c r="Y259" s="752" t="n"/>
      <c r="Z259" s="752" t="n"/>
      <c r="AA259" s="752" t="n"/>
      <c r="AB259" s="752" t="n"/>
      <c r="AC259" s="752" t="n"/>
      <c r="AD259" s="752" t="n"/>
      <c r="AE259" s="752" t="n"/>
      <c r="AF259" s="752" t="n"/>
      <c r="AG259" s="752" t="n"/>
      <c r="AH259" s="752" t="n"/>
      <c r="AI259" s="752" t="n"/>
      <c r="AJ259" s="752" t="n"/>
      <c r="AK259" s="759" t="n"/>
      <c r="AL259" s="752" t="n"/>
      <c r="AM259" s="752" t="n"/>
      <c r="AN259" s="752" t="n"/>
      <c r="AO259" s="752" t="n"/>
      <c r="AP259" s="752" t="n"/>
      <c r="AQ259" s="752" t="n"/>
      <c r="AR259" s="752" t="n"/>
      <c r="AS259" s="752" t="n"/>
    </row>
    <row r="260" ht="30" customHeight="1" s="36">
      <c r="A260" s="751" t="n"/>
      <c r="B260" s="751" t="n"/>
      <c r="C260" s="751" t="n"/>
      <c r="D260" s="751" t="n"/>
      <c r="E260" s="751">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751" t="n"/>
      <c r="G260" s="755" t="n"/>
      <c r="H260" s="755" t="n"/>
      <c r="I260" s="751" t="n"/>
      <c r="J260" s="751" t="n"/>
      <c r="K260" s="757">
        <f>IF(A260="","",IF(J260="AUTO",H260,IF(J260="MANUAL",AK260,"")))</f>
        <v/>
      </c>
      <c r="L260" s="751" t="n"/>
      <c r="M260" s="751" t="n"/>
      <c r="N260" s="751">
        <f>IF(A260="","",IF(COUNTIFS('Human Operation Desktop'!$A$3:$A$502,A260,'Human Operation Desktop'!$I$3:$I$502,"&lt;&gt;APPLIED",'Human Operation Desktop'!$I$3:$I$502,"&lt;&gt;REJECTED")&gt;0,"YES","NO"))</f>
        <v/>
      </c>
      <c r="O260" s="751" t="n"/>
      <c r="P260" s="752" t="n"/>
      <c r="Q260" s="752" t="n"/>
      <c r="R260" s="752" t="n"/>
      <c r="S260" s="752" t="n"/>
      <c r="T260" s="752" t="n"/>
      <c r="U260" s="752" t="n"/>
      <c r="V260" s="752" t="n"/>
      <c r="W260" s="752" t="n"/>
      <c r="X260" s="752" t="n"/>
      <c r="Y260" s="752" t="n"/>
      <c r="Z260" s="752" t="n"/>
      <c r="AA260" s="752" t="n"/>
      <c r="AB260" s="752" t="n"/>
      <c r="AC260" s="752" t="n"/>
      <c r="AD260" s="752" t="n"/>
      <c r="AE260" s="752" t="n"/>
      <c r="AF260" s="752" t="n"/>
      <c r="AG260" s="752" t="n"/>
      <c r="AH260" s="752" t="n"/>
      <c r="AI260" s="752" t="n"/>
      <c r="AJ260" s="752" t="n"/>
      <c r="AK260" s="759" t="n"/>
      <c r="AL260" s="752" t="n"/>
      <c r="AM260" s="752" t="n"/>
      <c r="AN260" s="752" t="n"/>
      <c r="AO260" s="752" t="n"/>
      <c r="AP260" s="752" t="n"/>
      <c r="AQ260" s="752" t="n"/>
      <c r="AR260" s="752" t="n"/>
      <c r="AS260" s="752" t="n"/>
    </row>
    <row r="261" ht="30" customHeight="1" s="36">
      <c r="A261" s="751" t="n"/>
      <c r="B261" s="751" t="n"/>
      <c r="C261" s="751" t="n"/>
      <c r="D261" s="751" t="n"/>
      <c r="E261" s="751">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751" t="n"/>
      <c r="G261" s="755" t="n"/>
      <c r="H261" s="755" t="n"/>
      <c r="I261" s="751" t="n"/>
      <c r="J261" s="751" t="n"/>
      <c r="K261" s="757">
        <f>IF(A261="","",IF(J261="AUTO",H261,IF(J261="MANUAL",AK261,"")))</f>
        <v/>
      </c>
      <c r="L261" s="751" t="n"/>
      <c r="M261" s="751" t="n"/>
      <c r="N261" s="751">
        <f>IF(A261="","",IF(COUNTIFS('Human Operation Desktop'!$A$3:$A$502,A261,'Human Operation Desktop'!$I$3:$I$502,"&lt;&gt;APPLIED",'Human Operation Desktop'!$I$3:$I$502,"&lt;&gt;REJECTED")&gt;0,"YES","NO"))</f>
        <v/>
      </c>
      <c r="O261" s="751" t="n"/>
      <c r="P261" s="752" t="n"/>
      <c r="Q261" s="752" t="n"/>
      <c r="R261" s="752" t="n"/>
      <c r="S261" s="752" t="n"/>
      <c r="T261" s="752" t="n"/>
      <c r="U261" s="752" t="n"/>
      <c r="V261" s="752" t="n"/>
      <c r="W261" s="752" t="n"/>
      <c r="X261" s="752" t="n"/>
      <c r="Y261" s="752" t="n"/>
      <c r="Z261" s="752" t="n"/>
      <c r="AA261" s="752" t="n"/>
      <c r="AB261" s="752" t="n"/>
      <c r="AC261" s="752" t="n"/>
      <c r="AD261" s="752" t="n"/>
      <c r="AE261" s="752" t="n"/>
      <c r="AF261" s="752" t="n"/>
      <c r="AG261" s="752" t="n"/>
      <c r="AH261" s="752" t="n"/>
      <c r="AI261" s="752" t="n"/>
      <c r="AJ261" s="752" t="n"/>
      <c r="AK261" s="759" t="n"/>
      <c r="AL261" s="752" t="n"/>
      <c r="AM261" s="752" t="n"/>
      <c r="AN261" s="752" t="n"/>
      <c r="AO261" s="752" t="n"/>
      <c r="AP261" s="752" t="n"/>
      <c r="AQ261" s="752" t="n"/>
      <c r="AR261" s="752" t="n"/>
      <c r="AS261" s="752" t="n"/>
    </row>
    <row r="262" ht="30" customHeight="1" s="36">
      <c r="A262" s="751" t="n"/>
      <c r="B262" s="751" t="n"/>
      <c r="C262" s="751" t="n"/>
      <c r="D262" s="751" t="n"/>
      <c r="E262" s="751">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751" t="n"/>
      <c r="G262" s="755" t="n"/>
      <c r="H262" s="755" t="n"/>
      <c r="I262" s="751" t="n"/>
      <c r="J262" s="751" t="n"/>
      <c r="K262" s="757">
        <f>IF(A262="","",IF(J262="AUTO",H262,IF(J262="MANUAL",AK262,"")))</f>
        <v/>
      </c>
      <c r="L262" s="751" t="n"/>
      <c r="M262" s="751" t="n"/>
      <c r="N262" s="751">
        <f>IF(A262="","",IF(COUNTIFS('Human Operation Desktop'!$A$3:$A$502,A262,'Human Operation Desktop'!$I$3:$I$502,"&lt;&gt;APPLIED",'Human Operation Desktop'!$I$3:$I$502,"&lt;&gt;REJECTED")&gt;0,"YES","NO"))</f>
        <v/>
      </c>
      <c r="O262" s="751" t="n"/>
      <c r="P262" s="752" t="n"/>
      <c r="Q262" s="752" t="n"/>
      <c r="R262" s="752" t="n"/>
      <c r="S262" s="752" t="n"/>
      <c r="T262" s="752" t="n"/>
      <c r="U262" s="752" t="n"/>
      <c r="V262" s="752" t="n"/>
      <c r="W262" s="752" t="n"/>
      <c r="X262" s="752" t="n"/>
      <c r="Y262" s="752" t="n"/>
      <c r="Z262" s="752" t="n"/>
      <c r="AA262" s="752" t="n"/>
      <c r="AB262" s="752" t="n"/>
      <c r="AC262" s="752" t="n"/>
      <c r="AD262" s="752" t="n"/>
      <c r="AE262" s="752" t="n"/>
      <c r="AF262" s="752" t="n"/>
      <c r="AG262" s="752" t="n"/>
      <c r="AH262" s="752" t="n"/>
      <c r="AI262" s="752" t="n"/>
      <c r="AJ262" s="752" t="n"/>
      <c r="AK262" s="759" t="n"/>
      <c r="AL262" s="752" t="n"/>
      <c r="AM262" s="752" t="n"/>
      <c r="AN262" s="752" t="n"/>
      <c r="AO262" s="752" t="n"/>
      <c r="AP262" s="752" t="n"/>
      <c r="AQ262" s="752" t="n"/>
      <c r="AR262" s="752" t="n"/>
      <c r="AS262" s="752" t="n"/>
    </row>
    <row r="263" ht="30" customHeight="1" s="36">
      <c r="A263" s="751" t="n"/>
      <c r="B263" s="751" t="n"/>
      <c r="C263" s="751" t="n"/>
      <c r="D263" s="751" t="n"/>
      <c r="E263" s="751">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751" t="n"/>
      <c r="G263" s="755" t="n"/>
      <c r="H263" s="755" t="n"/>
      <c r="I263" s="751" t="n"/>
      <c r="J263" s="751" t="n"/>
      <c r="K263" s="757">
        <f>IF(A263="","",IF(J263="AUTO",H263,IF(J263="MANUAL",AK263,"")))</f>
        <v/>
      </c>
      <c r="L263" s="751" t="n"/>
      <c r="M263" s="751" t="n"/>
      <c r="N263" s="751">
        <f>IF(A263="","",IF(COUNTIFS('Human Operation Desktop'!$A$3:$A$502,A263,'Human Operation Desktop'!$I$3:$I$502,"&lt;&gt;APPLIED",'Human Operation Desktop'!$I$3:$I$502,"&lt;&gt;REJECTED")&gt;0,"YES","NO"))</f>
        <v/>
      </c>
      <c r="O263" s="751" t="n"/>
      <c r="P263" s="752" t="n"/>
      <c r="Q263" s="752" t="n"/>
      <c r="R263" s="752" t="n"/>
      <c r="S263" s="752" t="n"/>
      <c r="T263" s="752" t="n"/>
      <c r="U263" s="752" t="n"/>
      <c r="V263" s="752" t="n"/>
      <c r="W263" s="752" t="n"/>
      <c r="X263" s="752" t="n"/>
      <c r="Y263" s="752" t="n"/>
      <c r="Z263" s="752" t="n"/>
      <c r="AA263" s="752" t="n"/>
      <c r="AB263" s="752" t="n"/>
      <c r="AC263" s="752" t="n"/>
      <c r="AD263" s="752" t="n"/>
      <c r="AE263" s="752" t="n"/>
      <c r="AF263" s="752" t="n"/>
      <c r="AG263" s="752" t="n"/>
      <c r="AH263" s="752" t="n"/>
      <c r="AI263" s="752" t="n"/>
      <c r="AJ263" s="752" t="n"/>
      <c r="AK263" s="759" t="n"/>
      <c r="AL263" s="752" t="n"/>
      <c r="AM263" s="752" t="n"/>
      <c r="AN263" s="752" t="n"/>
      <c r="AO263" s="752" t="n"/>
      <c r="AP263" s="752" t="n"/>
      <c r="AQ263" s="752" t="n"/>
      <c r="AR263" s="752" t="n"/>
      <c r="AS263" s="752" t="n"/>
    </row>
    <row r="264" ht="30" customHeight="1" s="36">
      <c r="A264" s="751" t="n"/>
      <c r="B264" s="751" t="n"/>
      <c r="C264" s="751" t="n"/>
      <c r="D264" s="751" t="n"/>
      <c r="E264" s="751">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751" t="n"/>
      <c r="G264" s="755" t="n"/>
      <c r="H264" s="755" t="n"/>
      <c r="I264" s="751" t="n"/>
      <c r="J264" s="751" t="n"/>
      <c r="K264" s="757">
        <f>IF(A264="","",IF(J264="AUTO",H264,IF(J264="MANUAL",AK264,"")))</f>
        <v/>
      </c>
      <c r="L264" s="751" t="n"/>
      <c r="M264" s="751" t="n"/>
      <c r="N264" s="751">
        <f>IF(A264="","",IF(COUNTIFS('Human Operation Desktop'!$A$3:$A$502,A264,'Human Operation Desktop'!$I$3:$I$502,"&lt;&gt;APPLIED",'Human Operation Desktop'!$I$3:$I$502,"&lt;&gt;REJECTED")&gt;0,"YES","NO"))</f>
        <v/>
      </c>
      <c r="O264" s="751" t="n"/>
      <c r="P264" s="752" t="n"/>
      <c r="Q264" s="752" t="n"/>
      <c r="R264" s="752" t="n"/>
      <c r="S264" s="752" t="n"/>
      <c r="T264" s="752" t="n"/>
      <c r="U264" s="752" t="n"/>
      <c r="V264" s="752" t="n"/>
      <c r="W264" s="752" t="n"/>
      <c r="X264" s="752" t="n"/>
      <c r="Y264" s="752" t="n"/>
      <c r="Z264" s="752" t="n"/>
      <c r="AA264" s="752" t="n"/>
      <c r="AB264" s="752" t="n"/>
      <c r="AC264" s="752" t="n"/>
      <c r="AD264" s="752" t="n"/>
      <c r="AE264" s="752" t="n"/>
      <c r="AF264" s="752" t="n"/>
      <c r="AG264" s="752" t="n"/>
      <c r="AH264" s="752" t="n"/>
      <c r="AI264" s="752" t="n"/>
      <c r="AJ264" s="752" t="n"/>
      <c r="AK264" s="759" t="n"/>
      <c r="AL264" s="752" t="n"/>
      <c r="AM264" s="752" t="n"/>
      <c r="AN264" s="752" t="n"/>
      <c r="AO264" s="752" t="n"/>
      <c r="AP264" s="752" t="n"/>
      <c r="AQ264" s="752" t="n"/>
      <c r="AR264" s="752" t="n"/>
      <c r="AS264" s="752" t="n"/>
    </row>
    <row r="265" ht="30" customHeight="1" s="36">
      <c r="A265" s="751" t="n"/>
      <c r="B265" s="751" t="n"/>
      <c r="C265" s="751" t="n"/>
      <c r="D265" s="751" t="n"/>
      <c r="E265" s="751">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751" t="n"/>
      <c r="G265" s="755" t="n"/>
      <c r="H265" s="755" t="n"/>
      <c r="I265" s="751" t="n"/>
      <c r="J265" s="751" t="n"/>
      <c r="K265" s="757">
        <f>IF(A265="","",IF(J265="AUTO",H265,IF(J265="MANUAL",AK265,"")))</f>
        <v/>
      </c>
      <c r="L265" s="751" t="n"/>
      <c r="M265" s="751" t="n"/>
      <c r="N265" s="751">
        <f>IF(A265="","",IF(COUNTIFS('Human Operation Desktop'!$A$3:$A$502,A265,'Human Operation Desktop'!$I$3:$I$502,"&lt;&gt;APPLIED",'Human Operation Desktop'!$I$3:$I$502,"&lt;&gt;REJECTED")&gt;0,"YES","NO"))</f>
        <v/>
      </c>
      <c r="O265" s="751" t="n"/>
      <c r="P265" s="752" t="n"/>
      <c r="Q265" s="752" t="n"/>
      <c r="R265" s="752" t="n"/>
      <c r="S265" s="752" t="n"/>
      <c r="T265" s="752" t="n"/>
      <c r="U265" s="752" t="n"/>
      <c r="V265" s="752" t="n"/>
      <c r="W265" s="752" t="n"/>
      <c r="X265" s="752" t="n"/>
      <c r="Y265" s="752" t="n"/>
      <c r="Z265" s="752" t="n"/>
      <c r="AA265" s="752" t="n"/>
      <c r="AB265" s="752" t="n"/>
      <c r="AC265" s="752" t="n"/>
      <c r="AD265" s="752" t="n"/>
      <c r="AE265" s="752" t="n"/>
      <c r="AF265" s="752" t="n"/>
      <c r="AG265" s="752" t="n"/>
      <c r="AH265" s="752" t="n"/>
      <c r="AI265" s="752" t="n"/>
      <c r="AJ265" s="752" t="n"/>
      <c r="AK265" s="759" t="n"/>
      <c r="AL265" s="752" t="n"/>
      <c r="AM265" s="752" t="n"/>
      <c r="AN265" s="752" t="n"/>
      <c r="AO265" s="752" t="n"/>
      <c r="AP265" s="752" t="n"/>
      <c r="AQ265" s="752" t="n"/>
      <c r="AR265" s="752" t="n"/>
      <c r="AS265" s="752" t="n"/>
    </row>
    <row r="266" ht="30" customHeight="1" s="36">
      <c r="A266" s="751" t="n"/>
      <c r="B266" s="751" t="n"/>
      <c r="C266" s="751" t="n"/>
      <c r="D266" s="751" t="n"/>
      <c r="E266" s="751">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751" t="n"/>
      <c r="G266" s="755" t="n"/>
      <c r="H266" s="755" t="n"/>
      <c r="I266" s="751" t="n"/>
      <c r="J266" s="751" t="n"/>
      <c r="K266" s="757">
        <f>IF(A266="","",IF(J266="AUTO",H266,IF(J266="MANUAL",AK266,"")))</f>
        <v/>
      </c>
      <c r="L266" s="751" t="n"/>
      <c r="M266" s="751" t="n"/>
      <c r="N266" s="751">
        <f>IF(A266="","",IF(COUNTIFS('Human Operation Desktop'!$A$3:$A$502,A266,'Human Operation Desktop'!$I$3:$I$502,"&lt;&gt;APPLIED",'Human Operation Desktop'!$I$3:$I$502,"&lt;&gt;REJECTED")&gt;0,"YES","NO"))</f>
        <v/>
      </c>
      <c r="O266" s="751" t="n"/>
      <c r="P266" s="752" t="n"/>
      <c r="Q266" s="752" t="n"/>
      <c r="R266" s="752" t="n"/>
      <c r="S266" s="752" t="n"/>
      <c r="T266" s="752" t="n"/>
      <c r="U266" s="752" t="n"/>
      <c r="V266" s="752" t="n"/>
      <c r="W266" s="752" t="n"/>
      <c r="X266" s="752" t="n"/>
      <c r="Y266" s="752" t="n"/>
      <c r="Z266" s="752" t="n"/>
      <c r="AA266" s="752" t="n"/>
      <c r="AB266" s="752" t="n"/>
      <c r="AC266" s="752" t="n"/>
      <c r="AD266" s="752" t="n"/>
      <c r="AE266" s="752" t="n"/>
      <c r="AF266" s="752" t="n"/>
      <c r="AG266" s="752" t="n"/>
      <c r="AH266" s="752" t="n"/>
      <c r="AI266" s="752" t="n"/>
      <c r="AJ266" s="752" t="n"/>
      <c r="AK266" s="759" t="n"/>
      <c r="AL266" s="752" t="n"/>
      <c r="AM266" s="752" t="n"/>
      <c r="AN266" s="752" t="n"/>
      <c r="AO266" s="752" t="n"/>
      <c r="AP266" s="752" t="n"/>
      <c r="AQ266" s="752" t="n"/>
      <c r="AR266" s="752" t="n"/>
      <c r="AS266" s="752" t="n"/>
    </row>
    <row r="267" ht="30" customHeight="1" s="36">
      <c r="A267" s="751" t="n"/>
      <c r="B267" s="751" t="n"/>
      <c r="C267" s="751" t="n"/>
      <c r="D267" s="751" t="n"/>
      <c r="E267" s="751">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751" t="n"/>
      <c r="G267" s="755" t="n"/>
      <c r="H267" s="755" t="n"/>
      <c r="I267" s="751" t="n"/>
      <c r="J267" s="751" t="n"/>
      <c r="K267" s="757">
        <f>IF(A267="","",IF(J267="AUTO",H267,IF(J267="MANUAL",AK267,"")))</f>
        <v/>
      </c>
      <c r="L267" s="751" t="n"/>
      <c r="M267" s="751" t="n"/>
      <c r="N267" s="751">
        <f>IF(A267="","",IF(COUNTIFS('Human Operation Desktop'!$A$3:$A$502,A267,'Human Operation Desktop'!$I$3:$I$502,"&lt;&gt;APPLIED",'Human Operation Desktop'!$I$3:$I$502,"&lt;&gt;REJECTED")&gt;0,"YES","NO"))</f>
        <v/>
      </c>
      <c r="O267" s="751" t="n"/>
      <c r="P267" s="752" t="n"/>
      <c r="Q267" s="752" t="n"/>
      <c r="R267" s="752" t="n"/>
      <c r="S267" s="752" t="n"/>
      <c r="T267" s="752" t="n"/>
      <c r="U267" s="752" t="n"/>
      <c r="V267" s="752" t="n"/>
      <c r="W267" s="752" t="n"/>
      <c r="X267" s="752" t="n"/>
      <c r="Y267" s="752" t="n"/>
      <c r="Z267" s="752" t="n"/>
      <c r="AA267" s="752" t="n"/>
      <c r="AB267" s="752" t="n"/>
      <c r="AC267" s="752" t="n"/>
      <c r="AD267" s="752" t="n"/>
      <c r="AE267" s="752" t="n"/>
      <c r="AF267" s="752" t="n"/>
      <c r="AG267" s="752" t="n"/>
      <c r="AH267" s="752" t="n"/>
      <c r="AI267" s="752" t="n"/>
      <c r="AJ267" s="752" t="n"/>
      <c r="AK267" s="759" t="n"/>
      <c r="AL267" s="752" t="n"/>
      <c r="AM267" s="752" t="n"/>
      <c r="AN267" s="752" t="n"/>
      <c r="AO267" s="752" t="n"/>
      <c r="AP267" s="752" t="n"/>
      <c r="AQ267" s="752" t="n"/>
      <c r="AR267" s="752" t="n"/>
      <c r="AS267" s="752" t="n"/>
    </row>
    <row r="268" ht="30" customHeight="1" s="36">
      <c r="A268" s="751" t="n"/>
      <c r="B268" s="751" t="n"/>
      <c r="C268" s="751" t="n"/>
      <c r="D268" s="751" t="n"/>
      <c r="E268" s="751">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751" t="n"/>
      <c r="G268" s="755" t="n"/>
      <c r="H268" s="755" t="n"/>
      <c r="I268" s="751" t="n"/>
      <c r="J268" s="751" t="n"/>
      <c r="K268" s="757">
        <f>IF(A268="","",IF(J268="AUTO",H268,IF(J268="MANUAL",AK268,"")))</f>
        <v/>
      </c>
      <c r="L268" s="751" t="n"/>
      <c r="M268" s="751" t="n"/>
      <c r="N268" s="751">
        <f>IF(A268="","",IF(COUNTIFS('Human Operation Desktop'!$A$3:$A$502,A268,'Human Operation Desktop'!$I$3:$I$502,"&lt;&gt;APPLIED",'Human Operation Desktop'!$I$3:$I$502,"&lt;&gt;REJECTED")&gt;0,"YES","NO"))</f>
        <v/>
      </c>
      <c r="O268" s="751" t="n"/>
      <c r="P268" s="752" t="n"/>
      <c r="Q268" s="752" t="n"/>
      <c r="R268" s="752" t="n"/>
      <c r="S268" s="752" t="n"/>
      <c r="T268" s="752" t="n"/>
      <c r="U268" s="752" t="n"/>
      <c r="V268" s="752" t="n"/>
      <c r="W268" s="752" t="n"/>
      <c r="X268" s="752" t="n"/>
      <c r="Y268" s="752" t="n"/>
      <c r="Z268" s="752" t="n"/>
      <c r="AA268" s="752" t="n"/>
      <c r="AB268" s="752" t="n"/>
      <c r="AC268" s="752" t="n"/>
      <c r="AD268" s="752" t="n"/>
      <c r="AE268" s="752" t="n"/>
      <c r="AF268" s="752" t="n"/>
      <c r="AG268" s="752" t="n"/>
      <c r="AH268" s="752" t="n"/>
      <c r="AI268" s="752" t="n"/>
      <c r="AJ268" s="752" t="n"/>
      <c r="AK268" s="759" t="n"/>
      <c r="AL268" s="752" t="n"/>
      <c r="AM268" s="752" t="n"/>
      <c r="AN268" s="752" t="n"/>
      <c r="AO268" s="752" t="n"/>
      <c r="AP268" s="752" t="n"/>
      <c r="AQ268" s="752" t="n"/>
      <c r="AR268" s="752" t="n"/>
      <c r="AS268" s="752" t="n"/>
    </row>
    <row r="269" ht="30" customHeight="1" s="36">
      <c r="A269" s="751" t="n"/>
      <c r="B269" s="751" t="n"/>
      <c r="C269" s="751" t="n"/>
      <c r="D269" s="751" t="n"/>
      <c r="E269" s="751">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751" t="n"/>
      <c r="G269" s="755" t="n"/>
      <c r="H269" s="755" t="n"/>
      <c r="I269" s="751" t="n"/>
      <c r="J269" s="751" t="n"/>
      <c r="K269" s="757">
        <f>IF(A269="","",IF(J269="AUTO",H269,IF(J269="MANUAL",AK269,"")))</f>
        <v/>
      </c>
      <c r="L269" s="751" t="n"/>
      <c r="M269" s="751" t="n"/>
      <c r="N269" s="751">
        <f>IF(A269="","",IF(COUNTIFS('Human Operation Desktop'!$A$3:$A$502,A269,'Human Operation Desktop'!$I$3:$I$502,"&lt;&gt;APPLIED",'Human Operation Desktop'!$I$3:$I$502,"&lt;&gt;REJECTED")&gt;0,"YES","NO"))</f>
        <v/>
      </c>
      <c r="O269" s="751" t="n"/>
      <c r="P269" s="752" t="n"/>
      <c r="Q269" s="752" t="n"/>
      <c r="R269" s="752" t="n"/>
      <c r="S269" s="752" t="n"/>
      <c r="T269" s="752" t="n"/>
      <c r="U269" s="752" t="n"/>
      <c r="V269" s="752" t="n"/>
      <c r="W269" s="752" t="n"/>
      <c r="X269" s="752" t="n"/>
      <c r="Y269" s="752" t="n"/>
      <c r="Z269" s="752" t="n"/>
      <c r="AA269" s="752" t="n"/>
      <c r="AB269" s="752" t="n"/>
      <c r="AC269" s="752" t="n"/>
      <c r="AD269" s="752" t="n"/>
      <c r="AE269" s="752" t="n"/>
      <c r="AF269" s="752" t="n"/>
      <c r="AG269" s="752" t="n"/>
      <c r="AH269" s="752" t="n"/>
      <c r="AI269" s="752" t="n"/>
      <c r="AJ269" s="752" t="n"/>
      <c r="AK269" s="759" t="n"/>
      <c r="AL269" s="752" t="n"/>
      <c r="AM269" s="752" t="n"/>
      <c r="AN269" s="752" t="n"/>
      <c r="AO269" s="752" t="n"/>
      <c r="AP269" s="752" t="n"/>
      <c r="AQ269" s="752" t="n"/>
      <c r="AR269" s="752" t="n"/>
      <c r="AS269" s="752" t="n"/>
    </row>
    <row r="270" ht="30" customHeight="1" s="36">
      <c r="A270" s="751" t="n"/>
      <c r="B270" s="751" t="n"/>
      <c r="C270" s="751" t="n"/>
      <c r="D270" s="751" t="n"/>
      <c r="E270" s="751">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751" t="n"/>
      <c r="G270" s="755" t="n"/>
      <c r="H270" s="755" t="n"/>
      <c r="I270" s="751" t="n"/>
      <c r="J270" s="751" t="n"/>
      <c r="K270" s="757">
        <f>IF(A270="","",IF(J270="AUTO",H270,IF(J270="MANUAL",AK270,"")))</f>
        <v/>
      </c>
      <c r="L270" s="751" t="n"/>
      <c r="M270" s="751" t="n"/>
      <c r="N270" s="751">
        <f>IF(A270="","",IF(COUNTIFS('Human Operation Desktop'!$A$3:$A$502,A270,'Human Operation Desktop'!$I$3:$I$502,"&lt;&gt;APPLIED",'Human Operation Desktop'!$I$3:$I$502,"&lt;&gt;REJECTED")&gt;0,"YES","NO"))</f>
        <v/>
      </c>
      <c r="O270" s="751" t="n"/>
      <c r="P270" s="752" t="n"/>
      <c r="Q270" s="752" t="n"/>
      <c r="R270" s="752" t="n"/>
      <c r="S270" s="752" t="n"/>
      <c r="T270" s="752" t="n"/>
      <c r="U270" s="752" t="n"/>
      <c r="V270" s="752" t="n"/>
      <c r="W270" s="752" t="n"/>
      <c r="X270" s="752" t="n"/>
      <c r="Y270" s="752" t="n"/>
      <c r="Z270" s="752" t="n"/>
      <c r="AA270" s="752" t="n"/>
      <c r="AB270" s="752" t="n"/>
      <c r="AC270" s="752" t="n"/>
      <c r="AD270" s="752" t="n"/>
      <c r="AE270" s="752" t="n"/>
      <c r="AF270" s="752" t="n"/>
      <c r="AG270" s="752" t="n"/>
      <c r="AH270" s="752" t="n"/>
      <c r="AI270" s="752" t="n"/>
      <c r="AJ270" s="752" t="n"/>
      <c r="AK270" s="759" t="n"/>
      <c r="AL270" s="752" t="n"/>
      <c r="AM270" s="752" t="n"/>
      <c r="AN270" s="752" t="n"/>
      <c r="AO270" s="752" t="n"/>
      <c r="AP270" s="752" t="n"/>
      <c r="AQ270" s="752" t="n"/>
      <c r="AR270" s="752" t="n"/>
      <c r="AS270" s="752" t="n"/>
    </row>
    <row r="271" ht="30" customHeight="1" s="36">
      <c r="A271" s="751" t="n"/>
      <c r="B271" s="751" t="n"/>
      <c r="C271" s="751" t="n"/>
      <c r="D271" s="751" t="n"/>
      <c r="E271" s="751">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751" t="n"/>
      <c r="G271" s="755" t="n"/>
      <c r="H271" s="755" t="n"/>
      <c r="I271" s="751" t="n"/>
      <c r="J271" s="751" t="n"/>
      <c r="K271" s="757">
        <f>IF(A271="","",IF(J271="AUTO",H271,IF(J271="MANUAL",AK271,"")))</f>
        <v/>
      </c>
      <c r="L271" s="751" t="n"/>
      <c r="M271" s="751" t="n"/>
      <c r="N271" s="751">
        <f>IF(A271="","",IF(COUNTIFS('Human Operation Desktop'!$A$3:$A$502,A271,'Human Operation Desktop'!$I$3:$I$502,"&lt;&gt;APPLIED",'Human Operation Desktop'!$I$3:$I$502,"&lt;&gt;REJECTED")&gt;0,"YES","NO"))</f>
        <v/>
      </c>
      <c r="O271" s="751" t="n"/>
      <c r="P271" s="752" t="n"/>
      <c r="Q271" s="752" t="n"/>
      <c r="R271" s="752" t="n"/>
      <c r="S271" s="752" t="n"/>
      <c r="T271" s="752" t="n"/>
      <c r="U271" s="752" t="n"/>
      <c r="V271" s="752" t="n"/>
      <c r="W271" s="752" t="n"/>
      <c r="X271" s="752" t="n"/>
      <c r="Y271" s="752" t="n"/>
      <c r="Z271" s="752" t="n"/>
      <c r="AA271" s="752" t="n"/>
      <c r="AB271" s="752" t="n"/>
      <c r="AC271" s="752" t="n"/>
      <c r="AD271" s="752" t="n"/>
      <c r="AE271" s="752" t="n"/>
      <c r="AF271" s="752" t="n"/>
      <c r="AG271" s="752" t="n"/>
      <c r="AH271" s="752" t="n"/>
      <c r="AI271" s="752" t="n"/>
      <c r="AJ271" s="752" t="n"/>
      <c r="AK271" s="759" t="n"/>
      <c r="AL271" s="752" t="n"/>
      <c r="AM271" s="752" t="n"/>
      <c r="AN271" s="752" t="n"/>
      <c r="AO271" s="752" t="n"/>
      <c r="AP271" s="752" t="n"/>
      <c r="AQ271" s="752" t="n"/>
      <c r="AR271" s="752" t="n"/>
      <c r="AS271" s="752" t="n"/>
    </row>
    <row r="272" ht="30" customHeight="1" s="36">
      <c r="A272" s="751" t="n"/>
      <c r="B272" s="751" t="n"/>
      <c r="C272" s="751" t="n"/>
      <c r="D272" s="751" t="n"/>
      <c r="E272" s="751">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751" t="n"/>
      <c r="G272" s="755" t="n"/>
      <c r="H272" s="755" t="n"/>
      <c r="I272" s="751" t="n"/>
      <c r="J272" s="751" t="n"/>
      <c r="K272" s="757">
        <f>IF(A272="","",IF(J272="AUTO",H272,IF(J272="MANUAL",AK272,"")))</f>
        <v/>
      </c>
      <c r="L272" s="751" t="n"/>
      <c r="M272" s="751" t="n"/>
      <c r="N272" s="751">
        <f>IF(A272="","",IF(COUNTIFS('Human Operation Desktop'!$A$3:$A$502,A272,'Human Operation Desktop'!$I$3:$I$502,"&lt;&gt;APPLIED",'Human Operation Desktop'!$I$3:$I$502,"&lt;&gt;REJECTED")&gt;0,"YES","NO"))</f>
        <v/>
      </c>
      <c r="O272" s="751" t="n"/>
      <c r="P272" s="752" t="n"/>
      <c r="Q272" s="752" t="n"/>
      <c r="R272" s="752" t="n"/>
      <c r="S272" s="752" t="n"/>
      <c r="T272" s="752" t="n"/>
      <c r="U272" s="752" t="n"/>
      <c r="V272" s="752" t="n"/>
      <c r="W272" s="752" t="n"/>
      <c r="X272" s="752" t="n"/>
      <c r="Y272" s="752" t="n"/>
      <c r="Z272" s="752" t="n"/>
      <c r="AA272" s="752" t="n"/>
      <c r="AB272" s="752" t="n"/>
      <c r="AC272" s="752" t="n"/>
      <c r="AD272" s="752" t="n"/>
      <c r="AE272" s="752" t="n"/>
      <c r="AF272" s="752" t="n"/>
      <c r="AG272" s="752" t="n"/>
      <c r="AH272" s="752" t="n"/>
      <c r="AI272" s="752" t="n"/>
      <c r="AJ272" s="752" t="n"/>
      <c r="AK272" s="759" t="n"/>
      <c r="AL272" s="752" t="n"/>
      <c r="AM272" s="752" t="n"/>
      <c r="AN272" s="752" t="n"/>
      <c r="AO272" s="752" t="n"/>
      <c r="AP272" s="752" t="n"/>
      <c r="AQ272" s="752" t="n"/>
      <c r="AR272" s="752" t="n"/>
      <c r="AS272" s="752" t="n"/>
    </row>
    <row r="273" ht="30" customHeight="1" s="36">
      <c r="A273" s="751" t="n"/>
      <c r="B273" s="751" t="n"/>
      <c r="C273" s="751" t="n"/>
      <c r="D273" s="751" t="n"/>
      <c r="E273" s="751">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751" t="n"/>
      <c r="G273" s="755" t="n"/>
      <c r="H273" s="755" t="n"/>
      <c r="I273" s="751" t="n"/>
      <c r="J273" s="751" t="n"/>
      <c r="K273" s="757">
        <f>IF(A273="","",IF(J273="AUTO",H273,IF(J273="MANUAL",AK273,"")))</f>
        <v/>
      </c>
      <c r="L273" s="751" t="n"/>
      <c r="M273" s="751" t="n"/>
      <c r="N273" s="751">
        <f>IF(A273="","",IF(COUNTIFS('Human Operation Desktop'!$A$3:$A$502,A273,'Human Operation Desktop'!$I$3:$I$502,"&lt;&gt;APPLIED",'Human Operation Desktop'!$I$3:$I$502,"&lt;&gt;REJECTED")&gt;0,"YES","NO"))</f>
        <v/>
      </c>
      <c r="O273" s="751" t="n"/>
      <c r="P273" s="752" t="n"/>
      <c r="Q273" s="752" t="n"/>
      <c r="R273" s="752" t="n"/>
      <c r="S273" s="752" t="n"/>
      <c r="T273" s="752" t="n"/>
      <c r="U273" s="752" t="n"/>
      <c r="V273" s="752" t="n"/>
      <c r="W273" s="752" t="n"/>
      <c r="X273" s="752" t="n"/>
      <c r="Y273" s="752" t="n"/>
      <c r="Z273" s="752" t="n"/>
      <c r="AA273" s="752" t="n"/>
      <c r="AB273" s="752" t="n"/>
      <c r="AC273" s="752" t="n"/>
      <c r="AD273" s="752" t="n"/>
      <c r="AE273" s="752" t="n"/>
      <c r="AF273" s="752" t="n"/>
      <c r="AG273" s="752" t="n"/>
      <c r="AH273" s="752" t="n"/>
      <c r="AI273" s="752" t="n"/>
      <c r="AJ273" s="752" t="n"/>
      <c r="AK273" s="759" t="n"/>
      <c r="AL273" s="752" t="n"/>
      <c r="AM273" s="752" t="n"/>
      <c r="AN273" s="752" t="n"/>
      <c r="AO273" s="752" t="n"/>
      <c r="AP273" s="752" t="n"/>
      <c r="AQ273" s="752" t="n"/>
      <c r="AR273" s="752" t="n"/>
      <c r="AS273" s="752" t="n"/>
    </row>
    <row r="274" ht="30" customHeight="1" s="36">
      <c r="A274" s="751" t="n"/>
      <c r="B274" s="751" t="n"/>
      <c r="C274" s="751" t="n"/>
      <c r="D274" s="751" t="n"/>
      <c r="E274" s="751">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751" t="n"/>
      <c r="G274" s="755" t="n"/>
      <c r="H274" s="755" t="n"/>
      <c r="I274" s="751" t="n"/>
      <c r="J274" s="751" t="n"/>
      <c r="K274" s="757">
        <f>IF(A274="","",IF(J274="AUTO",H274,IF(J274="MANUAL",AK274,"")))</f>
        <v/>
      </c>
      <c r="L274" s="751" t="n"/>
      <c r="M274" s="751" t="n"/>
      <c r="N274" s="751">
        <f>IF(A274="","",IF(COUNTIFS('Human Operation Desktop'!$A$3:$A$502,A274,'Human Operation Desktop'!$I$3:$I$502,"&lt;&gt;APPLIED",'Human Operation Desktop'!$I$3:$I$502,"&lt;&gt;REJECTED")&gt;0,"YES","NO"))</f>
        <v/>
      </c>
      <c r="O274" s="751" t="n"/>
      <c r="P274" s="752" t="n"/>
      <c r="Q274" s="752" t="n"/>
      <c r="R274" s="752" t="n"/>
      <c r="S274" s="752" t="n"/>
      <c r="T274" s="752" t="n"/>
      <c r="U274" s="752" t="n"/>
      <c r="V274" s="752" t="n"/>
      <c r="W274" s="752" t="n"/>
      <c r="X274" s="752" t="n"/>
      <c r="Y274" s="752" t="n"/>
      <c r="Z274" s="752" t="n"/>
      <c r="AA274" s="752" t="n"/>
      <c r="AB274" s="752" t="n"/>
      <c r="AC274" s="752" t="n"/>
      <c r="AD274" s="752" t="n"/>
      <c r="AE274" s="752" t="n"/>
      <c r="AF274" s="752" t="n"/>
      <c r="AG274" s="752" t="n"/>
      <c r="AH274" s="752" t="n"/>
      <c r="AI274" s="752" t="n"/>
      <c r="AJ274" s="752" t="n"/>
      <c r="AK274" s="759" t="n"/>
      <c r="AL274" s="752" t="n"/>
      <c r="AM274" s="752" t="n"/>
      <c r="AN274" s="752" t="n"/>
      <c r="AO274" s="752" t="n"/>
      <c r="AP274" s="752" t="n"/>
      <c r="AQ274" s="752" t="n"/>
      <c r="AR274" s="752" t="n"/>
      <c r="AS274" s="752" t="n"/>
    </row>
    <row r="275" ht="30" customHeight="1" s="36">
      <c r="A275" s="751" t="n"/>
      <c r="B275" s="751" t="n"/>
      <c r="C275" s="751" t="n"/>
      <c r="D275" s="751" t="n"/>
      <c r="E275" s="751">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751" t="n"/>
      <c r="G275" s="755" t="n"/>
      <c r="H275" s="755" t="n"/>
      <c r="I275" s="751" t="n"/>
      <c r="J275" s="751" t="n"/>
      <c r="K275" s="757">
        <f>IF(A275="","",IF(J275="AUTO",H275,IF(J275="MANUAL",AK275,"")))</f>
        <v/>
      </c>
      <c r="L275" s="751" t="n"/>
      <c r="M275" s="751" t="n"/>
      <c r="N275" s="751">
        <f>IF(A275="","",IF(COUNTIFS('Human Operation Desktop'!$A$3:$A$502,A275,'Human Operation Desktop'!$I$3:$I$502,"&lt;&gt;APPLIED",'Human Operation Desktop'!$I$3:$I$502,"&lt;&gt;REJECTED")&gt;0,"YES","NO"))</f>
        <v/>
      </c>
      <c r="O275" s="751" t="n"/>
      <c r="P275" s="752" t="n"/>
      <c r="Q275" s="752" t="n"/>
      <c r="R275" s="752" t="n"/>
      <c r="S275" s="752" t="n"/>
      <c r="T275" s="752" t="n"/>
      <c r="U275" s="752" t="n"/>
      <c r="V275" s="752" t="n"/>
      <c r="W275" s="752" t="n"/>
      <c r="X275" s="752" t="n"/>
      <c r="Y275" s="752" t="n"/>
      <c r="Z275" s="752" t="n"/>
      <c r="AA275" s="752" t="n"/>
      <c r="AB275" s="752" t="n"/>
      <c r="AC275" s="752" t="n"/>
      <c r="AD275" s="752" t="n"/>
      <c r="AE275" s="752" t="n"/>
      <c r="AF275" s="752" t="n"/>
      <c r="AG275" s="752" t="n"/>
      <c r="AH275" s="752" t="n"/>
      <c r="AI275" s="752" t="n"/>
      <c r="AJ275" s="752" t="n"/>
      <c r="AK275" s="759" t="n"/>
      <c r="AL275" s="752" t="n"/>
      <c r="AM275" s="752" t="n"/>
      <c r="AN275" s="752" t="n"/>
      <c r="AO275" s="752" t="n"/>
      <c r="AP275" s="752" t="n"/>
      <c r="AQ275" s="752" t="n"/>
      <c r="AR275" s="752" t="n"/>
      <c r="AS275" s="752" t="n"/>
    </row>
    <row r="276" ht="30" customHeight="1" s="36">
      <c r="A276" s="751" t="n"/>
      <c r="B276" s="751" t="n"/>
      <c r="C276" s="751" t="n"/>
      <c r="D276" s="751" t="n"/>
      <c r="E276" s="751">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751" t="n"/>
      <c r="G276" s="755" t="n"/>
      <c r="H276" s="755" t="n"/>
      <c r="I276" s="751" t="n"/>
      <c r="J276" s="751" t="n"/>
      <c r="K276" s="757">
        <f>IF(A276="","",IF(J276="AUTO",H276,IF(J276="MANUAL",AK276,"")))</f>
        <v/>
      </c>
      <c r="L276" s="751" t="n"/>
      <c r="M276" s="751" t="n"/>
      <c r="N276" s="751">
        <f>IF(A276="","",IF(COUNTIFS('Human Operation Desktop'!$A$3:$A$502,A276,'Human Operation Desktop'!$I$3:$I$502,"&lt;&gt;APPLIED",'Human Operation Desktop'!$I$3:$I$502,"&lt;&gt;REJECTED")&gt;0,"YES","NO"))</f>
        <v/>
      </c>
      <c r="O276" s="751" t="n"/>
      <c r="P276" s="752" t="n"/>
      <c r="Q276" s="752" t="n"/>
      <c r="R276" s="752" t="n"/>
      <c r="S276" s="752" t="n"/>
      <c r="T276" s="752" t="n"/>
      <c r="U276" s="752" t="n"/>
      <c r="V276" s="752" t="n"/>
      <c r="W276" s="752" t="n"/>
      <c r="X276" s="752" t="n"/>
      <c r="Y276" s="752" t="n"/>
      <c r="Z276" s="752" t="n"/>
      <c r="AA276" s="752" t="n"/>
      <c r="AB276" s="752" t="n"/>
      <c r="AC276" s="752" t="n"/>
      <c r="AD276" s="752" t="n"/>
      <c r="AE276" s="752" t="n"/>
      <c r="AF276" s="752" t="n"/>
      <c r="AG276" s="752" t="n"/>
      <c r="AH276" s="752" t="n"/>
      <c r="AI276" s="752" t="n"/>
      <c r="AJ276" s="752" t="n"/>
      <c r="AK276" s="759" t="n"/>
      <c r="AL276" s="752" t="n"/>
      <c r="AM276" s="752" t="n"/>
      <c r="AN276" s="752" t="n"/>
      <c r="AO276" s="752" t="n"/>
      <c r="AP276" s="752" t="n"/>
      <c r="AQ276" s="752" t="n"/>
      <c r="AR276" s="752" t="n"/>
      <c r="AS276" s="752" t="n"/>
    </row>
    <row r="277" ht="30" customHeight="1" s="36">
      <c r="A277" s="751" t="n"/>
      <c r="B277" s="751" t="n"/>
      <c r="C277" s="751" t="n"/>
      <c r="D277" s="751" t="n"/>
      <c r="E277" s="751">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751" t="n"/>
      <c r="G277" s="755" t="n"/>
      <c r="H277" s="755" t="n"/>
      <c r="I277" s="751" t="n"/>
      <c r="J277" s="751" t="n"/>
      <c r="K277" s="757">
        <f>IF(A277="","",IF(J277="AUTO",H277,IF(J277="MANUAL",AK277,"")))</f>
        <v/>
      </c>
      <c r="L277" s="751" t="n"/>
      <c r="M277" s="751" t="n"/>
      <c r="N277" s="751">
        <f>IF(A277="","",IF(COUNTIFS('Human Operation Desktop'!$A$3:$A$502,A277,'Human Operation Desktop'!$I$3:$I$502,"&lt;&gt;APPLIED",'Human Operation Desktop'!$I$3:$I$502,"&lt;&gt;REJECTED")&gt;0,"YES","NO"))</f>
        <v/>
      </c>
      <c r="O277" s="751" t="n"/>
      <c r="P277" s="752" t="n"/>
      <c r="Q277" s="752" t="n"/>
      <c r="R277" s="752" t="n"/>
      <c r="S277" s="752" t="n"/>
      <c r="T277" s="752" t="n"/>
      <c r="U277" s="752" t="n"/>
      <c r="V277" s="752" t="n"/>
      <c r="W277" s="752" t="n"/>
      <c r="X277" s="752" t="n"/>
      <c r="Y277" s="752" t="n"/>
      <c r="Z277" s="752" t="n"/>
      <c r="AA277" s="752" t="n"/>
      <c r="AB277" s="752" t="n"/>
      <c r="AC277" s="752" t="n"/>
      <c r="AD277" s="752" t="n"/>
      <c r="AE277" s="752" t="n"/>
      <c r="AF277" s="752" t="n"/>
      <c r="AG277" s="752" t="n"/>
      <c r="AH277" s="752" t="n"/>
      <c r="AI277" s="752" t="n"/>
      <c r="AJ277" s="752" t="n"/>
      <c r="AK277" s="759" t="n"/>
      <c r="AL277" s="752" t="n"/>
      <c r="AM277" s="752" t="n"/>
      <c r="AN277" s="752" t="n"/>
      <c r="AO277" s="752" t="n"/>
      <c r="AP277" s="752" t="n"/>
      <c r="AQ277" s="752" t="n"/>
      <c r="AR277" s="752" t="n"/>
      <c r="AS277" s="752" t="n"/>
    </row>
    <row r="278" ht="30" customHeight="1" s="36">
      <c r="A278" s="751" t="n"/>
      <c r="B278" s="751" t="n"/>
      <c r="C278" s="751" t="n"/>
      <c r="D278" s="751" t="n"/>
      <c r="E278" s="751">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751" t="n"/>
      <c r="G278" s="755" t="n"/>
      <c r="H278" s="755" t="n"/>
      <c r="I278" s="751" t="n"/>
      <c r="J278" s="751" t="n"/>
      <c r="K278" s="757">
        <f>IF(A278="","",IF(J278="AUTO",H278,IF(J278="MANUAL",AK278,"")))</f>
        <v/>
      </c>
      <c r="L278" s="751" t="n"/>
      <c r="M278" s="751" t="n"/>
      <c r="N278" s="751">
        <f>IF(A278="","",IF(COUNTIFS('Human Operation Desktop'!$A$3:$A$502,A278,'Human Operation Desktop'!$I$3:$I$502,"&lt;&gt;APPLIED",'Human Operation Desktop'!$I$3:$I$502,"&lt;&gt;REJECTED")&gt;0,"YES","NO"))</f>
        <v/>
      </c>
      <c r="O278" s="751" t="n"/>
      <c r="P278" s="752" t="n"/>
      <c r="Q278" s="752" t="n"/>
      <c r="R278" s="752" t="n"/>
      <c r="S278" s="752" t="n"/>
      <c r="T278" s="752" t="n"/>
      <c r="U278" s="752" t="n"/>
      <c r="V278" s="752" t="n"/>
      <c r="W278" s="752" t="n"/>
      <c r="X278" s="752" t="n"/>
      <c r="Y278" s="752" t="n"/>
      <c r="Z278" s="752" t="n"/>
      <c r="AA278" s="752" t="n"/>
      <c r="AB278" s="752" t="n"/>
      <c r="AC278" s="752" t="n"/>
      <c r="AD278" s="752" t="n"/>
      <c r="AE278" s="752" t="n"/>
      <c r="AF278" s="752" t="n"/>
      <c r="AG278" s="752" t="n"/>
      <c r="AH278" s="752" t="n"/>
      <c r="AI278" s="752" t="n"/>
      <c r="AJ278" s="752" t="n"/>
      <c r="AK278" s="759" t="n"/>
      <c r="AL278" s="752" t="n"/>
      <c r="AM278" s="752" t="n"/>
      <c r="AN278" s="752" t="n"/>
      <c r="AO278" s="752" t="n"/>
      <c r="AP278" s="752" t="n"/>
      <c r="AQ278" s="752" t="n"/>
      <c r="AR278" s="752" t="n"/>
      <c r="AS278" s="752" t="n"/>
    </row>
    <row r="279" ht="30" customHeight="1" s="36">
      <c r="A279" s="751" t="n"/>
      <c r="B279" s="751" t="n"/>
      <c r="C279" s="751" t="n"/>
      <c r="D279" s="751" t="n"/>
      <c r="E279" s="751">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751" t="n"/>
      <c r="G279" s="755" t="n"/>
      <c r="H279" s="755" t="n"/>
      <c r="I279" s="751" t="n"/>
      <c r="J279" s="751" t="n"/>
      <c r="K279" s="757">
        <f>IF(A279="","",IF(J279="AUTO",H279,IF(J279="MANUAL",AK279,"")))</f>
        <v/>
      </c>
      <c r="L279" s="751" t="n"/>
      <c r="M279" s="751" t="n"/>
      <c r="N279" s="751">
        <f>IF(A279="","",IF(COUNTIFS('Human Operation Desktop'!$A$3:$A$502,A279,'Human Operation Desktop'!$I$3:$I$502,"&lt;&gt;APPLIED",'Human Operation Desktop'!$I$3:$I$502,"&lt;&gt;REJECTED")&gt;0,"YES","NO"))</f>
        <v/>
      </c>
      <c r="O279" s="751" t="n"/>
      <c r="P279" s="752" t="n"/>
      <c r="Q279" s="752" t="n"/>
      <c r="R279" s="752" t="n"/>
      <c r="S279" s="752" t="n"/>
      <c r="T279" s="752" t="n"/>
      <c r="U279" s="752" t="n"/>
      <c r="V279" s="752" t="n"/>
      <c r="W279" s="752" t="n"/>
      <c r="X279" s="752" t="n"/>
      <c r="Y279" s="752" t="n"/>
      <c r="Z279" s="752" t="n"/>
      <c r="AA279" s="752" t="n"/>
      <c r="AB279" s="752" t="n"/>
      <c r="AC279" s="752" t="n"/>
      <c r="AD279" s="752" t="n"/>
      <c r="AE279" s="752" t="n"/>
      <c r="AF279" s="752" t="n"/>
      <c r="AG279" s="752" t="n"/>
      <c r="AH279" s="752" t="n"/>
      <c r="AI279" s="752" t="n"/>
      <c r="AJ279" s="752" t="n"/>
      <c r="AK279" s="759" t="n"/>
      <c r="AL279" s="752" t="n"/>
      <c r="AM279" s="752" t="n"/>
      <c r="AN279" s="752" t="n"/>
      <c r="AO279" s="752" t="n"/>
      <c r="AP279" s="752" t="n"/>
      <c r="AQ279" s="752" t="n"/>
      <c r="AR279" s="752" t="n"/>
      <c r="AS279" s="752" t="n"/>
    </row>
    <row r="280" ht="30" customHeight="1" s="36">
      <c r="A280" s="751" t="n"/>
      <c r="B280" s="751" t="n"/>
      <c r="C280" s="751" t="n"/>
      <c r="D280" s="751" t="n"/>
      <c r="E280" s="751">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751" t="n"/>
      <c r="G280" s="755" t="n"/>
      <c r="H280" s="755" t="n"/>
      <c r="I280" s="751" t="n"/>
      <c r="J280" s="751" t="n"/>
      <c r="K280" s="757">
        <f>IF(A280="","",IF(J280="AUTO",H280,IF(J280="MANUAL",AK280,"")))</f>
        <v/>
      </c>
      <c r="L280" s="751" t="n"/>
      <c r="M280" s="751" t="n"/>
      <c r="N280" s="751">
        <f>IF(A280="","",IF(COUNTIFS('Human Operation Desktop'!$A$3:$A$502,A280,'Human Operation Desktop'!$I$3:$I$502,"&lt;&gt;APPLIED",'Human Operation Desktop'!$I$3:$I$502,"&lt;&gt;REJECTED")&gt;0,"YES","NO"))</f>
        <v/>
      </c>
      <c r="O280" s="751" t="n"/>
      <c r="P280" s="752" t="n"/>
      <c r="Q280" s="752" t="n"/>
      <c r="R280" s="752" t="n"/>
      <c r="S280" s="752" t="n"/>
      <c r="T280" s="752" t="n"/>
      <c r="U280" s="752" t="n"/>
      <c r="V280" s="752" t="n"/>
      <c r="W280" s="752" t="n"/>
      <c r="X280" s="752" t="n"/>
      <c r="Y280" s="752" t="n"/>
      <c r="Z280" s="752" t="n"/>
      <c r="AA280" s="752" t="n"/>
      <c r="AB280" s="752" t="n"/>
      <c r="AC280" s="752" t="n"/>
      <c r="AD280" s="752" t="n"/>
      <c r="AE280" s="752" t="n"/>
      <c r="AF280" s="752" t="n"/>
      <c r="AG280" s="752" t="n"/>
      <c r="AH280" s="752" t="n"/>
      <c r="AI280" s="752" t="n"/>
      <c r="AJ280" s="752" t="n"/>
      <c r="AK280" s="759" t="n"/>
      <c r="AL280" s="752" t="n"/>
      <c r="AM280" s="752" t="n"/>
      <c r="AN280" s="752" t="n"/>
      <c r="AO280" s="752" t="n"/>
      <c r="AP280" s="752" t="n"/>
      <c r="AQ280" s="752" t="n"/>
      <c r="AR280" s="752" t="n"/>
      <c r="AS280" s="752" t="n"/>
    </row>
    <row r="281" ht="30" customHeight="1" s="36">
      <c r="A281" s="751" t="n"/>
      <c r="B281" s="751" t="n"/>
      <c r="C281" s="751" t="n"/>
      <c r="D281" s="751" t="n"/>
      <c r="E281" s="751">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751" t="n"/>
      <c r="G281" s="755" t="n"/>
      <c r="H281" s="755" t="n"/>
      <c r="I281" s="751" t="n"/>
      <c r="J281" s="751" t="n"/>
      <c r="K281" s="757">
        <f>IF(A281="","",IF(J281="AUTO",H281,IF(J281="MANUAL",AK281,"")))</f>
        <v/>
      </c>
      <c r="L281" s="751" t="n"/>
      <c r="M281" s="751" t="n"/>
      <c r="N281" s="751">
        <f>IF(A281="","",IF(COUNTIFS('Human Operation Desktop'!$A$3:$A$502,A281,'Human Operation Desktop'!$I$3:$I$502,"&lt;&gt;APPLIED",'Human Operation Desktop'!$I$3:$I$502,"&lt;&gt;REJECTED")&gt;0,"YES","NO"))</f>
        <v/>
      </c>
      <c r="O281" s="751" t="n"/>
      <c r="P281" s="752" t="n"/>
      <c r="Q281" s="752" t="n"/>
      <c r="R281" s="752" t="n"/>
      <c r="S281" s="752" t="n"/>
      <c r="T281" s="752" t="n"/>
      <c r="U281" s="752" t="n"/>
      <c r="V281" s="752" t="n"/>
      <c r="W281" s="752" t="n"/>
      <c r="X281" s="752" t="n"/>
      <c r="Y281" s="752" t="n"/>
      <c r="Z281" s="752" t="n"/>
      <c r="AA281" s="752" t="n"/>
      <c r="AB281" s="752" t="n"/>
      <c r="AC281" s="752" t="n"/>
      <c r="AD281" s="752" t="n"/>
      <c r="AE281" s="752" t="n"/>
      <c r="AF281" s="752" t="n"/>
      <c r="AG281" s="752" t="n"/>
      <c r="AH281" s="752" t="n"/>
      <c r="AI281" s="752" t="n"/>
      <c r="AJ281" s="752" t="n"/>
      <c r="AK281" s="759" t="n"/>
      <c r="AL281" s="752" t="n"/>
      <c r="AM281" s="752" t="n"/>
      <c r="AN281" s="752" t="n"/>
      <c r="AO281" s="752" t="n"/>
      <c r="AP281" s="752" t="n"/>
      <c r="AQ281" s="752" t="n"/>
      <c r="AR281" s="752" t="n"/>
      <c r="AS281" s="752" t="n"/>
    </row>
    <row r="282" ht="30" customHeight="1" s="36">
      <c r="A282" s="751" t="n"/>
      <c r="B282" s="751" t="n"/>
      <c r="C282" s="751" t="n"/>
      <c r="D282" s="751" t="n"/>
      <c r="E282" s="751">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751" t="n"/>
      <c r="G282" s="755" t="n"/>
      <c r="H282" s="755" t="n"/>
      <c r="I282" s="751" t="n"/>
      <c r="J282" s="751" t="n"/>
      <c r="K282" s="757">
        <f>IF(A282="","",IF(J282="AUTO",H282,IF(J282="MANUAL",AK282,"")))</f>
        <v/>
      </c>
      <c r="L282" s="751" t="n"/>
      <c r="M282" s="751" t="n"/>
      <c r="N282" s="751">
        <f>IF(A282="","",IF(COUNTIFS('Human Operation Desktop'!$A$3:$A$502,A282,'Human Operation Desktop'!$I$3:$I$502,"&lt;&gt;APPLIED",'Human Operation Desktop'!$I$3:$I$502,"&lt;&gt;REJECTED")&gt;0,"YES","NO"))</f>
        <v/>
      </c>
      <c r="O282" s="751" t="n"/>
      <c r="P282" s="752" t="n"/>
      <c r="Q282" s="752" t="n"/>
      <c r="R282" s="752" t="n"/>
      <c r="S282" s="752" t="n"/>
      <c r="T282" s="752" t="n"/>
      <c r="U282" s="752" t="n"/>
      <c r="V282" s="752" t="n"/>
      <c r="W282" s="752" t="n"/>
      <c r="X282" s="752" t="n"/>
      <c r="Y282" s="752" t="n"/>
      <c r="Z282" s="752" t="n"/>
      <c r="AA282" s="752" t="n"/>
      <c r="AB282" s="752" t="n"/>
      <c r="AC282" s="752" t="n"/>
      <c r="AD282" s="752" t="n"/>
      <c r="AE282" s="752" t="n"/>
      <c r="AF282" s="752" t="n"/>
      <c r="AG282" s="752" t="n"/>
      <c r="AH282" s="752" t="n"/>
      <c r="AI282" s="752" t="n"/>
      <c r="AJ282" s="752" t="n"/>
      <c r="AK282" s="759" t="n"/>
      <c r="AL282" s="752" t="n"/>
      <c r="AM282" s="752" t="n"/>
      <c r="AN282" s="752" t="n"/>
      <c r="AO282" s="752" t="n"/>
      <c r="AP282" s="752" t="n"/>
      <c r="AQ282" s="752" t="n"/>
      <c r="AR282" s="752" t="n"/>
      <c r="AS282" s="752" t="n"/>
    </row>
    <row r="283" ht="30" customHeight="1" s="36">
      <c r="A283" s="751" t="n"/>
      <c r="B283" s="751" t="n"/>
      <c r="C283" s="751" t="n"/>
      <c r="D283" s="751" t="n"/>
      <c r="E283" s="751">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751" t="n"/>
      <c r="G283" s="755" t="n"/>
      <c r="H283" s="755" t="n"/>
      <c r="I283" s="751" t="n"/>
      <c r="J283" s="751" t="n"/>
      <c r="K283" s="757">
        <f>IF(A283="","",IF(J283="AUTO",H283,IF(J283="MANUAL",AK283,"")))</f>
        <v/>
      </c>
      <c r="L283" s="751" t="n"/>
      <c r="M283" s="751" t="n"/>
      <c r="N283" s="751">
        <f>IF(A283="","",IF(COUNTIFS('Human Operation Desktop'!$A$3:$A$502,A283,'Human Operation Desktop'!$I$3:$I$502,"&lt;&gt;APPLIED",'Human Operation Desktop'!$I$3:$I$502,"&lt;&gt;REJECTED")&gt;0,"YES","NO"))</f>
        <v/>
      </c>
      <c r="O283" s="751" t="n"/>
      <c r="P283" s="752" t="n"/>
      <c r="Q283" s="752" t="n"/>
      <c r="R283" s="752" t="n"/>
      <c r="S283" s="752" t="n"/>
      <c r="T283" s="752" t="n"/>
      <c r="U283" s="752" t="n"/>
      <c r="V283" s="752" t="n"/>
      <c r="W283" s="752" t="n"/>
      <c r="X283" s="752" t="n"/>
      <c r="Y283" s="752" t="n"/>
      <c r="Z283" s="752" t="n"/>
      <c r="AA283" s="752" t="n"/>
      <c r="AB283" s="752" t="n"/>
      <c r="AC283" s="752" t="n"/>
      <c r="AD283" s="752" t="n"/>
      <c r="AE283" s="752" t="n"/>
      <c r="AF283" s="752" t="n"/>
      <c r="AG283" s="752" t="n"/>
      <c r="AH283" s="752" t="n"/>
      <c r="AI283" s="752" t="n"/>
      <c r="AJ283" s="752" t="n"/>
      <c r="AK283" s="759" t="n"/>
      <c r="AL283" s="752" t="n"/>
      <c r="AM283" s="752" t="n"/>
      <c r="AN283" s="752" t="n"/>
      <c r="AO283" s="752" t="n"/>
      <c r="AP283" s="752" t="n"/>
      <c r="AQ283" s="752" t="n"/>
      <c r="AR283" s="752" t="n"/>
      <c r="AS283" s="752" t="n"/>
    </row>
    <row r="284" ht="30" customHeight="1" s="36">
      <c r="A284" s="751" t="n"/>
      <c r="B284" s="751" t="n"/>
      <c r="C284" s="751" t="n"/>
      <c r="D284" s="751" t="n"/>
      <c r="E284" s="751">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751" t="n"/>
      <c r="G284" s="755" t="n"/>
      <c r="H284" s="755" t="n"/>
      <c r="I284" s="751" t="n"/>
      <c r="J284" s="751" t="n"/>
      <c r="K284" s="757">
        <f>IF(A284="","",IF(J284="AUTO",H284,IF(J284="MANUAL",AK284,"")))</f>
        <v/>
      </c>
      <c r="L284" s="751" t="n"/>
      <c r="M284" s="751" t="n"/>
      <c r="N284" s="751">
        <f>IF(A284="","",IF(COUNTIFS('Human Operation Desktop'!$A$3:$A$502,A284,'Human Operation Desktop'!$I$3:$I$502,"&lt;&gt;APPLIED",'Human Operation Desktop'!$I$3:$I$502,"&lt;&gt;REJECTED")&gt;0,"YES","NO"))</f>
        <v/>
      </c>
      <c r="O284" s="751" t="n"/>
      <c r="P284" s="752" t="n"/>
      <c r="Q284" s="752" t="n"/>
      <c r="R284" s="752" t="n"/>
      <c r="S284" s="752" t="n"/>
      <c r="T284" s="752" t="n"/>
      <c r="U284" s="752" t="n"/>
      <c r="V284" s="752" t="n"/>
      <c r="W284" s="752" t="n"/>
      <c r="X284" s="752" t="n"/>
      <c r="Y284" s="752" t="n"/>
      <c r="Z284" s="752" t="n"/>
      <c r="AA284" s="752" t="n"/>
      <c r="AB284" s="752" t="n"/>
      <c r="AC284" s="752" t="n"/>
      <c r="AD284" s="752" t="n"/>
      <c r="AE284" s="752" t="n"/>
      <c r="AF284" s="752" t="n"/>
      <c r="AG284" s="752" t="n"/>
      <c r="AH284" s="752" t="n"/>
      <c r="AI284" s="752" t="n"/>
      <c r="AJ284" s="752" t="n"/>
      <c r="AK284" s="759" t="n"/>
      <c r="AL284" s="752" t="n"/>
      <c r="AM284" s="752" t="n"/>
      <c r="AN284" s="752" t="n"/>
      <c r="AO284" s="752" t="n"/>
      <c r="AP284" s="752" t="n"/>
      <c r="AQ284" s="752" t="n"/>
      <c r="AR284" s="752" t="n"/>
      <c r="AS284" s="752" t="n"/>
    </row>
    <row r="285" ht="30" customHeight="1" s="36">
      <c r="A285" s="751" t="n"/>
      <c r="B285" s="751" t="n"/>
      <c r="C285" s="751" t="n"/>
      <c r="D285" s="751" t="n"/>
      <c r="E285" s="751">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751" t="n"/>
      <c r="G285" s="755" t="n"/>
      <c r="H285" s="755" t="n"/>
      <c r="I285" s="751" t="n"/>
      <c r="J285" s="751" t="n"/>
      <c r="K285" s="757">
        <f>IF(A285="","",IF(J285="AUTO",H285,IF(J285="MANUAL",AK285,"")))</f>
        <v/>
      </c>
      <c r="L285" s="751" t="n"/>
      <c r="M285" s="751" t="n"/>
      <c r="N285" s="751">
        <f>IF(A285="","",IF(COUNTIFS('Human Operation Desktop'!$A$3:$A$502,A285,'Human Operation Desktop'!$I$3:$I$502,"&lt;&gt;APPLIED",'Human Operation Desktop'!$I$3:$I$502,"&lt;&gt;REJECTED")&gt;0,"YES","NO"))</f>
        <v/>
      </c>
      <c r="O285" s="751" t="n"/>
      <c r="P285" s="752" t="n"/>
      <c r="Q285" s="752" t="n"/>
      <c r="R285" s="752" t="n"/>
      <c r="S285" s="752" t="n"/>
      <c r="T285" s="752" t="n"/>
      <c r="U285" s="752" t="n"/>
      <c r="V285" s="752" t="n"/>
      <c r="W285" s="752" t="n"/>
      <c r="X285" s="752" t="n"/>
      <c r="Y285" s="752" t="n"/>
      <c r="Z285" s="752" t="n"/>
      <c r="AA285" s="752" t="n"/>
      <c r="AB285" s="752" t="n"/>
      <c r="AC285" s="752" t="n"/>
      <c r="AD285" s="752" t="n"/>
      <c r="AE285" s="752" t="n"/>
      <c r="AF285" s="752" t="n"/>
      <c r="AG285" s="752" t="n"/>
      <c r="AH285" s="752" t="n"/>
      <c r="AI285" s="752" t="n"/>
      <c r="AJ285" s="752" t="n"/>
      <c r="AK285" s="759" t="n"/>
      <c r="AL285" s="752" t="n"/>
      <c r="AM285" s="752" t="n"/>
      <c r="AN285" s="752" t="n"/>
      <c r="AO285" s="752" t="n"/>
      <c r="AP285" s="752" t="n"/>
      <c r="AQ285" s="752" t="n"/>
      <c r="AR285" s="752" t="n"/>
      <c r="AS285" s="752" t="n"/>
    </row>
    <row r="286" ht="30" customHeight="1" s="36">
      <c r="A286" s="751" t="n"/>
      <c r="B286" s="751" t="n"/>
      <c r="C286" s="751" t="n"/>
      <c r="D286" s="751" t="n"/>
      <c r="E286" s="751">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751" t="n"/>
      <c r="G286" s="755" t="n"/>
      <c r="H286" s="755" t="n"/>
      <c r="I286" s="751" t="n"/>
      <c r="J286" s="751" t="n"/>
      <c r="K286" s="757">
        <f>IF(A286="","",IF(J286="AUTO",H286,IF(J286="MANUAL",AK286,"")))</f>
        <v/>
      </c>
      <c r="L286" s="751" t="n"/>
      <c r="M286" s="751" t="n"/>
      <c r="N286" s="751">
        <f>IF(A286="","",IF(COUNTIFS('Human Operation Desktop'!$A$3:$A$502,A286,'Human Operation Desktop'!$I$3:$I$502,"&lt;&gt;APPLIED",'Human Operation Desktop'!$I$3:$I$502,"&lt;&gt;REJECTED")&gt;0,"YES","NO"))</f>
        <v/>
      </c>
      <c r="O286" s="751" t="n"/>
      <c r="P286" s="752" t="n"/>
      <c r="Q286" s="752" t="n"/>
      <c r="R286" s="752" t="n"/>
      <c r="S286" s="752" t="n"/>
      <c r="T286" s="752" t="n"/>
      <c r="U286" s="752" t="n"/>
      <c r="V286" s="752" t="n"/>
      <c r="W286" s="752" t="n"/>
      <c r="X286" s="752" t="n"/>
      <c r="Y286" s="752" t="n"/>
      <c r="Z286" s="752" t="n"/>
      <c r="AA286" s="752" t="n"/>
      <c r="AB286" s="752" t="n"/>
      <c r="AC286" s="752" t="n"/>
      <c r="AD286" s="752" t="n"/>
      <c r="AE286" s="752" t="n"/>
      <c r="AF286" s="752" t="n"/>
      <c r="AG286" s="752" t="n"/>
      <c r="AH286" s="752" t="n"/>
      <c r="AI286" s="752" t="n"/>
      <c r="AJ286" s="752" t="n"/>
      <c r="AK286" s="759" t="n"/>
      <c r="AL286" s="752" t="n"/>
      <c r="AM286" s="752" t="n"/>
      <c r="AN286" s="752" t="n"/>
      <c r="AO286" s="752" t="n"/>
      <c r="AP286" s="752" t="n"/>
      <c r="AQ286" s="752" t="n"/>
      <c r="AR286" s="752" t="n"/>
      <c r="AS286" s="752" t="n"/>
    </row>
    <row r="287" ht="30" customHeight="1" s="36">
      <c r="A287" s="751" t="n"/>
      <c r="B287" s="751" t="n"/>
      <c r="C287" s="751" t="n"/>
      <c r="D287" s="751" t="n"/>
      <c r="E287" s="751">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751" t="n"/>
      <c r="G287" s="755" t="n"/>
      <c r="H287" s="755" t="n"/>
      <c r="I287" s="751" t="n"/>
      <c r="J287" s="751" t="n"/>
      <c r="K287" s="757">
        <f>IF(A287="","",IF(J287="AUTO",H287,IF(J287="MANUAL",AK287,"")))</f>
        <v/>
      </c>
      <c r="L287" s="751" t="n"/>
      <c r="M287" s="751" t="n"/>
      <c r="N287" s="751">
        <f>IF(A287="","",IF(COUNTIFS('Human Operation Desktop'!$A$3:$A$502,A287,'Human Operation Desktop'!$I$3:$I$502,"&lt;&gt;APPLIED",'Human Operation Desktop'!$I$3:$I$502,"&lt;&gt;REJECTED")&gt;0,"YES","NO"))</f>
        <v/>
      </c>
      <c r="O287" s="751" t="n"/>
      <c r="P287" s="752" t="n"/>
      <c r="Q287" s="752" t="n"/>
      <c r="R287" s="752" t="n"/>
      <c r="S287" s="752" t="n"/>
      <c r="T287" s="752" t="n"/>
      <c r="U287" s="752" t="n"/>
      <c r="V287" s="752" t="n"/>
      <c r="W287" s="752" t="n"/>
      <c r="X287" s="752" t="n"/>
      <c r="Y287" s="752" t="n"/>
      <c r="Z287" s="752" t="n"/>
      <c r="AA287" s="752" t="n"/>
      <c r="AB287" s="752" t="n"/>
      <c r="AC287" s="752" t="n"/>
      <c r="AD287" s="752" t="n"/>
      <c r="AE287" s="752" t="n"/>
      <c r="AF287" s="752" t="n"/>
      <c r="AG287" s="752" t="n"/>
      <c r="AH287" s="752" t="n"/>
      <c r="AI287" s="752" t="n"/>
      <c r="AJ287" s="752" t="n"/>
      <c r="AK287" s="759" t="n"/>
      <c r="AL287" s="752" t="n"/>
      <c r="AM287" s="752" t="n"/>
      <c r="AN287" s="752" t="n"/>
      <c r="AO287" s="752" t="n"/>
      <c r="AP287" s="752" t="n"/>
      <c r="AQ287" s="752" t="n"/>
      <c r="AR287" s="752" t="n"/>
      <c r="AS287" s="752" t="n"/>
    </row>
    <row r="288" ht="30" customHeight="1" s="36">
      <c r="A288" s="751" t="n"/>
      <c r="B288" s="751" t="n"/>
      <c r="C288" s="751" t="n"/>
      <c r="D288" s="751" t="n"/>
      <c r="E288" s="751">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751" t="n"/>
      <c r="G288" s="755" t="n"/>
      <c r="H288" s="755" t="n"/>
      <c r="I288" s="751" t="n"/>
      <c r="J288" s="751" t="n"/>
      <c r="K288" s="757">
        <f>IF(A288="","",IF(J288="AUTO",H288,IF(J288="MANUAL",AK288,"")))</f>
        <v/>
      </c>
      <c r="L288" s="751" t="n"/>
      <c r="M288" s="751" t="n"/>
      <c r="N288" s="751">
        <f>IF(A288="","",IF(COUNTIFS('Human Operation Desktop'!$A$3:$A$502,A288,'Human Operation Desktop'!$I$3:$I$502,"&lt;&gt;APPLIED",'Human Operation Desktop'!$I$3:$I$502,"&lt;&gt;REJECTED")&gt;0,"YES","NO"))</f>
        <v/>
      </c>
      <c r="O288" s="751" t="n"/>
      <c r="P288" s="752" t="n"/>
      <c r="Q288" s="752" t="n"/>
      <c r="R288" s="752" t="n"/>
      <c r="S288" s="752" t="n"/>
      <c r="T288" s="752" t="n"/>
      <c r="U288" s="752" t="n"/>
      <c r="V288" s="752" t="n"/>
      <c r="W288" s="752" t="n"/>
      <c r="X288" s="752" t="n"/>
      <c r="Y288" s="752" t="n"/>
      <c r="Z288" s="752" t="n"/>
      <c r="AA288" s="752" t="n"/>
      <c r="AB288" s="752" t="n"/>
      <c r="AC288" s="752" t="n"/>
      <c r="AD288" s="752" t="n"/>
      <c r="AE288" s="752" t="n"/>
      <c r="AF288" s="752" t="n"/>
      <c r="AG288" s="752" t="n"/>
      <c r="AH288" s="752" t="n"/>
      <c r="AI288" s="752" t="n"/>
      <c r="AJ288" s="752" t="n"/>
      <c r="AK288" s="759" t="n"/>
      <c r="AL288" s="752" t="n"/>
      <c r="AM288" s="752" t="n"/>
      <c r="AN288" s="752" t="n"/>
      <c r="AO288" s="752" t="n"/>
      <c r="AP288" s="752" t="n"/>
      <c r="AQ288" s="752" t="n"/>
      <c r="AR288" s="752" t="n"/>
      <c r="AS288" s="752" t="n"/>
    </row>
    <row r="289" ht="30" customHeight="1" s="36">
      <c r="A289" s="751" t="n"/>
      <c r="B289" s="751" t="n"/>
      <c r="C289" s="751" t="n"/>
      <c r="D289" s="751" t="n"/>
      <c r="E289" s="751">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751" t="n"/>
      <c r="G289" s="755" t="n"/>
      <c r="H289" s="755" t="n"/>
      <c r="I289" s="751" t="n"/>
      <c r="J289" s="751" t="n"/>
      <c r="K289" s="757">
        <f>IF(A289="","",IF(J289="AUTO",H289,IF(J289="MANUAL",AK289,"")))</f>
        <v/>
      </c>
      <c r="L289" s="751" t="n"/>
      <c r="M289" s="751" t="n"/>
      <c r="N289" s="751">
        <f>IF(A289="","",IF(COUNTIFS('Human Operation Desktop'!$A$3:$A$502,A289,'Human Operation Desktop'!$I$3:$I$502,"&lt;&gt;APPLIED",'Human Operation Desktop'!$I$3:$I$502,"&lt;&gt;REJECTED")&gt;0,"YES","NO"))</f>
        <v/>
      </c>
      <c r="O289" s="751" t="n"/>
      <c r="P289" s="752" t="n"/>
      <c r="Q289" s="752" t="n"/>
      <c r="R289" s="752" t="n"/>
      <c r="S289" s="752" t="n"/>
      <c r="T289" s="752" t="n"/>
      <c r="U289" s="752" t="n"/>
      <c r="V289" s="752" t="n"/>
      <c r="W289" s="752" t="n"/>
      <c r="X289" s="752" t="n"/>
      <c r="Y289" s="752" t="n"/>
      <c r="Z289" s="752" t="n"/>
      <c r="AA289" s="752" t="n"/>
      <c r="AB289" s="752" t="n"/>
      <c r="AC289" s="752" t="n"/>
      <c r="AD289" s="752" t="n"/>
      <c r="AE289" s="752" t="n"/>
      <c r="AF289" s="752" t="n"/>
      <c r="AG289" s="752" t="n"/>
      <c r="AH289" s="752" t="n"/>
      <c r="AI289" s="752" t="n"/>
      <c r="AJ289" s="752" t="n"/>
      <c r="AK289" s="759" t="n"/>
      <c r="AL289" s="752" t="n"/>
      <c r="AM289" s="752" t="n"/>
      <c r="AN289" s="752" t="n"/>
      <c r="AO289" s="752" t="n"/>
      <c r="AP289" s="752" t="n"/>
      <c r="AQ289" s="752" t="n"/>
      <c r="AR289" s="752" t="n"/>
      <c r="AS289" s="752" t="n"/>
    </row>
    <row r="290" ht="30" customHeight="1" s="36">
      <c r="A290" s="751" t="n"/>
      <c r="B290" s="751" t="n"/>
      <c r="C290" s="751" t="n"/>
      <c r="D290" s="751" t="n"/>
      <c r="E290" s="751">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751" t="n"/>
      <c r="G290" s="755" t="n"/>
      <c r="H290" s="755" t="n"/>
      <c r="I290" s="751" t="n"/>
      <c r="J290" s="751" t="n"/>
      <c r="K290" s="757">
        <f>IF(A290="","",IF(J290="AUTO",H290,IF(J290="MANUAL",AK290,"")))</f>
        <v/>
      </c>
      <c r="L290" s="751" t="n"/>
      <c r="M290" s="751" t="n"/>
      <c r="N290" s="751">
        <f>IF(A290="","",IF(COUNTIFS('Human Operation Desktop'!$A$3:$A$502,A290,'Human Operation Desktop'!$I$3:$I$502,"&lt;&gt;APPLIED",'Human Operation Desktop'!$I$3:$I$502,"&lt;&gt;REJECTED")&gt;0,"YES","NO"))</f>
        <v/>
      </c>
      <c r="O290" s="751" t="n"/>
      <c r="P290" s="752" t="n"/>
      <c r="Q290" s="752" t="n"/>
      <c r="R290" s="752" t="n"/>
      <c r="S290" s="752" t="n"/>
      <c r="T290" s="752" t="n"/>
      <c r="U290" s="752" t="n"/>
      <c r="V290" s="752" t="n"/>
      <c r="W290" s="752" t="n"/>
      <c r="X290" s="752" t="n"/>
      <c r="Y290" s="752" t="n"/>
      <c r="Z290" s="752" t="n"/>
      <c r="AA290" s="752" t="n"/>
      <c r="AB290" s="752" t="n"/>
      <c r="AC290" s="752" t="n"/>
      <c r="AD290" s="752" t="n"/>
      <c r="AE290" s="752" t="n"/>
      <c r="AF290" s="752" t="n"/>
      <c r="AG290" s="752" t="n"/>
      <c r="AH290" s="752" t="n"/>
      <c r="AI290" s="752" t="n"/>
      <c r="AJ290" s="752" t="n"/>
      <c r="AK290" s="759" t="n"/>
      <c r="AL290" s="752" t="n"/>
      <c r="AM290" s="752" t="n"/>
      <c r="AN290" s="752" t="n"/>
      <c r="AO290" s="752" t="n"/>
      <c r="AP290" s="752" t="n"/>
      <c r="AQ290" s="752" t="n"/>
      <c r="AR290" s="752" t="n"/>
      <c r="AS290" s="752" t="n"/>
    </row>
    <row r="291" ht="30" customHeight="1" s="36">
      <c r="A291" s="751" t="n"/>
      <c r="B291" s="751" t="n"/>
      <c r="C291" s="751" t="n"/>
      <c r="D291" s="751" t="n"/>
      <c r="E291" s="751">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751" t="n"/>
      <c r="G291" s="755" t="n"/>
      <c r="H291" s="755" t="n"/>
      <c r="I291" s="751" t="n"/>
      <c r="J291" s="751" t="n"/>
      <c r="K291" s="757">
        <f>IF(A291="","",IF(J291="AUTO",H291,IF(J291="MANUAL",AK291,"")))</f>
        <v/>
      </c>
      <c r="L291" s="751" t="n"/>
      <c r="M291" s="751" t="n"/>
      <c r="N291" s="751">
        <f>IF(A291="","",IF(COUNTIFS('Human Operation Desktop'!$A$3:$A$502,A291,'Human Operation Desktop'!$I$3:$I$502,"&lt;&gt;APPLIED",'Human Operation Desktop'!$I$3:$I$502,"&lt;&gt;REJECTED")&gt;0,"YES","NO"))</f>
        <v/>
      </c>
      <c r="O291" s="751" t="n"/>
      <c r="P291" s="752" t="n"/>
      <c r="Q291" s="752" t="n"/>
      <c r="R291" s="752" t="n"/>
      <c r="S291" s="752" t="n"/>
      <c r="T291" s="752" t="n"/>
      <c r="U291" s="752" t="n"/>
      <c r="V291" s="752" t="n"/>
      <c r="W291" s="752" t="n"/>
      <c r="X291" s="752" t="n"/>
      <c r="Y291" s="752" t="n"/>
      <c r="Z291" s="752" t="n"/>
      <c r="AA291" s="752" t="n"/>
      <c r="AB291" s="752" t="n"/>
      <c r="AC291" s="752" t="n"/>
      <c r="AD291" s="752" t="n"/>
      <c r="AE291" s="752" t="n"/>
      <c r="AF291" s="752" t="n"/>
      <c r="AG291" s="752" t="n"/>
      <c r="AH291" s="752" t="n"/>
      <c r="AI291" s="752" t="n"/>
      <c r="AJ291" s="752" t="n"/>
      <c r="AK291" s="759" t="n"/>
      <c r="AL291" s="752" t="n"/>
      <c r="AM291" s="752" t="n"/>
      <c r="AN291" s="752" t="n"/>
      <c r="AO291" s="752" t="n"/>
      <c r="AP291" s="752" t="n"/>
      <c r="AQ291" s="752" t="n"/>
      <c r="AR291" s="752" t="n"/>
      <c r="AS291" s="752" t="n"/>
    </row>
    <row r="292" ht="30" customHeight="1" s="36">
      <c r="A292" s="751" t="n"/>
      <c r="B292" s="751" t="n"/>
      <c r="C292" s="751" t="n"/>
      <c r="D292" s="751" t="n"/>
      <c r="E292" s="751">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751" t="n"/>
      <c r="G292" s="755" t="n"/>
      <c r="H292" s="755" t="n"/>
      <c r="I292" s="751" t="n"/>
      <c r="J292" s="751" t="n"/>
      <c r="K292" s="757">
        <f>IF(A292="","",IF(J292="AUTO",H292,IF(J292="MANUAL",AK292,"")))</f>
        <v/>
      </c>
      <c r="L292" s="751" t="n"/>
      <c r="M292" s="751" t="n"/>
      <c r="N292" s="751">
        <f>IF(A292="","",IF(COUNTIFS('Human Operation Desktop'!$A$3:$A$502,A292,'Human Operation Desktop'!$I$3:$I$502,"&lt;&gt;APPLIED",'Human Operation Desktop'!$I$3:$I$502,"&lt;&gt;REJECTED")&gt;0,"YES","NO"))</f>
        <v/>
      </c>
      <c r="O292" s="751" t="n"/>
      <c r="P292" s="752" t="n"/>
      <c r="Q292" s="752" t="n"/>
      <c r="R292" s="752" t="n"/>
      <c r="S292" s="752" t="n"/>
      <c r="T292" s="752" t="n"/>
      <c r="U292" s="752" t="n"/>
      <c r="V292" s="752" t="n"/>
      <c r="W292" s="752" t="n"/>
      <c r="X292" s="752" t="n"/>
      <c r="Y292" s="752" t="n"/>
      <c r="Z292" s="752" t="n"/>
      <c r="AA292" s="752" t="n"/>
      <c r="AB292" s="752" t="n"/>
      <c r="AC292" s="752" t="n"/>
      <c r="AD292" s="752" t="n"/>
      <c r="AE292" s="752" t="n"/>
      <c r="AF292" s="752" t="n"/>
      <c r="AG292" s="752" t="n"/>
      <c r="AH292" s="752" t="n"/>
      <c r="AI292" s="752" t="n"/>
      <c r="AJ292" s="752" t="n"/>
      <c r="AK292" s="759" t="n"/>
      <c r="AL292" s="752" t="n"/>
      <c r="AM292" s="752" t="n"/>
      <c r="AN292" s="752" t="n"/>
      <c r="AO292" s="752" t="n"/>
      <c r="AP292" s="752" t="n"/>
      <c r="AQ292" s="752" t="n"/>
      <c r="AR292" s="752" t="n"/>
      <c r="AS292" s="752" t="n"/>
    </row>
    <row r="293" ht="30" customHeight="1" s="36">
      <c r="A293" s="751" t="n"/>
      <c r="B293" s="751" t="n"/>
      <c r="C293" s="751" t="n"/>
      <c r="D293" s="751" t="n"/>
      <c r="E293" s="751">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751" t="n"/>
      <c r="G293" s="755" t="n"/>
      <c r="H293" s="755" t="n"/>
      <c r="I293" s="751" t="n"/>
      <c r="J293" s="751" t="n"/>
      <c r="K293" s="757">
        <f>IF(A293="","",IF(J293="AUTO",H293,IF(J293="MANUAL",AK293,"")))</f>
        <v/>
      </c>
      <c r="L293" s="751" t="n"/>
      <c r="M293" s="751" t="n"/>
      <c r="N293" s="751">
        <f>IF(A293="","",IF(COUNTIFS('Human Operation Desktop'!$A$3:$A$502,A293,'Human Operation Desktop'!$I$3:$I$502,"&lt;&gt;APPLIED",'Human Operation Desktop'!$I$3:$I$502,"&lt;&gt;REJECTED")&gt;0,"YES","NO"))</f>
        <v/>
      </c>
      <c r="O293" s="751" t="n"/>
      <c r="P293" s="752" t="n"/>
      <c r="Q293" s="752" t="n"/>
      <c r="R293" s="752" t="n"/>
      <c r="S293" s="752" t="n"/>
      <c r="T293" s="752" t="n"/>
      <c r="U293" s="752" t="n"/>
      <c r="V293" s="752" t="n"/>
      <c r="W293" s="752" t="n"/>
      <c r="X293" s="752" t="n"/>
      <c r="Y293" s="752" t="n"/>
      <c r="Z293" s="752" t="n"/>
      <c r="AA293" s="752" t="n"/>
      <c r="AB293" s="752" t="n"/>
      <c r="AC293" s="752" t="n"/>
      <c r="AD293" s="752" t="n"/>
      <c r="AE293" s="752" t="n"/>
      <c r="AF293" s="752" t="n"/>
      <c r="AG293" s="752" t="n"/>
      <c r="AH293" s="752" t="n"/>
      <c r="AI293" s="752" t="n"/>
      <c r="AJ293" s="752" t="n"/>
      <c r="AK293" s="759" t="n"/>
      <c r="AL293" s="752" t="n"/>
      <c r="AM293" s="752" t="n"/>
      <c r="AN293" s="752" t="n"/>
      <c r="AO293" s="752" t="n"/>
      <c r="AP293" s="752" t="n"/>
      <c r="AQ293" s="752" t="n"/>
      <c r="AR293" s="752" t="n"/>
      <c r="AS293" s="752" t="n"/>
    </row>
    <row r="294" ht="30" customHeight="1" s="36">
      <c r="A294" s="751" t="n"/>
      <c r="B294" s="751" t="n"/>
      <c r="C294" s="751" t="n"/>
      <c r="D294" s="751" t="n"/>
      <c r="E294" s="751">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751" t="n"/>
      <c r="G294" s="755" t="n"/>
      <c r="H294" s="755" t="n"/>
      <c r="I294" s="751" t="n"/>
      <c r="J294" s="751" t="n"/>
      <c r="K294" s="757">
        <f>IF(A294="","",IF(J294="AUTO",H294,IF(J294="MANUAL",AK294,"")))</f>
        <v/>
      </c>
      <c r="L294" s="751" t="n"/>
      <c r="M294" s="751" t="n"/>
      <c r="N294" s="751">
        <f>IF(A294="","",IF(COUNTIFS('Human Operation Desktop'!$A$3:$A$502,A294,'Human Operation Desktop'!$I$3:$I$502,"&lt;&gt;APPLIED",'Human Operation Desktop'!$I$3:$I$502,"&lt;&gt;REJECTED")&gt;0,"YES","NO"))</f>
        <v/>
      </c>
      <c r="O294" s="751" t="n"/>
      <c r="P294" s="752" t="n"/>
      <c r="Q294" s="752" t="n"/>
      <c r="R294" s="752" t="n"/>
      <c r="S294" s="752" t="n"/>
      <c r="T294" s="752" t="n"/>
      <c r="U294" s="752" t="n"/>
      <c r="V294" s="752" t="n"/>
      <c r="W294" s="752" t="n"/>
      <c r="X294" s="752" t="n"/>
      <c r="Y294" s="752" t="n"/>
      <c r="Z294" s="752" t="n"/>
      <c r="AA294" s="752" t="n"/>
      <c r="AB294" s="752" t="n"/>
      <c r="AC294" s="752" t="n"/>
      <c r="AD294" s="752" t="n"/>
      <c r="AE294" s="752" t="n"/>
      <c r="AF294" s="752" t="n"/>
      <c r="AG294" s="752" t="n"/>
      <c r="AH294" s="752" t="n"/>
      <c r="AI294" s="752" t="n"/>
      <c r="AJ294" s="752" t="n"/>
      <c r="AK294" s="759" t="n"/>
      <c r="AL294" s="752" t="n"/>
      <c r="AM294" s="752" t="n"/>
      <c r="AN294" s="752" t="n"/>
      <c r="AO294" s="752" t="n"/>
      <c r="AP294" s="752" t="n"/>
      <c r="AQ294" s="752" t="n"/>
      <c r="AR294" s="752" t="n"/>
      <c r="AS294" s="752" t="n"/>
    </row>
    <row r="295" ht="30" customHeight="1" s="36">
      <c r="A295" s="751" t="n"/>
      <c r="B295" s="751" t="n"/>
      <c r="C295" s="751" t="n"/>
      <c r="D295" s="751" t="n"/>
      <c r="E295" s="751">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751" t="n"/>
      <c r="G295" s="755" t="n"/>
      <c r="H295" s="755" t="n"/>
      <c r="I295" s="751" t="n"/>
      <c r="J295" s="751" t="n"/>
      <c r="K295" s="757">
        <f>IF(A295="","",IF(J295="AUTO",H295,IF(J295="MANUAL",AK295,"")))</f>
        <v/>
      </c>
      <c r="L295" s="751" t="n"/>
      <c r="M295" s="751" t="n"/>
      <c r="N295" s="751">
        <f>IF(A295="","",IF(COUNTIFS('Human Operation Desktop'!$A$3:$A$502,A295,'Human Operation Desktop'!$I$3:$I$502,"&lt;&gt;APPLIED",'Human Operation Desktop'!$I$3:$I$502,"&lt;&gt;REJECTED")&gt;0,"YES","NO"))</f>
        <v/>
      </c>
      <c r="O295" s="751" t="n"/>
      <c r="P295" s="752" t="n"/>
      <c r="Q295" s="752" t="n"/>
      <c r="R295" s="752" t="n"/>
      <c r="S295" s="752" t="n"/>
      <c r="T295" s="752" t="n"/>
      <c r="U295" s="752" t="n"/>
      <c r="V295" s="752" t="n"/>
      <c r="W295" s="752" t="n"/>
      <c r="X295" s="752" t="n"/>
      <c r="Y295" s="752" t="n"/>
      <c r="Z295" s="752" t="n"/>
      <c r="AA295" s="752" t="n"/>
      <c r="AB295" s="752" t="n"/>
      <c r="AC295" s="752" t="n"/>
      <c r="AD295" s="752" t="n"/>
      <c r="AE295" s="752" t="n"/>
      <c r="AF295" s="752" t="n"/>
      <c r="AG295" s="752" t="n"/>
      <c r="AH295" s="752" t="n"/>
      <c r="AI295" s="752" t="n"/>
      <c r="AJ295" s="752" t="n"/>
      <c r="AK295" s="759" t="n"/>
      <c r="AL295" s="752" t="n"/>
      <c r="AM295" s="752" t="n"/>
      <c r="AN295" s="752" t="n"/>
      <c r="AO295" s="752" t="n"/>
      <c r="AP295" s="752" t="n"/>
      <c r="AQ295" s="752" t="n"/>
      <c r="AR295" s="752" t="n"/>
      <c r="AS295" s="752" t="n"/>
    </row>
    <row r="296" ht="30" customHeight="1" s="36">
      <c r="A296" s="751" t="n"/>
      <c r="B296" s="751" t="n"/>
      <c r="C296" s="751" t="n"/>
      <c r="D296" s="751" t="n"/>
      <c r="E296" s="751">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751" t="n"/>
      <c r="G296" s="755" t="n"/>
      <c r="H296" s="755" t="n"/>
      <c r="I296" s="751" t="n"/>
      <c r="J296" s="751" t="n"/>
      <c r="K296" s="757">
        <f>IF(A296="","",IF(J296="AUTO",H296,IF(J296="MANUAL",AK296,"")))</f>
        <v/>
      </c>
      <c r="L296" s="751" t="n"/>
      <c r="M296" s="751" t="n"/>
      <c r="N296" s="751">
        <f>IF(A296="","",IF(COUNTIFS('Human Operation Desktop'!$A$3:$A$502,A296,'Human Operation Desktop'!$I$3:$I$502,"&lt;&gt;APPLIED",'Human Operation Desktop'!$I$3:$I$502,"&lt;&gt;REJECTED")&gt;0,"YES","NO"))</f>
        <v/>
      </c>
      <c r="O296" s="751" t="n"/>
      <c r="P296" s="752" t="n"/>
      <c r="Q296" s="752" t="n"/>
      <c r="R296" s="752" t="n"/>
      <c r="S296" s="752" t="n"/>
      <c r="T296" s="752" t="n"/>
      <c r="U296" s="752" t="n"/>
      <c r="V296" s="752" t="n"/>
      <c r="W296" s="752" t="n"/>
      <c r="X296" s="752" t="n"/>
      <c r="Y296" s="752" t="n"/>
      <c r="Z296" s="752" t="n"/>
      <c r="AA296" s="752" t="n"/>
      <c r="AB296" s="752" t="n"/>
      <c r="AC296" s="752" t="n"/>
      <c r="AD296" s="752" t="n"/>
      <c r="AE296" s="752" t="n"/>
      <c r="AF296" s="752" t="n"/>
      <c r="AG296" s="752" t="n"/>
      <c r="AH296" s="752" t="n"/>
      <c r="AI296" s="752" t="n"/>
      <c r="AJ296" s="752" t="n"/>
      <c r="AK296" s="759" t="n"/>
      <c r="AL296" s="752" t="n"/>
      <c r="AM296" s="752" t="n"/>
      <c r="AN296" s="752" t="n"/>
      <c r="AO296" s="752" t="n"/>
      <c r="AP296" s="752" t="n"/>
      <c r="AQ296" s="752" t="n"/>
      <c r="AR296" s="752" t="n"/>
      <c r="AS296" s="752" t="n"/>
    </row>
    <row r="297" ht="30" customHeight="1" s="36">
      <c r="A297" s="751" t="n"/>
      <c r="B297" s="751" t="n"/>
      <c r="C297" s="751" t="n"/>
      <c r="D297" s="751" t="n"/>
      <c r="E297" s="751">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751" t="n"/>
      <c r="G297" s="755" t="n"/>
      <c r="H297" s="755" t="n"/>
      <c r="I297" s="751" t="n"/>
      <c r="J297" s="751" t="n"/>
      <c r="K297" s="757">
        <f>IF(A297="","",IF(J297="AUTO",H297,IF(J297="MANUAL",AK297,"")))</f>
        <v/>
      </c>
      <c r="L297" s="751" t="n"/>
      <c r="M297" s="751" t="n"/>
      <c r="N297" s="751">
        <f>IF(A297="","",IF(COUNTIFS('Human Operation Desktop'!$A$3:$A$502,A297,'Human Operation Desktop'!$I$3:$I$502,"&lt;&gt;APPLIED",'Human Operation Desktop'!$I$3:$I$502,"&lt;&gt;REJECTED")&gt;0,"YES","NO"))</f>
        <v/>
      </c>
      <c r="O297" s="751" t="n"/>
      <c r="P297" s="752" t="n"/>
      <c r="Q297" s="752" t="n"/>
      <c r="R297" s="752" t="n"/>
      <c r="S297" s="752" t="n"/>
      <c r="T297" s="752" t="n"/>
      <c r="U297" s="752" t="n"/>
      <c r="V297" s="752" t="n"/>
      <c r="W297" s="752" t="n"/>
      <c r="X297" s="752" t="n"/>
      <c r="Y297" s="752" t="n"/>
      <c r="Z297" s="752" t="n"/>
      <c r="AA297" s="752" t="n"/>
      <c r="AB297" s="752" t="n"/>
      <c r="AC297" s="752" t="n"/>
      <c r="AD297" s="752" t="n"/>
      <c r="AE297" s="752" t="n"/>
      <c r="AF297" s="752" t="n"/>
      <c r="AG297" s="752" t="n"/>
      <c r="AH297" s="752" t="n"/>
      <c r="AI297" s="752" t="n"/>
      <c r="AJ297" s="752" t="n"/>
      <c r="AK297" s="759" t="n"/>
      <c r="AL297" s="752" t="n"/>
      <c r="AM297" s="752" t="n"/>
      <c r="AN297" s="752" t="n"/>
      <c r="AO297" s="752" t="n"/>
      <c r="AP297" s="752" t="n"/>
      <c r="AQ297" s="752" t="n"/>
      <c r="AR297" s="752" t="n"/>
      <c r="AS297" s="752" t="n"/>
    </row>
    <row r="298" ht="30" customHeight="1" s="36">
      <c r="A298" s="751" t="n"/>
      <c r="B298" s="751" t="n"/>
      <c r="C298" s="751" t="n"/>
      <c r="D298" s="751" t="n"/>
      <c r="E298" s="751">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751" t="n"/>
      <c r="G298" s="755" t="n"/>
      <c r="H298" s="755" t="n"/>
      <c r="I298" s="751" t="n"/>
      <c r="J298" s="751" t="n"/>
      <c r="K298" s="757">
        <f>IF(A298="","",IF(J298="AUTO",H298,IF(J298="MANUAL",AK298,"")))</f>
        <v/>
      </c>
      <c r="L298" s="751" t="n"/>
      <c r="M298" s="751" t="n"/>
      <c r="N298" s="751">
        <f>IF(A298="","",IF(COUNTIFS('Human Operation Desktop'!$A$3:$A$502,A298,'Human Operation Desktop'!$I$3:$I$502,"&lt;&gt;APPLIED",'Human Operation Desktop'!$I$3:$I$502,"&lt;&gt;REJECTED")&gt;0,"YES","NO"))</f>
        <v/>
      </c>
      <c r="O298" s="751" t="n"/>
      <c r="P298" s="752" t="n"/>
      <c r="Q298" s="752" t="n"/>
      <c r="R298" s="752" t="n"/>
      <c r="S298" s="752" t="n"/>
      <c r="T298" s="752" t="n"/>
      <c r="U298" s="752" t="n"/>
      <c r="V298" s="752" t="n"/>
      <c r="W298" s="752" t="n"/>
      <c r="X298" s="752" t="n"/>
      <c r="Y298" s="752" t="n"/>
      <c r="Z298" s="752" t="n"/>
      <c r="AA298" s="752" t="n"/>
      <c r="AB298" s="752" t="n"/>
      <c r="AC298" s="752" t="n"/>
      <c r="AD298" s="752" t="n"/>
      <c r="AE298" s="752" t="n"/>
      <c r="AF298" s="752" t="n"/>
      <c r="AG298" s="752" t="n"/>
      <c r="AH298" s="752" t="n"/>
      <c r="AI298" s="752" t="n"/>
      <c r="AJ298" s="752" t="n"/>
      <c r="AK298" s="759" t="n"/>
      <c r="AL298" s="752" t="n"/>
      <c r="AM298" s="752" t="n"/>
      <c r="AN298" s="752" t="n"/>
      <c r="AO298" s="752" t="n"/>
      <c r="AP298" s="752" t="n"/>
      <c r="AQ298" s="752" t="n"/>
      <c r="AR298" s="752" t="n"/>
      <c r="AS298" s="752" t="n"/>
    </row>
    <row r="299" ht="30" customHeight="1" s="36">
      <c r="A299" s="751" t="n"/>
      <c r="B299" s="751" t="n"/>
      <c r="C299" s="751" t="n"/>
      <c r="D299" s="751" t="n"/>
      <c r="E299" s="751">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751" t="n"/>
      <c r="G299" s="755" t="n"/>
      <c r="H299" s="755" t="n"/>
      <c r="I299" s="751" t="n"/>
      <c r="J299" s="751" t="n"/>
      <c r="K299" s="757">
        <f>IF(A299="","",IF(J299="AUTO",H299,IF(J299="MANUAL",AK299,"")))</f>
        <v/>
      </c>
      <c r="L299" s="751" t="n"/>
      <c r="M299" s="751" t="n"/>
      <c r="N299" s="751">
        <f>IF(A299="","",IF(COUNTIFS('Human Operation Desktop'!$A$3:$A$502,A299,'Human Operation Desktop'!$I$3:$I$502,"&lt;&gt;APPLIED",'Human Operation Desktop'!$I$3:$I$502,"&lt;&gt;REJECTED")&gt;0,"YES","NO"))</f>
        <v/>
      </c>
      <c r="O299" s="751" t="n"/>
      <c r="P299" s="752" t="n"/>
      <c r="Q299" s="752" t="n"/>
      <c r="R299" s="752" t="n"/>
      <c r="S299" s="752" t="n"/>
      <c r="T299" s="752" t="n"/>
      <c r="U299" s="752" t="n"/>
      <c r="V299" s="752" t="n"/>
      <c r="W299" s="752" t="n"/>
      <c r="X299" s="752" t="n"/>
      <c r="Y299" s="752" t="n"/>
      <c r="Z299" s="752" t="n"/>
      <c r="AA299" s="752" t="n"/>
      <c r="AB299" s="752" t="n"/>
      <c r="AC299" s="752" t="n"/>
      <c r="AD299" s="752" t="n"/>
      <c r="AE299" s="752" t="n"/>
      <c r="AF299" s="752" t="n"/>
      <c r="AG299" s="752" t="n"/>
      <c r="AH299" s="752" t="n"/>
      <c r="AI299" s="752" t="n"/>
      <c r="AJ299" s="752" t="n"/>
      <c r="AK299" s="759" t="n"/>
      <c r="AL299" s="752" t="n"/>
      <c r="AM299" s="752" t="n"/>
      <c r="AN299" s="752" t="n"/>
      <c r="AO299" s="752" t="n"/>
      <c r="AP299" s="752" t="n"/>
      <c r="AQ299" s="752" t="n"/>
      <c r="AR299" s="752" t="n"/>
      <c r="AS299" s="752" t="n"/>
    </row>
    <row r="300" ht="30" customHeight="1" s="36">
      <c r="A300" s="751" t="n"/>
      <c r="B300" s="751" t="n"/>
      <c r="C300" s="751" t="n"/>
      <c r="D300" s="751" t="n"/>
      <c r="E300" s="751">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751" t="n"/>
      <c r="G300" s="755" t="n"/>
      <c r="H300" s="755" t="n"/>
      <c r="I300" s="751" t="n"/>
      <c r="J300" s="751" t="n"/>
      <c r="K300" s="757">
        <f>IF(A300="","",IF(J300="AUTO",H300,IF(J300="MANUAL",AK300,"")))</f>
        <v/>
      </c>
      <c r="L300" s="751" t="n"/>
      <c r="M300" s="751" t="n"/>
      <c r="N300" s="751">
        <f>IF(A300="","",IF(COUNTIFS('Human Operation Desktop'!$A$3:$A$502,A300,'Human Operation Desktop'!$I$3:$I$502,"&lt;&gt;APPLIED",'Human Operation Desktop'!$I$3:$I$502,"&lt;&gt;REJECTED")&gt;0,"YES","NO"))</f>
        <v/>
      </c>
      <c r="O300" s="751" t="n"/>
      <c r="P300" s="752" t="n"/>
      <c r="Q300" s="752" t="n"/>
      <c r="R300" s="752" t="n"/>
      <c r="S300" s="752" t="n"/>
      <c r="T300" s="752" t="n"/>
      <c r="U300" s="752" t="n"/>
      <c r="V300" s="752" t="n"/>
      <c r="W300" s="752" t="n"/>
      <c r="X300" s="752" t="n"/>
      <c r="Y300" s="752" t="n"/>
      <c r="Z300" s="752" t="n"/>
      <c r="AA300" s="752" t="n"/>
      <c r="AB300" s="752" t="n"/>
      <c r="AC300" s="752" t="n"/>
      <c r="AD300" s="752" t="n"/>
      <c r="AE300" s="752" t="n"/>
      <c r="AF300" s="752" t="n"/>
      <c r="AG300" s="752" t="n"/>
      <c r="AH300" s="752" t="n"/>
      <c r="AI300" s="752" t="n"/>
      <c r="AJ300" s="752" t="n"/>
      <c r="AK300" s="759" t="n"/>
      <c r="AL300" s="752" t="n"/>
      <c r="AM300" s="752" t="n"/>
      <c r="AN300" s="752" t="n"/>
      <c r="AO300" s="752" t="n"/>
      <c r="AP300" s="752" t="n"/>
      <c r="AQ300" s="752" t="n"/>
      <c r="AR300" s="752" t="n"/>
      <c r="AS300" s="752" t="n"/>
    </row>
    <row r="301" ht="30" customHeight="1" s="36">
      <c r="A301" s="751" t="n"/>
      <c r="B301" s="751" t="n"/>
      <c r="C301" s="751" t="n"/>
      <c r="D301" s="751" t="n"/>
      <c r="E301" s="751">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751" t="n"/>
      <c r="G301" s="755" t="n"/>
      <c r="H301" s="755" t="n"/>
      <c r="I301" s="751" t="n"/>
      <c r="J301" s="751" t="n"/>
      <c r="K301" s="757">
        <f>IF(A301="","",IF(J301="AUTO",H301,IF(J301="MANUAL",AK301,"")))</f>
        <v/>
      </c>
      <c r="L301" s="751" t="n"/>
      <c r="M301" s="751" t="n"/>
      <c r="N301" s="751">
        <f>IF(A301="","",IF(COUNTIFS('Human Operation Desktop'!$A$3:$A$502,A301,'Human Operation Desktop'!$I$3:$I$502,"&lt;&gt;APPLIED",'Human Operation Desktop'!$I$3:$I$502,"&lt;&gt;REJECTED")&gt;0,"YES","NO"))</f>
        <v/>
      </c>
      <c r="O301" s="751" t="n"/>
      <c r="P301" s="752" t="n"/>
      <c r="Q301" s="752" t="n"/>
      <c r="R301" s="752" t="n"/>
      <c r="S301" s="752" t="n"/>
      <c r="T301" s="752" t="n"/>
      <c r="U301" s="752" t="n"/>
      <c r="V301" s="752" t="n"/>
      <c r="W301" s="752" t="n"/>
      <c r="X301" s="752" t="n"/>
      <c r="Y301" s="752" t="n"/>
      <c r="Z301" s="752" t="n"/>
      <c r="AA301" s="752" t="n"/>
      <c r="AB301" s="752" t="n"/>
      <c r="AC301" s="752" t="n"/>
      <c r="AD301" s="752" t="n"/>
      <c r="AE301" s="752" t="n"/>
      <c r="AF301" s="752" t="n"/>
      <c r="AG301" s="752" t="n"/>
      <c r="AH301" s="752" t="n"/>
      <c r="AI301" s="752" t="n"/>
      <c r="AJ301" s="752" t="n"/>
      <c r="AK301" s="759" t="n"/>
      <c r="AL301" s="752" t="n"/>
      <c r="AM301" s="752" t="n"/>
      <c r="AN301" s="752" t="n"/>
      <c r="AO301" s="752" t="n"/>
      <c r="AP301" s="752" t="n"/>
      <c r="AQ301" s="752" t="n"/>
      <c r="AR301" s="752" t="n"/>
      <c r="AS301" s="752" t="n"/>
    </row>
    <row r="302" ht="30" customHeight="1" s="36">
      <c r="A302" s="753" t="n"/>
      <c r="B302" s="753" t="n"/>
      <c r="C302" s="753" t="n"/>
      <c r="D302" s="753" t="n"/>
      <c r="E302" s="753">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753" t="n"/>
      <c r="G302" s="756" t="n"/>
      <c r="H302" s="756" t="n"/>
      <c r="I302" s="753" t="n"/>
      <c r="J302" s="753" t="n"/>
      <c r="K302" s="758">
        <f>IF(A302="","",IF(J302="AUTO",H302,IF(J302="MANUAL",AK302,"")))</f>
        <v/>
      </c>
      <c r="L302" s="753" t="n"/>
      <c r="M302" s="753" t="n"/>
      <c r="N302" s="753">
        <f>IF(A302="","",IF(COUNTIFS('Human Operation Desktop'!$A$3:$A$502,A302,'Human Operation Desktop'!$I$3:$I$502,"&lt;&gt;APPLIED",'Human Operation Desktop'!$I$3:$I$502,"&lt;&gt;REJECTED")&gt;0,"YES","NO"))</f>
        <v/>
      </c>
      <c r="O302" s="753" t="n"/>
      <c r="P302" s="754" t="n"/>
      <c r="Q302" s="754" t="n"/>
      <c r="R302" s="754" t="n"/>
      <c r="S302" s="754" t="n"/>
      <c r="T302" s="754" t="n"/>
      <c r="U302" s="754" t="n"/>
      <c r="V302" s="754" t="n"/>
      <c r="W302" s="754" t="n"/>
      <c r="X302" s="754" t="n"/>
      <c r="Y302" s="754" t="n"/>
      <c r="Z302" s="754" t="n"/>
      <c r="AA302" s="754" t="n"/>
      <c r="AB302" s="754" t="n"/>
      <c r="AC302" s="754" t="n"/>
      <c r="AD302" s="754" t="n"/>
      <c r="AE302" s="754" t="n"/>
      <c r="AF302" s="754" t="n"/>
      <c r="AG302" s="754" t="n"/>
      <c r="AH302" s="754" t="n"/>
      <c r="AI302" s="754" t="n"/>
      <c r="AJ302" s="754" t="n"/>
      <c r="AK302" s="760" t="n"/>
      <c r="AL302" s="754" t="n"/>
      <c r="AM302" s="754" t="n"/>
      <c r="AN302" s="754" t="n"/>
      <c r="AO302" s="754" t="n"/>
      <c r="AP302" s="754" t="n"/>
      <c r="AQ302" s="754" t="n"/>
      <c r="AR302" s="754" t="n"/>
      <c r="AS302" s="754" t="n"/>
    </row>
  </sheetData>
  <mergeCells count="2">
    <mergeCell ref="A1:O1"/>
    <mergeCell ref="P1:AS1"/>
  </mergeCells>
  <conditionalFormatting sqref="A3:A302">
    <cfRule type="duplicateValues" priority="1" dxfId="0"/>
  </conditionalFormatting>
  <conditionalFormatting sqref="B3:B302">
    <cfRule type="duplicateValues" priority="2" dxfId="0"/>
  </conditionalFormatting>
  <conditionalFormatting sqref="S3:X302">
    <cfRule type="containsText" priority="3" operator="containsText" dxfId="0" text="LOW"/>
    <cfRule type="containsText" priority="4" operator="containsText" dxfId="3" text="MEDIUM"/>
    <cfRule type="containsText" priority="5" operator="containsText" dxfId="4" text="HIGH"/>
  </conditionalFormatting>
  <conditionalFormatting sqref="Y3:Y302">
    <cfRule type="containsText" priority="6" operator="containsText" dxfId="4" text="INCLUDE"/>
    <cfRule type="containsText" priority="7" operator="containsText" dxfId="3" text="PENDING"/>
    <cfRule type="containsText" priority="8" operator="containsText" dxfId="0" text="EXCLUDE"/>
  </conditionalFormatting>
  <conditionalFormatting sqref="Z3:Z302">
    <cfRule type="containsText" priority="9" operator="containsText" dxfId="4" text="SUCCESS"/>
    <cfRule type="containsText" priority="10" operator="containsText" dxfId="9" text="RUNNING"/>
    <cfRule type="containsText" priority="11" operator="containsText" dxfId="0" text="FAIL"/>
  </conditionalFormatting>
  <conditionalFormatting sqref="AC3:AC302">
    <cfRule type="containsText" priority="12" operator="containsText" dxfId="3" text="CHANGED"/>
  </conditionalFormatting>
  <conditionalFormatting sqref="AP3:AP302">
    <cfRule type="containsText" priority="15" operator="containsText" dxfId="0" text="UNVERIFIED"/>
  </conditionalFormatting>
  <conditionalFormatting sqref="AQ3:AQ302">
    <cfRule type="containsText" priority="16" operator="containsText" dxfId="3" text="UNKNOWN"/>
  </conditionalFormatting>
  <conditionalFormatting sqref="E3:E302">
    <cfRule type="containsText" priority="17" operator="containsText" dxfId="36" text="INCLUDE"/>
    <cfRule type="containsText" priority="18" operator="containsText" dxfId="37" text="PENDING"/>
    <cfRule type="containsText" priority="19" operator="containsText" dxfId="38" text="EXCLUDE"/>
  </conditionalFormatting>
  <conditionalFormatting sqref="AJ3:AJ302">
    <cfRule type="containsText" priority="20" operator="containsText" dxfId="36" text="INCLUDE"/>
    <cfRule type="containsText" priority="21" operator="containsText" dxfId="37" text="PENDING"/>
    <cfRule type="containsText" priority="22" operator="containsText" dxfId="38" text="EXCLUDE"/>
  </conditionalFormatting>
  <conditionalFormatting sqref="F3:F302">
    <cfRule type="containsText" priority="23" operator="containsText" dxfId="36" text="SUCCESS"/>
    <cfRule type="containsText" priority="24" operator="containsText" dxfId="38" text="FAIL"/>
    <cfRule type="containsText" priority="25" operator="containsText" dxfId="44" text="PAYWALL_BLOCKED"/>
    <cfRule type="containsText" priority="26" operator="containsText" dxfId="45" text="NOT_RUN"/>
  </conditionalFormatting>
  <conditionalFormatting sqref="AD3:AI302">
    <cfRule type="containsText" priority="27" operator="containsText" dxfId="46" text="HIGH"/>
    <cfRule type="containsText" priority="28" operator="containsText" dxfId="47" text="MEDIUM"/>
    <cfRule type="containsText" priority="29" operator="containsText" dxfId="48" text="LOW"/>
  </conditionalFormatting>
  <conditionalFormatting sqref="N3:N302">
    <cfRule type="containsText" priority="30" operator="containsText" dxfId="38" text="YES"/>
  </conditionalFormatting>
  <dataValidations count="26">
    <dataValidation sqref="F3:F302" showDropDown="0" showInputMessage="0" showErrorMessage="0" allowBlank="0" type="list">
      <formula1>'Categories'!$D$6:$D$12</formula1>
    </dataValidation>
    <dataValidation sqref="G3:G302" showDropDown="0" showInputMessage="0" showErrorMessage="0" allowBlank="0" type="list">
      <formula1>'Categories'!$B$55:$B$58</formula1>
    </dataValidation>
    <dataValidation sqref="I3:I302" showDropDown="0" showInputMessage="0" showErrorMessage="0" allowBlank="0" type="list">
      <formula1>'Categories'!$B$74:$B$76</formula1>
    </dataValidation>
    <dataValidation sqref="K3:K302" showDropDown="0" showInputMessage="0" showErrorMessage="0" allowBlank="0" type="list">
      <formula1>'Categories'!$B$46:$B$51</formula1>
    </dataValidation>
    <dataValidation sqref="L3:L302" showDropDown="0" showInputMessage="0" showErrorMessage="0" allowBlank="0" type="list">
      <formula1>'Categories'!$B$40:$B$42</formula1>
    </dataValidation>
    <dataValidation sqref="O3:O302" showDropDown="0" showInputMessage="0" showErrorMessage="0" allowBlank="0" type="list">
      <formula1>'Categories'!$B$6:$B$12</formula1>
    </dataValidation>
    <dataValidation sqref="P3:P302" showDropDown="0" showInputMessage="0" showErrorMessage="0" allowBlank="0" type="list">
      <formula1>'Categories'!$B$16:$B$26</formula1>
    </dataValidation>
    <dataValidation sqref="Q3:Q302" showDropDown="0" showInputMessage="0" showErrorMessage="0" allowBlank="0" type="list">
      <formula1>'Categories'!$B$30:$B$36</formula1>
    </dataValidation>
    <dataValidation sqref="S3:X302" showDropDown="0" showInputMessage="0" showErrorMessage="0" allowBlank="0" type="list">
      <formula1>'Categories'!$B$62:$B$64</formula1>
    </dataValidation>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C3:AC302" showDropDown="0" showInputMessage="0" showErrorMessage="0" allowBlank="0" type="list">
      <formula1>'Categories'!$B$87:$B$90</formula1>
    </dataValidation>
    <dataValidation sqref="AD3:AD302" showDropDown="0" showInputMessage="0" showErrorMessage="0" allowBlank="0" type="list">
      <formula1>'Categories'!$B$94:$B$96</formula1>
    </dataValidation>
    <dataValidation sqref="AH3:AH302" showDropDown="0" showInputMessage="0" showErrorMessage="0" allowBlank="0" type="list">
      <formula1>'Categories'!$B$100:$B$108</formula1>
    </dataValidation>
    <dataValidation sqref="AL3:AL302" showDropDown="0" showInputMessage="0" showErrorMessage="0" allowBlank="0" type="list">
      <formula1>'Categories'!$B$112:$B$114</formula1>
    </dataValidation>
    <dataValidation sqref="AO3:AO302" showDropDown="0" showInputMessage="0" showErrorMessage="0" allowBlank="0" type="list">
      <formula1>'Categories'!$B$118:$B$122</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02"/>
  <sheetViews>
    <sheetView showGridLines="0" workbookViewId="0">
      <selection activeCell="A1" sqref="A1"/>
    </sheetView>
  </sheetViews>
  <sheetFormatPr baseColWidth="8" defaultRowHeight="15"/>
  <cols>
    <col width="12" customWidth="1" style="36" min="1" max="1"/>
    <col width="28" customWidth="1" style="36" min="2" max="2"/>
    <col width="20" customWidth="1" style="36" min="3" max="3"/>
    <col width="28" customWidth="1" style="36" min="4" max="4"/>
    <col width="44" customWidth="1" style="36" min="5" max="5"/>
    <col width="16" customWidth="1" style="36" min="6" max="6"/>
    <col width="12" customWidth="1" style="36" min="7" max="7"/>
    <col width="12" customWidth="1" style="36" min="8" max="8"/>
    <col width="12" customWidth="1" style="36" min="9" max="9"/>
    <col width="12" customWidth="1" style="36" min="10" max="10"/>
    <col width="12" customWidth="1" style="36" min="11" max="11"/>
    <col width="12" customWidth="1" style="36" min="12" max="12"/>
    <col width="12" customWidth="1" style="36" min="13" max="13"/>
    <col width="12" customWidth="1" style="36" min="14" max="14"/>
    <col width="12" customWidth="1" style="36" min="15" max="15"/>
    <col width="12" customWidth="1" style="36" min="16" max="16"/>
  </cols>
  <sheetData>
    <row r="1" ht="34" customHeight="1" s="36">
      <c r="A1" s="1180" t="inlineStr">
        <is>
          <t>SYSTEM1 SOURCE MANAGEMENT DASHBOARD</t>
        </is>
      </c>
    </row>
    <row r="2">
      <c r="A2" s="1183" t="inlineStr">
        <is>
          <t>Read-only operational status. Use Human Operation Desktop for every human action.</t>
        </is>
      </c>
    </row>
    <row r="3"/>
    <row r="4">
      <c r="A4" s="1187" t="inlineStr">
        <is>
          <t>TOTAL SOURCES</t>
        </is>
      </c>
      <c r="C4" s="1187" t="inlineStr">
        <is>
          <t>INCLUDED</t>
        </is>
      </c>
      <c r="E4" s="1187" t="inlineStr">
        <is>
          <t>NEEDS ACTION SOURCES</t>
        </is>
      </c>
      <c r="G4" s="1187" t="inlineStr">
        <is>
          <t>OPEN TASKS</t>
        </is>
      </c>
      <c r="I4" s="1187" t="inlineStr">
        <is>
          <t>OLDEST OPEN (DAYS)</t>
        </is>
      </c>
      <c r="K4" s="1187" t="inlineStr">
        <is>
          <t>LAST DATA UPDATE</t>
        </is>
      </c>
      <c r="M4" s="1187" t="inlineStr">
        <is>
          <t>AUTOMATION</t>
        </is>
      </c>
    </row>
    <row r="5">
      <c r="A5" s="1221">
        <f>COUNTA('Source Register'!$A$3:$A$302)</f>
        <v/>
      </c>
      <c r="B5" s="1222" t="n"/>
      <c r="C5" s="1221">
        <f>COUNTIF('Source Register'!$E$3:$E$302,"INCLUDE")</f>
        <v/>
      </c>
      <c r="D5" s="1222" t="n"/>
      <c r="E5" s="1221">
        <f>COUNTIF('Source Register'!$N$3:$N$302,"YES")</f>
        <v/>
      </c>
      <c r="F5" s="1222" t="n"/>
      <c r="G5" s="1221">
        <f>COUNTIF('Human Operation Desktop'!$I$3:$I$502,"PENDING")+COUNTIF('Human Operation Desktop'!$I$3:$I$502,"WAITING_FOR_HUMAN")+COUNTIF('Human Operation Desktop'!$I$3:$I$502,"NEEDS_REPLAN")</f>
        <v/>
      </c>
      <c r="H5" s="1222" t="n"/>
      <c r="I5" s="1221">
        <f>MAX(0,IFERROR(INT(TODAY()-MINIFS('Human Operation Desktop'!$AQ$3:$AQ$502,'Human Operation Desktop'!$I$3:$I$502,"PENDING",'Human Operation Desktop'!$AQ$3:$AQ$502,"&gt;0")),0))</f>
        <v/>
      </c>
      <c r="J5" s="1222" t="n"/>
      <c r="K5" s="1223">
        <f>MAX(MAX('Source Register'!$G$3:$G$302),MAX('Human Operation Desktop'!$AP$3:$AP$502))</f>
        <v/>
      </c>
      <c r="L5" s="1222" t="n"/>
      <c r="M5" s="1224" t="inlineStr">
        <is>
          <t>USER CONFIGURED</t>
        </is>
      </c>
      <c r="N5" s="1222" t="n"/>
    </row>
    <row r="6">
      <c r="A6" s="1225" t="n"/>
      <c r="B6" s="1226" t="n"/>
      <c r="C6" s="1225" t="n"/>
      <c r="D6" s="1226" t="n"/>
      <c r="E6" s="1225" t="n"/>
      <c r="F6" s="1226" t="n"/>
      <c r="G6" s="1225" t="n"/>
      <c r="H6" s="1226" t="n"/>
      <c r="I6" s="1225" t="n"/>
      <c r="J6" s="1226" t="n"/>
      <c r="K6" s="1225" t="n"/>
      <c r="L6" s="1226" t="n"/>
      <c r="M6" s="1225" t="n"/>
      <c r="N6" s="1226" t="n"/>
    </row>
    <row r="7"/>
    <row r="8">
      <c r="A8" s="1205" t="inlineStr">
        <is>
          <t>MONTHLY RANDOM QA</t>
        </is>
      </c>
    </row>
    <row r="9">
      <c r="A9" s="1187" t="inlineStr">
        <is>
          <t>LAST CHECK</t>
        </is>
      </c>
      <c r="C9" s="1187" t="inlineStr">
        <is>
          <t>CORRECT / CHECKED</t>
        </is>
      </c>
      <c r="E9" s="1187" t="inlineStr">
        <is>
          <t>ACCURACY</t>
        </is>
      </c>
      <c r="G9" s="1187" t="inlineStr">
        <is>
          <t>OPEN QA</t>
        </is>
      </c>
    </row>
    <row r="10">
      <c r="A10" s="1210">
        <f>MAX(MAXIFS('Human Operation Desktop'!$AO$3:$AO$502,'Human Operation Desktop'!$C$3:$C$502,"RANDOM_QA_CHECK"),MAXIFS('Human Operation Desktop'!$AO$3:$AO$502,'Human Operation Desktop'!$C$3:$C$502,"RANDOM_QA_BATCH_SUMMARY"))</f>
        <v/>
      </c>
      <c r="B10" s="1222" t="n"/>
      <c r="C10" s="1209">
        <f>(7+COUNTIFS('Human Operation Desktop'!$C$3:$C$502,"RANDOM_QA_CHECK",'Human Operation Desktop'!$F$3:$F$502,"CORRECT"))&amp;" / "&amp;(7+COUNTIFS('Human Operation Desktop'!$C$3:$C$502,"RANDOM_QA_CHECK",'Human Operation Desktop'!$F$3:$F$502,"&lt;&gt;PENDING"))</f>
        <v/>
      </c>
      <c r="D10" s="1222" t="n"/>
      <c r="E10" s="1227">
        <f>IFERROR((7+COUNTIFS('Human Operation Desktop'!$C$3:$C$502,"RANDOM_QA_CHECK",'Human Operation Desktop'!$F$3:$F$502,"CORRECT"))/(7+COUNTIFS('Human Operation Desktop'!$C$3:$C$502,"RANDOM_QA_CHECK",'Human Operation Desktop'!$F$3:$F$502,"&lt;&gt;PENDING")),0)</f>
        <v/>
      </c>
      <c r="F10" s="1222" t="n"/>
      <c r="G10" s="1209">
        <f>COUNTIFS('Human Operation Desktop'!$C$3:$C$502,"RANDOM_QA_CHECK",'Human Operation Desktop'!$I$3:$I$502,"PENDING")+COUNTIFS('Human Operation Desktop'!$C$3:$C$502,"RANDOM_QA_CHECK",'Human Operation Desktop'!$I$3:$I$502,"WAITING_FOR_HUMAN")</f>
        <v/>
      </c>
      <c r="H10" s="1222" t="n"/>
    </row>
    <row r="11" ht="32" customHeight="1" s="36">
      <c r="A11" s="1225" t="n"/>
      <c r="B11" s="1226" t="n"/>
      <c r="C11" s="1225" t="n"/>
      <c r="D11" s="1226" t="n"/>
      <c r="E11" s="1225" t="n"/>
      <c r="F11" s="1226" t="n"/>
      <c r="G11" s="1225" t="n"/>
      <c r="H11" s="1226" t="n"/>
    </row>
    <row r="12">
      <c r="A12" s="1214" t="inlineStr">
        <is>
          <t>Monthly QA is created on the last day of the month. Missed month-end batches are created on the next run.</t>
        </is>
      </c>
    </row>
    <row r="13"/>
    <row r="14"/>
    <row r="15">
      <c r="A15" s="1205" t="inlineStr">
        <is>
          <t>OPEN HUMAN WORK | First 15 tasks; use Human Operation Desktop for the complete queue</t>
        </is>
      </c>
    </row>
    <row r="16">
      <c r="A16" s="1215" t="inlineStr">
        <is>
          <t>source_id</t>
        </is>
      </c>
      <c r="B16" s="1215" t="inlineStr">
        <is>
          <t>source_title</t>
        </is>
      </c>
      <c r="C16" s="1215" t="inlineStr">
        <is>
          <t>task_type</t>
        </is>
      </c>
      <c r="D16" s="1215" t="inlineStr">
        <is>
          <t>issue_summary</t>
        </is>
      </c>
      <c r="E16" s="1215" t="inlineStr">
        <is>
          <t>requested_action</t>
        </is>
      </c>
      <c r="F16" s="1215" t="inlineStr">
        <is>
          <t>program_status</t>
        </is>
      </c>
      <c r="K16" s="1217" t="inlineStr">
        <is>
          <t>SELECTION STATUS</t>
        </is>
      </c>
      <c r="L16" s="1217" t="inlineStr">
        <is>
          <t>COUNT</t>
        </is>
      </c>
    </row>
    <row r="17">
      <c r="A17" s="1032" t="inlineStr">
        <is>
          <t>CS013</t>
        </is>
      </c>
      <c r="B17" s="1032" t="inlineStr">
        <is>
          <t>GLOBALG.A.P. General Regulations - Rules for individual producers</t>
        </is>
      </c>
      <c r="C17" s="1032" t="inlineStr">
        <is>
          <t>SOURCE_REVIEW</t>
        </is>
      </c>
      <c r="D17" s="1032" t="inlineStr">
        <is>
          <t>DUPLICATE_OFFICIAL_URL; SELECTION_PENDING</t>
        </is>
      </c>
      <c r="E17" s="1032" t="inlineStr">
        <is>
          <t>Confirm whether this record is a distinct source, correct its identity, or exclude it. | Review the human-governed source fields and choose INCLUDE, PENDING or EXCLUDE in Human Operation Desktop.</t>
        </is>
      </c>
      <c r="F17" s="1032" t="inlineStr">
        <is>
          <t>PENDING</t>
        </is>
      </c>
      <c r="K17" s="1034" t="inlineStr">
        <is>
          <t>INCLUDE</t>
        </is>
      </c>
      <c r="L17" s="1034">
        <f>COUNTIF('Source Register'!$E$3:$E$302,"INCLUDE")</f>
        <v/>
      </c>
    </row>
    <row r="18">
      <c r="A18" s="1032" t="inlineStr">
        <is>
          <t>CS014</t>
        </is>
      </c>
      <c r="B18" s="1032" t="inlineStr">
        <is>
          <t>GLOBALG.A.P. General Regulations - Rules for producer groups and multisite producers with QMS</t>
        </is>
      </c>
      <c r="C18" s="1032" t="inlineStr">
        <is>
          <t>SOURCE_REVIEW</t>
        </is>
      </c>
      <c r="D18" s="1032" t="inlineStr">
        <is>
          <t>DUPLICATE_OFFICIAL_URL; SELECTION_PENDING</t>
        </is>
      </c>
      <c r="E18" s="1032" t="inlineStr">
        <is>
          <t>Confirm whether this record is a distinct source, correct its identity, or exclude it. | Review the human-governed source fields and choose INCLUDE, PENDING or EXCLUDE in Human Operation Desktop.</t>
        </is>
      </c>
      <c r="F18" s="1032" t="inlineStr">
        <is>
          <t>PENDING</t>
        </is>
      </c>
      <c r="K18" s="1034" t="inlineStr">
        <is>
          <t>PENDING</t>
        </is>
      </c>
      <c r="L18" s="1034">
        <f>COUNTIF('Source Register'!$E$3:$E$302,"PENDING")</f>
        <v/>
      </c>
    </row>
    <row r="19">
      <c r="A19" s="1032" t="inlineStr">
        <is>
          <t>PA006</t>
        </is>
      </c>
      <c r="B19" s="1032" t="inlineStr">
        <is>
          <t>Organic Production and Labelling Regulations</t>
        </is>
      </c>
      <c r="C19" s="1032" t="inlineStr">
        <is>
          <t>SELECTION_REVIEW</t>
        </is>
      </c>
      <c r="D19" s="1032" t="inlineStr">
        <is>
          <t>SELECTION_PENDING</t>
        </is>
      </c>
      <c r="E19" s="1032" t="inlineStr">
        <is>
          <t>Review the human-governed source fields and choose INCLUDE, PENDING or EXCLUDE in Human Operation Desktop.</t>
        </is>
      </c>
      <c r="F19" s="1032" t="inlineStr">
        <is>
          <t>PENDING</t>
        </is>
      </c>
      <c r="K19" s="1034" t="inlineStr">
        <is>
          <t>EXCLUDE</t>
        </is>
      </c>
      <c r="L19" s="1034">
        <f>COUNTIF('Source Register'!$E$3:$E$302,"EXCLUDE")</f>
        <v/>
      </c>
    </row>
    <row r="20">
      <c r="A20" s="1032" t="inlineStr">
        <is>
          <t>PA008</t>
        </is>
      </c>
      <c r="B20" s="1032" t="inlineStr">
        <is>
          <t>Water Framework Regulations</t>
        </is>
      </c>
      <c r="C20" s="1032" t="inlineStr">
        <is>
          <t>SELECTION_REVIEW</t>
        </is>
      </c>
      <c r="D20" s="1032" t="inlineStr">
        <is>
          <t>SELECTION_PENDING</t>
        </is>
      </c>
      <c r="E20" s="1032" t="inlineStr">
        <is>
          <t>Review the human-governed source fields and choose INCLUDE, PENDING or EXCLUDE in Human Operation Desktop.</t>
        </is>
      </c>
      <c r="F20" s="1032" t="inlineStr">
        <is>
          <t>PENDING</t>
        </is>
      </c>
    </row>
    <row r="21">
      <c r="A21" s="1032" t="inlineStr">
        <is>
          <t>PA014</t>
        </is>
      </c>
      <c r="B21" s="1032" t="inlineStr">
        <is>
          <t>Animal Health Personnel Act</t>
        </is>
      </c>
      <c r="C21" s="1032" t="inlineStr">
        <is>
          <t>SELECTION_REVIEW</t>
        </is>
      </c>
      <c r="D21" s="1032" t="inlineStr">
        <is>
          <t>SELECTION_PENDING</t>
        </is>
      </c>
      <c r="E21" s="1032" t="inlineStr">
        <is>
          <t>Review the human-governed source fields and choose INCLUDE, PENDING or EXCLUDE in Human Operation Desktop.</t>
        </is>
      </c>
      <c r="F21" s="1032" t="inlineStr">
        <is>
          <t>PENDING</t>
        </is>
      </c>
    </row>
    <row r="22">
      <c r="A22" s="1032" t="inlineStr">
        <is>
          <t>PA018</t>
        </is>
      </c>
      <c r="B22" s="1032" t="inlineStr">
        <is>
          <t>Ship Safety and Security Act</t>
        </is>
      </c>
      <c r="C22" s="1032" t="inlineStr">
        <is>
          <t>SELECTION_REVIEW</t>
        </is>
      </c>
      <c r="D22" s="1032" t="inlineStr">
        <is>
          <t>SELECTION_PENDING</t>
        </is>
      </c>
      <c r="E22" s="1032" t="inlineStr">
        <is>
          <t>Review the human-governed source fields and choose INCLUDE, PENDING or EXCLUDE in Human Operation Desktop.</t>
        </is>
      </c>
      <c r="F22" s="1032" t="inlineStr">
        <is>
          <t>PENDING</t>
        </is>
      </c>
    </row>
    <row r="23">
      <c r="A23" s="1032" t="inlineStr">
        <is>
          <t>PA019</t>
        </is>
      </c>
      <c r="B23" s="1032" t="inlineStr">
        <is>
          <t>Regulation on transport of aquaculture animals</t>
        </is>
      </c>
      <c r="C23" s="1032" t="inlineStr">
        <is>
          <t>SELECTION_REVIEW</t>
        </is>
      </c>
      <c r="D23" s="1032" t="inlineStr">
        <is>
          <t>SELECTION_PENDING</t>
        </is>
      </c>
      <c r="E23" s="1032" t="inlineStr">
        <is>
          <t>Review the human-governed source fields and choose INCLUDE, PENDING or EXCLUDE in Human Operation Desktop.</t>
        </is>
      </c>
      <c r="F23" s="1032" t="inlineStr">
        <is>
          <t>PENDING</t>
        </is>
      </c>
    </row>
    <row r="24">
      <c r="A24" s="1032" t="inlineStr">
        <is>
          <t>PA020</t>
        </is>
      </c>
      <c r="B24" s="1032" t="inlineStr">
        <is>
          <t>Regulation on slaughterhouses and processing facilities for aquaculture animals</t>
        </is>
      </c>
      <c r="C24" s="1032" t="inlineStr">
        <is>
          <t>SELECTION_REVIEW</t>
        </is>
      </c>
      <c r="D24" s="1032" t="inlineStr">
        <is>
          <t>SELECTION_PENDING</t>
        </is>
      </c>
      <c r="E24" s="1032" t="inlineStr">
        <is>
          <t>Review the human-governed source fields and choose INCLUDE, PENDING or EXCLUDE in Human Operation Desktop.</t>
        </is>
      </c>
      <c r="F24" s="1032" t="inlineStr">
        <is>
          <t>PENDING</t>
        </is>
      </c>
    </row>
    <row r="25">
      <c r="A25" s="1032" t="inlineStr">
        <is>
          <t>PA021</t>
        </is>
      </c>
      <c r="B25" s="1032" t="inlineStr">
        <is>
          <t>Regulation on permits for aquaculture of salmon, trout and rainbow trout (Salmon Allocation Regulations)</t>
        </is>
      </c>
      <c r="C25" s="1032" t="inlineStr">
        <is>
          <t>SELECTION_REVIEW</t>
        </is>
      </c>
      <c r="D25" s="1032" t="inlineStr">
        <is>
          <t>SELECTION_PENDING</t>
        </is>
      </c>
      <c r="E25" s="1032" t="inlineStr">
        <is>
          <t>Review the human-governed source fields and choose INCLUDE, PENDING or EXCLUDE in Human Operation Desktop.</t>
        </is>
      </c>
      <c r="F25" s="1032" t="inlineStr">
        <is>
          <t>PENDING</t>
        </is>
      </c>
    </row>
    <row r="26">
      <c r="A26" s="1032" t="inlineStr">
        <is>
          <t>PA022</t>
        </is>
      </c>
      <c r="B26" s="1032" t="inlineStr">
        <is>
          <t>Regulation on technical standards for land-based aquaculture facilities for fish</t>
        </is>
      </c>
      <c r="C26" s="1032" t="inlineStr">
        <is>
          <t>SELECTION_REVIEW</t>
        </is>
      </c>
      <c r="D26" s="1032" t="inlineStr">
        <is>
          <t>SELECTION_PENDING</t>
        </is>
      </c>
      <c r="E26" s="1032" t="inlineStr">
        <is>
          <t>Review the human-governed source fields and choose INCLUDE, PENDING or EXCLUDE in Human Operation Desktop.</t>
        </is>
      </c>
      <c r="F26" s="1032" t="inlineStr">
        <is>
          <t>PENDING</t>
        </is>
      </c>
    </row>
    <row r="27">
      <c r="A27" s="1032" t="inlineStr">
        <is>
          <t>PA028</t>
        </is>
      </c>
      <c r="B27" s="1032" t="inlineStr">
        <is>
          <t>Norwegian Aquaculture Register</t>
        </is>
      </c>
      <c r="C27" s="1032" t="inlineStr">
        <is>
          <t>SELECTION_REVIEW</t>
        </is>
      </c>
      <c r="D27" s="1032" t="inlineStr">
        <is>
          <t>SELECTION_PENDING</t>
        </is>
      </c>
      <c r="E27" s="1032" t="inlineStr">
        <is>
          <t>Review the human-governed source fields and choose INCLUDE, PENDING or EXCLUDE in Human Operation Desktop.</t>
        </is>
      </c>
      <c r="F27" s="1032" t="inlineStr">
        <is>
          <t>PENDING</t>
        </is>
      </c>
    </row>
    <row r="28" ht="32" customHeight="1" s="36">
      <c r="A28" s="1032" t="inlineStr">
        <is>
          <t>PA030</t>
        </is>
      </c>
      <c r="B28" s="1032" t="inlineStr">
        <is>
          <t>Regulation on special requirements for aquaculture-related activities in or near national salmon rivers and fjords</t>
        </is>
      </c>
      <c r="C28" s="1032" t="inlineStr">
        <is>
          <t>SELECTION_REVIEW</t>
        </is>
      </c>
      <c r="D28" s="1032" t="inlineStr">
        <is>
          <t>SELECTION_PENDING</t>
        </is>
      </c>
      <c r="E28" s="1032" t="inlineStr">
        <is>
          <t>Review the human-governed source fields and choose INCLUDE, PENDING or EXCLUDE in Human Operation Desktop.</t>
        </is>
      </c>
      <c r="F28" s="1032" t="inlineStr">
        <is>
          <t>PENDING</t>
        </is>
      </c>
    </row>
    <row r="29">
      <c r="A29" s="1032" t="inlineStr">
        <is>
          <t>PA033</t>
        </is>
      </c>
      <c r="B29" s="1032" t="inlineStr">
        <is>
          <t>Regulation on catch-based aquaculture</t>
        </is>
      </c>
      <c r="C29" s="1032" t="inlineStr">
        <is>
          <t>SELECTION_REVIEW</t>
        </is>
      </c>
      <c r="D29" s="1032" t="inlineStr">
        <is>
          <t>SELECTION_PENDING</t>
        </is>
      </c>
      <c r="E29" s="1032" t="inlineStr">
        <is>
          <t>Review the human-governed source fields and choose INCLUDE, PENDING or EXCLUDE in Human Operation Desktop.</t>
        </is>
      </c>
      <c r="F29" s="1032" t="inlineStr">
        <is>
          <t>PENDING</t>
        </is>
      </c>
    </row>
    <row r="30">
      <c r="A30" s="1032" t="inlineStr">
        <is>
          <t>PA034</t>
        </is>
      </c>
      <c r="B30" s="1032" t="inlineStr">
        <is>
          <t>Regulation on coordination and time limits for processing aquaculture applications</t>
        </is>
      </c>
      <c r="C30" s="1032" t="inlineStr">
        <is>
          <t>SELECTION_REVIEW</t>
        </is>
      </c>
      <c r="D30" s="1032" t="inlineStr">
        <is>
          <t>SELECTION_PENDING</t>
        </is>
      </c>
      <c r="E30" s="1032" t="inlineStr">
        <is>
          <t>Review the human-governed source fields and choose INCLUDE, PENDING or EXCLUDE in Human Operation Desktop.</t>
        </is>
      </c>
      <c r="F30" s="1032" t="inlineStr">
        <is>
          <t>PENDING</t>
        </is>
      </c>
    </row>
    <row r="31">
      <c r="A31" s="1032" t="inlineStr">
        <is>
          <t>PA035</t>
        </is>
      </c>
      <c r="B31" s="1032" t="inlineStr">
        <is>
          <t>Regulation on reactions for violations of the Aquaculture Act</t>
        </is>
      </c>
      <c r="C31" s="1032" t="inlineStr">
        <is>
          <t>SELECTION_REVIEW</t>
        </is>
      </c>
      <c r="D31" s="1032" t="inlineStr">
        <is>
          <t>SELECTION_PENDING</t>
        </is>
      </c>
      <c r="E31" s="1032" t="inlineStr">
        <is>
          <t>Review the human-governed source fields and choose INCLUDE, PENDING or EXCLUDE in Human Operation Desktop.</t>
        </is>
      </c>
      <c r="F31" s="1032" t="inlineStr">
        <is>
          <t>PENDING</t>
        </is>
      </c>
    </row>
    <row r="32"/>
    <row r="33"/>
    <row r="34">
      <c r="A34" s="1205" t="inlineStr">
        <is>
          <t>RUNNING THE SYSTEM</t>
        </is>
      </c>
    </row>
    <row r="35" ht="32" customHeight="1" s="36">
      <c r="A35" s="987" t="inlineStr">
        <is>
          <t>Manual run</t>
        </is>
      </c>
      <c r="B35" s="987" t="inlineStr">
        <is>
          <t>Use the platform launcher in the System1 root folder.</t>
        </is>
      </c>
      <c r="C35" s="1228" t="n"/>
      <c r="D35" s="1228" t="n"/>
      <c r="E35" s="1228" t="n"/>
      <c r="F35" s="1228" t="n"/>
      <c r="G35" s="1228" t="n"/>
      <c r="H35" s="1228" t="n"/>
      <c r="I35" s="1228" t="n"/>
      <c r="J35" s="1228" t="n"/>
      <c r="K35" s="1228" t="n"/>
      <c r="L35" s="1228" t="n"/>
      <c r="M35" s="1228" t="n"/>
      <c r="N35" s="1228" t="n"/>
      <c r="O35" s="1228" t="n"/>
      <c r="P35" s="1229" t="n"/>
    </row>
    <row r="36">
      <c r="A36" s="987" t="inlineStr">
        <is>
          <t>Schedule</t>
        </is>
      </c>
      <c r="B36" s="987" t="inlineStr">
        <is>
          <t>Edit Code/config/schedule.json and register it with the platform-specific script. The workbook contains no macros or run buttons.</t>
        </is>
      </c>
      <c r="C36" s="1228" t="n"/>
      <c r="D36" s="1228" t="n"/>
      <c r="E36" s="1228" t="n"/>
      <c r="F36" s="1228" t="n"/>
      <c r="G36" s="1228" t="n"/>
      <c r="H36" s="1228" t="n"/>
      <c r="I36" s="1228" t="n"/>
      <c r="J36" s="1228" t="n"/>
      <c r="K36" s="1228" t="n"/>
      <c r="L36" s="1228" t="n"/>
      <c r="M36" s="1228" t="n"/>
      <c r="N36" s="1228" t="n"/>
      <c r="O36" s="1228" t="n"/>
      <c r="P36" s="1229" t="n"/>
    </row>
    <row r="37">
      <c r="A37" s="987" t="inlineStr">
        <is>
          <t>Safety</t>
        </is>
      </c>
      <c r="B37" s="987" t="inlineStr">
        <is>
          <t>Excel-open and process locks defer the run. Backups and temporary-file replacement protect the registry.</t>
        </is>
      </c>
      <c r="C37" s="1228" t="n"/>
      <c r="D37" s="1228" t="n"/>
      <c r="E37" s="1228" t="n"/>
      <c r="F37" s="1228" t="n"/>
      <c r="G37" s="1228" t="n"/>
      <c r="H37" s="1228" t="n"/>
      <c r="I37" s="1228" t="n"/>
      <c r="J37" s="1228" t="n"/>
      <c r="K37" s="1228" t="n"/>
      <c r="L37" s="1228" t="n"/>
      <c r="M37" s="1228" t="n"/>
      <c r="N37" s="1228" t="n"/>
      <c r="O37" s="1228" t="n"/>
      <c r="P37" s="1229" t="n"/>
    </row>
    <row r="38">
      <c r="A38" s="987" t="inlineStr">
        <is>
          <t>Next step</t>
        </is>
      </c>
      <c r="B38" s="987" t="inlineStr">
        <is>
          <t>Open Human Operation Desktop to complete pending work.</t>
        </is>
      </c>
      <c r="C38" s="1228" t="n"/>
      <c r="D38" s="1228" t="n"/>
      <c r="E38" s="1228" t="n"/>
      <c r="F38" s="1228" t="n"/>
      <c r="G38" s="1228" t="n"/>
      <c r="H38" s="1228" t="n"/>
      <c r="I38" s="1228" t="n"/>
      <c r="J38" s="1228" t="n"/>
      <c r="K38" s="1228" t="n"/>
      <c r="L38" s="1228" t="n"/>
      <c r="M38" s="1228" t="n"/>
      <c r="N38" s="1228" t="n"/>
      <c r="O38" s="1228" t="n"/>
      <c r="P38" s="1229" t="n"/>
    </row>
    <row r="39"/>
    <row r="40"/>
    <row r="41"/>
    <row r="42"/>
    <row r="43" ht="28" customHeight="1" s="36"/>
    <row r="44"/>
    <row r="45"/>
    <row r="46"/>
    <row r="47"/>
    <row r="48"/>
    <row r="49"/>
    <row r="50"/>
    <row r="51"/>
    <row r="52"/>
    <row r="53" ht="32" customHeight="1" s="36"/>
    <row r="54" ht="34" customHeight="1" s="36"/>
    <row r="55" ht="34" customHeight="1" s="36"/>
    <row r="56" ht="34" customHeight="1" s="36"/>
    <row r="57" ht="26" customHeight="1" s="36"/>
    <row r="58" ht="34" customHeight="1" s="36"/>
    <row r="59" ht="34" customHeight="1" s="36"/>
    <row r="60" ht="34" customHeight="1" s="36"/>
    <row r="61" ht="34" customHeight="1" s="36"/>
    <row r="62" ht="24" customHeight="1" s="36"/>
    <row r="63" ht="24" customHeight="1" s="36"/>
    <row r="64" ht="34" customHeight="1" s="36"/>
    <row r="65" ht="34" customHeight="1" s="36"/>
    <row r="66" ht="34" customHeight="1" s="36"/>
    <row r="67" ht="34" customHeight="1" s="36"/>
    <row r="68" ht="34" customHeight="1" s="36"/>
    <row r="69" ht="34" customHeight="1" s="36"/>
    <row r="70" ht="34" customHeight="1" s="36"/>
    <row r="71" ht="34" customHeight="1" s="36"/>
    <row r="72" ht="34" customHeight="1" s="36"/>
    <row r="73" ht="34" customHeight="1" s="36"/>
    <row r="74" ht="34" customHeight="1" s="36"/>
    <row r="75" ht="34" customHeight="1" s="36"/>
    <row r="76" ht="34" customHeight="1" s="36"/>
    <row r="77" ht="34" customHeight="1" s="36"/>
    <row r="78" ht="34" customHeight="1" s="36"/>
    <row r="79" ht="34" customHeight="1" s="36"/>
    <row r="80" ht="34" customHeight="1" s="36"/>
    <row r="81" ht="34" customHeight="1" s="36"/>
    <row r="82" ht="34" customHeight="1" s="36"/>
    <row r="83" ht="34" customHeight="1" s="36"/>
    <row r="84" ht="34" customHeight="1" s="36"/>
    <row r="85" ht="34" customHeight="1" s="36"/>
    <row r="86" ht="34" customHeight="1" s="36"/>
    <row r="87" ht="34" customHeight="1" s="36"/>
    <row r="88" ht="34" customHeight="1" s="36"/>
    <row r="89" ht="34" customHeight="1" s="36"/>
    <row r="90" ht="34" customHeight="1" s="36"/>
    <row r="91" ht="34" customHeight="1" s="36"/>
    <row r="92" ht="34" customHeight="1" s="36"/>
    <row r="93" ht="34" customHeight="1" s="36"/>
    <row r="94" ht="34" customHeight="1" s="36"/>
    <row r="95" ht="34" customHeight="1" s="36"/>
    <row r="96" ht="34" customHeight="1" s="36"/>
    <row r="97" ht="34" customHeight="1" s="36"/>
    <row r="98" ht="34" customHeight="1" s="36"/>
    <row r="99" ht="34" customHeight="1" s="36"/>
    <row r="100" ht="34" customHeight="1" s="36"/>
    <row r="101" ht="34" customHeight="1" s="36"/>
    <row r="102" ht="34" customHeight="1" s="36"/>
    <row r="103" ht="34" customHeight="1" s="36"/>
    <row r="104" ht="34" customHeight="1" s="36"/>
    <row r="105" ht="34" customHeight="1" s="36"/>
    <row r="106" ht="34" customHeight="1" s="36"/>
    <row r="107" ht="34" customHeight="1" s="36"/>
    <row r="108" ht="34" customHeight="1" s="36"/>
    <row r="109" ht="34" customHeight="1" s="36"/>
    <row r="110" ht="34" customHeight="1" s="36"/>
    <row r="111" ht="34" customHeight="1" s="36"/>
    <row r="112" ht="34" customHeight="1" s="36"/>
    <row r="113" ht="34" customHeight="1" s="36"/>
    <row r="114" ht="34" customHeight="1" s="36"/>
    <row r="115" ht="34" customHeight="1" s="36"/>
    <row r="116" ht="34" customHeight="1" s="36"/>
    <row r="117" ht="34" customHeight="1" s="36"/>
    <row r="118" ht="34" customHeight="1" s="36"/>
    <row r="119" ht="34" customHeight="1" s="36"/>
    <row r="120" ht="34" customHeight="1" s="36"/>
    <row r="121" ht="34" customHeight="1" s="36"/>
    <row r="122" ht="34" customHeight="1" s="36"/>
    <row r="123" ht="34" customHeight="1" s="36"/>
    <row r="124" ht="34" customHeight="1" s="36"/>
    <row r="125" ht="34" customHeight="1" s="36"/>
    <row r="126" ht="34" customHeight="1" s="36"/>
    <row r="127" ht="34" customHeight="1" s="36"/>
    <row r="128" ht="34" customHeight="1" s="36"/>
    <row r="129" ht="34" customHeight="1" s="36"/>
    <row r="130" ht="34" customHeight="1" s="36"/>
    <row r="131" ht="34" customHeight="1" s="36"/>
    <row r="132" ht="34" customHeight="1" s="36"/>
    <row r="133" ht="34" customHeight="1" s="36"/>
    <row r="134" ht="34" customHeight="1" s="36"/>
    <row r="135" ht="34" customHeight="1" s="36"/>
    <row r="136" ht="34" customHeight="1" s="36"/>
    <row r="137" ht="34" customHeight="1" s="36"/>
    <row r="138" ht="34" customHeight="1" s="36"/>
    <row r="139" ht="34" customHeight="1" s="36"/>
    <row r="140" ht="34" customHeight="1" s="36"/>
    <row r="141" ht="34" customHeight="1" s="36"/>
    <row r="142" ht="34" customHeight="1" s="36"/>
    <row r="143" ht="34" customHeight="1" s="36"/>
    <row r="144" ht="34" customHeight="1" s="36"/>
    <row r="145" ht="34" customHeight="1" s="36"/>
    <row r="146" ht="34" customHeight="1" s="36"/>
    <row r="147" ht="34" customHeight="1" s="36"/>
    <row r="148" ht="34" customHeight="1" s="36"/>
    <row r="149" ht="34" customHeight="1" s="36"/>
    <row r="150" ht="34" customHeight="1" s="36"/>
    <row r="151" ht="34" customHeight="1" s="36"/>
    <row r="152" ht="34" customHeight="1" s="36"/>
    <row r="153" ht="34" customHeight="1" s="36"/>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sheetData>
  <mergeCells count="32">
    <mergeCell ref="A9:B9"/>
    <mergeCell ref="A5:B6"/>
    <mergeCell ref="G5:H6"/>
    <mergeCell ref="I5:J6"/>
    <mergeCell ref="C4:D4"/>
    <mergeCell ref="E4:F4"/>
    <mergeCell ref="B38:P38"/>
    <mergeCell ref="B37:P37"/>
    <mergeCell ref="A10:B11"/>
    <mergeCell ref="A15:J15"/>
    <mergeCell ref="A34:P34"/>
    <mergeCell ref="C9:D9"/>
    <mergeCell ref="E9:F9"/>
    <mergeCell ref="A12:H12"/>
    <mergeCell ref="A1:P1"/>
    <mergeCell ref="B36:P36"/>
    <mergeCell ref="C5:D6"/>
    <mergeCell ref="E5:F6"/>
    <mergeCell ref="K5:L6"/>
    <mergeCell ref="B35:P35"/>
    <mergeCell ref="M5:N6"/>
    <mergeCell ref="A8:H8"/>
    <mergeCell ref="A4:B4"/>
    <mergeCell ref="G4:H4"/>
    <mergeCell ref="I4:J4"/>
    <mergeCell ref="C10:D11"/>
    <mergeCell ref="E10:F11"/>
    <mergeCell ref="G10:H11"/>
    <mergeCell ref="K4:L4"/>
    <mergeCell ref="G9:H9"/>
    <mergeCell ref="M4:N4"/>
    <mergeCell ref="A2:P2"/>
  </mergeCells>
  <conditionalFormatting sqref="A49:K50">
    <cfRule type="containsText" priority="1" operator="containsText" dxfId="0" text="REVIEW OVERDUE"/>
  </conditionalFormatting>
  <conditionalFormatting sqref="J54:J153">
    <cfRule type="containsText" priority="2" operator="containsText" dxfId="0" text="OVERDUE"/>
    <cfRule type="containsText" priority="3" operator="containsText" dxfId="3" text="OPEN"/>
  </conditionalFormatting>
  <conditionalFormatting sqref="A46:C47">
    <cfRule type="containsText" priority="4" operator="containsText" dxfId="3" text="YES"/>
  </conditionalFormatting>
  <dataValidations count="2">
    <dataValidation sqref="A46:C47" showDropDown="0" showInputMessage="0" showErrorMessage="0" allowBlank="0" type="list">
      <formula1>"NO,YES"</formula1>
    </dataValidation>
    <dataValidation sqref="E46:G47" showDropDown="0" showInputMessage="0" showErrorMessage="0" allowBlank="0" operator="between">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502"/>
  <sheetViews>
    <sheetView showGridLines="0" workbookViewId="0">
      <selection activeCell="A1" sqref="A1"/>
    </sheetView>
  </sheetViews>
  <sheetFormatPr baseColWidth="8" defaultRowHeight="15"/>
  <cols>
    <col width="12" customWidth="1" style="36" min="1" max="1"/>
    <col width="28" customWidth="1" style="36" min="2" max="2"/>
    <col width="21" customWidth="1" style="36" min="3" max="3"/>
    <col width="26" customWidth="1" style="36" min="4" max="4"/>
    <col width="42" customWidth="1" style="36" min="5" max="5"/>
    <col width="16" customWidth="1" style="36" min="6" max="6"/>
    <col width="16" customWidth="1" style="36" min="7" max="7"/>
    <col width="30" customWidth="1" style="36" min="8" max="8"/>
    <col width="18" customWidth="1" style="36" min="9" max="9"/>
    <col width="42" customWidth="1" style="36" min="10" max="10"/>
    <col hidden="1" style="36" min="11" max="11"/>
    <col hidden="1" style="36" min="12" max="12"/>
    <col hidden="1" style="36" min="13" max="13"/>
    <col hidden="1" style="36" min="14" max="14"/>
    <col hidden="1" style="36" min="15" max="15"/>
    <col hidden="1" style="36" min="16" max="16"/>
    <col hidden="1" style="36" min="17" max="17"/>
    <col hidden="1" style="36" min="18" max="18"/>
    <col hidden="1" style="36" min="19" max="19"/>
    <col hidden="1" style="36" min="20" max="20"/>
    <col hidden="1" style="36" min="21" max="21"/>
    <col hidden="1" style="36" min="22" max="22"/>
    <col hidden="1" style="36" min="23" max="23"/>
    <col hidden="1" style="36" min="24" max="24"/>
    <col hidden="1" style="36" min="25" max="25"/>
    <col hidden="1" style="36" min="26" max="26"/>
    <col hidden="1" style="36" min="27" max="27"/>
    <col hidden="1" style="36" min="28" max="28"/>
    <col hidden="1" style="36" min="29" max="29"/>
    <col hidden="1" style="36" min="30" max="30"/>
    <col hidden="1" style="36" min="31" max="31"/>
    <col hidden="1" style="36" min="32" max="32"/>
    <col hidden="1" style="36" min="33" max="33"/>
    <col hidden="1" style="36" min="34" max="34"/>
    <col hidden="1" style="36" min="35" max="35"/>
    <col hidden="1" style="36" min="36" max="36"/>
    <col hidden="1" style="36" min="37" max="37"/>
    <col hidden="1" style="36" min="38" max="38"/>
    <col hidden="1" style="36" min="39" max="39"/>
    <col hidden="1" style="36" min="40" max="40"/>
    <col hidden="1" style="36" min="41" max="41"/>
    <col hidden="1" style="36" min="42" max="42"/>
    <col hidden="1" style="36" min="43" max="43"/>
    <col hidden="1" style="36" min="44" max="44"/>
  </cols>
  <sheetData>
    <row r="1" ht="28" customHeight="1" s="36">
      <c r="A1" s="1162" t="inlineStr">
        <is>
          <t>OPERATOR WORK QUEUE</t>
        </is>
      </c>
      <c r="K1" s="1164" t="inlineStr">
        <is>
          <t>SOURCE CORRECTIONS | UNHIDE ONLY WHEN REQUESTED</t>
        </is>
      </c>
      <c r="W1" s="1166" t="inlineStr">
        <is>
          <t>CANDIDATE DETAILS | UNHIDE ONLY FOR NEW SOURCES</t>
        </is>
      </c>
      <c r="AN1" s="1168" t="inlineStr">
        <is>
          <t>PROGRAM SUPPORT | DO NOT EDIT</t>
        </is>
      </c>
    </row>
    <row r="2" ht="34" customHeight="1" s="36">
      <c r="A2" s="1170" t="inlineStr">
        <is>
          <t>source_id</t>
        </is>
      </c>
      <c r="B2" s="1170" t="inlineStr">
        <is>
          <t>source_title</t>
        </is>
      </c>
      <c r="C2" s="1170" t="inlineStr">
        <is>
          <t>task_type</t>
        </is>
      </c>
      <c r="D2" s="1170" t="inlineStr">
        <is>
          <t>issue_summary</t>
        </is>
      </c>
      <c r="E2" s="1170" t="inlineStr">
        <is>
          <t>requested_action</t>
        </is>
      </c>
      <c r="F2" s="1170" t="inlineStr">
        <is>
          <t>operator_action</t>
        </is>
      </c>
      <c r="G2" s="1170" t="inlineStr">
        <is>
          <t>operator</t>
        </is>
      </c>
      <c r="H2" s="1170" t="inlineStr">
        <is>
          <t>operator_note</t>
        </is>
      </c>
      <c r="I2" s="1170" t="inlineStr">
        <is>
          <t>program_status</t>
        </is>
      </c>
      <c r="J2" s="1170" t="inlineStr">
        <is>
          <t>program_result</t>
        </is>
      </c>
      <c r="K2" s="1173" t="inlineStr">
        <is>
          <t>official_url</t>
        </is>
      </c>
      <c r="L2" s="1173" t="inlineStr">
        <is>
          <t>retrieval_url</t>
        </is>
      </c>
      <c r="M2" s="1173" t="inlineStr">
        <is>
          <t>authority_quality</t>
        </is>
      </c>
      <c r="N2" s="1173" t="inlineStr">
        <is>
          <t>scope_relevance</t>
        </is>
      </c>
      <c r="O2" s="1173" t="inlineStr">
        <is>
          <t>version_currency</t>
        </is>
      </c>
      <c r="P2" s="1173" t="inlineStr">
        <is>
          <t>traceability</t>
        </is>
      </c>
      <c r="Q2" s="1173" t="inlineStr">
        <is>
          <t>access_permission</t>
        </is>
      </c>
      <c r="R2" s="1173" t="inlineStr">
        <is>
          <t>operator_selection_decision</t>
        </is>
      </c>
      <c r="S2" s="1173" t="inlineStr">
        <is>
          <t>applicability_reference</t>
        </is>
      </c>
      <c r="T2" s="1173" t="inlineStr">
        <is>
          <t>source_status</t>
        </is>
      </c>
      <c r="U2" s="1173" t="inlineStr">
        <is>
          <t>primary_source_id</t>
        </is>
      </c>
      <c r="V2" s="1173" t="inlineStr">
        <is>
          <t>source_notes</t>
        </is>
      </c>
      <c r="W2" s="1173" t="inlineStr">
        <is>
          <t>intake_file</t>
        </is>
      </c>
      <c r="X2" s="1173" t="inlineStr">
        <is>
          <t>folder_code</t>
        </is>
      </c>
      <c r="Y2" s="1173" t="inlineStr">
        <is>
          <t>issuer</t>
        </is>
      </c>
      <c r="Z2" s="1173" t="inlineStr">
        <is>
          <t>jurisdiction</t>
        </is>
      </c>
      <c r="AA2" s="1173" t="inlineStr">
        <is>
          <t>document_type</t>
        </is>
      </c>
      <c r="AB2" s="1173" t="inlineStr">
        <is>
          <t>source_family</t>
        </is>
      </c>
      <c r="AC2" s="1173" t="inlineStr">
        <is>
          <t>requirement_role</t>
        </is>
      </c>
      <c r="AD2" s="1173" t="inlineStr">
        <is>
          <t>authoritative_language</t>
        </is>
      </c>
      <c r="AE2" s="1173" t="inlineStr">
        <is>
          <t>file_format</t>
        </is>
      </c>
      <c r="AF2" s="1173" t="inlineStr">
        <is>
          <t>version</t>
        </is>
      </c>
      <c r="AG2" s="1173" t="inlineStr">
        <is>
          <t>effective_date</t>
        </is>
      </c>
      <c r="AH2" s="1173" t="inlineStr">
        <is>
          <t>inclusion_rationale</t>
        </is>
      </c>
      <c r="AI2" s="1173" t="inlineStr">
        <is>
          <t>automation_readiness</t>
        </is>
      </c>
      <c r="AJ2" s="1173" t="inlineStr">
        <is>
          <t>acquisition_channel</t>
        </is>
      </c>
      <c r="AK2" s="1173" t="inlineStr">
        <is>
          <t>provenance_status</t>
        </is>
      </c>
      <c r="AL2" s="1173" t="inlineStr">
        <is>
          <t>update_model</t>
        </is>
      </c>
      <c r="AM2" s="1173" t="inlineStr">
        <is>
          <t>candidate_origin</t>
        </is>
      </c>
      <c r="AN2" s="1176" t="inlineStr">
        <is>
          <t>operation_id</t>
        </is>
      </c>
      <c r="AO2" s="1176" t="inlineStr">
        <is>
          <t>checked_at</t>
        </is>
      </c>
      <c r="AP2" s="1176" t="inlineStr">
        <is>
          <t>program_operated_at</t>
        </is>
      </c>
      <c r="AQ2" s="1176" t="inlineStr">
        <is>
          <t>created_at</t>
        </is>
      </c>
      <c r="AR2" s="1176" t="inlineStr">
        <is>
          <t>payload_json</t>
        </is>
      </c>
    </row>
    <row r="3" ht="38" customHeight="1" s="36">
      <c r="A3" s="989" t="inlineStr">
        <is>
          <t>CS013</t>
        </is>
      </c>
      <c r="B3" s="988" t="inlineStr">
        <is>
          <t>GLOBALG.A.P. General Regulations - Rules for individual producers</t>
        </is>
      </c>
      <c r="C3" s="988" t="inlineStr">
        <is>
          <t>SOURCE_REVIEW</t>
        </is>
      </c>
      <c r="D3" s="988" t="inlineStr">
        <is>
          <t>DUPLICATE_OFFICIAL_URL; SELECTION_PENDING</t>
        </is>
      </c>
      <c r="E3" s="988" t="inlineStr">
        <is>
          <t>Confirm whether this record is a distinct source, correct its identity, or exclude it. | Review the human-governed source fields and choose INCLUDE, PENDING or EXCLUDE in Human Operation Desktop.</t>
        </is>
      </c>
      <c r="F3" s="1177" t="inlineStr">
        <is>
          <t>PENDING</t>
        </is>
      </c>
      <c r="G3" s="1177" t="n"/>
      <c r="H3" s="1177" t="n"/>
      <c r="I3" s="1178" t="inlineStr">
        <is>
          <t>PENDING</t>
        </is>
      </c>
      <c r="J3" s="1178" t="inlineStr">
        <is>
          <t>The official URL is shared by 6 current source records. | operator_selection_decision is PENDING; mandatory assessment is not HIGH: scope_relevance.</t>
        </is>
      </c>
      <c r="K3" t="inlineStr">
        <is>
          <t>https://globalgap.org/what-we-offer/solutions/ifa-aquaculture/</t>
        </is>
      </c>
      <c r="L3" t="inlineStr">
        <is>
          <t>https://documents.globalgap.org/documents/240902_GG_GR_Rules_for_IP_v6_0_Aug24_en.pdf</t>
        </is>
      </c>
      <c r="M3" t="inlineStr">
        <is>
          <t>HIGH</t>
        </is>
      </c>
      <c r="N3" t="inlineStr">
        <is>
          <t>MEDIUM</t>
        </is>
      </c>
      <c r="O3" t="inlineStr">
        <is>
          <t>HIGH</t>
        </is>
      </c>
      <c r="P3" t="inlineStr">
        <is>
          <t>HIGH</t>
        </is>
      </c>
      <c r="Q3" t="inlineStr">
        <is>
          <t>HIGH</t>
        </is>
      </c>
      <c r="R3" t="inlineStr">
        <is>
          <t>PENDING</t>
        </is>
      </c>
      <c r="T3" t="inlineStr">
        <is>
          <t>CURRENT</t>
        </is>
      </c>
      <c r="U3" t="inlineStr">
        <is>
          <t>CS008</t>
        </is>
      </c>
      <c r="V3" t="inlineStr">
        <is>
          <t>Coverage-audit expansion. The project checklist explicitly cites these rules for individual-producer self-assessment and certification.</t>
        </is>
      </c>
      <c r="X3" t="inlineStr">
        <is>
          <t>C_Certification_Scheme</t>
        </is>
      </c>
      <c r="Y3" t="inlineStr">
        <is>
          <t>GLOBALG.A.P.</t>
        </is>
      </c>
      <c r="Z3" t="inlineStr">
        <is>
          <t>International</t>
        </is>
      </c>
      <c r="AA3" t="inlineStr">
        <is>
          <t>Scheme standard</t>
        </is>
      </c>
      <c r="AB3" t="inlineStr">
        <is>
          <t>Certification scheme</t>
        </is>
      </c>
      <c r="AC3" t="inlineStr">
        <is>
          <t>Referenced normative</t>
        </is>
      </c>
      <c r="AD3" t="inlineStr">
        <is>
          <t>English</t>
        </is>
      </c>
      <c r="AE3" t="inlineStr">
        <is>
          <t>pdf</t>
        </is>
      </c>
      <c r="AF3" t="inlineStr">
        <is>
          <t>6.0_Aug24</t>
        </is>
      </c>
      <c r="AG3" t="n">
        <v>45510</v>
      </c>
      <c r="AH3" t="inlineStr">
        <is>
          <t>Official referenced source from GLOBALG.A.P.; included because an applicable law, permit or certification scheme may make its provisions binding within the approved scope.</t>
        </is>
      </c>
      <c r="AI3" t="inlineStr">
        <is>
          <t>HIGH</t>
        </is>
      </c>
      <c r="AJ3" t="inlineStr">
        <is>
          <t>OFFICIAL_WEBSITE</t>
        </is>
      </c>
      <c r="AK3" t="inlineStr">
        <is>
          <t>OFFICIAL_ORIGINAL</t>
        </is>
      </c>
      <c r="AL3" t="inlineStr">
        <is>
          <t>VERSIONED</t>
        </is>
      </c>
      <c r="AN3" t="inlineStr">
        <is>
          <t>REV-5a38e2c846da87f2</t>
        </is>
      </c>
      <c r="AO3" s="725" t="n"/>
      <c r="AP3" s="725" t="n"/>
      <c r="AQ3" s="725" t="n">
        <v>46265.41666666666</v>
      </c>
      <c r="AR3" t="inlineStr">
        <is>
          <t>{"action": "APPLY_FIELD_UPDATES", "issue_codes": ["DUPLICATE_OFFICIAL_URL", "SELECTION_PENDING"], "retry_after_apply": false, "review_fingerprint": "eb2894cb08d4626f", "source_fingerprint": "e6a4205a11d929b9b54e", "source_id": "CS013", "updates": {}}</t>
        </is>
      </c>
    </row>
    <row r="4" ht="38" customHeight="1" s="36">
      <c r="A4" s="989" t="inlineStr">
        <is>
          <t>CS014</t>
        </is>
      </c>
      <c r="B4" s="988" t="inlineStr">
        <is>
          <t>GLOBALG.A.P. General Regulations - Rules for producer groups and multisite producers with QMS</t>
        </is>
      </c>
      <c r="C4" s="988" t="inlineStr">
        <is>
          <t>SOURCE_REVIEW</t>
        </is>
      </c>
      <c r="D4" s="988" t="inlineStr">
        <is>
          <t>DUPLICATE_OFFICIAL_URL; SELECTION_PENDING</t>
        </is>
      </c>
      <c r="E4" s="988" t="inlineStr">
        <is>
          <t>Confirm whether this record is a distinct source, correct its identity, or exclude it. | Review the human-governed source fields and choose INCLUDE, PENDING or EXCLUDE in Human Operation Desktop.</t>
        </is>
      </c>
      <c r="F4" s="1177" t="inlineStr">
        <is>
          <t>PENDING</t>
        </is>
      </c>
      <c r="G4" s="1177" t="n"/>
      <c r="H4" s="1177" t="n"/>
      <c r="I4" s="1178" t="inlineStr">
        <is>
          <t>PENDING</t>
        </is>
      </c>
      <c r="J4" s="1178" t="inlineStr">
        <is>
          <t>The official URL is shared by 6 current source records. | operator_selection_decision is PENDING; mandatory assessment is not HIGH: scope_relevance.</t>
        </is>
      </c>
      <c r="K4" t="inlineStr">
        <is>
          <t>https://globalgap.org/what-we-offer/solutions/ifa-aquaculture/</t>
        </is>
      </c>
      <c r="L4" t="inlineStr">
        <is>
          <t>https://documents.globalgap.org/documents/240902_GG_GR_Rules_for_QMS_v6_0_Aug24_en.pdf</t>
        </is>
      </c>
      <c r="M4" t="inlineStr">
        <is>
          <t>HIGH</t>
        </is>
      </c>
      <c r="N4" t="inlineStr">
        <is>
          <t>MEDIUM</t>
        </is>
      </c>
      <c r="O4" t="inlineStr">
        <is>
          <t>HIGH</t>
        </is>
      </c>
      <c r="P4" t="inlineStr">
        <is>
          <t>HIGH</t>
        </is>
      </c>
      <c r="Q4" t="inlineStr">
        <is>
          <t>HIGH</t>
        </is>
      </c>
      <c r="R4" t="inlineStr">
        <is>
          <t>PENDING</t>
        </is>
      </c>
      <c r="T4" t="inlineStr">
        <is>
          <t>CURRENT</t>
        </is>
      </c>
      <c r="U4" t="inlineStr">
        <is>
          <t>CS008</t>
        </is>
      </c>
      <c r="V4" t="inlineStr">
        <is>
          <t>Coverage-audit expansion. The project checklist explicitly cites these rules for QMS audits and group or multisite certification.</t>
        </is>
      </c>
      <c r="X4" t="inlineStr">
        <is>
          <t>C_Certification_Scheme</t>
        </is>
      </c>
      <c r="Y4" t="inlineStr">
        <is>
          <t>GLOBALG.A.P.</t>
        </is>
      </c>
      <c r="Z4" t="inlineStr">
        <is>
          <t>International</t>
        </is>
      </c>
      <c r="AA4" t="inlineStr">
        <is>
          <t>Scheme standard</t>
        </is>
      </c>
      <c r="AB4" t="inlineStr">
        <is>
          <t>Certification scheme</t>
        </is>
      </c>
      <c r="AC4" t="inlineStr">
        <is>
          <t>Referenced normative</t>
        </is>
      </c>
      <c r="AD4" t="inlineStr">
        <is>
          <t>English</t>
        </is>
      </c>
      <c r="AE4" t="inlineStr">
        <is>
          <t>pdf</t>
        </is>
      </c>
      <c r="AF4" t="inlineStr">
        <is>
          <t>6.0_Aug24</t>
        </is>
      </c>
      <c r="AG4" t="n">
        <v>45510</v>
      </c>
      <c r="AH4" t="inlineStr">
        <is>
          <t>Official referenced source from GLOBALG.A.P.; included because an applicable law, permit or certification scheme may make its provisions binding within the approved scope.</t>
        </is>
      </c>
      <c r="AI4" t="inlineStr">
        <is>
          <t>HIGH</t>
        </is>
      </c>
      <c r="AJ4" t="inlineStr">
        <is>
          <t>OFFICIAL_WEBSITE</t>
        </is>
      </c>
      <c r="AK4" t="inlineStr">
        <is>
          <t>OFFICIAL_ORIGINAL</t>
        </is>
      </c>
      <c r="AL4" t="inlineStr">
        <is>
          <t>VERSIONED</t>
        </is>
      </c>
      <c r="AN4" t="inlineStr">
        <is>
          <t>REV-778299194db7ebbc</t>
        </is>
      </c>
      <c r="AO4" s="725" t="n"/>
      <c r="AP4" s="725" t="n"/>
      <c r="AQ4" s="725" t="n">
        <v>46265.41666666666</v>
      </c>
      <c r="AR4" t="inlineStr">
        <is>
          <t>{"action": "APPLY_FIELD_UPDATES", "issue_codes": ["DUPLICATE_OFFICIAL_URL", "SELECTION_PENDING"], "retry_after_apply": false, "review_fingerprint": "579da8d5875e55dd", "source_fingerprint": "c027994bba7cd614ba90", "source_id": "CS014", "updates": {}}</t>
        </is>
      </c>
    </row>
    <row r="5" ht="38" customHeight="1" s="36">
      <c r="A5" s="989" t="inlineStr">
        <is>
          <t>PA006</t>
        </is>
      </c>
      <c r="B5" s="988" t="inlineStr">
        <is>
          <t>Organic Production and Labelling Regulations</t>
        </is>
      </c>
      <c r="C5" s="988" t="inlineStr">
        <is>
          <t>SELECTION_REVIEW</t>
        </is>
      </c>
      <c r="D5" s="988" t="inlineStr">
        <is>
          <t>SELECTION_PENDING</t>
        </is>
      </c>
      <c r="E5" s="988" t="inlineStr">
        <is>
          <t>Review the human-governed source fields and choose INCLUDE, PENDING or EXCLUDE in Human Operation Desktop.</t>
        </is>
      </c>
      <c r="F5" s="1177" t="inlineStr">
        <is>
          <t>PENDING</t>
        </is>
      </c>
      <c r="G5" s="1177" t="n"/>
      <c r="H5" s="1177" t="n"/>
      <c r="I5" s="1178" t="inlineStr">
        <is>
          <t>PENDING</t>
        </is>
      </c>
      <c r="J5" s="1178" t="inlineStr">
        <is>
          <t>operator_selection_decision is PENDING; mandatory assessment is not HIGH: scope_relevance.</t>
        </is>
      </c>
      <c r="K5" t="inlineStr">
        <is>
          <t>https://lovdata.no/dokument/SF/forskrift/2022-06-11-1171</t>
        </is>
      </c>
      <c r="L5" t="inlineStr">
        <is>
          <t>https://lovdata.no/dokument/SF/forskrift/2022-06-11-1171</t>
        </is>
      </c>
      <c r="M5" t="inlineStr">
        <is>
          <t>HIGH</t>
        </is>
      </c>
      <c r="N5" t="inlineStr">
        <is>
          <t>MEDIUM</t>
        </is>
      </c>
      <c r="O5" t="inlineStr">
        <is>
          <t>HIGH</t>
        </is>
      </c>
      <c r="P5" t="inlineStr">
        <is>
          <t>HIGH</t>
        </is>
      </c>
      <c r="Q5" t="inlineStr">
        <is>
          <t>HIGH</t>
        </is>
      </c>
      <c r="R5" t="inlineStr">
        <is>
          <t>PENDING</t>
        </is>
      </c>
      <c r="T5" t="inlineStr">
        <is>
          <t>CURRENT</t>
        </is>
      </c>
      <c r="V5" t="inlineStr">
        <is>
          <t>Project-mentioned candidate. Include only for organic production or labelling scope.</t>
        </is>
      </c>
      <c r="X5" t="inlineStr">
        <is>
          <t>A_Public_Authority</t>
        </is>
      </c>
      <c r="Y5" t="inlineStr">
        <is>
          <t>Norwegian Government</t>
        </is>
      </c>
      <c r="Z5" t="inlineStr">
        <is>
          <t>Norway</t>
        </is>
      </c>
      <c r="AA5" t="inlineStr">
        <is>
          <t>Regulation</t>
        </is>
      </c>
      <c r="AB5" t="inlineStr">
        <is>
          <t>Public authority</t>
        </is>
      </c>
      <c r="AC5" t="inlineStr">
        <is>
          <t>Primary normative</t>
        </is>
      </c>
      <c r="AD5" t="inlineStr">
        <is>
          <t>Norwegian</t>
        </is>
      </c>
      <c r="AE5" t="inlineStr">
        <is>
          <t>html</t>
        </is>
      </c>
      <c r="AH5" t="inlineStr">
        <is>
          <t>Official regulation issued by Norwegian Government; included because it may impose binding requirements on an in-scope aquaculture asset, activity, permit or certification.</t>
        </is>
      </c>
      <c r="AI5" t="inlineStr">
        <is>
          <t>HIGH</t>
        </is>
      </c>
      <c r="AJ5" t="inlineStr">
        <is>
          <t>OFFICIAL_WEBSITE</t>
        </is>
      </c>
      <c r="AK5" t="inlineStr">
        <is>
          <t>OFFICIAL_ORIGINAL</t>
        </is>
      </c>
      <c r="AL5" t="inlineStr">
        <is>
          <t>ROLLING</t>
        </is>
      </c>
      <c r="AN5" t="inlineStr">
        <is>
          <t>REV-c0d0c6e81b4104ff</t>
        </is>
      </c>
      <c r="AO5" s="725" t="n"/>
      <c r="AP5" s="725" t="n"/>
      <c r="AQ5" s="725" t="n">
        <v>46265.41666666666</v>
      </c>
      <c r="AR5" t="inlineStr">
        <is>
          <t>{"action": "APPLY_FIELD_UPDATES", "issue_codes": ["SELECTION_PENDING"], "retry_after_apply": false, "review_fingerprint": "64364727049ba9c7", "source_fingerprint": "ed006914277b62cdf04c", "source_id": "PA006", "updates": {}}</t>
        </is>
      </c>
    </row>
    <row r="6" ht="38" customHeight="1" s="36">
      <c r="A6" s="989" t="inlineStr">
        <is>
          <t>PA008</t>
        </is>
      </c>
      <c r="B6" s="988" t="inlineStr">
        <is>
          <t>Water Framework Regulations</t>
        </is>
      </c>
      <c r="C6" s="988" t="inlineStr">
        <is>
          <t>SELECTION_REVIEW</t>
        </is>
      </c>
      <c r="D6" s="988" t="inlineStr">
        <is>
          <t>SELECTION_PENDING</t>
        </is>
      </c>
      <c r="E6" s="988" t="inlineStr">
        <is>
          <t>Review the human-governed source fields and choose INCLUDE, PENDING or EXCLUDE in Human Operation Desktop.</t>
        </is>
      </c>
      <c r="F6" s="1177" t="inlineStr">
        <is>
          <t>PENDING</t>
        </is>
      </c>
      <c r="G6" s="1177" t="n"/>
      <c r="H6" s="1177" t="n"/>
      <c r="I6" s="1178" t="inlineStr">
        <is>
          <t>PENDING</t>
        </is>
      </c>
      <c r="J6" s="1178" t="inlineStr">
        <is>
          <t>operator_selection_decision is PENDING; mandatory assessment is not HIGH: scope_relevance.</t>
        </is>
      </c>
      <c r="K6" t="inlineStr">
        <is>
          <t>https://lovdata.no/dokument/SF/forskrift/2006-12-15-1446</t>
        </is>
      </c>
      <c r="L6" t="inlineStr">
        <is>
          <t>https://lovdata.no/dokument/SF/forskrift/2006-12-15-1446</t>
        </is>
      </c>
      <c r="M6" t="inlineStr">
        <is>
          <t>HIGH</t>
        </is>
      </c>
      <c r="N6" t="inlineStr">
        <is>
          <t>MEDIUM</t>
        </is>
      </c>
      <c r="O6" t="inlineStr">
        <is>
          <t>HIGH</t>
        </is>
      </c>
      <c r="P6" t="inlineStr">
        <is>
          <t>HIGH</t>
        </is>
      </c>
      <c r="Q6" t="inlineStr">
        <is>
          <t>HIGH</t>
        </is>
      </c>
      <c r="R6" t="inlineStr">
        <is>
          <t>PENDING</t>
        </is>
      </c>
      <c r="T6" t="inlineStr">
        <is>
          <t>CURRENT</t>
        </is>
      </c>
      <c r="V6" t="inlineStr">
        <is>
          <t>Project-mentioned candidate. Relevance depends on recipient and water-body assessment.</t>
        </is>
      </c>
      <c r="X6" t="inlineStr">
        <is>
          <t>A_Public_Authority</t>
        </is>
      </c>
      <c r="Y6" t="inlineStr">
        <is>
          <t>Norwegian Government</t>
        </is>
      </c>
      <c r="Z6" t="inlineStr">
        <is>
          <t>Norway</t>
        </is>
      </c>
      <c r="AA6" t="inlineStr">
        <is>
          <t>Regulation</t>
        </is>
      </c>
      <c r="AB6" t="inlineStr">
        <is>
          <t>Public authority</t>
        </is>
      </c>
      <c r="AC6" t="inlineStr">
        <is>
          <t>Referenced normative</t>
        </is>
      </c>
      <c r="AD6" t="inlineStr">
        <is>
          <t>Norwegian</t>
        </is>
      </c>
      <c r="AE6" t="inlineStr">
        <is>
          <t>html</t>
        </is>
      </c>
      <c r="AH6" t="inlineStr">
        <is>
          <t>Official referenced source from Norwegian Government; included because an applicable law, permit or certification scheme may make its provisions binding within the approved scope.</t>
        </is>
      </c>
      <c r="AI6" t="inlineStr">
        <is>
          <t>HIGH</t>
        </is>
      </c>
      <c r="AJ6" t="inlineStr">
        <is>
          <t>OFFICIAL_WEBSITE</t>
        </is>
      </c>
      <c r="AK6" t="inlineStr">
        <is>
          <t>OFFICIAL_ORIGINAL</t>
        </is>
      </c>
      <c r="AL6" t="inlineStr">
        <is>
          <t>ROLLING</t>
        </is>
      </c>
      <c r="AN6" t="inlineStr">
        <is>
          <t>REV-5a368d2a1657cd27</t>
        </is>
      </c>
      <c r="AO6" s="725" t="n"/>
      <c r="AP6" s="725" t="n"/>
      <c r="AQ6" s="725" t="n">
        <v>46265.41666666666</v>
      </c>
      <c r="AR6" t="inlineStr">
        <is>
          <t>{"action": "APPLY_FIELD_UPDATES", "issue_codes": ["SELECTION_PENDING"], "retry_after_apply": false, "review_fingerprint": "11215ea179c26b10", "source_fingerprint": "d78eb0d1e4bb9a342cfc", "source_id": "PA008", "updates": {}}</t>
        </is>
      </c>
    </row>
    <row r="7" ht="38" customHeight="1" s="36">
      <c r="A7" s="989" t="inlineStr">
        <is>
          <t>PA014</t>
        </is>
      </c>
      <c r="B7" s="988" t="inlineStr">
        <is>
          <t>Animal Health Personnel Act</t>
        </is>
      </c>
      <c r="C7" s="988" t="inlineStr">
        <is>
          <t>SELECTION_REVIEW</t>
        </is>
      </c>
      <c r="D7" s="988" t="inlineStr">
        <is>
          <t>SELECTION_PENDING</t>
        </is>
      </c>
      <c r="E7" s="988" t="inlineStr">
        <is>
          <t>Review the human-governed source fields and choose INCLUDE, PENDING or EXCLUDE in Human Operation Desktop.</t>
        </is>
      </c>
      <c r="F7" s="1177" t="inlineStr">
        <is>
          <t>PENDING</t>
        </is>
      </c>
      <c r="G7" s="1177" t="n"/>
      <c r="H7" s="1177" t="n"/>
      <c r="I7" s="1178" t="inlineStr">
        <is>
          <t>PENDING</t>
        </is>
      </c>
      <c r="J7" s="1178" t="inlineStr">
        <is>
          <t>operator_selection_decision is PENDING; mandatory assessment is not HIGH: scope_relevance.</t>
        </is>
      </c>
      <c r="K7" t="inlineStr">
        <is>
          <t>https://lovdata.no/dokument/NL/lov/2001-06-15-75</t>
        </is>
      </c>
      <c r="L7" t="inlineStr">
        <is>
          <t>https://lovdata.no/dokument/NL/lov/2001-06-15-75</t>
        </is>
      </c>
      <c r="M7" t="inlineStr">
        <is>
          <t>HIGH</t>
        </is>
      </c>
      <c r="N7" t="inlineStr">
        <is>
          <t>MEDIUM</t>
        </is>
      </c>
      <c r="O7" t="inlineStr">
        <is>
          <t>HIGH</t>
        </is>
      </c>
      <c r="P7" t="inlineStr">
        <is>
          <t>HIGH</t>
        </is>
      </c>
      <c r="Q7" t="inlineStr">
        <is>
          <t>HIGH</t>
        </is>
      </c>
      <c r="R7" t="inlineStr">
        <is>
          <t>PENDING</t>
        </is>
      </c>
      <c r="T7" t="inlineStr">
        <is>
          <t>CURRENT</t>
        </is>
      </c>
      <c r="V7" t="inlineStr">
        <is>
          <t>Official expansion. Relevant where veterinarians or aquatic animal health personnel perform regulated tasks.</t>
        </is>
      </c>
      <c r="X7" t="inlineStr">
        <is>
          <t>A_Public_Authority</t>
        </is>
      </c>
      <c r="Y7" t="inlineStr">
        <is>
          <t>Norwegian Ministry of Agriculture and Food</t>
        </is>
      </c>
      <c r="Z7" t="inlineStr">
        <is>
          <t>Norway</t>
        </is>
      </c>
      <c r="AA7" t="inlineStr">
        <is>
          <t>Law</t>
        </is>
      </c>
      <c r="AB7" t="inlineStr">
        <is>
          <t>Public authority</t>
        </is>
      </c>
      <c r="AC7" t="inlineStr">
        <is>
          <t>Primary normative</t>
        </is>
      </c>
      <c r="AD7" t="inlineStr">
        <is>
          <t>Norwegian</t>
        </is>
      </c>
      <c r="AE7" t="inlineStr">
        <is>
          <t>html</t>
        </is>
      </c>
      <c r="AH7" t="inlineStr">
        <is>
          <t>Official law issued by Norwegian Ministry of Agriculture and Food; included because it may impose binding requirements on an in-scope aquaculture asset, activity, permit or certification.</t>
        </is>
      </c>
      <c r="AI7" t="inlineStr">
        <is>
          <t>HIGH</t>
        </is>
      </c>
      <c r="AJ7" t="inlineStr">
        <is>
          <t>OFFICIAL_WEBSITE</t>
        </is>
      </c>
      <c r="AK7" t="inlineStr">
        <is>
          <t>OFFICIAL_ORIGINAL</t>
        </is>
      </c>
      <c r="AL7" t="inlineStr">
        <is>
          <t>ROLLING</t>
        </is>
      </c>
      <c r="AN7" t="inlineStr">
        <is>
          <t>REV-62751c59a66c6a1d</t>
        </is>
      </c>
      <c r="AO7" s="725" t="n"/>
      <c r="AP7" s="725" t="n"/>
      <c r="AQ7" s="725" t="n">
        <v>46265.41666666666</v>
      </c>
      <c r="AR7" t="inlineStr">
        <is>
          <t>{"action": "APPLY_FIELD_UPDATES", "issue_codes": ["SELECTION_PENDING"], "retry_after_apply": false, "review_fingerprint": "afad6131b20484b3", "source_fingerprint": "2178f0dbfba51fe85739", "source_id": "PA014", "updates": {}}</t>
        </is>
      </c>
    </row>
    <row r="8" ht="38" customHeight="1" s="36">
      <c r="A8" s="989" t="inlineStr">
        <is>
          <t>PA018</t>
        </is>
      </c>
      <c r="B8" s="988" t="inlineStr">
        <is>
          <t>Ship Safety and Security Act</t>
        </is>
      </c>
      <c r="C8" s="988" t="inlineStr">
        <is>
          <t>SELECTION_REVIEW</t>
        </is>
      </c>
      <c r="D8" s="988" t="inlineStr">
        <is>
          <t>SELECTION_PENDING</t>
        </is>
      </c>
      <c r="E8" s="988" t="inlineStr">
        <is>
          <t>Review the human-governed source fields and choose INCLUDE, PENDING or EXCLUDE in Human Operation Desktop.</t>
        </is>
      </c>
      <c r="F8" s="1177" t="inlineStr">
        <is>
          <t>PENDING</t>
        </is>
      </c>
      <c r="G8" s="1177" t="n"/>
      <c r="H8" s="1177" t="n"/>
      <c r="I8" s="1178" t="inlineStr">
        <is>
          <t>PENDING</t>
        </is>
      </c>
      <c r="J8" s="1178" t="inlineStr">
        <is>
          <t>operator_selection_decision is PENDING; mandatory assessment is not HIGH: scope_relevance.</t>
        </is>
      </c>
      <c r="K8" t="inlineStr">
        <is>
          <t>https://lovdata.no/dokument/NL/lov/2007-02-16-9</t>
        </is>
      </c>
      <c r="L8" t="inlineStr">
        <is>
          <t>https://lovdata.no/dokument/NL/lov/2007-02-16-9</t>
        </is>
      </c>
      <c r="M8" t="inlineStr">
        <is>
          <t>HIGH</t>
        </is>
      </c>
      <c r="N8" t="inlineStr">
        <is>
          <t>MEDIUM</t>
        </is>
      </c>
      <c r="O8" t="inlineStr">
        <is>
          <t>HIGH</t>
        </is>
      </c>
      <c r="P8" t="inlineStr">
        <is>
          <t>HIGH</t>
        </is>
      </c>
      <c r="Q8" t="inlineStr">
        <is>
          <t>HIGH</t>
        </is>
      </c>
      <c r="R8" t="inlineStr">
        <is>
          <t>PENDING</t>
        </is>
      </c>
      <c r="T8" t="inlineStr">
        <is>
          <t>CURRENT</t>
        </is>
      </c>
      <c r="V8" t="inlineStr">
        <is>
          <t>Official expansion. Conditional on vessels and maritime operations within client scope.</t>
        </is>
      </c>
      <c r="X8" t="inlineStr">
        <is>
          <t>A_Public_Authority</t>
        </is>
      </c>
      <c r="Y8" t="inlineStr">
        <is>
          <t>Norwegian Government</t>
        </is>
      </c>
      <c r="Z8" t="inlineStr">
        <is>
          <t>Norway</t>
        </is>
      </c>
      <c r="AA8" t="inlineStr">
        <is>
          <t>Law</t>
        </is>
      </c>
      <c r="AB8" t="inlineStr">
        <is>
          <t>Public authority</t>
        </is>
      </c>
      <c r="AC8" t="inlineStr">
        <is>
          <t>Primary normative</t>
        </is>
      </c>
      <c r="AD8" t="inlineStr">
        <is>
          <t>Norwegian</t>
        </is>
      </c>
      <c r="AE8" t="inlineStr">
        <is>
          <t>html</t>
        </is>
      </c>
      <c r="AH8" t="inlineStr">
        <is>
          <t>Official law issued by Norwegian Government; included because it may impose binding requirements on an in-scope aquaculture asset, activity, permit or certification.</t>
        </is>
      </c>
      <c r="AI8" t="inlineStr">
        <is>
          <t>HIGH</t>
        </is>
      </c>
      <c r="AJ8" t="inlineStr">
        <is>
          <t>OFFICIAL_WEBSITE</t>
        </is>
      </c>
      <c r="AK8" t="inlineStr">
        <is>
          <t>OFFICIAL_ORIGINAL</t>
        </is>
      </c>
      <c r="AL8" t="inlineStr">
        <is>
          <t>ROLLING</t>
        </is>
      </c>
      <c r="AN8" t="inlineStr">
        <is>
          <t>REV-af45076e6262b2a1</t>
        </is>
      </c>
      <c r="AO8" s="725" t="n"/>
      <c r="AP8" s="725" t="n"/>
      <c r="AQ8" s="725" t="n">
        <v>46265.41666666666</v>
      </c>
      <c r="AR8" t="inlineStr">
        <is>
          <t>{"action": "APPLY_FIELD_UPDATES", "issue_codes": ["SELECTION_PENDING"], "retry_after_apply": false, "review_fingerprint": "b525ac10ad083ce4", "source_fingerprint": "0d4353e153fca38772dd", "source_id": "PA018", "updates": {}}</t>
        </is>
      </c>
    </row>
    <row r="9" ht="38" customHeight="1" s="36">
      <c r="A9" s="989" t="inlineStr">
        <is>
          <t>PA019</t>
        </is>
      </c>
      <c r="B9" s="988" t="inlineStr">
        <is>
          <t>Regulation on transport of aquaculture animals</t>
        </is>
      </c>
      <c r="C9" s="988" t="inlineStr">
        <is>
          <t>SELECTION_REVIEW</t>
        </is>
      </c>
      <c r="D9" s="988" t="inlineStr">
        <is>
          <t>SELECTION_PENDING</t>
        </is>
      </c>
      <c r="E9" s="988" t="inlineStr">
        <is>
          <t>Review the human-governed source fields and choose INCLUDE, PENDING or EXCLUDE in Human Operation Desktop.</t>
        </is>
      </c>
      <c r="F9" s="1177" t="inlineStr">
        <is>
          <t>PENDING</t>
        </is>
      </c>
      <c r="G9" s="1177" t="n"/>
      <c r="H9" s="1177" t="n"/>
      <c r="I9" s="1178" t="inlineStr">
        <is>
          <t>PENDING</t>
        </is>
      </c>
      <c r="J9" s="1178" t="inlineStr">
        <is>
          <t>operator_selection_decision is PENDING; mandatory assessment is not HIGH: scope_relevance.</t>
        </is>
      </c>
      <c r="K9" t="inlineStr">
        <is>
          <t>https://lovdata.no/dokument/SF/forskrift/2008-06-17-820</t>
        </is>
      </c>
      <c r="L9" t="inlineStr">
        <is>
          <t>https://lovdata.no/dokument/SF/forskrift/2008-06-17-820</t>
        </is>
      </c>
      <c r="M9" t="inlineStr">
        <is>
          <t>HIGH</t>
        </is>
      </c>
      <c r="N9" t="inlineStr">
        <is>
          <t>MEDIUM</t>
        </is>
      </c>
      <c r="O9" t="inlineStr">
        <is>
          <t>HIGH</t>
        </is>
      </c>
      <c r="P9" t="inlineStr">
        <is>
          <t>HIGH</t>
        </is>
      </c>
      <c r="Q9" t="inlineStr">
        <is>
          <t>HIGH</t>
        </is>
      </c>
      <c r="R9" t="inlineStr">
        <is>
          <t>PENDING</t>
        </is>
      </c>
      <c r="T9" t="inlineStr">
        <is>
          <t>CURRENT</t>
        </is>
      </c>
      <c r="V9" t="inlineStr">
        <is>
          <t>Official expansion from Mattilsynet. Conditional on live-animal transport activities.</t>
        </is>
      </c>
      <c r="X9" t="inlineStr">
        <is>
          <t>A_Public_Authority</t>
        </is>
      </c>
      <c r="Y9" t="inlineStr">
        <is>
          <t>Norwegian Government</t>
        </is>
      </c>
      <c r="Z9" t="inlineStr">
        <is>
          <t>Norway</t>
        </is>
      </c>
      <c r="AA9" t="inlineStr">
        <is>
          <t>Regulation</t>
        </is>
      </c>
      <c r="AB9" t="inlineStr">
        <is>
          <t>Public authority</t>
        </is>
      </c>
      <c r="AC9" t="inlineStr">
        <is>
          <t>Primary normative</t>
        </is>
      </c>
      <c r="AD9" t="inlineStr">
        <is>
          <t>Norwegian</t>
        </is>
      </c>
      <c r="AE9" t="inlineStr">
        <is>
          <t>html</t>
        </is>
      </c>
      <c r="AH9" t="inlineStr">
        <is>
          <t>Official regulation issued by Norwegian Government; included because it may impose binding requirements on an in-scope aquaculture asset, activity, permit or certification.</t>
        </is>
      </c>
      <c r="AI9" t="inlineStr">
        <is>
          <t>HIGH</t>
        </is>
      </c>
      <c r="AJ9" t="inlineStr">
        <is>
          <t>OFFICIAL_WEBSITE</t>
        </is>
      </c>
      <c r="AK9" t="inlineStr">
        <is>
          <t>OFFICIAL_ORIGINAL</t>
        </is>
      </c>
      <c r="AL9" t="inlineStr">
        <is>
          <t>ROLLING</t>
        </is>
      </c>
      <c r="AN9" t="inlineStr">
        <is>
          <t>REV-64b96f6ce11e0034</t>
        </is>
      </c>
      <c r="AO9" s="725" t="n"/>
      <c r="AP9" s="725" t="n"/>
      <c r="AQ9" s="725" t="n">
        <v>46265.41666666666</v>
      </c>
      <c r="AR9" t="inlineStr">
        <is>
          <t>{"action": "APPLY_FIELD_UPDATES", "issue_codes": ["SELECTION_PENDING"], "retry_after_apply": false, "review_fingerprint": "4fb758d3454f3940", "source_fingerprint": "2e3fef8b6d09ac93916f", "source_id": "PA019", "updates": {}}</t>
        </is>
      </c>
    </row>
    <row r="10" ht="38" customHeight="1" s="36">
      <c r="A10" s="989" t="inlineStr">
        <is>
          <t>PA020</t>
        </is>
      </c>
      <c r="B10" s="988" t="inlineStr">
        <is>
          <t>Regulation on slaughterhouses and processing facilities for aquaculture animals</t>
        </is>
      </c>
      <c r="C10" s="988" t="inlineStr">
        <is>
          <t>SELECTION_REVIEW</t>
        </is>
      </c>
      <c r="D10" s="988" t="inlineStr">
        <is>
          <t>SELECTION_PENDING</t>
        </is>
      </c>
      <c r="E10" s="988" t="inlineStr">
        <is>
          <t>Review the human-governed source fields and choose INCLUDE, PENDING or EXCLUDE in Human Operation Desktop.</t>
        </is>
      </c>
      <c r="F10" s="1177" t="inlineStr">
        <is>
          <t>PENDING</t>
        </is>
      </c>
      <c r="G10" s="1177" t="n"/>
      <c r="H10" s="1177" t="n"/>
      <c r="I10" s="1178" t="inlineStr">
        <is>
          <t>PENDING</t>
        </is>
      </c>
      <c r="J10" s="1178" t="inlineStr">
        <is>
          <t>operator_selection_decision is PENDING; mandatory assessment is not HIGH: scope_relevance.</t>
        </is>
      </c>
      <c r="K10" t="inlineStr">
        <is>
          <t>https://lovdata.no/dokument/SF/forskrift/2006-10-30-1250</t>
        </is>
      </c>
      <c r="L10" t="inlineStr">
        <is>
          <t>https://lovdata.no/dokument/SF/forskrift/2006-10-30-1250</t>
        </is>
      </c>
      <c r="M10" t="inlineStr">
        <is>
          <t>HIGH</t>
        </is>
      </c>
      <c r="N10" t="inlineStr">
        <is>
          <t>MEDIUM</t>
        </is>
      </c>
      <c r="O10" t="inlineStr">
        <is>
          <t>HIGH</t>
        </is>
      </c>
      <c r="P10" t="inlineStr">
        <is>
          <t>HIGH</t>
        </is>
      </c>
      <c r="Q10" t="inlineStr">
        <is>
          <t>HIGH</t>
        </is>
      </c>
      <c r="R10" t="inlineStr">
        <is>
          <t>PENDING</t>
        </is>
      </c>
      <c r="T10" t="inlineStr">
        <is>
          <t>CURRENT</t>
        </is>
      </c>
      <c r="V10" t="inlineStr">
        <is>
          <t>Official expansion from Mattilsynet. Include only when slaughter or processing is in scope.</t>
        </is>
      </c>
      <c r="X10" t="inlineStr">
        <is>
          <t>A_Public_Authority</t>
        </is>
      </c>
      <c r="Y10" t="inlineStr">
        <is>
          <t>Norwegian Ministry of Trade, Industry and Fisheries</t>
        </is>
      </c>
      <c r="Z10" t="inlineStr">
        <is>
          <t>Norway</t>
        </is>
      </c>
      <c r="AA10" t="inlineStr">
        <is>
          <t>Regulation</t>
        </is>
      </c>
      <c r="AB10" t="inlineStr">
        <is>
          <t>Public authority</t>
        </is>
      </c>
      <c r="AC10" t="inlineStr">
        <is>
          <t>Primary normative</t>
        </is>
      </c>
      <c r="AD10" t="inlineStr">
        <is>
          <t>Norwegian</t>
        </is>
      </c>
      <c r="AE10" t="inlineStr">
        <is>
          <t>html</t>
        </is>
      </c>
      <c r="AH10" t="inlineStr">
        <is>
          <t>Official regulation issued by Norwegian Ministry of Trade, Industry and Fisheries; included because it may impose binding requirements on an in-scope aquaculture asset, activity, permit or certification.</t>
        </is>
      </c>
      <c r="AI10" t="inlineStr">
        <is>
          <t>HIGH</t>
        </is>
      </c>
      <c r="AJ10" t="inlineStr">
        <is>
          <t>OFFICIAL_WEBSITE</t>
        </is>
      </c>
      <c r="AK10" t="inlineStr">
        <is>
          <t>OFFICIAL_ORIGINAL</t>
        </is>
      </c>
      <c r="AL10" t="inlineStr">
        <is>
          <t>ROLLING</t>
        </is>
      </c>
      <c r="AN10" t="inlineStr">
        <is>
          <t>REV-8894a57f04ce2796</t>
        </is>
      </c>
      <c r="AO10" s="725" t="n"/>
      <c r="AP10" s="725" t="n"/>
      <c r="AQ10" s="725" t="n">
        <v>46265.41666666666</v>
      </c>
      <c r="AR10" t="inlineStr">
        <is>
          <t>{"action": "APPLY_FIELD_UPDATES", "issue_codes": ["SELECTION_PENDING"], "retry_after_apply": false, "review_fingerprint": "464511ec37ae5ab8", "source_fingerprint": "b195fa28ffbc2bc3fd0b", "source_id": "PA020", "updates": {}}</t>
        </is>
      </c>
    </row>
    <row r="11" ht="38" customHeight="1" s="36">
      <c r="A11" s="989" t="inlineStr">
        <is>
          <t>PA021</t>
        </is>
      </c>
      <c r="B11" s="988" t="inlineStr">
        <is>
          <t>Regulation on permits for aquaculture of salmon, trout and rainbow trout (Salmon Allocation Regulations)</t>
        </is>
      </c>
      <c r="C11" s="988" t="inlineStr">
        <is>
          <t>SELECTION_REVIEW</t>
        </is>
      </c>
      <c r="D11" s="988" t="inlineStr">
        <is>
          <t>SELECTION_PENDING</t>
        </is>
      </c>
      <c r="E11" s="988" t="inlineStr">
        <is>
          <t>Review the human-governed source fields and choose INCLUDE, PENDING or EXCLUDE in Human Operation Desktop.</t>
        </is>
      </c>
      <c r="F11" s="1177" t="inlineStr">
        <is>
          <t>PENDING</t>
        </is>
      </c>
      <c r="G11" s="1177" t="n"/>
      <c r="H11" s="1177" t="n"/>
      <c r="I11" s="1178" t="inlineStr">
        <is>
          <t>PENDING</t>
        </is>
      </c>
      <c r="J11" s="1178" t="inlineStr">
        <is>
          <t>operator_selection_decision is PENDING; mandatory assessment is not HIGH: scope_relevance.</t>
        </is>
      </c>
      <c r="K11" t="inlineStr">
        <is>
          <t>https://lovdata.no/dokument/SF/forskrift/2022-11-07-1929</t>
        </is>
      </c>
      <c r="L11" t="inlineStr">
        <is>
          <t>https://lovdata.no/dokument/SF/forskrift/2022-11-07-1929</t>
        </is>
      </c>
      <c r="M11" t="inlineStr">
        <is>
          <t>HIGH</t>
        </is>
      </c>
      <c r="N11" t="inlineStr">
        <is>
          <t>MEDIUM</t>
        </is>
      </c>
      <c r="O11" t="inlineStr">
        <is>
          <t>HIGH</t>
        </is>
      </c>
      <c r="P11" t="inlineStr">
        <is>
          <t>HIGH</t>
        </is>
      </c>
      <c r="Q11" t="inlineStr">
        <is>
          <t>HIGH</t>
        </is>
      </c>
      <c r="R11" t="inlineStr">
        <is>
          <t>PENDING</t>
        </is>
      </c>
      <c r="T11" t="inlineStr">
        <is>
          <t>CURRENT</t>
        </is>
      </c>
      <c r="V11" t="inlineStr">
        <is>
          <t>Official expansion from Fiskeridirektoratet's aquaculture regulation index; conditional on species and permit type.</t>
        </is>
      </c>
      <c r="X11" t="inlineStr">
        <is>
          <t>A_Public_Authority</t>
        </is>
      </c>
      <c r="Y11" t="inlineStr">
        <is>
          <t>Norwegian Ministry of Trade, Industry and Fisheries</t>
        </is>
      </c>
      <c r="Z11" t="inlineStr">
        <is>
          <t>Norway</t>
        </is>
      </c>
      <c r="AA11" t="inlineStr">
        <is>
          <t>Regulation</t>
        </is>
      </c>
      <c r="AB11" t="inlineStr">
        <is>
          <t>Public authority</t>
        </is>
      </c>
      <c r="AC11" t="inlineStr">
        <is>
          <t>Primary normative</t>
        </is>
      </c>
      <c r="AD11" t="inlineStr">
        <is>
          <t>Norwegian</t>
        </is>
      </c>
      <c r="AE11" t="inlineStr">
        <is>
          <t>html</t>
        </is>
      </c>
      <c r="AH11" t="inlineStr">
        <is>
          <t>Official regulation issued by Norwegian Ministry of Trade, Industry and Fisheries; included because it may impose binding requirements on an in-scope aquaculture asset, activity, permit or certification.</t>
        </is>
      </c>
      <c r="AI11" t="inlineStr">
        <is>
          <t>HIGH</t>
        </is>
      </c>
      <c r="AJ11" t="inlineStr">
        <is>
          <t>OFFICIAL_WEBSITE</t>
        </is>
      </c>
      <c r="AK11" t="inlineStr">
        <is>
          <t>OFFICIAL_ORIGINAL</t>
        </is>
      </c>
      <c r="AL11" t="inlineStr">
        <is>
          <t>ROLLING</t>
        </is>
      </c>
      <c r="AN11" t="inlineStr">
        <is>
          <t>REV-5214575831eeb70e</t>
        </is>
      </c>
      <c r="AO11" s="725" t="n"/>
      <c r="AP11" s="725" t="n"/>
      <c r="AQ11" s="725" t="n">
        <v>46265.41666666666</v>
      </c>
      <c r="AR11" t="inlineStr">
        <is>
          <t>{"action": "APPLY_FIELD_UPDATES", "issue_codes": ["SELECTION_PENDING"], "retry_after_apply": false, "review_fingerprint": "a54937e050552d22", "source_fingerprint": "e7ea7c2cca720ae19f62", "source_id": "PA021", "updates": {}}</t>
        </is>
      </c>
    </row>
    <row r="12" ht="38" customHeight="1" s="36">
      <c r="A12" s="989" t="inlineStr">
        <is>
          <t>PA022</t>
        </is>
      </c>
      <c r="B12" s="988" t="inlineStr">
        <is>
          <t>Regulation on technical standards for land-based aquaculture facilities for fish</t>
        </is>
      </c>
      <c r="C12" s="988" t="inlineStr">
        <is>
          <t>SELECTION_REVIEW</t>
        </is>
      </c>
      <c r="D12" s="988" t="inlineStr">
        <is>
          <t>SELECTION_PENDING</t>
        </is>
      </c>
      <c r="E12" s="988" t="inlineStr">
        <is>
          <t>Review the human-governed source fields and choose INCLUDE, PENDING or EXCLUDE in Human Operation Desktop.</t>
        </is>
      </c>
      <c r="F12" s="1177" t="inlineStr">
        <is>
          <t>PENDING</t>
        </is>
      </c>
      <c r="G12" s="1177" t="n"/>
      <c r="H12" s="1177" t="n"/>
      <c r="I12" s="1178" t="inlineStr">
        <is>
          <t>PENDING</t>
        </is>
      </c>
      <c r="J12" s="1178" t="inlineStr">
        <is>
          <t>operator_selection_decision is PENDING; mandatory assessment is not HIGH: scope_relevance.</t>
        </is>
      </c>
      <c r="K12" t="inlineStr">
        <is>
          <t>https://lovdata.no/dokument/SF/forskrift/2017-06-19-941</t>
        </is>
      </c>
      <c r="L12" t="inlineStr">
        <is>
          <t>https://lovdata.no/dokument/SF/forskrift/2017-06-19-941</t>
        </is>
      </c>
      <c r="M12" t="inlineStr">
        <is>
          <t>HIGH</t>
        </is>
      </c>
      <c r="N12" t="inlineStr">
        <is>
          <t>MEDIUM</t>
        </is>
      </c>
      <c r="O12" t="inlineStr">
        <is>
          <t>HIGH</t>
        </is>
      </c>
      <c r="P12" t="inlineStr">
        <is>
          <t>HIGH</t>
        </is>
      </c>
      <c r="Q12" t="inlineStr">
        <is>
          <t>HIGH</t>
        </is>
      </c>
      <c r="R12" t="inlineStr">
        <is>
          <t>PENDING</t>
        </is>
      </c>
      <c r="T12" t="inlineStr">
        <is>
          <t>CURRENT</t>
        </is>
      </c>
      <c r="V12" t="inlineStr">
        <is>
          <t>Official expansion. Include only for land-based facilities.</t>
        </is>
      </c>
      <c r="X12" t="inlineStr">
        <is>
          <t>A_Public_Authority</t>
        </is>
      </c>
      <c r="Y12" t="inlineStr">
        <is>
          <t>Norwegian Ministry of Trade, Industry and Fisheries</t>
        </is>
      </c>
      <c r="Z12" t="inlineStr">
        <is>
          <t>Norway</t>
        </is>
      </c>
      <c r="AA12" t="inlineStr">
        <is>
          <t>Regulation</t>
        </is>
      </c>
      <c r="AB12" t="inlineStr">
        <is>
          <t>Public authority</t>
        </is>
      </c>
      <c r="AC12" t="inlineStr">
        <is>
          <t>Primary normative</t>
        </is>
      </c>
      <c r="AD12" t="inlineStr">
        <is>
          <t>Norwegian</t>
        </is>
      </c>
      <c r="AE12" t="inlineStr">
        <is>
          <t>html</t>
        </is>
      </c>
      <c r="AH12" t="inlineStr">
        <is>
          <t>Official regulation issued by Norwegian Ministry of Trade, Industry and Fisheries; included because it may impose binding requirements on an in-scope aquaculture asset, activity, permit or certification.</t>
        </is>
      </c>
      <c r="AI12" t="inlineStr">
        <is>
          <t>HIGH</t>
        </is>
      </c>
      <c r="AJ12" t="inlineStr">
        <is>
          <t>OFFICIAL_WEBSITE</t>
        </is>
      </c>
      <c r="AK12" t="inlineStr">
        <is>
          <t>OFFICIAL_ORIGINAL</t>
        </is>
      </c>
      <c r="AL12" t="inlineStr">
        <is>
          <t>ROLLING</t>
        </is>
      </c>
      <c r="AN12" t="inlineStr">
        <is>
          <t>REV-ce7aaed511f69969</t>
        </is>
      </c>
      <c r="AO12" s="725" t="n"/>
      <c r="AP12" s="725" t="n"/>
      <c r="AQ12" s="725" t="n">
        <v>46265.41666666666</v>
      </c>
      <c r="AR12" t="inlineStr">
        <is>
          <t>{"action": "APPLY_FIELD_UPDATES", "issue_codes": ["SELECTION_PENDING"], "retry_after_apply": false, "review_fingerprint": "e95fc13cb3c7a606", "source_fingerprint": "00fd018ac8e880688a41", "source_id": "PA022", "updates": {}}</t>
        </is>
      </c>
    </row>
    <row r="13" ht="38" customHeight="1" s="36">
      <c r="A13" s="989" t="inlineStr">
        <is>
          <t>PA028</t>
        </is>
      </c>
      <c r="B13" s="988" t="inlineStr">
        <is>
          <t>Norwegian Aquaculture Register</t>
        </is>
      </c>
      <c r="C13" s="988" t="inlineStr">
        <is>
          <t>SELECTION_REVIEW</t>
        </is>
      </c>
      <c r="D13" s="988" t="inlineStr">
        <is>
          <t>SELECTION_PENDING</t>
        </is>
      </c>
      <c r="E13" s="988" t="inlineStr">
        <is>
          <t>Review the human-governed source fields and choose INCLUDE, PENDING or EXCLUDE in Human Operation Desktop.</t>
        </is>
      </c>
      <c r="F13" s="1177" t="inlineStr">
        <is>
          <t>PENDING</t>
        </is>
      </c>
      <c r="G13" s="1177" t="n"/>
      <c r="H13" s="1177" t="n"/>
      <c r="I13" s="1178" t="inlineStr">
        <is>
          <t>PENDING</t>
        </is>
      </c>
      <c r="J13" s="1178" t="inlineStr">
        <is>
          <t>operator_selection_decision is PENDING; mandatory assessment is not HIGH: scope_relevance.</t>
        </is>
      </c>
      <c r="K13" t="inlineStr">
        <is>
          <t>https://www.fiskeridir.no/registre/akvakulturregisteret</t>
        </is>
      </c>
      <c r="L13" t="inlineStr">
        <is>
          <t>https://www.fiskeridir.no/registre/akvakulturregisteret</t>
        </is>
      </c>
      <c r="M13" t="inlineStr">
        <is>
          <t>HIGH</t>
        </is>
      </c>
      <c r="N13" t="inlineStr">
        <is>
          <t>MEDIUM</t>
        </is>
      </c>
      <c r="O13" t="inlineStr">
        <is>
          <t>HIGH</t>
        </is>
      </c>
      <c r="P13" t="inlineStr">
        <is>
          <t>HIGH</t>
        </is>
      </c>
      <c r="Q13" t="inlineStr">
        <is>
          <t>HIGH</t>
        </is>
      </c>
      <c r="R13" t="inlineStr">
        <is>
          <t>PENDING</t>
        </is>
      </c>
      <c r="T13" t="inlineStr">
        <is>
          <t>CURRENT</t>
        </is>
      </c>
      <c r="U13" t="inlineStr">
        <is>
          <t>PA032</t>
        </is>
      </c>
      <c r="V13" t="inlineStr">
        <is>
          <t>Official expansion. Applicability and site identity source, not a primary source of normative text.</t>
        </is>
      </c>
      <c r="X13" t="inlineStr">
        <is>
          <t>A_Public_Authority</t>
        </is>
      </c>
      <c r="Y13" t="inlineStr">
        <is>
          <t>Norwegian Directorate of Fisheries</t>
        </is>
      </c>
      <c r="Z13" t="inlineStr">
        <is>
          <t>Norway</t>
        </is>
      </c>
      <c r="AA13" t="inlineStr">
        <is>
          <t>Other</t>
        </is>
      </c>
      <c r="AB13" t="inlineStr">
        <is>
          <t>Public authority</t>
        </is>
      </c>
      <c r="AC13" t="inlineStr">
        <is>
          <t>Context / evidence</t>
        </is>
      </c>
      <c r="AD13" t="inlineStr">
        <is>
          <t>Norwegian</t>
        </is>
      </c>
      <c r="AE13" t="inlineStr">
        <is>
          <t>html</t>
        </is>
      </c>
      <c r="AH13" t="inlineStr">
        <is>
          <t>Official context source from Norwegian Directorate of Fisheries; included for applicability, site identity or source discovery, not for generating standalone requirements.</t>
        </is>
      </c>
      <c r="AI13" t="inlineStr">
        <is>
          <t>HIGH</t>
        </is>
      </c>
      <c r="AJ13" t="inlineStr">
        <is>
          <t>OFFICIAL_WEBSITE</t>
        </is>
      </c>
      <c r="AK13" t="inlineStr">
        <is>
          <t>OFFICIAL_ORIGINAL</t>
        </is>
      </c>
      <c r="AL13" t="inlineStr">
        <is>
          <t>ROLLING</t>
        </is>
      </c>
      <c r="AN13" t="inlineStr">
        <is>
          <t>REV-3073be5b0db89d79</t>
        </is>
      </c>
      <c r="AO13" s="725" t="n"/>
      <c r="AP13" s="725" t="n"/>
      <c r="AQ13" s="725" t="n">
        <v>46265.41666666666</v>
      </c>
      <c r="AR13" t="inlineStr">
        <is>
          <t>{"action": "APPLY_FIELD_UPDATES", "issue_codes": ["SELECTION_PENDING"], "retry_after_apply": false, "review_fingerprint": "6c26fe7eca8d65bc", "source_fingerprint": "22fc09ccd876b9a8644e", "source_id": "PA028", "updates": {}}</t>
        </is>
      </c>
    </row>
    <row r="14" ht="38" customHeight="1" s="36">
      <c r="A14" s="989" t="inlineStr">
        <is>
          <t>PA030</t>
        </is>
      </c>
      <c r="B14" s="988" t="inlineStr">
        <is>
          <t>Regulation on special requirements for aquaculture-related activities in or near national salmon rivers and fjords</t>
        </is>
      </c>
      <c r="C14" s="988" t="inlineStr">
        <is>
          <t>SELECTION_REVIEW</t>
        </is>
      </c>
      <c r="D14" s="988" t="inlineStr">
        <is>
          <t>SELECTION_PENDING</t>
        </is>
      </c>
      <c r="E14" s="988" t="inlineStr">
        <is>
          <t>Review the human-governed source fields and choose INCLUDE, PENDING or EXCLUDE in Human Operation Desktop.</t>
        </is>
      </c>
      <c r="F14" s="1177" t="inlineStr">
        <is>
          <t>PENDING</t>
        </is>
      </c>
      <c r="G14" s="1177" t="n"/>
      <c r="H14" s="1177" t="n"/>
      <c r="I14" s="1178" t="inlineStr">
        <is>
          <t>PENDING</t>
        </is>
      </c>
      <c r="J14" s="1178" t="inlineStr">
        <is>
          <t>operator_selection_decision is PENDING; mandatory assessment is not HIGH: scope_relevance.</t>
        </is>
      </c>
      <c r="K14" t="inlineStr">
        <is>
          <t>https://lovdata.no/dokument/SF/forskrift/2009-06-22-961</t>
        </is>
      </c>
      <c r="L14" t="inlineStr">
        <is>
          <t>https://lovdata.no/dokument/SF/forskrift/2009-06-22-961</t>
        </is>
      </c>
      <c r="M14" t="inlineStr">
        <is>
          <t>HIGH</t>
        </is>
      </c>
      <c r="N14" t="inlineStr">
        <is>
          <t>MEDIUM</t>
        </is>
      </c>
      <c r="O14" t="inlineStr">
        <is>
          <t>HIGH</t>
        </is>
      </c>
      <c r="P14" t="inlineStr">
        <is>
          <t>HIGH</t>
        </is>
      </c>
      <c r="Q14" t="inlineStr">
        <is>
          <t>HIGH</t>
        </is>
      </c>
      <c r="R14" t="inlineStr">
        <is>
          <t>PENDING</t>
        </is>
      </c>
      <c r="T14" t="inlineStr">
        <is>
          <t>CURRENT</t>
        </is>
      </c>
      <c r="V14" t="inlineStr">
        <is>
          <t>Official expansion from the aquaculture regulation index. Site-specific applicability must be established.</t>
        </is>
      </c>
      <c r="X14" t="inlineStr">
        <is>
          <t>A_Public_Authority</t>
        </is>
      </c>
      <c r="Y14" t="inlineStr">
        <is>
          <t>Norwegian Ministry of Trade, Industry and Fisheries</t>
        </is>
      </c>
      <c r="Z14" t="inlineStr">
        <is>
          <t>Norway</t>
        </is>
      </c>
      <c r="AA14" t="inlineStr">
        <is>
          <t>Regulation</t>
        </is>
      </c>
      <c r="AB14" t="inlineStr">
        <is>
          <t>Public authority</t>
        </is>
      </c>
      <c r="AC14" t="inlineStr">
        <is>
          <t>Primary normative</t>
        </is>
      </c>
      <c r="AD14" t="inlineStr">
        <is>
          <t>Norwegian</t>
        </is>
      </c>
      <c r="AE14" t="inlineStr">
        <is>
          <t>html</t>
        </is>
      </c>
      <c r="AH14" t="inlineStr">
        <is>
          <t>Official regulation issued by Norwegian Ministry of Trade, Industry and Fisheries; included because it may impose binding requirements on an in-scope aquaculture asset, activity, permit or certification.</t>
        </is>
      </c>
      <c r="AI14" t="inlineStr">
        <is>
          <t>HIGH</t>
        </is>
      </c>
      <c r="AJ14" t="inlineStr">
        <is>
          <t>OFFICIAL_WEBSITE</t>
        </is>
      </c>
      <c r="AK14" t="inlineStr">
        <is>
          <t>OFFICIAL_ORIGINAL</t>
        </is>
      </c>
      <c r="AL14" t="inlineStr">
        <is>
          <t>ROLLING</t>
        </is>
      </c>
      <c r="AN14" t="inlineStr">
        <is>
          <t>REV-301ed53bf0adec93</t>
        </is>
      </c>
      <c r="AO14" s="725" t="n"/>
      <c r="AP14" s="725" t="n"/>
      <c r="AQ14" s="725" t="n">
        <v>46265.41666666666</v>
      </c>
      <c r="AR14" t="inlineStr">
        <is>
          <t>{"action": "APPLY_FIELD_UPDATES", "issue_codes": ["SELECTION_PENDING"], "retry_after_apply": false, "review_fingerprint": "6135e4d4ef5dee80", "source_fingerprint": "f8e5308311861676e1b6", "source_id": "PA030", "updates": {}}</t>
        </is>
      </c>
    </row>
    <row r="15" ht="38" customHeight="1" s="36">
      <c r="A15" s="989" t="inlineStr">
        <is>
          <t>PA033</t>
        </is>
      </c>
      <c r="B15" s="988" t="inlineStr">
        <is>
          <t>Regulation on catch-based aquaculture</t>
        </is>
      </c>
      <c r="C15" s="988" t="inlineStr">
        <is>
          <t>SELECTION_REVIEW</t>
        </is>
      </c>
      <c r="D15" s="988" t="inlineStr">
        <is>
          <t>SELECTION_PENDING</t>
        </is>
      </c>
      <c r="E15" s="988" t="inlineStr">
        <is>
          <t>Review the human-governed source fields and choose INCLUDE, PENDING or EXCLUDE in Human Operation Desktop.</t>
        </is>
      </c>
      <c r="F15" s="1177" t="inlineStr">
        <is>
          <t>PENDING</t>
        </is>
      </c>
      <c r="G15" s="1177" t="n"/>
      <c r="H15" s="1177" t="n"/>
      <c r="I15" s="1178" t="inlineStr">
        <is>
          <t>PENDING</t>
        </is>
      </c>
      <c r="J15" s="1178" t="inlineStr">
        <is>
          <t>operator_selection_decision is PENDING; mandatory assessment is not HIGH: scope_relevance.</t>
        </is>
      </c>
      <c r="K15" t="inlineStr">
        <is>
          <t>https://lovdata.no/dokument/SF/forskrift/2014-12-15-1831</t>
        </is>
      </c>
      <c r="L15" t="inlineStr">
        <is>
          <t>https://lovdata.no/dokument/SF/forskrift/2014-12-15-1831</t>
        </is>
      </c>
      <c r="M15" t="inlineStr">
        <is>
          <t>HIGH</t>
        </is>
      </c>
      <c r="N15" t="inlineStr">
        <is>
          <t>MEDIUM</t>
        </is>
      </c>
      <c r="O15" t="inlineStr">
        <is>
          <t>HIGH</t>
        </is>
      </c>
      <c r="P15" t="inlineStr">
        <is>
          <t>HIGH</t>
        </is>
      </c>
      <c r="Q15" t="inlineStr">
        <is>
          <t>HIGH</t>
        </is>
      </c>
      <c r="R15" t="inlineStr">
        <is>
          <t>PENDING</t>
        </is>
      </c>
      <c r="T15" t="inlineStr">
        <is>
          <t>CURRENT</t>
        </is>
      </c>
      <c r="V15" t="inlineStr">
        <is>
          <t>Official coverage expansion from the aquaculture regulation index. Include only for catch-based aquaculture activities.</t>
        </is>
      </c>
      <c r="X15" t="inlineStr">
        <is>
          <t>A_Public_Authority</t>
        </is>
      </c>
      <c r="Y15" t="inlineStr">
        <is>
          <t>Norwegian Ministry of Trade, Industry and Fisheries</t>
        </is>
      </c>
      <c r="Z15" t="inlineStr">
        <is>
          <t>Norway</t>
        </is>
      </c>
      <c r="AA15" t="inlineStr">
        <is>
          <t>Regulation</t>
        </is>
      </c>
      <c r="AB15" t="inlineStr">
        <is>
          <t>Public authority</t>
        </is>
      </c>
      <c r="AC15" t="inlineStr">
        <is>
          <t>Primary normative</t>
        </is>
      </c>
      <c r="AD15" t="inlineStr">
        <is>
          <t>Norwegian</t>
        </is>
      </c>
      <c r="AE15" t="inlineStr">
        <is>
          <t>html</t>
        </is>
      </c>
      <c r="AH15" t="inlineStr">
        <is>
          <t>Official regulation issued by Norwegian Ministry of Trade, Industry and Fisheries; included because it may impose binding requirements on an in-scope aquaculture asset, activity, permit or certification.</t>
        </is>
      </c>
      <c r="AI15" t="inlineStr">
        <is>
          <t>HIGH</t>
        </is>
      </c>
      <c r="AJ15" t="inlineStr">
        <is>
          <t>OFFICIAL_WEBSITE</t>
        </is>
      </c>
      <c r="AK15" t="inlineStr">
        <is>
          <t>OFFICIAL_ORIGINAL</t>
        </is>
      </c>
      <c r="AL15" t="inlineStr">
        <is>
          <t>ROLLING</t>
        </is>
      </c>
      <c r="AN15" t="inlineStr">
        <is>
          <t>REV-16013a2add91919e</t>
        </is>
      </c>
      <c r="AO15" s="725" t="n"/>
      <c r="AP15" s="725" t="n"/>
      <c r="AQ15" s="725" t="n">
        <v>46265.41666666666</v>
      </c>
      <c r="AR15" t="inlineStr">
        <is>
          <t>{"action": "APPLY_FIELD_UPDATES", "issue_codes": ["SELECTION_PENDING"], "retry_after_apply": false, "review_fingerprint": "ea4022fbd355db2e", "source_fingerprint": "3738582123bed3d7ecdb", "source_id": "PA033", "updates": {}}</t>
        </is>
      </c>
    </row>
    <row r="16" ht="38" customHeight="1" s="36">
      <c r="A16" s="989" t="inlineStr">
        <is>
          <t>PA034</t>
        </is>
      </c>
      <c r="B16" s="988" t="inlineStr">
        <is>
          <t>Regulation on coordination and time limits for processing aquaculture applications</t>
        </is>
      </c>
      <c r="C16" s="988" t="inlineStr">
        <is>
          <t>SELECTION_REVIEW</t>
        </is>
      </c>
      <c r="D16" s="988" t="inlineStr">
        <is>
          <t>SELECTION_PENDING</t>
        </is>
      </c>
      <c r="E16" s="988" t="inlineStr">
        <is>
          <t>Review the human-governed source fields and choose INCLUDE, PENDING or EXCLUDE in Human Operation Desktop.</t>
        </is>
      </c>
      <c r="F16" s="1177" t="inlineStr">
        <is>
          <t>PENDING</t>
        </is>
      </c>
      <c r="G16" s="1177" t="n"/>
      <c r="H16" s="1177" t="n"/>
      <c r="I16" s="1178" t="inlineStr">
        <is>
          <t>PENDING</t>
        </is>
      </c>
      <c r="J16" s="1178" t="inlineStr">
        <is>
          <t>operator_selection_decision is PENDING; mandatory assessment is not HIGH: scope_relevance.</t>
        </is>
      </c>
      <c r="K16" t="inlineStr">
        <is>
          <t>https://lovdata.no/dokument/SF/forskrift/2010-05-18-708</t>
        </is>
      </c>
      <c r="L16" t="inlineStr">
        <is>
          <t>https://lovdata.no/dokument/SF/forskrift/2010-05-18-708</t>
        </is>
      </c>
      <c r="M16" t="inlineStr">
        <is>
          <t>HIGH</t>
        </is>
      </c>
      <c r="N16" t="inlineStr">
        <is>
          <t>MEDIUM</t>
        </is>
      </c>
      <c r="O16" t="inlineStr">
        <is>
          <t>HIGH</t>
        </is>
      </c>
      <c r="P16" t="inlineStr">
        <is>
          <t>HIGH</t>
        </is>
      </c>
      <c r="Q16" t="inlineStr">
        <is>
          <t>HIGH</t>
        </is>
      </c>
      <c r="R16" t="inlineStr">
        <is>
          <t>PENDING</t>
        </is>
      </c>
      <c r="T16" t="inlineStr">
        <is>
          <t>CURRENT</t>
        </is>
      </c>
      <c r="V16" t="inlineStr">
        <is>
          <t>Official coverage expansion. Relevant to permitting workflow rather than routine operational controls.</t>
        </is>
      </c>
      <c r="X16" t="inlineStr">
        <is>
          <t>A_Public_Authority</t>
        </is>
      </c>
      <c r="Y16" t="inlineStr">
        <is>
          <t>Norwegian Ministry of Trade, Industry and Fisheries</t>
        </is>
      </c>
      <c r="Z16" t="inlineStr">
        <is>
          <t>Norway</t>
        </is>
      </c>
      <c r="AA16" t="inlineStr">
        <is>
          <t>Regulation</t>
        </is>
      </c>
      <c r="AB16" t="inlineStr">
        <is>
          <t>Public authority</t>
        </is>
      </c>
      <c r="AC16" t="inlineStr">
        <is>
          <t>Referenced normative</t>
        </is>
      </c>
      <c r="AD16" t="inlineStr">
        <is>
          <t>Norwegian</t>
        </is>
      </c>
      <c r="AE16" t="inlineStr">
        <is>
          <t>html</t>
        </is>
      </c>
      <c r="AH16" t="inlineStr">
        <is>
          <t>Official referenced source from Norwegian Ministry of Trade, Industry and Fisheries; included because an applicable law, permit or certification scheme may make its provisions binding within the approved scope.</t>
        </is>
      </c>
      <c r="AI16" t="inlineStr">
        <is>
          <t>HIGH</t>
        </is>
      </c>
      <c r="AJ16" t="inlineStr">
        <is>
          <t>OFFICIAL_WEBSITE</t>
        </is>
      </c>
      <c r="AK16" t="inlineStr">
        <is>
          <t>OFFICIAL_ORIGINAL</t>
        </is>
      </c>
      <c r="AL16" t="inlineStr">
        <is>
          <t>ROLLING</t>
        </is>
      </c>
      <c r="AN16" t="inlineStr">
        <is>
          <t>REV-fbbd147b79c87105</t>
        </is>
      </c>
      <c r="AO16" s="725" t="n"/>
      <c r="AP16" s="725" t="n"/>
      <c r="AQ16" s="725" t="n">
        <v>46265.41666666666</v>
      </c>
      <c r="AR16" t="inlineStr">
        <is>
          <t>{"action": "APPLY_FIELD_UPDATES", "issue_codes": ["SELECTION_PENDING"], "retry_after_apply": false, "review_fingerprint": "b5cc2e7fce068903", "source_fingerprint": "896ae3f3720272896809", "source_id": "PA034", "updates": {}}</t>
        </is>
      </c>
    </row>
    <row r="17" ht="38" customHeight="1" s="36">
      <c r="A17" s="989" t="inlineStr">
        <is>
          <t>PA035</t>
        </is>
      </c>
      <c r="B17" s="988" t="inlineStr">
        <is>
          <t>Regulation on reactions for violations of the Aquaculture Act</t>
        </is>
      </c>
      <c r="C17" s="988" t="inlineStr">
        <is>
          <t>SELECTION_REVIEW</t>
        </is>
      </c>
      <c r="D17" s="988" t="inlineStr">
        <is>
          <t>SELECTION_PENDING</t>
        </is>
      </c>
      <c r="E17" s="988" t="inlineStr">
        <is>
          <t>Review the human-governed source fields and choose INCLUDE, PENDING or EXCLUDE in Human Operation Desktop.</t>
        </is>
      </c>
      <c r="F17" s="1177" t="inlineStr">
        <is>
          <t>PENDING</t>
        </is>
      </c>
      <c r="G17" s="1177" t="n"/>
      <c r="H17" s="1177" t="n"/>
      <c r="I17" s="1178" t="inlineStr">
        <is>
          <t>PENDING</t>
        </is>
      </c>
      <c r="J17" s="1178" t="inlineStr">
        <is>
          <t>operator_selection_decision is PENDING; mandatory assessment is not HIGH: scope_relevance.</t>
        </is>
      </c>
      <c r="K17" t="inlineStr">
        <is>
          <t>https://lovdata.no/dokument/SF/forskrift/2013-12-20-1675</t>
        </is>
      </c>
      <c r="L17" t="inlineStr">
        <is>
          <t>https://lovdata.no/dokument/SF/forskrift/2013-12-20-1675</t>
        </is>
      </c>
      <c r="M17" t="inlineStr">
        <is>
          <t>HIGH</t>
        </is>
      </c>
      <c r="N17" t="inlineStr">
        <is>
          <t>MEDIUM</t>
        </is>
      </c>
      <c r="O17" t="inlineStr">
        <is>
          <t>HIGH</t>
        </is>
      </c>
      <c r="P17" t="inlineStr">
        <is>
          <t>HIGH</t>
        </is>
      </c>
      <c r="Q17" t="inlineStr">
        <is>
          <t>HIGH</t>
        </is>
      </c>
      <c r="R17" t="inlineStr">
        <is>
          <t>PENDING</t>
        </is>
      </c>
      <c r="T17" t="inlineStr">
        <is>
          <t>CURRENT</t>
        </is>
      </c>
      <c r="V17" t="inlineStr">
        <is>
          <t>Official coverage expansion. Supports enforcement and consequence mapping; it is not normally the source of the underlying operational duty.</t>
        </is>
      </c>
      <c r="X17" t="inlineStr">
        <is>
          <t>A_Public_Authority</t>
        </is>
      </c>
      <c r="Y17" t="inlineStr">
        <is>
          <t>Norwegian Ministry of Trade, Industry and Fisheries</t>
        </is>
      </c>
      <c r="Z17" t="inlineStr">
        <is>
          <t>Norway</t>
        </is>
      </c>
      <c r="AA17" t="inlineStr">
        <is>
          <t>Regulation</t>
        </is>
      </c>
      <c r="AB17" t="inlineStr">
        <is>
          <t>Public authority</t>
        </is>
      </c>
      <c r="AC17" t="inlineStr">
        <is>
          <t>Referenced normative</t>
        </is>
      </c>
      <c r="AD17" t="inlineStr">
        <is>
          <t>Norwegian</t>
        </is>
      </c>
      <c r="AE17" t="inlineStr">
        <is>
          <t>html</t>
        </is>
      </c>
      <c r="AH17" t="inlineStr">
        <is>
          <t>Official referenced source from Norwegian Ministry of Trade, Industry and Fisheries; included because an applicable law, permit or certification scheme may make its provisions binding within the approved scope.</t>
        </is>
      </c>
      <c r="AI17" t="inlineStr">
        <is>
          <t>HIGH</t>
        </is>
      </c>
      <c r="AJ17" t="inlineStr">
        <is>
          <t>OFFICIAL_WEBSITE</t>
        </is>
      </c>
      <c r="AK17" t="inlineStr">
        <is>
          <t>OFFICIAL_ORIGINAL</t>
        </is>
      </c>
      <c r="AL17" t="inlineStr">
        <is>
          <t>ROLLING</t>
        </is>
      </c>
      <c r="AN17" t="inlineStr">
        <is>
          <t>REV-f54a8f5c53ce4fe7</t>
        </is>
      </c>
      <c r="AO17" s="725" t="n"/>
      <c r="AP17" s="725" t="n"/>
      <c r="AQ17" s="725" t="n">
        <v>46265.41666666666</v>
      </c>
      <c r="AR17" t="inlineStr">
        <is>
          <t>{"action": "APPLY_FIELD_UPDATES", "issue_codes": ["SELECTION_PENDING"], "retry_after_apply": false, "review_fingerprint": "1ba3332bbb479513", "source_fingerprint": "e8afd00bec99d1053812", "source_id": "PA035", "updates": {}}</t>
        </is>
      </c>
    </row>
    <row r="18" ht="38" customHeight="1" s="36">
      <c r="A18" s="989" t="inlineStr">
        <is>
          <t>PA036</t>
        </is>
      </c>
      <c r="B18" s="988" t="inlineStr">
        <is>
          <t>Regulation on permits for aquaculture of species other than salmon, trout and rainbow trout</t>
        </is>
      </c>
      <c r="C18" s="988" t="inlineStr">
        <is>
          <t>SELECTION_REVIEW</t>
        </is>
      </c>
      <c r="D18" s="988" t="inlineStr">
        <is>
          <t>SELECTION_PENDING</t>
        </is>
      </c>
      <c r="E18" s="988" t="inlineStr">
        <is>
          <t>Review the human-governed source fields and choose INCLUDE, PENDING or EXCLUDE in Human Operation Desktop.</t>
        </is>
      </c>
      <c r="F18" s="1177" t="inlineStr">
        <is>
          <t>PENDING</t>
        </is>
      </c>
      <c r="G18" s="1177" t="n"/>
      <c r="H18" s="1177" t="n"/>
      <c r="I18" s="1178" t="inlineStr">
        <is>
          <t>PENDING</t>
        </is>
      </c>
      <c r="J18" s="1178" t="inlineStr">
        <is>
          <t>operator_selection_decision is PENDING; mandatory assessment is not HIGH: scope_relevance.</t>
        </is>
      </c>
      <c r="K18" t="inlineStr">
        <is>
          <t>https://lovdata.no/dokument/SF/forskrift/2004-12-22-1799</t>
        </is>
      </c>
      <c r="L18" t="inlineStr">
        <is>
          <t>https://lovdata.no/dokument/SF/forskrift/2004-12-22-1799</t>
        </is>
      </c>
      <c r="M18" t="inlineStr">
        <is>
          <t>HIGH</t>
        </is>
      </c>
      <c r="N18" t="inlineStr">
        <is>
          <t>MEDIUM</t>
        </is>
      </c>
      <c r="O18" t="inlineStr">
        <is>
          <t>HIGH</t>
        </is>
      </c>
      <c r="P18" t="inlineStr">
        <is>
          <t>HIGH</t>
        </is>
      </c>
      <c r="Q18" t="inlineStr">
        <is>
          <t>HIGH</t>
        </is>
      </c>
      <c r="R18" t="inlineStr">
        <is>
          <t>PENDING</t>
        </is>
      </c>
      <c r="T18" t="inlineStr">
        <is>
          <t>CURRENT</t>
        </is>
      </c>
      <c r="V18" t="inlineStr">
        <is>
          <t>Official coverage expansion. Include only when other species are within the approved scope.</t>
        </is>
      </c>
      <c r="X18" t="inlineStr">
        <is>
          <t>A_Public_Authority</t>
        </is>
      </c>
      <c r="Y18" t="inlineStr">
        <is>
          <t>Norwegian Ministry of Trade, Industry and Fisheries</t>
        </is>
      </c>
      <c r="Z18" t="inlineStr">
        <is>
          <t>Norway</t>
        </is>
      </c>
      <c r="AA18" t="inlineStr">
        <is>
          <t>Regulation</t>
        </is>
      </c>
      <c r="AB18" t="inlineStr">
        <is>
          <t>Public authority</t>
        </is>
      </c>
      <c r="AC18" t="inlineStr">
        <is>
          <t>Primary normative</t>
        </is>
      </c>
      <c r="AD18" t="inlineStr">
        <is>
          <t>Norwegian</t>
        </is>
      </c>
      <c r="AE18" t="inlineStr">
        <is>
          <t>html</t>
        </is>
      </c>
      <c r="AH18" t="inlineStr">
        <is>
          <t>Official regulation issued by Norwegian Ministry of Trade, Industry and Fisheries; included because it may impose binding requirements on an in-scope aquaculture asset, activity, permit or certification.</t>
        </is>
      </c>
      <c r="AI18" t="inlineStr">
        <is>
          <t>HIGH</t>
        </is>
      </c>
      <c r="AJ18" t="inlineStr">
        <is>
          <t>OFFICIAL_WEBSITE</t>
        </is>
      </c>
      <c r="AK18" t="inlineStr">
        <is>
          <t>OFFICIAL_ORIGINAL</t>
        </is>
      </c>
      <c r="AL18" t="inlineStr">
        <is>
          <t>ROLLING</t>
        </is>
      </c>
      <c r="AN18" t="inlineStr">
        <is>
          <t>REV-8872582ab90c10ad</t>
        </is>
      </c>
      <c r="AO18" s="725" t="n"/>
      <c r="AP18" s="725" t="n"/>
      <c r="AQ18" s="725" t="n">
        <v>46265.41666666666</v>
      </c>
      <c r="AR18" t="inlineStr">
        <is>
          <t>{"action": "APPLY_FIELD_UPDATES", "issue_codes": ["SELECTION_PENDING"], "retry_after_apply": false, "review_fingerprint": "0419ea92c35358c8", "source_fingerprint": "55086e07ededd38cbf63", "source_id": "PA036", "updates": {}}</t>
        </is>
      </c>
    </row>
    <row r="19" ht="38" customHeight="1" s="36">
      <c r="A19" s="989" t="inlineStr">
        <is>
          <t>PA037</t>
        </is>
      </c>
      <c r="B19" s="988" t="inlineStr">
        <is>
          <t>Regulation on fees and charges relating to aquaculture activities</t>
        </is>
      </c>
      <c r="C19" s="988" t="inlineStr">
        <is>
          <t>SELECTION_REVIEW</t>
        </is>
      </c>
      <c r="D19" s="988" t="inlineStr">
        <is>
          <t>SELECTION_PENDING</t>
        </is>
      </c>
      <c r="E19" s="988" t="inlineStr">
        <is>
          <t>Review the human-governed source fields and choose INCLUDE, PENDING or EXCLUDE in Human Operation Desktop.</t>
        </is>
      </c>
      <c r="F19" s="1177" t="inlineStr">
        <is>
          <t>PENDING</t>
        </is>
      </c>
      <c r="G19" s="1177" t="n"/>
      <c r="H19" s="1177" t="n"/>
      <c r="I19" s="1178" t="inlineStr">
        <is>
          <t>PENDING</t>
        </is>
      </c>
      <c r="J19" s="1178" t="inlineStr">
        <is>
          <t>operator_selection_decision is PENDING; mandatory assessment is not HIGH: scope_relevance.</t>
        </is>
      </c>
      <c r="K19" t="inlineStr">
        <is>
          <t>https://lovdata.no/dokument/SF/forskrift/2001-12-21-1597</t>
        </is>
      </c>
      <c r="L19" t="inlineStr">
        <is>
          <t>https://lovdata.no/dokument/SF/forskrift/2001-12-21-1597</t>
        </is>
      </c>
      <c r="M19" t="inlineStr">
        <is>
          <t>HIGH</t>
        </is>
      </c>
      <c r="N19" t="inlineStr">
        <is>
          <t>MEDIUM</t>
        </is>
      </c>
      <c r="O19" t="inlineStr">
        <is>
          <t>HIGH</t>
        </is>
      </c>
      <c r="P19" t="inlineStr">
        <is>
          <t>HIGH</t>
        </is>
      </c>
      <c r="Q19" t="inlineStr">
        <is>
          <t>HIGH</t>
        </is>
      </c>
      <c r="R19" t="inlineStr">
        <is>
          <t>PENDING</t>
        </is>
      </c>
      <c r="T19" t="inlineStr">
        <is>
          <t>CURRENT</t>
        </is>
      </c>
      <c r="V19" t="inlineStr">
        <is>
          <t>Official coverage expansion. Administrative and financial relevance depends on the permit or application process.</t>
        </is>
      </c>
      <c r="X19" t="inlineStr">
        <is>
          <t>A_Public_Authority</t>
        </is>
      </c>
      <c r="Y19" t="inlineStr">
        <is>
          <t>Norwegian Ministry of Trade, Industry and Fisheries</t>
        </is>
      </c>
      <c r="Z19" t="inlineStr">
        <is>
          <t>Norway</t>
        </is>
      </c>
      <c r="AA19" t="inlineStr">
        <is>
          <t>Regulation</t>
        </is>
      </c>
      <c r="AB19" t="inlineStr">
        <is>
          <t>Public authority</t>
        </is>
      </c>
      <c r="AC19" t="inlineStr">
        <is>
          <t>Referenced normative</t>
        </is>
      </c>
      <c r="AD19" t="inlineStr">
        <is>
          <t>Norwegian</t>
        </is>
      </c>
      <c r="AE19" t="inlineStr">
        <is>
          <t>html</t>
        </is>
      </c>
      <c r="AH19" t="inlineStr">
        <is>
          <t>Official referenced source from Norwegian Ministry of Trade, Industry and Fisheries; included because an applicable law, permit or certification scheme may make its provisions binding within the approved scope.</t>
        </is>
      </c>
      <c r="AI19" t="inlineStr">
        <is>
          <t>HIGH</t>
        </is>
      </c>
      <c r="AJ19" t="inlineStr">
        <is>
          <t>OFFICIAL_WEBSITE</t>
        </is>
      </c>
      <c r="AK19" t="inlineStr">
        <is>
          <t>OFFICIAL_ORIGINAL</t>
        </is>
      </c>
      <c r="AL19" t="inlineStr">
        <is>
          <t>ROLLING</t>
        </is>
      </c>
      <c r="AN19" t="inlineStr">
        <is>
          <t>REV-ddd02e0d3f82138e</t>
        </is>
      </c>
      <c r="AO19" s="725" t="n"/>
      <c r="AP19" s="725" t="n"/>
      <c r="AQ19" s="725" t="n">
        <v>46265.41666666666</v>
      </c>
      <c r="AR19" t="inlineStr">
        <is>
          <t>{"action": "APPLY_FIELD_UPDATES", "issue_codes": ["SELECTION_PENDING"], "retry_after_apply": false, "review_fingerprint": "24b48946a8f92449", "source_fingerprint": "baba6ea809c6be64cba6", "source_id": "PA037", "updates": {}}</t>
        </is>
      </c>
    </row>
    <row r="20" ht="38" customHeight="1" s="36">
      <c r="A20" s="989" t="inlineStr">
        <is>
          <t>PA038</t>
        </is>
      </c>
      <c r="B20" s="988" t="inlineStr">
        <is>
          <t>Regulation on sea ranching</t>
        </is>
      </c>
      <c r="C20" s="988" t="inlineStr">
        <is>
          <t>SELECTION_REVIEW</t>
        </is>
      </c>
      <c r="D20" s="988" t="inlineStr">
        <is>
          <t>SELECTION_PENDING</t>
        </is>
      </c>
      <c r="E20" s="988" t="inlineStr">
        <is>
          <t>Review the human-governed source fields and choose INCLUDE, PENDING or EXCLUDE in Human Operation Desktop.</t>
        </is>
      </c>
      <c r="F20" s="1177" t="inlineStr">
        <is>
          <t>PENDING</t>
        </is>
      </c>
      <c r="G20" s="1177" t="n"/>
      <c r="H20" s="1177" t="n"/>
      <c r="I20" s="1178" t="inlineStr">
        <is>
          <t>PENDING</t>
        </is>
      </c>
      <c r="J20" s="1178" t="inlineStr">
        <is>
          <t>operator_selection_decision is PENDING; mandatory assessment is not HIGH: scope_relevance.</t>
        </is>
      </c>
      <c r="K20" t="inlineStr">
        <is>
          <t>https://lovdata.no/dokument/SF/forskrift/2003-08-28-1110</t>
        </is>
      </c>
      <c r="L20" t="inlineStr">
        <is>
          <t>https://lovdata.no/dokument/SF/forskrift/2003-08-28-1110</t>
        </is>
      </c>
      <c r="M20" t="inlineStr">
        <is>
          <t>HIGH</t>
        </is>
      </c>
      <c r="N20" t="inlineStr">
        <is>
          <t>MEDIUM</t>
        </is>
      </c>
      <c r="O20" t="inlineStr">
        <is>
          <t>HIGH</t>
        </is>
      </c>
      <c r="P20" t="inlineStr">
        <is>
          <t>HIGH</t>
        </is>
      </c>
      <c r="Q20" t="inlineStr">
        <is>
          <t>HIGH</t>
        </is>
      </c>
      <c r="R20" t="inlineStr">
        <is>
          <t>PENDING</t>
        </is>
      </c>
      <c r="T20" t="inlineStr">
        <is>
          <t>CURRENT</t>
        </is>
      </c>
      <c r="V20" t="inlineStr">
        <is>
          <t>Official coverage expansion. Include only for sea-ranching operations.</t>
        </is>
      </c>
      <c r="X20" t="inlineStr">
        <is>
          <t>A_Public_Authority</t>
        </is>
      </c>
      <c r="Y20" t="inlineStr">
        <is>
          <t>Norwegian Ministry of Trade, Industry and Fisheries</t>
        </is>
      </c>
      <c r="Z20" t="inlineStr">
        <is>
          <t>Norway</t>
        </is>
      </c>
      <c r="AA20" t="inlineStr">
        <is>
          <t>Regulation</t>
        </is>
      </c>
      <c r="AB20" t="inlineStr">
        <is>
          <t>Public authority</t>
        </is>
      </c>
      <c r="AC20" t="inlineStr">
        <is>
          <t>Primary normative</t>
        </is>
      </c>
      <c r="AD20" t="inlineStr">
        <is>
          <t>Norwegian</t>
        </is>
      </c>
      <c r="AE20" t="inlineStr">
        <is>
          <t>html</t>
        </is>
      </c>
      <c r="AH20" t="inlineStr">
        <is>
          <t>Official regulation issued by Norwegian Ministry of Trade, Industry and Fisheries; included because it may impose binding requirements on an in-scope aquaculture asset, activity, permit or certification.</t>
        </is>
      </c>
      <c r="AI20" t="inlineStr">
        <is>
          <t>HIGH</t>
        </is>
      </c>
      <c r="AJ20" t="inlineStr">
        <is>
          <t>OFFICIAL_WEBSITE</t>
        </is>
      </c>
      <c r="AK20" t="inlineStr">
        <is>
          <t>OFFICIAL_ORIGINAL</t>
        </is>
      </c>
      <c r="AL20" t="inlineStr">
        <is>
          <t>ROLLING</t>
        </is>
      </c>
      <c r="AN20" t="inlineStr">
        <is>
          <t>REV-a73de1b0ec41d41a</t>
        </is>
      </c>
      <c r="AO20" s="725" t="n"/>
      <c r="AP20" s="725" t="n"/>
      <c r="AQ20" s="725" t="n">
        <v>46265.41666666666</v>
      </c>
      <c r="AR20" t="inlineStr">
        <is>
          <t>{"action": "APPLY_FIELD_UPDATES", "issue_codes": ["SELECTION_PENDING"], "retry_after_apply": false, "review_fingerprint": "b05c260bf1ddf27b", "source_fingerprint": "b092eb13f773c2f57e52", "source_id": "PA038", "updates": {}}</t>
        </is>
      </c>
    </row>
    <row r="21" ht="38" customHeight="1" s="36">
      <c r="A21" s="989" t="inlineStr">
        <is>
          <t>PA049</t>
        </is>
      </c>
      <c r="B21" s="988" t="inlineStr">
        <is>
          <t>Regulation on working environment, safety and health for persons working on board ships</t>
        </is>
      </c>
      <c r="C21" s="988" t="inlineStr">
        <is>
          <t>SELECTION_REVIEW</t>
        </is>
      </c>
      <c r="D21" s="988" t="inlineStr">
        <is>
          <t>SELECTION_PENDING</t>
        </is>
      </c>
      <c r="E21" s="988" t="inlineStr">
        <is>
          <t>Review the human-governed source fields and choose INCLUDE, PENDING or EXCLUDE in Human Operation Desktop.</t>
        </is>
      </c>
      <c r="F21" s="1177" t="inlineStr">
        <is>
          <t>PENDING</t>
        </is>
      </c>
      <c r="G21" s="1177" t="n"/>
      <c r="H21" s="1177" t="n"/>
      <c r="I21" s="1178" t="inlineStr">
        <is>
          <t>PENDING</t>
        </is>
      </c>
      <c r="J21" s="1178" t="inlineStr">
        <is>
          <t>operator_selection_decision is PENDING; mandatory assessment is not HIGH: scope_relevance.</t>
        </is>
      </c>
      <c r="K21" t="inlineStr">
        <is>
          <t>https://lovdata.no/dokument/SF/forskrift/2005-01-01-8</t>
        </is>
      </c>
      <c r="L21" t="inlineStr">
        <is>
          <t>https://lovdata.no/dokument/SF/forskrift/2005-01-01-8</t>
        </is>
      </c>
      <c r="M21" t="inlineStr">
        <is>
          <t>HIGH</t>
        </is>
      </c>
      <c r="N21" t="inlineStr">
        <is>
          <t>MEDIUM</t>
        </is>
      </c>
      <c r="O21" t="inlineStr">
        <is>
          <t>HIGH</t>
        </is>
      </c>
      <c r="P21" t="inlineStr">
        <is>
          <t>HIGH</t>
        </is>
      </c>
      <c r="Q21" t="inlineStr">
        <is>
          <t>HIGH</t>
        </is>
      </c>
      <c r="R21" t="inlineStr">
        <is>
          <t>PENDING</t>
        </is>
      </c>
      <c r="T21" t="inlineStr">
        <is>
          <t>CURRENT</t>
        </is>
      </c>
      <c r="U21" t="inlineStr">
        <is>
          <t>PA018</t>
        </is>
      </c>
      <c r="V21" t="inlineStr">
        <is>
          <t>Official maritime HSE expansion. Include only for personnel and vessels falling within maritime scope.</t>
        </is>
      </c>
      <c r="X21" t="inlineStr">
        <is>
          <t>A_Public_Authority</t>
        </is>
      </c>
      <c r="Y21" t="inlineStr">
        <is>
          <t>Norwegian Ministry of Trade, Industry and Fisheries</t>
        </is>
      </c>
      <c r="Z21" t="inlineStr">
        <is>
          <t>Norway</t>
        </is>
      </c>
      <c r="AA21" t="inlineStr">
        <is>
          <t>Regulation</t>
        </is>
      </c>
      <c r="AB21" t="inlineStr">
        <is>
          <t>Public authority</t>
        </is>
      </c>
      <c r="AC21" t="inlineStr">
        <is>
          <t>Primary normative</t>
        </is>
      </c>
      <c r="AD21" t="inlineStr">
        <is>
          <t>Norwegian</t>
        </is>
      </c>
      <c r="AE21" t="inlineStr">
        <is>
          <t>html</t>
        </is>
      </c>
      <c r="AH21" t="inlineStr">
        <is>
          <t>Official regulation issued by Norwegian Ministry of Trade, Industry and Fisheries; included because it may impose binding requirements on an in-scope aquaculture asset, activity, permit or certification.</t>
        </is>
      </c>
      <c r="AI21" t="inlineStr">
        <is>
          <t>HIGH</t>
        </is>
      </c>
      <c r="AJ21" t="inlineStr">
        <is>
          <t>OFFICIAL_WEBSITE</t>
        </is>
      </c>
      <c r="AK21" t="inlineStr">
        <is>
          <t>OFFICIAL_ORIGINAL</t>
        </is>
      </c>
      <c r="AL21" t="inlineStr">
        <is>
          <t>ROLLING</t>
        </is>
      </c>
      <c r="AN21" t="inlineStr">
        <is>
          <t>REV-9ecc78b700cc34a9</t>
        </is>
      </c>
      <c r="AO21" s="725" t="n"/>
      <c r="AP21" s="725" t="n"/>
      <c r="AQ21" s="725" t="n">
        <v>46265.41666666666</v>
      </c>
      <c r="AR21" t="inlineStr">
        <is>
          <t>{"action": "APPLY_FIELD_UPDATES", "issue_codes": ["SELECTION_PENDING"], "retry_after_apply": false, "review_fingerprint": "f9528b69f2230ff7", "source_fingerprint": "f91987a5cba443c5f3f5", "source_id": "PA049", "updates": {}}</t>
        </is>
      </c>
    </row>
    <row r="22" ht="38" customHeight="1" s="36">
      <c r="A22" s="989" t="inlineStr">
        <is>
          <t>PA051</t>
        </is>
      </c>
      <c r="B22" s="988" t="inlineStr">
        <is>
          <t>Planning and Building Act</t>
        </is>
      </c>
      <c r="C22" s="988" t="inlineStr">
        <is>
          <t>SELECTION_REVIEW</t>
        </is>
      </c>
      <c r="D22" s="988" t="inlineStr">
        <is>
          <t>SELECTION_PENDING</t>
        </is>
      </c>
      <c r="E22" s="988" t="inlineStr">
        <is>
          <t>Review the human-governed source fields and choose INCLUDE, PENDING or EXCLUDE in Human Operation Desktop.</t>
        </is>
      </c>
      <c r="F22" s="1177" t="inlineStr">
        <is>
          <t>PENDING</t>
        </is>
      </c>
      <c r="G22" s="1177" t="n"/>
      <c r="H22" s="1177" t="n"/>
      <c r="I22" s="1178" t="inlineStr">
        <is>
          <t>PENDING</t>
        </is>
      </c>
      <c r="J22" s="1178" t="inlineStr">
        <is>
          <t>operator_selection_decision is PENDING; mandatory assessment is not HIGH: scope_relevance.</t>
        </is>
      </c>
      <c r="K22" t="inlineStr">
        <is>
          <t>https://lovdata.no/dokument/NL/lov/2008-06-27-71</t>
        </is>
      </c>
      <c r="L22" t="inlineStr">
        <is>
          <t>https://lovdata.no/dokument/NL/lov/2008-06-27-71</t>
        </is>
      </c>
      <c r="M22" t="inlineStr">
        <is>
          <t>HIGH</t>
        </is>
      </c>
      <c r="N22" t="inlineStr">
        <is>
          <t>MEDIUM</t>
        </is>
      </c>
      <c r="O22" t="inlineStr">
        <is>
          <t>HIGH</t>
        </is>
      </c>
      <c r="P22" t="inlineStr">
        <is>
          <t>HIGH</t>
        </is>
      </c>
      <c r="Q22" t="inlineStr">
        <is>
          <t>HIGH</t>
        </is>
      </c>
      <c r="R22" t="inlineStr">
        <is>
          <t>PENDING</t>
        </is>
      </c>
      <c r="T22" t="inlineStr">
        <is>
          <t>CURRENT</t>
        </is>
      </c>
      <c r="V22" t="inlineStr">
        <is>
          <t>Official permitting expansion. Relevance depends on municipal plans, land-based works and the specific application.</t>
        </is>
      </c>
      <c r="X22" t="inlineStr">
        <is>
          <t>A_Public_Authority</t>
        </is>
      </c>
      <c r="Y22" t="inlineStr">
        <is>
          <t>Norwegian Ministry of Local Government and Regional Development</t>
        </is>
      </c>
      <c r="Z22" t="inlineStr">
        <is>
          <t>Norway</t>
        </is>
      </c>
      <c r="AA22" t="inlineStr">
        <is>
          <t>Law</t>
        </is>
      </c>
      <c r="AB22" t="inlineStr">
        <is>
          <t>Public authority</t>
        </is>
      </c>
      <c r="AC22" t="inlineStr">
        <is>
          <t>Referenced normative</t>
        </is>
      </c>
      <c r="AD22" t="inlineStr">
        <is>
          <t>Norwegian</t>
        </is>
      </c>
      <c r="AE22" t="inlineStr">
        <is>
          <t>html</t>
        </is>
      </c>
      <c r="AH22" t="inlineStr">
        <is>
          <t>Official referenced source from Norwegian Ministry of Local Government and Regional Development; included because an applicable law, permit or certification scheme may make its provisions binding within the approved scope.</t>
        </is>
      </c>
      <c r="AI22" t="inlineStr">
        <is>
          <t>HIGH</t>
        </is>
      </c>
      <c r="AJ22" t="inlineStr">
        <is>
          <t>OFFICIAL_WEBSITE</t>
        </is>
      </c>
      <c r="AK22" t="inlineStr">
        <is>
          <t>OFFICIAL_ORIGINAL</t>
        </is>
      </c>
      <c r="AL22" t="inlineStr">
        <is>
          <t>ROLLING</t>
        </is>
      </c>
      <c r="AN22" t="inlineStr">
        <is>
          <t>REV-beff403a206a6350</t>
        </is>
      </c>
      <c r="AO22" s="725" t="n"/>
      <c r="AP22" s="725" t="n"/>
      <c r="AQ22" s="725" t="n">
        <v>46265.41666666666</v>
      </c>
      <c r="AR22" t="inlineStr">
        <is>
          <t>{"action": "APPLY_FIELD_UPDATES", "issue_codes": ["SELECTION_PENDING"], "retry_after_apply": false, "review_fingerprint": "e66c941f54564f91", "source_fingerprint": "0fb4a0f2cbb380c4e9eb", "source_id": "PA051", "updates": {}}</t>
        </is>
      </c>
    </row>
    <row r="23" ht="38" customHeight="1" s="36">
      <c r="A23" s="989" t="inlineStr">
        <is>
          <t>PA052</t>
        </is>
      </c>
      <c r="B23" s="988" t="inlineStr">
        <is>
          <t>Cultural Heritage Act</t>
        </is>
      </c>
      <c r="C23" s="988" t="inlineStr">
        <is>
          <t>SELECTION_REVIEW</t>
        </is>
      </c>
      <c r="D23" s="988" t="inlineStr">
        <is>
          <t>SELECTION_PENDING</t>
        </is>
      </c>
      <c r="E23" s="988" t="inlineStr">
        <is>
          <t>Review the human-governed source fields and choose INCLUDE, PENDING or EXCLUDE in Human Operation Desktop.</t>
        </is>
      </c>
      <c r="F23" s="1177" t="inlineStr">
        <is>
          <t>PENDING</t>
        </is>
      </c>
      <c r="G23" s="1177" t="n"/>
      <c r="H23" s="1177" t="n"/>
      <c r="I23" s="1178" t="inlineStr">
        <is>
          <t>PENDING</t>
        </is>
      </c>
      <c r="J23" s="1178" t="inlineStr">
        <is>
          <t>operator_selection_decision is PENDING; mandatory assessment is not HIGH: scope_relevance.</t>
        </is>
      </c>
      <c r="K23" t="inlineStr">
        <is>
          <t>https://lovdata.no/dokument/NL/lov/1978-06-09-50</t>
        </is>
      </c>
      <c r="L23" t="inlineStr">
        <is>
          <t>https://lovdata.no/dokument/NL/lov/1978-06-09-50</t>
        </is>
      </c>
      <c r="M23" t="inlineStr">
        <is>
          <t>HIGH</t>
        </is>
      </c>
      <c r="N23" t="inlineStr">
        <is>
          <t>MEDIUM</t>
        </is>
      </c>
      <c r="O23" t="inlineStr">
        <is>
          <t>HIGH</t>
        </is>
      </c>
      <c r="P23" t="inlineStr">
        <is>
          <t>HIGH</t>
        </is>
      </c>
      <c r="Q23" t="inlineStr">
        <is>
          <t>HIGH</t>
        </is>
      </c>
      <c r="R23" t="inlineStr">
        <is>
          <t>PENDING</t>
        </is>
      </c>
      <c r="T23" t="inlineStr">
        <is>
          <t>CURRENT</t>
        </is>
      </c>
      <c r="V23" t="inlineStr">
        <is>
          <t>Official permitting expansion. Site-specific relevance depends on registered or discovered cultural heritage.</t>
        </is>
      </c>
      <c r="X23" t="inlineStr">
        <is>
          <t>A_Public_Authority</t>
        </is>
      </c>
      <c r="Y23" t="inlineStr">
        <is>
          <t>Norwegian Ministry of Climate and Environment</t>
        </is>
      </c>
      <c r="Z23" t="inlineStr">
        <is>
          <t>Norway</t>
        </is>
      </c>
      <c r="AA23" t="inlineStr">
        <is>
          <t>Law</t>
        </is>
      </c>
      <c r="AB23" t="inlineStr">
        <is>
          <t>Public authority</t>
        </is>
      </c>
      <c r="AC23" t="inlineStr">
        <is>
          <t>Referenced normative</t>
        </is>
      </c>
      <c r="AD23" t="inlineStr">
        <is>
          <t>Norwegian</t>
        </is>
      </c>
      <c r="AE23" t="inlineStr">
        <is>
          <t>html</t>
        </is>
      </c>
      <c r="AH23" t="inlineStr">
        <is>
          <t>Official referenced source from Norwegian Ministry of Climate and Environment; included because an applicable law, permit or certification scheme may make its provisions binding within the approved scope.</t>
        </is>
      </c>
      <c r="AI23" t="inlineStr">
        <is>
          <t>HIGH</t>
        </is>
      </c>
      <c r="AJ23" t="inlineStr">
        <is>
          <t>OFFICIAL_WEBSITE</t>
        </is>
      </c>
      <c r="AK23" t="inlineStr">
        <is>
          <t>OFFICIAL_ORIGINAL</t>
        </is>
      </c>
      <c r="AL23" t="inlineStr">
        <is>
          <t>ROLLING</t>
        </is>
      </c>
      <c r="AN23" t="inlineStr">
        <is>
          <t>REV-550fc55c7afd30ff</t>
        </is>
      </c>
      <c r="AO23" s="725" t="n"/>
      <c r="AP23" s="725" t="n"/>
      <c r="AQ23" s="725" t="n">
        <v>46265.41666666666</v>
      </c>
      <c r="AR23" t="inlineStr">
        <is>
          <t>{"action": "APPLY_FIELD_UPDATES", "issue_codes": ["SELECTION_PENDING"], "retry_after_apply": false, "review_fingerprint": "f6796138335f3423", "source_fingerprint": "331705cb37e029717721", "source_id": "PA052", "updates": {}}</t>
        </is>
      </c>
    </row>
    <row r="24" ht="38" customHeight="1" s="36">
      <c r="A24" s="989" t="inlineStr">
        <is>
          <t>PA053</t>
        </is>
      </c>
      <c r="B24" s="988" t="inlineStr">
        <is>
          <t>Water Resources Act</t>
        </is>
      </c>
      <c r="C24" s="988" t="inlineStr">
        <is>
          <t>SELECTION_REVIEW</t>
        </is>
      </c>
      <c r="D24" s="988" t="inlineStr">
        <is>
          <t>SELECTION_PENDING</t>
        </is>
      </c>
      <c r="E24" s="988" t="inlineStr">
        <is>
          <t>Review the human-governed source fields and choose INCLUDE, PENDING or EXCLUDE in Human Operation Desktop.</t>
        </is>
      </c>
      <c r="F24" s="1177" t="inlineStr">
        <is>
          <t>PENDING</t>
        </is>
      </c>
      <c r="G24" s="1177" t="n"/>
      <c r="H24" s="1177" t="n"/>
      <c r="I24" s="1178" t="inlineStr">
        <is>
          <t>PENDING</t>
        </is>
      </c>
      <c r="J24" s="1178" t="inlineStr">
        <is>
          <t>operator_selection_decision is PENDING; mandatory assessment is not HIGH: scope_relevance.</t>
        </is>
      </c>
      <c r="K24" t="inlineStr">
        <is>
          <t>https://lovdata.no/dokument/NL/lov/2000-11-24-82</t>
        </is>
      </c>
      <c r="L24" t="inlineStr">
        <is>
          <t>https://lovdata.no/dokument/NL/lov/2000-11-24-82</t>
        </is>
      </c>
      <c r="M24" t="inlineStr">
        <is>
          <t>HIGH</t>
        </is>
      </c>
      <c r="N24" t="inlineStr">
        <is>
          <t>MEDIUM</t>
        </is>
      </c>
      <c r="O24" t="inlineStr">
        <is>
          <t>HIGH</t>
        </is>
      </c>
      <c r="P24" t="inlineStr">
        <is>
          <t>HIGH</t>
        </is>
      </c>
      <c r="Q24" t="inlineStr">
        <is>
          <t>HIGH</t>
        </is>
      </c>
      <c r="R24" t="inlineStr">
        <is>
          <t>PENDING</t>
        </is>
      </c>
      <c r="T24" t="inlineStr">
        <is>
          <t>CURRENT</t>
        </is>
      </c>
      <c r="V24" t="inlineStr">
        <is>
          <t>Official permitting expansion. Particularly relevant to freshwater or water-abstraction and discharge arrangements.</t>
        </is>
      </c>
      <c r="X24" t="inlineStr">
        <is>
          <t>A_Public_Authority</t>
        </is>
      </c>
      <c r="Y24" t="inlineStr">
        <is>
          <t>Norwegian Ministry of Energy</t>
        </is>
      </c>
      <c r="Z24" t="inlineStr">
        <is>
          <t>Norway</t>
        </is>
      </c>
      <c r="AA24" t="inlineStr">
        <is>
          <t>Law</t>
        </is>
      </c>
      <c r="AB24" t="inlineStr">
        <is>
          <t>Public authority</t>
        </is>
      </c>
      <c r="AC24" t="inlineStr">
        <is>
          <t>Referenced normative</t>
        </is>
      </c>
      <c r="AD24" t="inlineStr">
        <is>
          <t>Norwegian</t>
        </is>
      </c>
      <c r="AE24" t="inlineStr">
        <is>
          <t>html</t>
        </is>
      </c>
      <c r="AH24" t="inlineStr">
        <is>
          <t>Official referenced source from Norwegian Ministry of Energy; included because an applicable law, permit or certification scheme may make its provisions binding within the approved scope.</t>
        </is>
      </c>
      <c r="AI24" t="inlineStr">
        <is>
          <t>HIGH</t>
        </is>
      </c>
      <c r="AJ24" t="inlineStr">
        <is>
          <t>OFFICIAL_WEBSITE</t>
        </is>
      </c>
      <c r="AK24" t="inlineStr">
        <is>
          <t>OFFICIAL_ORIGINAL</t>
        </is>
      </c>
      <c r="AL24" t="inlineStr">
        <is>
          <t>ROLLING</t>
        </is>
      </c>
      <c r="AN24" t="inlineStr">
        <is>
          <t>REV-f7e513d3ac05fd66</t>
        </is>
      </c>
      <c r="AO24" s="725" t="n"/>
      <c r="AP24" s="725" t="n"/>
      <c r="AQ24" s="725" t="n">
        <v>46265.41666666666</v>
      </c>
      <c r="AR24" t="inlineStr">
        <is>
          <t>{"action": "APPLY_FIELD_UPDATES", "issue_codes": ["SELECTION_PENDING"], "retry_after_apply": false, "review_fingerprint": "f1d2df20c0193139", "source_fingerprint": "0abf23e4e51bdb982f12", "source_id": "PA053", "updates": {}}</t>
        </is>
      </c>
    </row>
    <row r="25" ht="38" customHeight="1" s="36">
      <c r="A25" s="989" t="inlineStr">
        <is>
          <t>PA054</t>
        </is>
      </c>
      <c r="B25" s="988" t="inlineStr">
        <is>
          <t>Marine Nature Protection Act</t>
        </is>
      </c>
      <c r="C25" s="988" t="inlineStr">
        <is>
          <t>SELECTION_REVIEW</t>
        </is>
      </c>
      <c r="D25" s="988" t="inlineStr">
        <is>
          <t>SELECTION_PENDING</t>
        </is>
      </c>
      <c r="E25" s="988" t="inlineStr">
        <is>
          <t>Review the human-governed source fields and choose INCLUDE, PENDING or EXCLUDE in Human Operation Desktop.</t>
        </is>
      </c>
      <c r="F25" s="1177" t="inlineStr">
        <is>
          <t>PENDING</t>
        </is>
      </c>
      <c r="G25" s="1177" t="n"/>
      <c r="H25" s="1177" t="n"/>
      <c r="I25" s="1178" t="inlineStr">
        <is>
          <t>PENDING</t>
        </is>
      </c>
      <c r="J25" s="1178" t="inlineStr">
        <is>
          <t>operator_selection_decision is PENDING; mandatory assessment is not HIGH: scope_relevance.</t>
        </is>
      </c>
      <c r="K25" t="inlineStr">
        <is>
          <t>https://lovdata.no/dokument/NL/lov/2025-06-10-33</t>
        </is>
      </c>
      <c r="L25" t="inlineStr">
        <is>
          <t>https://lovdata.no/dokument/NL/lov/2025-06-10-33</t>
        </is>
      </c>
      <c r="M25" t="inlineStr">
        <is>
          <t>HIGH</t>
        </is>
      </c>
      <c r="N25" t="inlineStr">
        <is>
          <t>MEDIUM</t>
        </is>
      </c>
      <c r="O25" t="inlineStr">
        <is>
          <t>HIGH</t>
        </is>
      </c>
      <c r="P25" t="inlineStr">
        <is>
          <t>HIGH</t>
        </is>
      </c>
      <c r="Q25" t="inlineStr">
        <is>
          <t>HIGH</t>
        </is>
      </c>
      <c r="R25" t="inlineStr">
        <is>
          <t>PENDING</t>
        </is>
      </c>
      <c r="T25" t="inlineStr">
        <is>
          <t>CURRENT</t>
        </is>
      </c>
      <c r="V25" t="inlineStr">
        <is>
          <t>Official future-facing coverage expansion. Offshore and site-specific applicability must be confirmed before use.</t>
        </is>
      </c>
      <c r="X25" t="inlineStr">
        <is>
          <t>A_Public_Authority</t>
        </is>
      </c>
      <c r="Y25" t="inlineStr">
        <is>
          <t>Norwegian Ministry of Climate and Environment</t>
        </is>
      </c>
      <c r="Z25" t="inlineStr">
        <is>
          <t>Norway</t>
        </is>
      </c>
      <c r="AA25" t="inlineStr">
        <is>
          <t>Law</t>
        </is>
      </c>
      <c r="AB25" t="inlineStr">
        <is>
          <t>Public authority</t>
        </is>
      </c>
      <c r="AC25" t="inlineStr">
        <is>
          <t>Referenced normative</t>
        </is>
      </c>
      <c r="AD25" t="inlineStr">
        <is>
          <t>Norwegian</t>
        </is>
      </c>
      <c r="AE25" t="inlineStr">
        <is>
          <t>html</t>
        </is>
      </c>
      <c r="AG25" t="n">
        <v>46023</v>
      </c>
      <c r="AH25" t="inlineStr">
        <is>
          <t>Official referenced source from Norwegian Ministry of Climate and Environment; included because an applicable law, permit or certification scheme may make its provisions binding within the approved scope.</t>
        </is>
      </c>
      <c r="AI25" t="inlineStr">
        <is>
          <t>HIGH</t>
        </is>
      </c>
      <c r="AJ25" t="inlineStr">
        <is>
          <t>OFFICIAL_WEBSITE</t>
        </is>
      </c>
      <c r="AK25" t="inlineStr">
        <is>
          <t>OFFICIAL_ORIGINAL</t>
        </is>
      </c>
      <c r="AL25" t="inlineStr">
        <is>
          <t>ROLLING</t>
        </is>
      </c>
      <c r="AN25" t="inlineStr">
        <is>
          <t>REV-be855437b042dc29</t>
        </is>
      </c>
      <c r="AO25" s="725" t="n"/>
      <c r="AP25" s="725" t="n"/>
      <c r="AQ25" s="725" t="n">
        <v>46265.41666666666</v>
      </c>
      <c r="AR25" t="inlineStr">
        <is>
          <t>{"action": "APPLY_FIELD_UPDATES", "issue_codes": ["SELECTION_PENDING"], "retry_after_apply": false, "review_fingerprint": "c3a7dd72e6daa7d1", "source_fingerprint": "e4ffcdfce505d629d3ef", "source_id": "PA054", "updates": {}}</t>
        </is>
      </c>
    </row>
    <row r="26" ht="38" customHeight="1" s="36">
      <c r="A26" s="989" t="inlineStr">
        <is>
          <t>PA056</t>
        </is>
      </c>
      <c r="B26" s="988" t="inlineStr">
        <is>
          <t>Fiskeridirektoratet guidance for land-based aquaculture facilities</t>
        </is>
      </c>
      <c r="C26" s="988" t="inlineStr">
        <is>
          <t>SELECTION_REVIEW</t>
        </is>
      </c>
      <c r="D26" s="988" t="inlineStr">
        <is>
          <t>SELECTION_PENDING</t>
        </is>
      </c>
      <c r="E26" s="988" t="inlineStr">
        <is>
          <t>Review the human-governed source fields and choose INCLUDE, PENDING or EXCLUDE in Human Operation Desktop.</t>
        </is>
      </c>
      <c r="F26" s="1177" t="inlineStr">
        <is>
          <t>PENDING</t>
        </is>
      </c>
      <c r="G26" s="1177" t="n"/>
      <c r="H26" s="1177" t="n"/>
      <c r="I26" s="1178" t="inlineStr">
        <is>
          <t>PENDING</t>
        </is>
      </c>
      <c r="J26" s="1178" t="inlineStr">
        <is>
          <t>operator_selection_decision is PENDING; mandatory assessment is not HIGH: scope_relevance.</t>
        </is>
      </c>
      <c r="K26" t="inlineStr">
        <is>
          <t>https://www.fiskeridir.no/akvakultur/landbaserte-anlegg</t>
        </is>
      </c>
      <c r="L26" t="inlineStr">
        <is>
          <t>https://www.fiskeridir.no/akvakultur/landbaserte-anlegg</t>
        </is>
      </c>
      <c r="M26" t="inlineStr">
        <is>
          <t>HIGH</t>
        </is>
      </c>
      <c r="N26" t="inlineStr">
        <is>
          <t>MEDIUM</t>
        </is>
      </c>
      <c r="O26" t="inlineStr">
        <is>
          <t>HIGH</t>
        </is>
      </c>
      <c r="P26" t="inlineStr">
        <is>
          <t>HIGH</t>
        </is>
      </c>
      <c r="Q26" t="inlineStr">
        <is>
          <t>HIGH</t>
        </is>
      </c>
      <c r="R26" t="inlineStr">
        <is>
          <t>PENDING</t>
        </is>
      </c>
      <c r="T26" t="inlineStr">
        <is>
          <t>CURRENT</t>
        </is>
      </c>
      <c r="U26" t="inlineStr">
        <is>
          <t>PA022</t>
        </is>
      </c>
      <c r="V26" t="inlineStr">
        <is>
          <t>Official land-based facility guidance. Include only when land-based facilities are within scope.</t>
        </is>
      </c>
      <c r="X26" t="inlineStr">
        <is>
          <t>A_Public_Authority</t>
        </is>
      </c>
      <c r="Y26" t="inlineStr">
        <is>
          <t>Norwegian Directorate of Fisheries</t>
        </is>
      </c>
      <c r="Z26" t="inlineStr">
        <is>
          <t>Norway</t>
        </is>
      </c>
      <c r="AA26" t="inlineStr">
        <is>
          <t>Interpretation document</t>
        </is>
      </c>
      <c r="AB26" t="inlineStr">
        <is>
          <t>Public authority</t>
        </is>
      </c>
      <c r="AC26" t="inlineStr">
        <is>
          <t>Guidance / interpretation</t>
        </is>
      </c>
      <c r="AD26" t="inlineStr">
        <is>
          <t>Norwegian</t>
        </is>
      </c>
      <c r="AE26" t="inlineStr">
        <is>
          <t>html</t>
        </is>
      </c>
      <c r="AH26" t="inlineStr">
        <is>
          <t>Official guidance from Norwegian Directorate of Fisheries; included to interpret and operationalise linked normative requirements, not as independent legal or certification authority.</t>
        </is>
      </c>
      <c r="AI26" t="inlineStr">
        <is>
          <t>HIGH</t>
        </is>
      </c>
      <c r="AJ26" t="inlineStr">
        <is>
          <t>OFFICIAL_WEBSITE</t>
        </is>
      </c>
      <c r="AK26" t="inlineStr">
        <is>
          <t>OFFICIAL_ORIGINAL</t>
        </is>
      </c>
      <c r="AL26" t="inlineStr">
        <is>
          <t>ROLLING</t>
        </is>
      </c>
      <c r="AN26" t="inlineStr">
        <is>
          <t>REV-8319d3f2fb4e1a05</t>
        </is>
      </c>
      <c r="AO26" s="725" t="n"/>
      <c r="AP26" s="725" t="n"/>
      <c r="AQ26" s="725" t="n">
        <v>46265.41666666666</v>
      </c>
      <c r="AR26" t="inlineStr">
        <is>
          <t>{"action": "APPLY_FIELD_UPDATES", "issue_codes": ["SELECTION_PENDING"], "retry_after_apply": false, "review_fingerprint": "5ecb358e1b758e72", "source_fingerprint": "748ccee9aec960a5cf52", "source_id": "PA056", "updates": {}}</t>
        </is>
      </c>
    </row>
    <row r="27" ht="38" customHeight="1" s="36">
      <c r="A27" s="989" t="inlineStr">
        <is>
          <t>PA057</t>
        </is>
      </c>
      <c r="B27" s="988" t="inlineStr">
        <is>
          <t>Guidance for condition assessment of land-based aquaculture facilities</t>
        </is>
      </c>
      <c r="C27" s="988" t="inlineStr">
        <is>
          <t>SELECTION_REVIEW</t>
        </is>
      </c>
      <c r="D27" s="988" t="inlineStr">
        <is>
          <t>SELECTION_PENDING</t>
        </is>
      </c>
      <c r="E27" s="988" t="inlineStr">
        <is>
          <t>Review the human-governed source fields and choose INCLUDE, PENDING or EXCLUDE in Human Operation Desktop.</t>
        </is>
      </c>
      <c r="F27" s="1177" t="inlineStr">
        <is>
          <t>PENDING</t>
        </is>
      </c>
      <c r="G27" s="1177" t="n"/>
      <c r="H27" s="1177" t="n"/>
      <c r="I27" s="1178" t="inlineStr">
        <is>
          <t>PENDING</t>
        </is>
      </c>
      <c r="J27" s="1178" t="inlineStr">
        <is>
          <t>operator_selection_decision is PENDING; mandatory assessment is not HIGH: scope_relevance.</t>
        </is>
      </c>
      <c r="K27" t="inlineStr">
        <is>
          <t>https://www.fiskeridir.no/Akvakultur/Dokumenter/Veiledere/Tilstandsanalyse-av-landbaserte-anlegg</t>
        </is>
      </c>
      <c r="L27" t="inlineStr">
        <is>
          <t>https://www.fiskeridir.no/Akvakultur/Dokumenter/Veiledere/Tilstandsanalyse-av-landbaserte-anlegg/_/attachment/download/df2fc451-04b7-4984-8628-770e2cf13ac9%3Ad6ae5a53d45201b6bb2458a1e3506f3f9cd7e3fe/Veileder_tilstandsanalyse_20241011.pdf</t>
        </is>
      </c>
      <c r="M27" t="inlineStr">
        <is>
          <t>HIGH</t>
        </is>
      </c>
      <c r="N27" t="inlineStr">
        <is>
          <t>MEDIUM</t>
        </is>
      </c>
      <c r="O27" t="inlineStr">
        <is>
          <t>HIGH</t>
        </is>
      </c>
      <c r="P27" t="inlineStr">
        <is>
          <t>HIGH</t>
        </is>
      </c>
      <c r="Q27" t="inlineStr">
        <is>
          <t>HIGH</t>
        </is>
      </c>
      <c r="R27" t="inlineStr">
        <is>
          <t>PENDING</t>
        </is>
      </c>
      <c r="T27" t="inlineStr">
        <is>
          <t>CURRENT</t>
        </is>
      </c>
      <c r="U27" t="inlineStr">
        <is>
          <t>PA022</t>
        </is>
      </c>
      <c r="V27" t="inlineStr">
        <is>
          <t>Official technical guidance linked to land-based facility regulation and NS 3424. Conditional on land-based scope.</t>
        </is>
      </c>
      <c r="X27" t="inlineStr">
        <is>
          <t>A_Public_Authority</t>
        </is>
      </c>
      <c r="Y27" t="inlineStr">
        <is>
          <t>Norwegian Directorate of Fisheries</t>
        </is>
      </c>
      <c r="Z27" t="inlineStr">
        <is>
          <t>Norway</t>
        </is>
      </c>
      <c r="AA27" t="inlineStr">
        <is>
          <t>Interpretation document</t>
        </is>
      </c>
      <c r="AB27" t="inlineStr">
        <is>
          <t>Public authority</t>
        </is>
      </c>
      <c r="AC27" t="inlineStr">
        <is>
          <t>Guidance / interpretation</t>
        </is>
      </c>
      <c r="AD27" t="inlineStr">
        <is>
          <t>Norwegian</t>
        </is>
      </c>
      <c r="AE27" t="inlineStr">
        <is>
          <t>pdf</t>
        </is>
      </c>
      <c r="AF27" t="inlineStr">
        <is>
          <t>2024-10-11</t>
        </is>
      </c>
      <c r="AH27" t="inlineStr">
        <is>
          <t>Official guidance from Norwegian Directorate of Fisheries; included to interpret and operationalise linked normative requirements, not as independent legal or certification authority.</t>
        </is>
      </c>
      <c r="AI27" t="inlineStr">
        <is>
          <t>HIGH</t>
        </is>
      </c>
      <c r="AJ27" t="inlineStr">
        <is>
          <t>OFFICIAL_WEBSITE</t>
        </is>
      </c>
      <c r="AK27" t="inlineStr">
        <is>
          <t>OFFICIAL_ORIGINAL</t>
        </is>
      </c>
      <c r="AL27" t="inlineStr">
        <is>
          <t>VERSIONED</t>
        </is>
      </c>
      <c r="AN27" t="inlineStr">
        <is>
          <t>REV-9a310e18a85a2e64</t>
        </is>
      </c>
      <c r="AO27" s="725" t="n"/>
      <c r="AP27" s="725" t="n"/>
      <c r="AQ27" s="725" t="n">
        <v>46265.41666666666</v>
      </c>
      <c r="AR27" t="inlineStr">
        <is>
          <t>{"action": "APPLY_FIELD_UPDATES", "issue_codes": ["SELECTION_PENDING"], "retry_after_apply": false, "review_fingerprint": "a373a2c32a8899c1", "source_fingerprint": "55b4c48205e5bb4bbcf4", "source_id": "PA057", "updates": {}}</t>
        </is>
      </c>
    </row>
    <row r="28" ht="38" customHeight="1" s="36">
      <c r="A28" s="989" t="inlineStr">
        <is>
          <t>PA010</t>
        </is>
      </c>
      <c r="B28" s="988" t="inlineStr">
        <is>
          <t>Regulation (EU) 2016/429 on transmissible animal diseases (Animal Health Law)</t>
        </is>
      </c>
      <c r="C28" s="988" t="inlineStr">
        <is>
          <t>SELECTION_REVIEW</t>
        </is>
      </c>
      <c r="D28" s="988" t="inlineStr">
        <is>
          <t>SELECTION_PENDING</t>
        </is>
      </c>
      <c r="E28" s="988" t="inlineStr">
        <is>
          <t>Review the human-governed source fields and choose INCLUDE, PENDING or EXCLUDE in Human Operation Desktop.</t>
        </is>
      </c>
      <c r="F28" s="1177" t="inlineStr">
        <is>
          <t>PENDING</t>
        </is>
      </c>
      <c r="G28" s="1177" t="n"/>
      <c r="H28" s="1177" t="n"/>
      <c r="I28" s="1178" t="inlineStr">
        <is>
          <t>PENDING</t>
        </is>
      </c>
      <c r="J28" s="1178" t="inlineStr">
        <is>
          <t>operator_selection_decision is PENDING; mandatory assessment is not HIGH: scope_relevance.</t>
        </is>
      </c>
      <c r="K28" t="inlineStr">
        <is>
          <t>https://eur-lex.europa.eu/legal-content/EN/TXT/?uri=CELEX:32016R0429</t>
        </is>
      </c>
      <c r="L28" t="inlineStr">
        <is>
          <t>https://publications.europa.eu/resource/oj/JOL_2016_084_R_0001.ENG</t>
        </is>
      </c>
      <c r="M28" t="inlineStr">
        <is>
          <t>HIGH</t>
        </is>
      </c>
      <c r="N28" t="inlineStr">
        <is>
          <t>MEDIUM</t>
        </is>
      </c>
      <c r="O28" t="inlineStr">
        <is>
          <t>HIGH</t>
        </is>
      </c>
      <c r="P28" t="inlineStr">
        <is>
          <t>HIGH</t>
        </is>
      </c>
      <c r="Q28" t="inlineStr">
        <is>
          <t>HIGH</t>
        </is>
      </c>
      <c r="R28" t="inlineStr">
        <is>
          <t>PENDING</t>
        </is>
      </c>
      <c r="T28" t="inlineStr">
        <is>
          <t>CURRENT</t>
        </is>
      </c>
      <c r="V28"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t="inlineStr">
        <is>
          <t>A_Public_Authority</t>
        </is>
      </c>
      <c r="Y28" t="inlineStr">
        <is>
          <t>European Parliament and Council of the European Union</t>
        </is>
      </c>
      <c r="Z28" t="inlineStr">
        <is>
          <t>EU / EEA</t>
        </is>
      </c>
      <c r="AA28" t="inlineStr">
        <is>
          <t>Regulation</t>
        </is>
      </c>
      <c r="AB28" t="inlineStr">
        <is>
          <t>Public authority</t>
        </is>
      </c>
      <c r="AC28" t="inlineStr">
        <is>
          <t>Referenced normative</t>
        </is>
      </c>
      <c r="AD28" t="inlineStr">
        <is>
          <t>English</t>
        </is>
      </c>
      <c r="AE28" t="inlineStr">
        <is>
          <t>html</t>
        </is>
      </c>
      <c r="AH28" t="inlineStr">
        <is>
          <t>Official referenced source from European Parliament and Council of the European Union; included because an applicable law, permit or certification scheme may make its provisions binding within the approved scope.</t>
        </is>
      </c>
      <c r="AI28" t="inlineStr">
        <is>
          <t>HIGH</t>
        </is>
      </c>
      <c r="AJ28" t="inlineStr">
        <is>
          <t>OFFICIAL_WEBSITE</t>
        </is>
      </c>
      <c r="AK28" t="inlineStr">
        <is>
          <t>OFFICIAL_ORIGINAL</t>
        </is>
      </c>
      <c r="AL28" t="inlineStr">
        <is>
          <t>ROLLING</t>
        </is>
      </c>
      <c r="AN28" t="inlineStr">
        <is>
          <t>REV-0eff5961ab3160a2</t>
        </is>
      </c>
      <c r="AO28" s="725" t="n"/>
      <c r="AP28" s="725" t="n"/>
      <c r="AQ28" s="725" t="n">
        <v>46265.41666666666</v>
      </c>
      <c r="AR28" t="inlineStr">
        <is>
          <t>{"action": "APPLY_FIELD_UPDATES", "issue_codes": ["SELECTION_PENDING"], "retry_after_apply": false, "review_fingerprint": "476fb4f1f5620784", "source_fingerprint": "b3a6960da22375609577", "source_id": "PA010", "updates": {}}</t>
        </is>
      </c>
    </row>
    <row r="29" ht="38" customHeight="1" s="36">
      <c r="A29" s="989" t="inlineStr">
        <is>
          <t>CS003</t>
        </is>
      </c>
      <c r="B29" s="988" t="inlineStr">
        <is>
          <t>ASC Salmon Audit Manual</t>
        </is>
      </c>
      <c r="C29" s="988" t="inlineStr">
        <is>
          <t>SOURCE_REVIEW</t>
        </is>
      </c>
      <c r="D29" s="988" t="inlineStr">
        <is>
          <t>DUPLICATE_OFFICIAL_URL</t>
        </is>
      </c>
      <c r="E29" s="988" t="inlineStr">
        <is>
          <t>Confirm whether this record is a distinct source, correct its identity, or exclude it.</t>
        </is>
      </c>
      <c r="F29" s="1177" t="inlineStr">
        <is>
          <t>PENDING</t>
        </is>
      </c>
      <c r="G29" s="1177" t="n"/>
      <c r="H29" s="1177" t="n"/>
      <c r="I29" s="1178" t="inlineStr">
        <is>
          <t>PENDING</t>
        </is>
      </c>
      <c r="J29" s="1178" t="inlineStr">
        <is>
          <t>The official URL is shared by 2 current source records.</t>
        </is>
      </c>
      <c r="K29" t="inlineStr">
        <is>
          <t>https://asc-aqua.org/producers/asc-standards/species-standards/salmon-cod/</t>
        </is>
      </c>
      <c r="L29" t="inlineStr">
        <is>
          <t>https://asc-aqua.org/wp-content/uploads/2023/04/ASC-Salmon-Audit-Manual_v1.4.pdf</t>
        </is>
      </c>
      <c r="M29" t="inlineStr">
        <is>
          <t>HIGH</t>
        </is>
      </c>
      <c r="N29" t="inlineStr">
        <is>
          <t>HIGH</t>
        </is>
      </c>
      <c r="O29" t="inlineStr">
        <is>
          <t>HIGH</t>
        </is>
      </c>
      <c r="P29" t="inlineStr">
        <is>
          <t>HIGH</t>
        </is>
      </c>
      <c r="Q29" t="inlineStr">
        <is>
          <t>HIGH</t>
        </is>
      </c>
      <c r="R29" t="inlineStr">
        <is>
          <t>INCLUDE</t>
        </is>
      </c>
      <c r="T29" t="inlineStr">
        <is>
          <t>CURRENT</t>
        </is>
      </c>
      <c r="U29" t="inlineStr">
        <is>
          <t>CS004</t>
        </is>
      </c>
      <c r="V29" t="inlineStr">
        <is>
          <t>Repository-held assessment tool. Trace extracted requirements to the applicable normative ASC standard.</t>
        </is>
      </c>
      <c r="X29" t="inlineStr">
        <is>
          <t>C_Certification_Scheme</t>
        </is>
      </c>
      <c r="Y29" t="inlineStr">
        <is>
          <t>Aquaculture Stewardship Council</t>
        </is>
      </c>
      <c r="Z29" t="inlineStr">
        <is>
          <t>International</t>
        </is>
      </c>
      <c r="AA29" t="inlineStr">
        <is>
          <t>Audit / assessment document</t>
        </is>
      </c>
      <c r="AB29" t="inlineStr">
        <is>
          <t>Certification scheme</t>
        </is>
      </c>
      <c r="AC29" t="inlineStr">
        <is>
          <t>Audit / assessment tool</t>
        </is>
      </c>
      <c r="AD29" t="inlineStr">
        <is>
          <t>English</t>
        </is>
      </c>
      <c r="AE29" t="inlineStr">
        <is>
          <t>pdf</t>
        </is>
      </c>
      <c r="AF29" t="inlineStr">
        <is>
          <t>1.4</t>
        </is>
      </c>
      <c r="AH29" t="inlineStr">
        <is>
          <t>Official assessment tool from Aquaculture Stewardship Council; included to structure compliance checks and trace evidence back to its linked normative source.</t>
        </is>
      </c>
      <c r="AI29" t="inlineStr">
        <is>
          <t>HIGH</t>
        </is>
      </c>
      <c r="AJ29" t="inlineStr">
        <is>
          <t>OFFICIAL_WEBSITE</t>
        </is>
      </c>
      <c r="AK29" t="inlineStr">
        <is>
          <t>OFFICIAL_ORIGINAL</t>
        </is>
      </c>
      <c r="AL29" t="inlineStr">
        <is>
          <t>VERSIONED</t>
        </is>
      </c>
      <c r="AN29" t="inlineStr">
        <is>
          <t>REV-b39d1649620a2d3e</t>
        </is>
      </c>
      <c r="AO29" s="725" t="n"/>
      <c r="AP29" s="725" t="n"/>
      <c r="AQ29" s="725" t="n">
        <v>46265.41666666666</v>
      </c>
      <c r="AR29" t="inlineStr">
        <is>
          <t>{"action": "APPLY_FIELD_UPDATES", "issue_codes": ["DUPLICATE_OFFICIAL_URL"], "retry_after_apply": false, "review_fingerprint": "e3b0c44298fc1c14", "source_fingerprint": "ef45bb9f7155edc827f3", "source_id": "CS003", "updates": {}}</t>
        </is>
      </c>
    </row>
    <row r="30" ht="38" customHeight="1" s="36">
      <c r="A30" s="989" t="inlineStr">
        <is>
          <t>CS004</t>
        </is>
      </c>
      <c r="B30" s="988" t="inlineStr">
        <is>
          <t>ASC Salmon and Cod Standard</t>
        </is>
      </c>
      <c r="C30" s="988" t="inlineStr">
        <is>
          <t>SOURCE_REVIEW</t>
        </is>
      </c>
      <c r="D30" s="988" t="inlineStr">
        <is>
          <t>DUPLICATE_OFFICIAL_URL</t>
        </is>
      </c>
      <c r="E30" s="988" t="inlineStr">
        <is>
          <t>Confirm whether this record is a distinct source, correct its identity, or exclude it.</t>
        </is>
      </c>
      <c r="F30" s="1177" t="inlineStr">
        <is>
          <t>PENDING</t>
        </is>
      </c>
      <c r="G30" s="1177" t="n"/>
      <c r="H30" s="1177" t="n"/>
      <c r="I30" s="1178" t="inlineStr">
        <is>
          <t>PENDING</t>
        </is>
      </c>
      <c r="J30" s="1178" t="inlineStr">
        <is>
          <t>The official URL is shared by 2 current source records.</t>
        </is>
      </c>
      <c r="K30" t="inlineStr">
        <is>
          <t>https://asc-aqua.org/producers/asc-standards/species-standards/salmon-cod/</t>
        </is>
      </c>
      <c r="L30" t="inlineStr">
        <is>
          <t>https://asc-aqua.org/wp-content/uploads/2025/10/ASC-STD-010-ASC-Salmon-and-Cod-Standard-V1.5-Oct-2025-1.pdf</t>
        </is>
      </c>
      <c r="M30" t="inlineStr">
        <is>
          <t>HIGH</t>
        </is>
      </c>
      <c r="N30" t="inlineStr">
        <is>
          <t>HIGH</t>
        </is>
      </c>
      <c r="O30" t="inlineStr">
        <is>
          <t>HIGH</t>
        </is>
      </c>
      <c r="P30" t="inlineStr">
        <is>
          <t>HIGH</t>
        </is>
      </c>
      <c r="Q30" t="inlineStr">
        <is>
          <t>HIGH</t>
        </is>
      </c>
      <c r="R30" t="inlineStr">
        <is>
          <t>INCLUDE</t>
        </is>
      </c>
      <c r="T30" t="inlineStr">
        <is>
          <t>CURRENT</t>
        </is>
      </c>
      <c r="V30" t="inlineStr">
        <is>
          <t>Project-mentioned candidate. Include while the species standard remains applicable during ASC transition.</t>
        </is>
      </c>
      <c r="X30" t="inlineStr">
        <is>
          <t>C_Certification_Scheme</t>
        </is>
      </c>
      <c r="Y30" t="inlineStr">
        <is>
          <t>Aquaculture Stewardship Council</t>
        </is>
      </c>
      <c r="Z30" t="inlineStr">
        <is>
          <t>International</t>
        </is>
      </c>
      <c r="AA30" t="inlineStr">
        <is>
          <t>Scheme standard</t>
        </is>
      </c>
      <c r="AB30" t="inlineStr">
        <is>
          <t>Certification scheme</t>
        </is>
      </c>
      <c r="AC30" t="inlineStr">
        <is>
          <t>Primary normative</t>
        </is>
      </c>
      <c r="AD30" t="inlineStr">
        <is>
          <t>English</t>
        </is>
      </c>
      <c r="AE30" t="inlineStr">
        <is>
          <t>pdf</t>
        </is>
      </c>
      <c r="AF30" t="inlineStr">
        <is>
          <t>1.5</t>
        </is>
      </c>
      <c r="AG30" t="n">
        <v>45943</v>
      </c>
      <c r="AH30" t="inlineStr">
        <is>
          <t>Official scheme standard issued by Aquaculture Stewardship Council; included because it may impose binding requirements on an in-scope aquaculture asset, activity, permit or certification.</t>
        </is>
      </c>
      <c r="AI30" t="inlineStr">
        <is>
          <t>HIGH</t>
        </is>
      </c>
      <c r="AJ30" t="inlineStr">
        <is>
          <t>OFFICIAL_WEBSITE</t>
        </is>
      </c>
      <c r="AK30" t="inlineStr">
        <is>
          <t>OFFICIAL_ORIGINAL</t>
        </is>
      </c>
      <c r="AL30" t="inlineStr">
        <is>
          <t>VERSIONED</t>
        </is>
      </c>
      <c r="AN30" t="inlineStr">
        <is>
          <t>REV-5c7b29945d5ca3e1</t>
        </is>
      </c>
      <c r="AO30" s="725" t="n"/>
      <c r="AP30" s="725" t="n"/>
      <c r="AQ30" s="725" t="n">
        <v>46265.41666666666</v>
      </c>
      <c r="AR30" t="inlineStr">
        <is>
          <t>{"action": "APPLY_FIELD_UPDATES", "issue_codes": ["DUPLICATE_OFFICIAL_URL"], "retry_after_apply": false, "review_fingerprint": "e3b0c44298fc1c14", "source_fingerprint": "a7a56653614f3dbc9706", "source_id": "CS004", "updates": {}}</t>
        </is>
      </c>
    </row>
    <row r="31" ht="38" customHeight="1" s="36">
      <c r="A31" s="989" t="inlineStr">
        <is>
          <t>CS005</t>
        </is>
      </c>
      <c r="B31" s="988" t="inlineStr">
        <is>
          <t>ASC Farm and Feed Certification and Accreditation Requirements</t>
        </is>
      </c>
      <c r="C31" s="988" t="inlineStr">
        <is>
          <t>SOURCE_REVIEW</t>
        </is>
      </c>
      <c r="D31" s="988" t="inlineStr">
        <is>
          <t>DUPLICATE_OFFICIAL_URL</t>
        </is>
      </c>
      <c r="E31" s="988" t="inlineStr">
        <is>
          <t>Confirm whether this record is a distinct source, correct its identity, or exclude it.</t>
        </is>
      </c>
      <c r="F31" s="1177" t="inlineStr">
        <is>
          <t>PENDING</t>
        </is>
      </c>
      <c r="G31" s="1177" t="n"/>
      <c r="H31" s="1177" t="n"/>
      <c r="I31" s="1178" t="inlineStr">
        <is>
          <t>PENDING</t>
        </is>
      </c>
      <c r="J31" s="1178" t="inlineStr">
        <is>
          <t>The official URL is shared by 5 current source records.</t>
        </is>
      </c>
      <c r="K31" t="inlineStr">
        <is>
          <t>https://programme-centre.asc-aqua.org/resource-hub/?filter=farm</t>
        </is>
      </c>
      <c r="L31" t="inlineStr">
        <is>
          <t>https://programme-centre.asc-aqua.org/app/uploads/2025/04/ASC-CAR-001-ASC-Farm-and-Feed-CAR-V1.0-May-2025.pdf</t>
        </is>
      </c>
      <c r="M31" t="inlineStr">
        <is>
          <t>HIGH</t>
        </is>
      </c>
      <c r="N31" t="inlineStr">
        <is>
          <t>HIGH</t>
        </is>
      </c>
      <c r="O31" t="inlineStr">
        <is>
          <t>HIGH</t>
        </is>
      </c>
      <c r="P31" t="inlineStr">
        <is>
          <t>HIGH</t>
        </is>
      </c>
      <c r="Q31" t="inlineStr">
        <is>
          <t>HIGH</t>
        </is>
      </c>
      <c r="R31" t="inlineStr">
        <is>
          <t>INCLUDE</t>
        </is>
      </c>
      <c r="T31" t="inlineStr">
        <is>
          <t>CURRENT</t>
        </is>
      </c>
      <c r="U31" t="inlineStr">
        <is>
          <t>CS001</t>
        </is>
      </c>
      <c r="V31" t="inlineStr">
        <is>
          <t>Official expansion. The ASC Farm Standard identifies this CAR as normative.</t>
        </is>
      </c>
      <c r="X31" t="inlineStr">
        <is>
          <t>C_Certification_Scheme</t>
        </is>
      </c>
      <c r="Y31" t="inlineStr">
        <is>
          <t>Aquaculture Stewardship Council</t>
        </is>
      </c>
      <c r="Z31" t="inlineStr">
        <is>
          <t>International</t>
        </is>
      </c>
      <c r="AA31" t="inlineStr">
        <is>
          <t>Scheme standard</t>
        </is>
      </c>
      <c r="AB31" t="inlineStr">
        <is>
          <t>Certification scheme</t>
        </is>
      </c>
      <c r="AC31" t="inlineStr">
        <is>
          <t>Referenced normative</t>
        </is>
      </c>
      <c r="AD31" t="inlineStr">
        <is>
          <t>English</t>
        </is>
      </c>
      <c r="AE31" t="inlineStr">
        <is>
          <t>pdf</t>
        </is>
      </c>
      <c r="AF31" t="inlineStr">
        <is>
          <t>1.0</t>
        </is>
      </c>
      <c r="AH31" t="inlineStr">
        <is>
          <t>Official referenced source from Aquaculture Stewardship Council; included because an applicable law, permit or certification scheme may make its provisions binding within the approved scope.</t>
        </is>
      </c>
      <c r="AI31" t="inlineStr">
        <is>
          <t>HIGH</t>
        </is>
      </c>
      <c r="AJ31" t="inlineStr">
        <is>
          <t>OFFICIAL_WEBSITE</t>
        </is>
      </c>
      <c r="AK31" t="inlineStr">
        <is>
          <t>OFFICIAL_ORIGINAL</t>
        </is>
      </c>
      <c r="AL31" t="inlineStr">
        <is>
          <t>VERSIONED</t>
        </is>
      </c>
      <c r="AN31" t="inlineStr">
        <is>
          <t>REV-c877d3279e3b7c50</t>
        </is>
      </c>
      <c r="AO31" s="725" t="n"/>
      <c r="AP31" s="725" t="n"/>
      <c r="AQ31" s="725" t="n">
        <v>46265.41666666666</v>
      </c>
      <c r="AR31" t="inlineStr">
        <is>
          <t>{"action": "APPLY_FIELD_UPDATES", "issue_codes": ["DUPLICATE_OFFICIAL_URL"], "retry_after_apply": false, "review_fingerprint": "e3b0c44298fc1c14", "source_fingerprint": "bb7df6bf2e0cba15c192", "source_id": "CS005", "updates": {}}</t>
        </is>
      </c>
    </row>
    <row r="32" ht="38" customHeight="1" s="36">
      <c r="A32" s="989" t="inlineStr">
        <is>
          <t>CS006</t>
        </is>
      </c>
      <c r="B32" s="988" t="inlineStr">
        <is>
          <t>ASC Group Requirements for Farms</t>
        </is>
      </c>
      <c r="C32" s="988" t="inlineStr">
        <is>
          <t>SOURCE_REVIEW</t>
        </is>
      </c>
      <c r="D32" s="988" t="inlineStr">
        <is>
          <t>DUPLICATE_OFFICIAL_URL; MISSING_RETRIEVAL_URL; SELECTION_PENDING</t>
        </is>
      </c>
      <c r="E32"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1177" t="inlineStr">
        <is>
          <t>PENDING</t>
        </is>
      </c>
      <c r="G32" s="1177" t="n"/>
      <c r="H32" s="1177" t="n"/>
      <c r="I32" s="1178" t="inlineStr">
        <is>
          <t>PENDING</t>
        </is>
      </c>
      <c r="J32" s="1178" t="inlineStr">
        <is>
          <t>The official URL is shared by 5 current source records. | The source has no exact retrieval target. | operator_selection_decision is PENDING; mandatory assessment is not HIGH: scope_relevance, version_currency, traceability.</t>
        </is>
      </c>
      <c r="K32" t="inlineStr">
        <is>
          <t>https://programme-centre.asc-aqua.org/resource-hub/?filter=farm</t>
        </is>
      </c>
      <c r="M32" t="inlineStr">
        <is>
          <t>HIGH</t>
        </is>
      </c>
      <c r="N32" t="inlineStr">
        <is>
          <t>MEDIUM</t>
        </is>
      </c>
      <c r="O32" t="inlineStr">
        <is>
          <t>MEDIUM</t>
        </is>
      </c>
      <c r="P32" t="inlineStr">
        <is>
          <t>MEDIUM</t>
        </is>
      </c>
      <c r="Q32" t="inlineStr">
        <is>
          <t>HIGH</t>
        </is>
      </c>
      <c r="R32" t="inlineStr">
        <is>
          <t>PENDING</t>
        </is>
      </c>
      <c r="T32" t="inlineStr">
        <is>
          <t>CURRENT</t>
        </is>
      </c>
      <c r="U32" t="inlineStr">
        <is>
          <t>CS001</t>
        </is>
      </c>
      <c r="V32" t="inlineStr">
        <is>
          <t>Official expansion. Conditional on group certification structure.</t>
        </is>
      </c>
      <c r="X32" t="inlineStr">
        <is>
          <t>C_Certification_Scheme</t>
        </is>
      </c>
      <c r="Y32" t="inlineStr">
        <is>
          <t>Aquaculture Stewardship Council</t>
        </is>
      </c>
      <c r="Z32" t="inlineStr">
        <is>
          <t>International</t>
        </is>
      </c>
      <c r="AA32" t="inlineStr">
        <is>
          <t>Scheme standard</t>
        </is>
      </c>
      <c r="AB32" t="inlineStr">
        <is>
          <t>Certification scheme</t>
        </is>
      </c>
      <c r="AC32" t="inlineStr">
        <is>
          <t>Referenced normative</t>
        </is>
      </c>
      <c r="AD32" t="inlineStr">
        <is>
          <t>English</t>
        </is>
      </c>
      <c r="AE32" t="inlineStr">
        <is>
          <t>pdf</t>
        </is>
      </c>
      <c r="AF32" t="inlineStr">
        <is>
          <t>1.0</t>
        </is>
      </c>
      <c r="AH32" t="inlineStr">
        <is>
          <t>Official referenced source from Aquaculture Stewardship Council; included because an applicable law, permit or certification scheme may make its provisions binding within the approved scope.</t>
        </is>
      </c>
      <c r="AI32" t="inlineStr">
        <is>
          <t>LOW</t>
        </is>
      </c>
      <c r="AJ32" t="inlineStr">
        <is>
          <t>OFFICIAL_WEBSITE</t>
        </is>
      </c>
      <c r="AK32" t="inlineStr">
        <is>
          <t>OFFICIAL_ORIGINAL</t>
        </is>
      </c>
      <c r="AL32" t="inlineStr">
        <is>
          <t>VERSIONED</t>
        </is>
      </c>
      <c r="AN32" t="inlineStr">
        <is>
          <t>REV-a1519927338ed1f6</t>
        </is>
      </c>
      <c r="AO32" s="725" t="n"/>
      <c r="AP32" s="725" t="n"/>
      <c r="AQ32" s="725" t="n">
        <v>46265.41666666666</v>
      </c>
      <c r="AR32" t="inlineStr">
        <is>
          <t>{"action": "APPLY_FIELD_UPDATES", "issue_codes": ["DUPLICATE_OFFICIAL_URL", "MISSING_RETRIEVAL_URL", "SELECTION_PENDING"], "retry_after_apply": false, "review_fingerprint": "f520841686ac8957", "source_fingerprint": "06f2c6186305eef8c346", "source_id": "CS006", "updates": {}}</t>
        </is>
      </c>
    </row>
    <row r="33" ht="38" customHeight="1" s="36">
      <c r="A33" s="989" t="inlineStr">
        <is>
          <t>CS007</t>
        </is>
      </c>
      <c r="B33" s="988" t="inlineStr">
        <is>
          <t>ASC Data Submission Procedure</t>
        </is>
      </c>
      <c r="C33" s="988" t="inlineStr">
        <is>
          <t>SOURCE_REVIEW</t>
        </is>
      </c>
      <c r="D33" s="988" t="inlineStr">
        <is>
          <t>DUPLICATE_OFFICIAL_URL; MISSING_RETRIEVAL_URL; SELECTION_PENDING</t>
        </is>
      </c>
      <c r="E33"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1177" t="inlineStr">
        <is>
          <t>PENDING</t>
        </is>
      </c>
      <c r="G33" s="1177" t="n"/>
      <c r="H33" s="1177" t="n"/>
      <c r="I33" s="1178" t="inlineStr">
        <is>
          <t>PENDING</t>
        </is>
      </c>
      <c r="J33" s="1178" t="inlineStr">
        <is>
          <t>The official URL is shared by 5 current source records. | The source has no exact retrieval target. | operator_selection_decision is PENDING; mandatory assessment is not HIGH: version_currency, traceability.</t>
        </is>
      </c>
      <c r="K33" t="inlineStr">
        <is>
          <t>https://programme-centre.asc-aqua.org/resource-hub/?filter=farm</t>
        </is>
      </c>
      <c r="M33" t="inlineStr">
        <is>
          <t>HIGH</t>
        </is>
      </c>
      <c r="N33" t="inlineStr">
        <is>
          <t>HIGH</t>
        </is>
      </c>
      <c r="O33" t="inlineStr">
        <is>
          <t>MEDIUM</t>
        </is>
      </c>
      <c r="P33" t="inlineStr">
        <is>
          <t>MEDIUM</t>
        </is>
      </c>
      <c r="Q33" t="inlineStr">
        <is>
          <t>HIGH</t>
        </is>
      </c>
      <c r="R33" t="inlineStr">
        <is>
          <t>PENDING</t>
        </is>
      </c>
      <c r="T33" t="inlineStr">
        <is>
          <t>CURRENT</t>
        </is>
      </c>
      <c r="U33" t="inlineStr">
        <is>
          <t>CS001</t>
        </is>
      </c>
      <c r="V33" t="inlineStr">
        <is>
          <t>Official expansion. The ASC Farm Standard lists this procedure among normative references.</t>
        </is>
      </c>
      <c r="X33" t="inlineStr">
        <is>
          <t>C_Certification_Scheme</t>
        </is>
      </c>
      <c r="Y33" t="inlineStr">
        <is>
          <t>Aquaculture Stewardship Council</t>
        </is>
      </c>
      <c r="Z33" t="inlineStr">
        <is>
          <t>International</t>
        </is>
      </c>
      <c r="AA33" t="inlineStr">
        <is>
          <t>Scheme standard</t>
        </is>
      </c>
      <c r="AB33" t="inlineStr">
        <is>
          <t>Certification scheme</t>
        </is>
      </c>
      <c r="AC33" t="inlineStr">
        <is>
          <t>Referenced normative</t>
        </is>
      </c>
      <c r="AD33" t="inlineStr">
        <is>
          <t>English</t>
        </is>
      </c>
      <c r="AE33" t="inlineStr">
        <is>
          <t>pdf</t>
        </is>
      </c>
      <c r="AF33" t="inlineStr">
        <is>
          <t>1.0</t>
        </is>
      </c>
      <c r="AH33" t="inlineStr">
        <is>
          <t>Official referenced source from Aquaculture Stewardship Council; included because an applicable law, permit or certification scheme may make its provisions binding within the approved scope.</t>
        </is>
      </c>
      <c r="AI33" t="inlineStr">
        <is>
          <t>LOW</t>
        </is>
      </c>
      <c r="AJ33" t="inlineStr">
        <is>
          <t>OFFICIAL_WEBSITE</t>
        </is>
      </c>
      <c r="AK33" t="inlineStr">
        <is>
          <t>OFFICIAL_ORIGINAL</t>
        </is>
      </c>
      <c r="AL33" t="inlineStr">
        <is>
          <t>VERSIONED</t>
        </is>
      </c>
      <c r="AN33" t="inlineStr">
        <is>
          <t>REV-0c593b44a19c5a8f</t>
        </is>
      </c>
      <c r="AO33" s="725" t="n"/>
      <c r="AP33" s="725" t="n"/>
      <c r="AQ33" s="725" t="n">
        <v>46265.41666666666</v>
      </c>
      <c r="AR33" t="inlineStr">
        <is>
          <t>{"action": "APPLY_FIELD_UPDATES", "issue_codes": ["DUPLICATE_OFFICIAL_URL", "MISSING_RETRIEVAL_URL", "SELECTION_PENDING"], "retry_after_apply": false, "review_fingerprint": "e130671ccb2b3b20", "source_fingerprint": "c23c11db5a7bea053a09", "source_id": "CS007", "updates": {}}</t>
        </is>
      </c>
    </row>
    <row r="34" ht="38" customHeight="1" s="36">
      <c r="A34" s="989" t="inlineStr">
        <is>
          <t>CS008</t>
        </is>
      </c>
      <c r="B34" s="988" t="inlineStr">
        <is>
          <t>GLOBALG.A.P. IFA v6 Smart for aquaculture - Principles and criteria</t>
        </is>
      </c>
      <c r="C34" s="988" t="inlineStr">
        <is>
          <t>SOURCE_REVIEW</t>
        </is>
      </c>
      <c r="D34" s="988" t="inlineStr">
        <is>
          <t>DUPLICATE_OFFICIAL_URL; MISSING_RETRIEVAL_URL; SELECTION_PENDING</t>
        </is>
      </c>
      <c r="E34"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1177" t="inlineStr">
        <is>
          <t>PENDING</t>
        </is>
      </c>
      <c r="G34" s="1177" t="n"/>
      <c r="H34" s="1177" t="n"/>
      <c r="I34" s="1178" t="inlineStr">
        <is>
          <t>PENDING</t>
        </is>
      </c>
      <c r="J34" s="1178" t="inlineStr">
        <is>
          <t>The official URL is shared by 6 current source records. | The source has no exact retrieval target. | operator_selection_decision is PENDING; mandatory assessment is not HIGH: version_currency, traceability.</t>
        </is>
      </c>
      <c r="K34" t="inlineStr">
        <is>
          <t>https://globalgap.org/what-we-offer/solutions/ifa-aquaculture/</t>
        </is>
      </c>
      <c r="M34" t="inlineStr">
        <is>
          <t>HIGH</t>
        </is>
      </c>
      <c r="N34" t="inlineStr">
        <is>
          <t>HIGH</t>
        </is>
      </c>
      <c r="O34" t="inlineStr">
        <is>
          <t>MEDIUM</t>
        </is>
      </c>
      <c r="P34" t="inlineStr">
        <is>
          <t>MEDIUM</t>
        </is>
      </c>
      <c r="Q34" t="inlineStr">
        <is>
          <t>HIGH</t>
        </is>
      </c>
      <c r="R34" t="inlineStr">
        <is>
          <t>PENDING</t>
        </is>
      </c>
      <c r="T34" t="inlineStr">
        <is>
          <t>CURRENT</t>
        </is>
      </c>
      <c r="V34" t="inlineStr">
        <is>
          <t>Project-mentioned scheme source. The repository contains the checklist, but the P&amp;C document is the primary normative source.</t>
        </is>
      </c>
      <c r="X34" t="inlineStr">
        <is>
          <t>C_Certification_Scheme</t>
        </is>
      </c>
      <c r="Y34" t="inlineStr">
        <is>
          <t>GLOBALG.A.P.</t>
        </is>
      </c>
      <c r="Z34" t="inlineStr">
        <is>
          <t>International</t>
        </is>
      </c>
      <c r="AA34" t="inlineStr">
        <is>
          <t>Scheme standard</t>
        </is>
      </c>
      <c r="AB34" t="inlineStr">
        <is>
          <t>Certification scheme</t>
        </is>
      </c>
      <c r="AC34" t="inlineStr">
        <is>
          <t>Primary normative</t>
        </is>
      </c>
      <c r="AD34" t="inlineStr">
        <is>
          <t>English</t>
        </is>
      </c>
      <c r="AE34" t="inlineStr">
        <is>
          <t>pdf</t>
        </is>
      </c>
      <c r="AF34" t="inlineStr">
        <is>
          <t>V6</t>
        </is>
      </c>
      <c r="AH34" t="inlineStr">
        <is>
          <t>Official scheme standard issued by GLOBALG.A.P.; included because it may impose binding requirements on an in-scope aquaculture asset, activity, permit or certification.</t>
        </is>
      </c>
      <c r="AI34" t="inlineStr">
        <is>
          <t>LOW</t>
        </is>
      </c>
      <c r="AJ34" t="inlineStr">
        <is>
          <t>OFFICIAL_WEBSITE</t>
        </is>
      </c>
      <c r="AK34" t="inlineStr">
        <is>
          <t>OFFICIAL_ORIGINAL</t>
        </is>
      </c>
      <c r="AL34" t="inlineStr">
        <is>
          <t>VERSIONED</t>
        </is>
      </c>
      <c r="AN34" t="inlineStr">
        <is>
          <t>REV-565e876ffeb3a989</t>
        </is>
      </c>
      <c r="AO34" s="725" t="n"/>
      <c r="AP34" s="725" t="n"/>
      <c r="AQ34" s="725" t="n">
        <v>46265.41666666666</v>
      </c>
      <c r="AR34" t="inlineStr">
        <is>
          <t>{"action": "APPLY_FIELD_UPDATES", "issue_codes": ["DUPLICATE_OFFICIAL_URL", "MISSING_RETRIEVAL_URL", "SELECTION_PENDING"], "retry_after_apply": false, "review_fingerprint": "7004ddede14ea42e", "source_fingerprint": "21e7c3350d68128954b9", "source_id": "CS008", "updates": {}}</t>
        </is>
      </c>
    </row>
    <row r="35" ht="38" customHeight="1" s="36">
      <c r="A35" s="989" t="inlineStr">
        <is>
          <t>CS009</t>
        </is>
      </c>
      <c r="B35" s="988" t="inlineStr">
        <is>
          <t>GLOBALG.A.P. IFA v6 Smart for aquaculture - Checklist</t>
        </is>
      </c>
      <c r="C35" s="988" t="inlineStr">
        <is>
          <t>SOURCE_REVIEW</t>
        </is>
      </c>
      <c r="D35" s="988" t="inlineStr">
        <is>
          <t>DUPLICATE_OFFICIAL_URL; MISSING_RETRIEVAL_URL; SELECTION_PENDING</t>
        </is>
      </c>
      <c r="E35"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1177" t="inlineStr">
        <is>
          <t>PENDING</t>
        </is>
      </c>
      <c r="G35" s="1177" t="n"/>
      <c r="H35" s="1177" t="n"/>
      <c r="I35" s="1178" t="inlineStr">
        <is>
          <t>PENDING</t>
        </is>
      </c>
      <c r="J35" s="1178" t="inlineStr">
        <is>
          <t>The official URL is shared by 6 current source records. | The source has no exact retrieval target. | operator_selection_decision is PENDING; mandatory assessment is not HIGH: version_currency, traceability.</t>
        </is>
      </c>
      <c r="K35" t="inlineStr">
        <is>
          <t>https://globalgap.org/what-we-offer/solutions/ifa-aquaculture/</t>
        </is>
      </c>
      <c r="M35" t="inlineStr">
        <is>
          <t>HIGH</t>
        </is>
      </c>
      <c r="N35" t="inlineStr">
        <is>
          <t>HIGH</t>
        </is>
      </c>
      <c r="O35" t="inlineStr">
        <is>
          <t>MEDIUM</t>
        </is>
      </c>
      <c r="P35" t="inlineStr">
        <is>
          <t>MEDIUM</t>
        </is>
      </c>
      <c r="Q35" t="inlineStr">
        <is>
          <t>HIGH</t>
        </is>
      </c>
      <c r="R35" t="inlineStr">
        <is>
          <t>PENDING</t>
        </is>
      </c>
      <c r="T35" t="inlineStr">
        <is>
          <t>CURRENT</t>
        </is>
      </c>
      <c r="U35" t="inlineStr">
        <is>
          <t>CS008</t>
        </is>
      </c>
      <c r="V35" t="inlineStr">
        <is>
          <t>Repository-held assessment artifact. Official distribution may be ZIP/XLSX; trace requirements to CS008.</t>
        </is>
      </c>
      <c r="X35" t="inlineStr">
        <is>
          <t>C_Certification_Scheme</t>
        </is>
      </c>
      <c r="Y35" t="inlineStr">
        <is>
          <t>GLOBALG.A.P.</t>
        </is>
      </c>
      <c r="Z35" t="inlineStr">
        <is>
          <t>International</t>
        </is>
      </c>
      <c r="AA35" t="inlineStr">
        <is>
          <t>Audit / assessment document</t>
        </is>
      </c>
      <c r="AB35" t="inlineStr">
        <is>
          <t>Certification scheme</t>
        </is>
      </c>
      <c r="AC35" t="inlineStr">
        <is>
          <t>Audit / assessment tool</t>
        </is>
      </c>
      <c r="AD35" t="inlineStr">
        <is>
          <t>English</t>
        </is>
      </c>
      <c r="AE35" t="inlineStr">
        <is>
          <t>xlsx</t>
        </is>
      </c>
      <c r="AF35" t="inlineStr">
        <is>
          <t>V6</t>
        </is>
      </c>
      <c r="AH35" t="inlineStr">
        <is>
          <t>Official assessment tool from GLOBALG.A.P.; included to structure compliance checks and trace evidence back to its linked normative source.</t>
        </is>
      </c>
      <c r="AI35" t="inlineStr">
        <is>
          <t>LOW</t>
        </is>
      </c>
      <c r="AJ35" t="inlineStr">
        <is>
          <t>OFFICIAL_WEBSITE</t>
        </is>
      </c>
      <c r="AK35" t="inlineStr">
        <is>
          <t>OFFICIAL_ORIGINAL</t>
        </is>
      </c>
      <c r="AL35" t="inlineStr">
        <is>
          <t>VERSIONED</t>
        </is>
      </c>
      <c r="AN35" t="inlineStr">
        <is>
          <t>REV-1eacbdadf7698db5</t>
        </is>
      </c>
      <c r="AO35" s="725" t="n"/>
      <c r="AP35" s="725" t="n"/>
      <c r="AQ35" s="725" t="n">
        <v>46265.41666666666</v>
      </c>
      <c r="AR35" t="inlineStr">
        <is>
          <t>{"action": "APPLY_FIELD_UPDATES", "issue_codes": ["DUPLICATE_OFFICIAL_URL", "MISSING_RETRIEVAL_URL", "SELECTION_PENDING"], "retry_after_apply": false, "review_fingerprint": "459ec814550586ea", "source_fingerprint": "03883cc7e0a5487eb0f1", "source_id": "CS009", "updates": {}}</t>
        </is>
      </c>
    </row>
    <row r="36" ht="38" customHeight="1" s="36">
      <c r="A36" s="989" t="inlineStr">
        <is>
          <t>CS010</t>
        </is>
      </c>
      <c r="B36" s="988" t="inlineStr">
        <is>
          <t>GLOBALG.A.P. General Regulations - Rules for aquaculture scope</t>
        </is>
      </c>
      <c r="C36" s="988" t="inlineStr">
        <is>
          <t>SOURCE_REVIEW</t>
        </is>
      </c>
      <c r="D36" s="988" t="inlineStr">
        <is>
          <t>DUPLICATE_OFFICIAL_URL</t>
        </is>
      </c>
      <c r="E36" s="988" t="inlineStr">
        <is>
          <t>Confirm whether this record is a distinct source, correct its identity, or exclude it.</t>
        </is>
      </c>
      <c r="F36" s="1177" t="inlineStr">
        <is>
          <t>PENDING</t>
        </is>
      </c>
      <c r="G36" s="1177" t="n"/>
      <c r="H36" s="1177" t="n"/>
      <c r="I36" s="1178" t="inlineStr">
        <is>
          <t>PENDING</t>
        </is>
      </c>
      <c r="J36" s="1178" t="inlineStr">
        <is>
          <t>The official URL is shared by 6 current source records.</t>
        </is>
      </c>
      <c r="K36" t="inlineStr">
        <is>
          <t>https://globalgap.org/what-we-offer/solutions/ifa-aquaculture/</t>
        </is>
      </c>
      <c r="L36" t="inlineStr">
        <is>
          <t>https://documents.globalgap.org/documents/220929_GG_GR_Rules_for_aquaculture_v6_0_Sep22_en.pdf</t>
        </is>
      </c>
      <c r="M36" t="inlineStr">
        <is>
          <t>HIGH</t>
        </is>
      </c>
      <c r="N36" t="inlineStr">
        <is>
          <t>HIGH</t>
        </is>
      </c>
      <c r="O36" t="inlineStr">
        <is>
          <t>HIGH</t>
        </is>
      </c>
      <c r="P36" t="inlineStr">
        <is>
          <t>HIGH</t>
        </is>
      </c>
      <c r="Q36" t="inlineStr">
        <is>
          <t>HIGH</t>
        </is>
      </c>
      <c r="R36" t="inlineStr">
        <is>
          <t>INCLUDE</t>
        </is>
      </c>
      <c r="T36" t="inlineStr">
        <is>
          <t>CURRENT</t>
        </is>
      </c>
      <c r="U36" t="inlineStr">
        <is>
          <t>CS008</t>
        </is>
      </c>
      <c r="V36" t="inlineStr">
        <is>
          <t>Official expansion. GLOBALG.A.P. identifies the general regulations as required for certification.</t>
        </is>
      </c>
      <c r="X36" t="inlineStr">
        <is>
          <t>C_Certification_Scheme</t>
        </is>
      </c>
      <c r="Y36" t="inlineStr">
        <is>
          <t>GLOBALG.A.P.</t>
        </is>
      </c>
      <c r="Z36" t="inlineStr">
        <is>
          <t>International</t>
        </is>
      </c>
      <c r="AA36" t="inlineStr">
        <is>
          <t>Scheme standard</t>
        </is>
      </c>
      <c r="AB36" t="inlineStr">
        <is>
          <t>Certification scheme</t>
        </is>
      </c>
      <c r="AC36" t="inlineStr">
        <is>
          <t>Referenced normative</t>
        </is>
      </c>
      <c r="AD36" t="inlineStr">
        <is>
          <t>English</t>
        </is>
      </c>
      <c r="AE36" t="inlineStr">
        <is>
          <t>pdf</t>
        </is>
      </c>
      <c r="AF36" t="inlineStr">
        <is>
          <t>6.0</t>
        </is>
      </c>
      <c r="AH36" t="inlineStr">
        <is>
          <t>Official referenced source from GLOBALG.A.P.; included because an applicable law, permit or certification scheme may make its provisions binding within the approved scope.</t>
        </is>
      </c>
      <c r="AI36" t="inlineStr">
        <is>
          <t>HIGH</t>
        </is>
      </c>
      <c r="AJ36" t="inlineStr">
        <is>
          <t>OFFICIAL_WEBSITE</t>
        </is>
      </c>
      <c r="AK36" t="inlineStr">
        <is>
          <t>OFFICIAL_ORIGINAL</t>
        </is>
      </c>
      <c r="AL36" t="inlineStr">
        <is>
          <t>VERSIONED</t>
        </is>
      </c>
      <c r="AN36" t="inlineStr">
        <is>
          <t>REV-3fdefe7f9888274e</t>
        </is>
      </c>
      <c r="AO36" s="725" t="n"/>
      <c r="AP36" s="725" t="n"/>
      <c r="AQ36" s="725" t="n">
        <v>46265.41666666666</v>
      </c>
      <c r="AR36" t="inlineStr">
        <is>
          <t>{"action": "APPLY_FIELD_UPDATES", "issue_codes": ["DUPLICATE_OFFICIAL_URL"], "retry_after_apply": false, "review_fingerprint": "e3b0c44298fc1c14", "source_fingerprint": "17f1541f0a581abbb0a9", "source_id": "CS010", "updates": {}}</t>
        </is>
      </c>
    </row>
    <row r="37" ht="38" customHeight="1" s="36">
      <c r="A37" s="989" t="inlineStr">
        <is>
          <t>CS011</t>
        </is>
      </c>
      <c r="B37" s="988" t="inlineStr">
        <is>
          <t>GLOBALG.A.P. GRASP v2 - Principles and criteria</t>
        </is>
      </c>
      <c r="C37" s="988" t="inlineStr">
        <is>
          <t>SOURCE_REVIEW</t>
        </is>
      </c>
      <c r="D37" s="988" t="inlineStr">
        <is>
          <t>DUPLICATE_OFFICIAL_URL</t>
        </is>
      </c>
      <c r="E37" s="988" t="inlineStr">
        <is>
          <t>Confirm whether this record is a distinct source, correct its identity, or exclude it.</t>
        </is>
      </c>
      <c r="F37" s="1177" t="inlineStr">
        <is>
          <t>PENDING</t>
        </is>
      </c>
      <c r="G37" s="1177" t="n"/>
      <c r="H37" s="1177" t="n"/>
      <c r="I37" s="1178" t="inlineStr">
        <is>
          <t>PENDING</t>
        </is>
      </c>
      <c r="J37" s="1178" t="inlineStr">
        <is>
          <t>The official URL is shared by 4 current source records.</t>
        </is>
      </c>
      <c r="K37" t="inlineStr">
        <is>
          <t>https://globalgap.org/what-we-offer/solutions/grasp/</t>
        </is>
      </c>
      <c r="L37" t="inlineStr">
        <is>
          <t>https://documents.globalgap.org/documents/220929_GRASP_PCs_v2_0_Sep22_en.pdf</t>
        </is>
      </c>
      <c r="M37" t="inlineStr">
        <is>
          <t>HIGH</t>
        </is>
      </c>
      <c r="N37" t="inlineStr">
        <is>
          <t>HIGH</t>
        </is>
      </c>
      <c r="O37" t="inlineStr">
        <is>
          <t>HIGH</t>
        </is>
      </c>
      <c r="P37" t="inlineStr">
        <is>
          <t>HIGH</t>
        </is>
      </c>
      <c r="Q37" t="inlineStr">
        <is>
          <t>HIGH</t>
        </is>
      </c>
      <c r="R37" t="inlineStr">
        <is>
          <t>INCLUDE</t>
        </is>
      </c>
      <c r="T37" t="inlineStr">
        <is>
          <t>CURRENT</t>
        </is>
      </c>
      <c r="U37" t="inlineStr">
        <is>
          <t>CS008</t>
        </is>
      </c>
      <c r="V37" t="inlineStr">
        <is>
          <t>Official expansion. GLOBALG.A.P. states GRASP is mandatory for IFA aquaculture audits.</t>
        </is>
      </c>
      <c r="X37" t="inlineStr">
        <is>
          <t>C_Certification_Scheme</t>
        </is>
      </c>
      <c r="Y37" t="inlineStr">
        <is>
          <t>GLOBALG.A.P.</t>
        </is>
      </c>
      <c r="Z37" t="inlineStr">
        <is>
          <t>International</t>
        </is>
      </c>
      <c r="AA37" t="inlineStr">
        <is>
          <t>Scheme standard</t>
        </is>
      </c>
      <c r="AB37" t="inlineStr">
        <is>
          <t>Certification scheme</t>
        </is>
      </c>
      <c r="AC37" t="inlineStr">
        <is>
          <t>Referenced normative</t>
        </is>
      </c>
      <c r="AD37" t="inlineStr">
        <is>
          <t>English</t>
        </is>
      </c>
      <c r="AE37" t="inlineStr">
        <is>
          <t>pdf</t>
        </is>
      </c>
      <c r="AF37" t="inlineStr">
        <is>
          <t>2.0_Sep22</t>
        </is>
      </c>
      <c r="AH37" t="inlineStr">
        <is>
          <t>Official referenced source from GLOBALG.A.P.; included because an applicable law, permit or certification scheme may make its provisions binding within the approved scope.</t>
        </is>
      </c>
      <c r="AI37" t="inlineStr">
        <is>
          <t>HIGH</t>
        </is>
      </c>
      <c r="AJ37" t="inlineStr">
        <is>
          <t>OFFICIAL_WEBSITE</t>
        </is>
      </c>
      <c r="AK37" t="inlineStr">
        <is>
          <t>OFFICIAL_ORIGINAL</t>
        </is>
      </c>
      <c r="AL37" t="inlineStr">
        <is>
          <t>VERSIONED</t>
        </is>
      </c>
      <c r="AN37" t="inlineStr">
        <is>
          <t>REV-9853d40d6dbd9e44</t>
        </is>
      </c>
      <c r="AO37" s="725" t="n"/>
      <c r="AP37" s="725" t="n"/>
      <c r="AQ37" s="725" t="n">
        <v>46265.41666666666</v>
      </c>
      <c r="AR37" t="inlineStr">
        <is>
          <t>{"action": "APPLY_FIELD_UPDATES", "issue_codes": ["DUPLICATE_OFFICIAL_URL"], "retry_after_apply": false, "review_fingerprint": "e3b0c44298fc1c14", "source_fingerprint": "99d5698ee7deccd81c6e", "source_id": "CS011", "updates": {}}</t>
        </is>
      </c>
    </row>
    <row r="38" ht="38" customHeight="1" s="36">
      <c r="A38" s="989" t="inlineStr">
        <is>
          <t>CS012</t>
        </is>
      </c>
      <c r="B38" s="988" t="inlineStr">
        <is>
          <t>GLOBALG.A.P. Compound Feed Manufacturing Standard</t>
        </is>
      </c>
      <c r="C38" s="988" t="inlineStr">
        <is>
          <t>SOURCE_REVIEW</t>
        </is>
      </c>
      <c r="D38" s="988" t="inlineStr">
        <is>
          <t>MISSING_RETRIEVAL_URL; SELECTION_PENDING</t>
        </is>
      </c>
      <c r="E38" s="988" t="inlineStr">
        <is>
          <t>Provide the complete official HTML target when available, otherwise the original official file URL. | Review the human-governed source fields and choose INCLUDE, PENDING or EXCLUDE in Human Operation Desktop.</t>
        </is>
      </c>
      <c r="F38" s="1177" t="inlineStr">
        <is>
          <t>PENDING</t>
        </is>
      </c>
      <c r="G38" s="1177" t="n"/>
      <c r="H38" s="1177" t="n"/>
      <c r="I38" s="1178" t="inlineStr">
        <is>
          <t>PENDING</t>
        </is>
      </c>
      <c r="J38" s="1178" t="inlineStr">
        <is>
          <t>The source has no exact retrieval target. | operator_selection_decision is PENDING; mandatory assessment is not HIGH: version_currency, traceability.</t>
        </is>
      </c>
      <c r="K38" t="inlineStr">
        <is>
          <t>https://globalgap.org/what-we-offer/solutions/compound-feed-manufacturing/</t>
        </is>
      </c>
      <c r="M38" t="inlineStr">
        <is>
          <t>HIGH</t>
        </is>
      </c>
      <c r="N38" t="inlineStr">
        <is>
          <t>HIGH</t>
        </is>
      </c>
      <c r="O38" t="inlineStr">
        <is>
          <t>MEDIUM</t>
        </is>
      </c>
      <c r="P38" t="inlineStr">
        <is>
          <t>MEDIUM</t>
        </is>
      </c>
      <c r="Q38" t="inlineStr">
        <is>
          <t>HIGH</t>
        </is>
      </c>
      <c r="R38" t="inlineStr">
        <is>
          <t>PENDING</t>
        </is>
      </c>
      <c r="T38" t="inlineStr">
        <is>
          <t>CURRENT</t>
        </is>
      </c>
      <c r="U38" t="inlineStr">
        <is>
          <t>CS008</t>
        </is>
      </c>
      <c r="V38" t="inlineStr">
        <is>
          <t>Official expansion. Relevant to feed-sourcing requirements under IFA aquaculture.</t>
        </is>
      </c>
      <c r="X38" t="inlineStr">
        <is>
          <t>C_Certification_Scheme</t>
        </is>
      </c>
      <c r="Y38" t="inlineStr">
        <is>
          <t>GLOBALG.A.P.</t>
        </is>
      </c>
      <c r="Z38" t="inlineStr">
        <is>
          <t>International</t>
        </is>
      </c>
      <c r="AA38" t="inlineStr">
        <is>
          <t>Scheme standard</t>
        </is>
      </c>
      <c r="AB38" t="inlineStr">
        <is>
          <t>Certification scheme</t>
        </is>
      </c>
      <c r="AC38" t="inlineStr">
        <is>
          <t>Referenced normative</t>
        </is>
      </c>
      <c r="AD38" t="inlineStr">
        <is>
          <t>English</t>
        </is>
      </c>
      <c r="AE38" t="inlineStr">
        <is>
          <t>pdf</t>
        </is>
      </c>
      <c r="AH38" t="inlineStr">
        <is>
          <t>Official referenced source from GLOBALG.A.P.; included because an applicable law, permit or certification scheme may make its provisions binding within the approved scope.</t>
        </is>
      </c>
      <c r="AI38" t="inlineStr">
        <is>
          <t>LOW</t>
        </is>
      </c>
      <c r="AJ38" t="inlineStr">
        <is>
          <t>OFFICIAL_WEBSITE</t>
        </is>
      </c>
      <c r="AK38" t="inlineStr">
        <is>
          <t>OFFICIAL_ORIGINAL</t>
        </is>
      </c>
      <c r="AL38" t="inlineStr">
        <is>
          <t>VERSIONED</t>
        </is>
      </c>
      <c r="AN38" t="inlineStr">
        <is>
          <t>REV-31515b2e7f40399a</t>
        </is>
      </c>
      <c r="AO38" s="725" t="n"/>
      <c r="AP38" s="725" t="n"/>
      <c r="AQ38" s="725" t="n">
        <v>46265.41666666666</v>
      </c>
      <c r="AR38" t="inlineStr">
        <is>
          <t>{"action": "APPLY_FIELD_UPDATES", "issue_codes": ["MISSING_RETRIEVAL_URL", "SELECTION_PENDING"], "retry_after_apply": false, "review_fingerprint": "1bc858880d0469b4", "source_fingerprint": "cc5526b4cb976ae724eb", "source_id": "CS012", "updates": {}}</t>
        </is>
      </c>
    </row>
    <row r="39" ht="38" customHeight="1" s="36">
      <c r="A39" s="989" t="inlineStr">
        <is>
          <t>CS015</t>
        </is>
      </c>
      <c r="B39" s="988" t="inlineStr">
        <is>
          <t>GLOBALG.A.P. trademarks use: Policy and guidelines</t>
        </is>
      </c>
      <c r="C39" s="988" t="inlineStr">
        <is>
          <t>SOURCE_REVIEW</t>
        </is>
      </c>
      <c r="D39" s="988" t="inlineStr">
        <is>
          <t>DUPLICATE_OFFICIAL_URL</t>
        </is>
      </c>
      <c r="E39" s="988" t="inlineStr">
        <is>
          <t>Confirm whether this record is a distinct source, correct its identity, or exclude it.</t>
        </is>
      </c>
      <c r="F39" s="1177" t="inlineStr">
        <is>
          <t>PENDING</t>
        </is>
      </c>
      <c r="G39" s="1177" t="n"/>
      <c r="H39" s="1177" t="n"/>
      <c r="I39" s="1178" t="inlineStr">
        <is>
          <t>PENDING</t>
        </is>
      </c>
      <c r="J39" s="1178" t="inlineStr">
        <is>
          <t>The official URL is shared by 6 current source records.</t>
        </is>
      </c>
      <c r="K39" t="inlineStr">
        <is>
          <t>https://globalgap.org/what-we-offer/solutions/ifa-aquaculture/</t>
        </is>
      </c>
      <c r="L39" t="inlineStr">
        <is>
          <t>https://documents.globalgap.org/documents/230523_GG_Trademarks_policy_v1_0-1_en.pdf</t>
        </is>
      </c>
      <c r="M39" t="inlineStr">
        <is>
          <t>HIGH</t>
        </is>
      </c>
      <c r="N39" t="inlineStr">
        <is>
          <t>HIGH</t>
        </is>
      </c>
      <c r="O39" t="inlineStr">
        <is>
          <t>HIGH</t>
        </is>
      </c>
      <c r="P39" t="inlineStr">
        <is>
          <t>HIGH</t>
        </is>
      </c>
      <c r="Q39" t="inlineStr">
        <is>
          <t>HIGH</t>
        </is>
      </c>
      <c r="R39" t="inlineStr">
        <is>
          <t>INCLUDE</t>
        </is>
      </c>
      <c r="T39" t="inlineStr">
        <is>
          <t>CURRENT</t>
        </is>
      </c>
      <c r="U39" t="inlineStr">
        <is>
          <t>CS008</t>
        </is>
      </c>
      <c r="V39" t="inlineStr">
        <is>
          <t>Coverage-audit expansion. The project checklist cites this policy for certification claims, marks and identification numbers.</t>
        </is>
      </c>
      <c r="X39" t="inlineStr">
        <is>
          <t>C_Certification_Scheme</t>
        </is>
      </c>
      <c r="Y39" t="inlineStr">
        <is>
          <t>GLOBALG.A.P.</t>
        </is>
      </c>
      <c r="Z39" t="inlineStr">
        <is>
          <t>International</t>
        </is>
      </c>
      <c r="AA39" t="inlineStr">
        <is>
          <t>Scheme standard</t>
        </is>
      </c>
      <c r="AB39" t="inlineStr">
        <is>
          <t>Certification scheme</t>
        </is>
      </c>
      <c r="AC39" t="inlineStr">
        <is>
          <t>Referenced normative</t>
        </is>
      </c>
      <c r="AD39" t="inlineStr">
        <is>
          <t>English</t>
        </is>
      </c>
      <c r="AE39" t="inlineStr">
        <is>
          <t>pdf</t>
        </is>
      </c>
      <c r="AF39" t="inlineStr">
        <is>
          <t>1.0-1</t>
        </is>
      </c>
      <c r="AH39" t="inlineStr">
        <is>
          <t>Official referenced source from GLOBALG.A.P.; included because an applicable law, permit or certification scheme may make its provisions binding within the approved scope.</t>
        </is>
      </c>
      <c r="AI39" t="inlineStr">
        <is>
          <t>HIGH</t>
        </is>
      </c>
      <c r="AJ39" t="inlineStr">
        <is>
          <t>OFFICIAL_WEBSITE</t>
        </is>
      </c>
      <c r="AK39" t="inlineStr">
        <is>
          <t>OFFICIAL_ORIGINAL</t>
        </is>
      </c>
      <c r="AL39" t="inlineStr">
        <is>
          <t>VERSIONED</t>
        </is>
      </c>
      <c r="AN39" t="inlineStr">
        <is>
          <t>REV-e27652c414f662de</t>
        </is>
      </c>
      <c r="AO39" s="725" t="n"/>
      <c r="AP39" s="725" t="n"/>
      <c r="AQ39" s="725" t="n">
        <v>46265.41666666666</v>
      </c>
      <c r="AR39" t="inlineStr">
        <is>
          <t>{"action": "APPLY_FIELD_UPDATES", "issue_codes": ["DUPLICATE_OFFICIAL_URL"], "retry_after_apply": false, "review_fingerprint": "e3b0c44298fc1c14", "source_fingerprint": "f64b01c7e13f83b56b2e", "source_id": "CS015", "updates": {}}</t>
        </is>
      </c>
    </row>
    <row r="40" ht="38" customHeight="1" s="36">
      <c r="A40" s="989" t="inlineStr">
        <is>
          <t>CS016</t>
        </is>
      </c>
      <c r="B40" s="988" t="inlineStr">
        <is>
          <t>GLOBALG.A.P. GRASP - General Rules</t>
        </is>
      </c>
      <c r="C40" s="988" t="inlineStr">
        <is>
          <t>SOURCE_REVIEW</t>
        </is>
      </c>
      <c r="D40" s="988" t="inlineStr">
        <is>
          <t>DUPLICATE_OFFICIAL_URL</t>
        </is>
      </c>
      <c r="E40" s="988" t="inlineStr">
        <is>
          <t>Confirm whether this record is a distinct source, correct its identity, or exclude it.</t>
        </is>
      </c>
      <c r="F40" s="1177" t="inlineStr">
        <is>
          <t>PENDING</t>
        </is>
      </c>
      <c r="G40" s="1177" t="n"/>
      <c r="H40" s="1177" t="n"/>
      <c r="I40" s="1178" t="inlineStr">
        <is>
          <t>PENDING</t>
        </is>
      </c>
      <c r="J40" s="1178" t="inlineStr">
        <is>
          <t>The official URL is shared by 4 current source records.</t>
        </is>
      </c>
      <c r="K40" t="inlineStr">
        <is>
          <t>https://globalgap.org/what-we-offer/solutions/grasp/</t>
        </is>
      </c>
      <c r="L40" t="inlineStr">
        <is>
          <t>https://documents.globalgap.org/documents/220929_GRASP_general_rules_v2_0_Sep22_en.pdf</t>
        </is>
      </c>
      <c r="M40" t="inlineStr">
        <is>
          <t>HIGH</t>
        </is>
      </c>
      <c r="N40" t="inlineStr">
        <is>
          <t>HIGH</t>
        </is>
      </c>
      <c r="O40" t="inlineStr">
        <is>
          <t>HIGH</t>
        </is>
      </c>
      <c r="P40" t="inlineStr">
        <is>
          <t>HIGH</t>
        </is>
      </c>
      <c r="Q40" t="inlineStr">
        <is>
          <t>HIGH</t>
        </is>
      </c>
      <c r="R40" t="inlineStr">
        <is>
          <t>INCLUDE</t>
        </is>
      </c>
      <c r="T40" t="inlineStr">
        <is>
          <t>CURRENT</t>
        </is>
      </c>
      <c r="U40" t="inlineStr">
        <is>
          <t>CS011</t>
        </is>
      </c>
      <c r="V40" t="inlineStr">
        <is>
          <t>Coverage-audit expansion. GRASP is mandatory for IFA v6 aquaculture and these rules define its application and assessment process.</t>
        </is>
      </c>
      <c r="X40" t="inlineStr">
        <is>
          <t>C_Certification_Scheme</t>
        </is>
      </c>
      <c r="Y40" t="inlineStr">
        <is>
          <t>GLOBALG.A.P.</t>
        </is>
      </c>
      <c r="Z40" t="inlineStr">
        <is>
          <t>International</t>
        </is>
      </c>
      <c r="AA40" t="inlineStr">
        <is>
          <t>Scheme standard</t>
        </is>
      </c>
      <c r="AB40" t="inlineStr">
        <is>
          <t>Certification scheme</t>
        </is>
      </c>
      <c r="AC40" t="inlineStr">
        <is>
          <t>Referenced normative</t>
        </is>
      </c>
      <c r="AD40" t="inlineStr">
        <is>
          <t>English</t>
        </is>
      </c>
      <c r="AE40" t="inlineStr">
        <is>
          <t>pdf</t>
        </is>
      </c>
      <c r="AF40" t="inlineStr">
        <is>
          <t>2.0_Sep22</t>
        </is>
      </c>
      <c r="AG40" t="n">
        <v>45292</v>
      </c>
      <c r="AH40" t="inlineStr">
        <is>
          <t>Official referenced source from GLOBALG.A.P.; included because an applicable law, permit or certification scheme may make its provisions binding within the approved scope.</t>
        </is>
      </c>
      <c r="AI40" t="inlineStr">
        <is>
          <t>HIGH</t>
        </is>
      </c>
      <c r="AJ40" t="inlineStr">
        <is>
          <t>OFFICIAL_WEBSITE</t>
        </is>
      </c>
      <c r="AK40" t="inlineStr">
        <is>
          <t>OFFICIAL_ORIGINAL</t>
        </is>
      </c>
      <c r="AL40" t="inlineStr">
        <is>
          <t>VERSIONED</t>
        </is>
      </c>
      <c r="AN40" t="inlineStr">
        <is>
          <t>REV-bdb8f8520eecd860</t>
        </is>
      </c>
      <c r="AO40" s="725" t="n"/>
      <c r="AP40" s="725" t="n"/>
      <c r="AQ40" s="725" t="n">
        <v>46265.41666666666</v>
      </c>
      <c r="AR40" t="inlineStr">
        <is>
          <t>{"action": "APPLY_FIELD_UPDATES", "issue_codes": ["DUPLICATE_OFFICIAL_URL"], "retry_after_apply": false, "review_fingerprint": "e3b0c44298fc1c14", "source_fingerprint": "563812618def5c061030", "source_id": "CS016", "updates": {}}</t>
        </is>
      </c>
    </row>
    <row r="41" ht="38" customHeight="1" s="36">
      <c r="A41" s="989" t="inlineStr">
        <is>
          <t>CS017</t>
        </is>
      </c>
      <c r="B41" s="988" t="inlineStr">
        <is>
          <t>GLOBALG.A.P. GRASP v2 National Interpretation Guideline for Norway</t>
        </is>
      </c>
      <c r="C41" s="988" t="inlineStr">
        <is>
          <t>SOURCE_REVIEW</t>
        </is>
      </c>
      <c r="D41" s="988" t="inlineStr">
        <is>
          <t>DUPLICATE_OFFICIAL_URL; MISSING_RETRIEVAL_URL; SELECTION_PENDING</t>
        </is>
      </c>
      <c r="E41"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1177" t="inlineStr">
        <is>
          <t>PENDING</t>
        </is>
      </c>
      <c r="G41" s="1177" t="n"/>
      <c r="H41" s="1177" t="n"/>
      <c r="I41" s="1178" t="inlineStr">
        <is>
          <t>PENDING</t>
        </is>
      </c>
      <c r="J41" s="1178" t="inlineStr">
        <is>
          <t>The official URL is shared by 4 current source records. | The source has no exact retrieval target. | operator_selection_decision is PENDING; mandatory assessment is not HIGH: version_currency, traceability.</t>
        </is>
      </c>
      <c r="K41" t="inlineStr">
        <is>
          <t>https://globalgap.org/what-we-offer/solutions/grasp/</t>
        </is>
      </c>
      <c r="M41" t="inlineStr">
        <is>
          <t>HIGH</t>
        </is>
      </c>
      <c r="N41" t="inlineStr">
        <is>
          <t>HIGH</t>
        </is>
      </c>
      <c r="O41" t="inlineStr">
        <is>
          <t>MEDIUM</t>
        </is>
      </c>
      <c r="P41" t="inlineStr">
        <is>
          <t>MEDIUM</t>
        </is>
      </c>
      <c r="Q41" t="inlineStr">
        <is>
          <t>HIGH</t>
        </is>
      </c>
      <c r="R41" t="inlineStr">
        <is>
          <t>PENDING</t>
        </is>
      </c>
      <c r="T41" t="inlineStr">
        <is>
          <t>CURRENT</t>
        </is>
      </c>
      <c r="U41" t="inlineStr">
        <is>
          <t>CS011</t>
        </is>
      </c>
      <c r="V41" t="inlineStr">
        <is>
          <t>Coverage-audit expansion. An existing country NIG must be applied; confirm the current Norway document and direct download in the GLOBALG.A.P. document center.</t>
        </is>
      </c>
      <c r="X41" t="inlineStr">
        <is>
          <t>C_Certification_Scheme</t>
        </is>
      </c>
      <c r="Y41" t="inlineStr">
        <is>
          <t>GLOBALG.A.P.</t>
        </is>
      </c>
      <c r="Z41" t="inlineStr">
        <is>
          <t>Norway</t>
        </is>
      </c>
      <c r="AA41" t="inlineStr">
        <is>
          <t>Interpretation document</t>
        </is>
      </c>
      <c r="AB41" t="inlineStr">
        <is>
          <t>Certification scheme</t>
        </is>
      </c>
      <c r="AC41" t="inlineStr">
        <is>
          <t>Referenced normative</t>
        </is>
      </c>
      <c r="AD41" t="inlineStr">
        <is>
          <t>Norwegian</t>
        </is>
      </c>
      <c r="AE41" t="inlineStr">
        <is>
          <t>pdf</t>
        </is>
      </c>
      <c r="AF41" t="inlineStr">
        <is>
          <t>V2</t>
        </is>
      </c>
      <c r="AH41" t="inlineStr">
        <is>
          <t>Official referenced source from GLOBALG.A.P.; included because an applicable law, permit or certification scheme may make its provisions binding within the approved scope.</t>
        </is>
      </c>
      <c r="AI41" t="inlineStr">
        <is>
          <t>LOW</t>
        </is>
      </c>
      <c r="AJ41" t="inlineStr">
        <is>
          <t>OFFICIAL_WEBSITE</t>
        </is>
      </c>
      <c r="AK41" t="inlineStr">
        <is>
          <t>OFFICIAL_ORIGINAL</t>
        </is>
      </c>
      <c r="AL41" t="inlineStr">
        <is>
          <t>VERSIONED</t>
        </is>
      </c>
      <c r="AN41" t="inlineStr">
        <is>
          <t>REV-d5788fe74dcada53</t>
        </is>
      </c>
      <c r="AO41" s="725" t="n"/>
      <c r="AP41" s="725" t="n"/>
      <c r="AQ41" s="725" t="n">
        <v>46265.41666666666</v>
      </c>
      <c r="AR41" t="inlineStr">
        <is>
          <t>{"action": "APPLY_FIELD_UPDATES", "issue_codes": ["DUPLICATE_OFFICIAL_URL", "MISSING_RETRIEVAL_URL", "SELECTION_PENDING"], "retry_after_apply": false, "review_fingerprint": "1d6f1da2d9a1b7cf", "source_fingerprint": "5f90ce8ff5fef6de42e1", "source_id": "CS017", "updates": {}}</t>
        </is>
      </c>
    </row>
    <row r="42" ht="38" customHeight="1" s="36">
      <c r="A42" s="989" t="inlineStr">
        <is>
          <t>CS018</t>
        </is>
      </c>
      <c r="B42" s="988" t="inlineStr">
        <is>
          <t>ASC Vocabulary</t>
        </is>
      </c>
      <c r="C42" s="988" t="inlineStr">
        <is>
          <t>SOURCE_REVIEW</t>
        </is>
      </c>
      <c r="D42" s="988" t="inlineStr">
        <is>
          <t>DUPLICATE_OFFICIAL_URL; MISSING_RETRIEVAL_URL; SELECTION_PENDING</t>
        </is>
      </c>
      <c r="E42"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1177" t="inlineStr">
        <is>
          <t>PENDING</t>
        </is>
      </c>
      <c r="G42" s="1177" t="n"/>
      <c r="H42" s="1177" t="n"/>
      <c r="I42" s="1178" t="inlineStr">
        <is>
          <t>PENDING</t>
        </is>
      </c>
      <c r="J42" s="1178" t="inlineStr">
        <is>
          <t>The official URL is shared by 5 current source records. | The source has no exact retrieval target. | operator_selection_decision is PENDING; mandatory assessment is not HIGH: version_currency, traceability.</t>
        </is>
      </c>
      <c r="K42" t="inlineStr">
        <is>
          <t>https://programme-centre.asc-aqua.org/resource-hub/?filter=farm</t>
        </is>
      </c>
      <c r="M42" t="inlineStr">
        <is>
          <t>HIGH</t>
        </is>
      </c>
      <c r="N42" t="inlineStr">
        <is>
          <t>HIGH</t>
        </is>
      </c>
      <c r="O42" t="inlineStr">
        <is>
          <t>MEDIUM</t>
        </is>
      </c>
      <c r="P42" t="inlineStr">
        <is>
          <t>MEDIUM</t>
        </is>
      </c>
      <c r="Q42" t="inlineStr">
        <is>
          <t>HIGH</t>
        </is>
      </c>
      <c r="R42" t="inlineStr">
        <is>
          <t>PENDING</t>
        </is>
      </c>
      <c r="T42" t="inlineStr">
        <is>
          <t>CURRENT</t>
        </is>
      </c>
      <c r="U42" t="inlineStr">
        <is>
          <t>CS001</t>
        </is>
      </c>
      <c r="V42" t="inlineStr">
        <is>
          <t>Official coverage expansion. The current ASC Farm Standard lists the vocabulary as a normative reference; direct-file traceability still requires confirmation.</t>
        </is>
      </c>
      <c r="X42" t="inlineStr">
        <is>
          <t>C_Certification_Scheme</t>
        </is>
      </c>
      <c r="Y42" t="inlineStr">
        <is>
          <t>Aquaculture Stewardship Council</t>
        </is>
      </c>
      <c r="Z42" t="inlineStr">
        <is>
          <t>International</t>
        </is>
      </c>
      <c r="AA42" t="inlineStr">
        <is>
          <t>Scheme standard</t>
        </is>
      </c>
      <c r="AB42" t="inlineStr">
        <is>
          <t>Certification scheme</t>
        </is>
      </c>
      <c r="AC42" t="inlineStr">
        <is>
          <t>Referenced normative</t>
        </is>
      </c>
      <c r="AD42" t="inlineStr">
        <is>
          <t>English</t>
        </is>
      </c>
      <c r="AE42" t="inlineStr">
        <is>
          <t>pdf</t>
        </is>
      </c>
      <c r="AH42" t="inlineStr">
        <is>
          <t>Official referenced source from Aquaculture Stewardship Council; included because an applicable law, permit or certification scheme may make its provisions binding within the approved scope.</t>
        </is>
      </c>
      <c r="AI42" t="inlineStr">
        <is>
          <t>LOW</t>
        </is>
      </c>
      <c r="AJ42" t="inlineStr">
        <is>
          <t>OFFICIAL_WEBSITE</t>
        </is>
      </c>
      <c r="AK42" t="inlineStr">
        <is>
          <t>OFFICIAL_ORIGINAL</t>
        </is>
      </c>
      <c r="AL42" t="inlineStr">
        <is>
          <t>VERSIONED</t>
        </is>
      </c>
      <c r="AN42" t="inlineStr">
        <is>
          <t>REV-0f090f336f06848d</t>
        </is>
      </c>
      <c r="AO42" s="725" t="n"/>
      <c r="AP42" s="725" t="n"/>
      <c r="AQ42" s="725" t="n">
        <v>46265.41666666666</v>
      </c>
      <c r="AR42" t="inlineStr">
        <is>
          <t>{"action": "APPLY_FIELD_UPDATES", "issue_codes": ["DUPLICATE_OFFICIAL_URL", "MISSING_RETRIEVAL_URL", "SELECTION_PENDING"], "retry_after_apply": false, "review_fingerprint": "e130671ccb2b3b20", "source_fingerprint": "671cb13781fdedcb8822", "source_id": "CS018", "updates": {}}</t>
        </is>
      </c>
    </row>
    <row r="43" ht="38" customHeight="1" s="36">
      <c r="A43" s="989" t="inlineStr">
        <is>
          <t>CS019</t>
        </is>
      </c>
      <c r="B43" s="988" t="inlineStr">
        <is>
          <t>ASC Data Submission Requirements</t>
        </is>
      </c>
      <c r="C43" s="988" t="inlineStr">
        <is>
          <t>SOURCE_REVIEW</t>
        </is>
      </c>
      <c r="D43" s="988" t="inlineStr">
        <is>
          <t>DUPLICATE_OFFICIAL_URL; MISSING_RETRIEVAL_URL; SELECTION_PENDING</t>
        </is>
      </c>
      <c r="E43"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1177" t="inlineStr">
        <is>
          <t>PENDING</t>
        </is>
      </c>
      <c r="G43" s="1177" t="n"/>
      <c r="H43" s="1177" t="n"/>
      <c r="I43" s="1178" t="inlineStr">
        <is>
          <t>PENDING</t>
        </is>
      </c>
      <c r="J43" s="1178" t="inlineStr">
        <is>
          <t>The official URL is shared by 5 current source records. | The source has no exact retrieval target. | operator_selection_decision is PENDING; mandatory assessment is not HIGH: version_currency, traceability.</t>
        </is>
      </c>
      <c r="K43" t="inlineStr">
        <is>
          <t>https://programme-centre.asc-aqua.org/resource-hub/?filter=farm</t>
        </is>
      </c>
      <c r="M43" t="inlineStr">
        <is>
          <t>HIGH</t>
        </is>
      </c>
      <c r="N43" t="inlineStr">
        <is>
          <t>HIGH</t>
        </is>
      </c>
      <c r="O43" t="inlineStr">
        <is>
          <t>MEDIUM</t>
        </is>
      </c>
      <c r="P43" t="inlineStr">
        <is>
          <t>MEDIUM</t>
        </is>
      </c>
      <c r="Q43" t="inlineStr">
        <is>
          <t>HIGH</t>
        </is>
      </c>
      <c r="R43" t="inlineStr">
        <is>
          <t>PENDING</t>
        </is>
      </c>
      <c r="T43" t="inlineStr">
        <is>
          <t>CURRENT</t>
        </is>
      </c>
      <c r="U43" t="inlineStr">
        <is>
          <t>CS001</t>
        </is>
      </c>
      <c r="V43" t="inlineStr">
        <is>
          <t>Official coverage expansion. The current ASC Farm Standard lists data submission requirements as a normative reference; direct-file traceability still requires confirmation.</t>
        </is>
      </c>
      <c r="X43" t="inlineStr">
        <is>
          <t>C_Certification_Scheme</t>
        </is>
      </c>
      <c r="Y43" t="inlineStr">
        <is>
          <t>Aquaculture Stewardship Council</t>
        </is>
      </c>
      <c r="Z43" t="inlineStr">
        <is>
          <t>International</t>
        </is>
      </c>
      <c r="AA43" t="inlineStr">
        <is>
          <t>Scheme standard</t>
        </is>
      </c>
      <c r="AB43" t="inlineStr">
        <is>
          <t>Certification scheme</t>
        </is>
      </c>
      <c r="AC43" t="inlineStr">
        <is>
          <t>Referenced normative</t>
        </is>
      </c>
      <c r="AD43" t="inlineStr">
        <is>
          <t>English</t>
        </is>
      </c>
      <c r="AE43" t="inlineStr">
        <is>
          <t>pdf</t>
        </is>
      </c>
      <c r="AH43" t="inlineStr">
        <is>
          <t>Official referenced source from Aquaculture Stewardship Council; included because an applicable law, permit or certification scheme may make its provisions binding within the approved scope.</t>
        </is>
      </c>
      <c r="AI43" t="inlineStr">
        <is>
          <t>LOW</t>
        </is>
      </c>
      <c r="AJ43" t="inlineStr">
        <is>
          <t>OFFICIAL_WEBSITE</t>
        </is>
      </c>
      <c r="AK43" t="inlineStr">
        <is>
          <t>OFFICIAL_ORIGINAL</t>
        </is>
      </c>
      <c r="AL43" t="inlineStr">
        <is>
          <t>VERSIONED</t>
        </is>
      </c>
      <c r="AN43" t="inlineStr">
        <is>
          <t>REV-0aaeb18cdf1173c4</t>
        </is>
      </c>
      <c r="AO43" s="725" t="n"/>
      <c r="AP43" s="725" t="n"/>
      <c r="AQ43" s="725" t="n">
        <v>46265.41666666666</v>
      </c>
      <c r="AR43" t="inlineStr">
        <is>
          <t>{"action": "APPLY_FIELD_UPDATES", "issue_codes": ["DUPLICATE_OFFICIAL_URL", "MISSING_RETRIEVAL_URL", "SELECTION_PENDING"], "retry_after_apply": false, "review_fingerprint": "e130671ccb2b3b20", "source_fingerprint": "4ffc2cc9753f4df684d6", "source_id": "CS019", "updates": {}}</t>
        </is>
      </c>
    </row>
    <row r="44" ht="38" customHeight="1" s="36">
      <c r="A44" s="989" t="inlineStr">
        <is>
          <t>CS020</t>
        </is>
      </c>
      <c r="B44" s="988" t="inlineStr">
        <is>
          <t>GLOBALG.A.P. GRASP v2 - Checklist</t>
        </is>
      </c>
      <c r="C44" s="988" t="inlineStr">
        <is>
          <t>SOURCE_REVIEW</t>
        </is>
      </c>
      <c r="D44" s="988" t="inlineStr">
        <is>
          <t>DUPLICATE_OFFICIAL_URL; MISSING_RETRIEVAL_URL; SELECTION_PENDING</t>
        </is>
      </c>
      <c r="E44" s="988"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1177" t="inlineStr">
        <is>
          <t>PENDING</t>
        </is>
      </c>
      <c r="G44" s="1177" t="n"/>
      <c r="H44" s="1177" t="n"/>
      <c r="I44" s="1178" t="inlineStr">
        <is>
          <t>PENDING</t>
        </is>
      </c>
      <c r="J44" s="1178" t="inlineStr">
        <is>
          <t>The official URL is shared by 4 current source records. | The source has no exact retrieval target. | operator_selection_decision is PENDING; mandatory assessment is not HIGH: traceability.</t>
        </is>
      </c>
      <c r="K44" t="inlineStr">
        <is>
          <t>https://globalgap.org/what-we-offer/solutions/grasp/</t>
        </is>
      </c>
      <c r="M44" t="inlineStr">
        <is>
          <t>HIGH</t>
        </is>
      </c>
      <c r="N44" t="inlineStr">
        <is>
          <t>HIGH</t>
        </is>
      </c>
      <c r="O44" t="inlineStr">
        <is>
          <t>HIGH</t>
        </is>
      </c>
      <c r="P44" t="inlineStr">
        <is>
          <t>MEDIUM</t>
        </is>
      </c>
      <c r="Q44" t="inlineStr">
        <is>
          <t>HIGH</t>
        </is>
      </c>
      <c r="R44" t="inlineStr">
        <is>
          <t>PENDING</t>
        </is>
      </c>
      <c r="T44" t="inlineStr">
        <is>
          <t>CURRENT</t>
        </is>
      </c>
      <c r="U44" t="inlineStr">
        <is>
          <t>CS011</t>
        </is>
      </c>
      <c r="V44" t="inlineStr">
        <is>
          <t>Official coverage expansion. Assessment tool linked to CS011 and CS016; direct-file URL must be confirmed before automated retrieval.</t>
        </is>
      </c>
      <c r="X44" t="inlineStr">
        <is>
          <t>C_Certification_Scheme</t>
        </is>
      </c>
      <c r="Y44" t="inlineStr">
        <is>
          <t>GLOBALG.A.P.</t>
        </is>
      </c>
      <c r="Z44" t="inlineStr">
        <is>
          <t>International</t>
        </is>
      </c>
      <c r="AA44" t="inlineStr">
        <is>
          <t>Audit / assessment document</t>
        </is>
      </c>
      <c r="AB44" t="inlineStr">
        <is>
          <t>Certification scheme</t>
        </is>
      </c>
      <c r="AC44" t="inlineStr">
        <is>
          <t>Audit / assessment tool</t>
        </is>
      </c>
      <c r="AD44" t="inlineStr">
        <is>
          <t>English</t>
        </is>
      </c>
      <c r="AE44" t="inlineStr">
        <is>
          <t>xlsx</t>
        </is>
      </c>
      <c r="AF44" t="inlineStr">
        <is>
          <t>V2</t>
        </is>
      </c>
      <c r="AH44" t="inlineStr">
        <is>
          <t>Official assessment tool from GLOBALG.A.P.; included to structure compliance checks and trace evidence back to its linked normative source.</t>
        </is>
      </c>
      <c r="AI44" t="inlineStr">
        <is>
          <t>LOW</t>
        </is>
      </c>
      <c r="AJ44" t="inlineStr">
        <is>
          <t>OFFICIAL_WEBSITE</t>
        </is>
      </c>
      <c r="AK44" t="inlineStr">
        <is>
          <t>OFFICIAL_ORIGINAL</t>
        </is>
      </c>
      <c r="AL44" t="inlineStr">
        <is>
          <t>VERSIONED</t>
        </is>
      </c>
      <c r="AN44" t="inlineStr">
        <is>
          <t>REV-e2b8e990ffaa8a7f</t>
        </is>
      </c>
      <c r="AO44" s="725" t="n"/>
      <c r="AP44" s="725" t="n"/>
      <c r="AQ44" s="725" t="n">
        <v>46265.41666666666</v>
      </c>
      <c r="AR44" t="inlineStr">
        <is>
          <t>{"action": "APPLY_FIELD_UPDATES", "issue_codes": ["DUPLICATE_OFFICIAL_URL", "MISSING_RETRIEVAL_URL", "SELECTION_PENDING"], "retry_after_apply": false, "review_fingerprint": "2e121f20c395f9b0", "source_fingerprint": "d8b7bd7cc8a883410e16", "source_id": "CS020", "updates": {}}</t>
        </is>
      </c>
    </row>
    <row r="45" ht="38" customHeight="1" s="36">
      <c r="A45" s="989" t="inlineStr">
        <is>
          <t>SB001</t>
        </is>
      </c>
      <c r="B45" s="988" t="inlineStr">
        <is>
          <t>NS 9415:2021+AC:2024 Floating aquaculture farms - Site survey, design, execution and use</t>
        </is>
      </c>
      <c r="C45" s="988" t="inlineStr">
        <is>
          <t>SOURCE_REVIEW</t>
        </is>
      </c>
      <c r="D45" s="988" t="inlineStr">
        <is>
          <t>PAYWALL_BLOCKED; SELECTION_PENDING</t>
        </is>
      </c>
      <c r="E45" s="988" t="inlineStr">
        <is>
          <t>Place an authorised copy in Data/00_Human_Intake or record an authorised retrieval route. | Review the human-governed source fields and choose INCLUDE, PENDING or EXCLUDE in Human Operation Desktop.</t>
        </is>
      </c>
      <c r="F45" s="1177" t="inlineStr">
        <is>
          <t>PENDING</t>
        </is>
      </c>
      <c r="G45" s="1177" t="n"/>
      <c r="H45" s="1177" t="n"/>
      <c r="I45" s="1178" t="inlineStr">
        <is>
          <t>PENDING</t>
        </is>
      </c>
      <c r="J45" s="1178" t="inlineStr">
        <is>
          <t>Official access is restricted by a paywall or licence; provide an authorised copy or retrieval route. | operator_selection_decision is PENDING; mandatory assessment is not HIGH: access_permission.</t>
        </is>
      </c>
      <c r="K45" t="inlineStr">
        <is>
          <t>https://online.standard.no/nb/ns-9415-2021</t>
        </is>
      </c>
      <c r="M45" t="inlineStr">
        <is>
          <t>HIGH</t>
        </is>
      </c>
      <c r="N45" t="inlineStr">
        <is>
          <t>HIGH</t>
        </is>
      </c>
      <c r="O45" t="inlineStr">
        <is>
          <t>HIGH</t>
        </is>
      </c>
      <c r="P45" t="inlineStr">
        <is>
          <t>HIGH</t>
        </is>
      </c>
      <c r="Q45" t="inlineStr">
        <is>
          <t>MEDIUM</t>
        </is>
      </c>
      <c r="R45" t="inlineStr">
        <is>
          <t>PENDING</t>
        </is>
      </c>
      <c r="T45" t="inlineStr">
        <is>
          <t>CURRENT</t>
        </is>
      </c>
      <c r="U45" t="inlineStr">
        <is>
          <t>PA004</t>
        </is>
      </c>
      <c r="V45" t="inlineStr">
        <is>
          <t>Project-mentioned standard referenced by NYTEK23. Licensed access is required before automated retrieval.</t>
        </is>
      </c>
      <c r="X45" t="inlineStr">
        <is>
          <t>B_Standards_Body</t>
        </is>
      </c>
      <c r="Y45" t="inlineStr">
        <is>
          <t>Standards Norway</t>
        </is>
      </c>
      <c r="Z45" t="inlineStr">
        <is>
          <t>Norway</t>
        </is>
      </c>
      <c r="AA45" t="inlineStr">
        <is>
          <t>Technical standard</t>
        </is>
      </c>
      <c r="AB45" t="inlineStr">
        <is>
          <t>Standards body</t>
        </is>
      </c>
      <c r="AC45" t="inlineStr">
        <is>
          <t>Referenced normative</t>
        </is>
      </c>
      <c r="AD45" t="inlineStr">
        <is>
          <t>Norwegian</t>
        </is>
      </c>
      <c r="AE45" t="inlineStr">
        <is>
          <t>pdf</t>
        </is>
      </c>
      <c r="AF45" t="inlineStr">
        <is>
          <t>2021+AC:2024</t>
        </is>
      </c>
      <c r="AH45" t="inlineStr">
        <is>
          <t>Official referenced source from Standards Norway; included because an applicable law, permit or certification scheme may make its provisions binding within the approved scope.</t>
        </is>
      </c>
      <c r="AI45" t="inlineStr">
        <is>
          <t>LOW</t>
        </is>
      </c>
      <c r="AJ45" t="inlineStr">
        <is>
          <t>OFFICIAL_WEBSITE</t>
        </is>
      </c>
      <c r="AK45" t="inlineStr">
        <is>
          <t>OFFICIAL_ORIGINAL</t>
        </is>
      </c>
      <c r="AL45" t="inlineStr">
        <is>
          <t>VERSIONED</t>
        </is>
      </c>
      <c r="AN45" t="inlineStr">
        <is>
          <t>REV-23b8f7a9ea8e3785</t>
        </is>
      </c>
      <c r="AO45" s="725" t="n"/>
      <c r="AP45" s="725" t="n"/>
      <c r="AQ45" s="725" t="n">
        <v>46265.41666666666</v>
      </c>
      <c r="AR45" t="inlineStr">
        <is>
          <t>{"action": "APPLY_FIELD_UPDATES", "issue_codes": ["PAYWALL_BLOCKED", "SELECTION_PENDING"], "retry_after_apply": false, "review_fingerprint": "54e8f4f6c6b1c521", "source_fingerprint": "99158f3e59ce137f03ac", "source_id": "SB001", "updates": {}}</t>
        </is>
      </c>
    </row>
    <row r="46" ht="38" customHeight="1" s="36">
      <c r="A46" s="989" t="inlineStr">
        <is>
          <t>SB002</t>
        </is>
      </c>
      <c r="B46" s="988" t="inlineStr">
        <is>
          <t>NS 9410:2016 Environmental monitoring of benthic impact from marine fish farms</t>
        </is>
      </c>
      <c r="C46" s="988" t="inlineStr">
        <is>
          <t>SOURCE_REVIEW</t>
        </is>
      </c>
      <c r="D46" s="988" t="inlineStr">
        <is>
          <t>PAYWALL_BLOCKED; SELECTION_PENDING</t>
        </is>
      </c>
      <c r="E46" s="988" t="inlineStr">
        <is>
          <t>Place an authorised copy in Data/00_Human_Intake or record an authorised retrieval route. | Review the human-governed source fields and choose INCLUDE, PENDING or EXCLUDE in Human Operation Desktop.</t>
        </is>
      </c>
      <c r="F46" s="1177" t="inlineStr">
        <is>
          <t>PENDING</t>
        </is>
      </c>
      <c r="G46" s="1177" t="n"/>
      <c r="H46" s="1177" t="n"/>
      <c r="I46" s="1178" t="inlineStr">
        <is>
          <t>PENDING</t>
        </is>
      </c>
      <c r="J46" s="1178" t="inlineStr">
        <is>
          <t>Official access is restricted by a paywall or licence; provide an authorised copy or retrieval route. | operator_selection_decision is PENDING; mandatory assessment is not HIGH: version_currency, access_permission.</t>
        </is>
      </c>
      <c r="K46" t="inlineStr">
        <is>
          <t>https://online.standard.no/ns-9410-2016</t>
        </is>
      </c>
      <c r="M46" t="inlineStr">
        <is>
          <t>HIGH</t>
        </is>
      </c>
      <c r="N46" t="inlineStr">
        <is>
          <t>HIGH</t>
        </is>
      </c>
      <c r="O46" t="inlineStr">
        <is>
          <t>MEDIUM</t>
        </is>
      </c>
      <c r="P46" t="inlineStr">
        <is>
          <t>HIGH</t>
        </is>
      </c>
      <c r="Q46" t="inlineStr">
        <is>
          <t>MEDIUM</t>
        </is>
      </c>
      <c r="R46" t="inlineStr">
        <is>
          <t>PENDING</t>
        </is>
      </c>
      <c r="T46" t="inlineStr">
        <is>
          <t>CURRENT</t>
        </is>
      </c>
      <c r="U46" t="inlineStr">
        <is>
          <t>PA044</t>
        </is>
      </c>
      <c r="V46" t="inlineStr">
        <is>
          <t>Official expansion from environmental authority guidance. Licensed access is required.</t>
        </is>
      </c>
      <c r="X46" t="inlineStr">
        <is>
          <t>B_Standards_Body</t>
        </is>
      </c>
      <c r="Y46" t="inlineStr">
        <is>
          <t>Standards Norway</t>
        </is>
      </c>
      <c r="Z46" t="inlineStr">
        <is>
          <t>Norway</t>
        </is>
      </c>
      <c r="AA46" t="inlineStr">
        <is>
          <t>Technical standard</t>
        </is>
      </c>
      <c r="AB46" t="inlineStr">
        <is>
          <t>Standards body</t>
        </is>
      </c>
      <c r="AC46" t="inlineStr">
        <is>
          <t>Referenced normative</t>
        </is>
      </c>
      <c r="AD46" t="inlineStr">
        <is>
          <t>Norwegian</t>
        </is>
      </c>
      <c r="AE46" t="inlineStr">
        <is>
          <t>pdf</t>
        </is>
      </c>
      <c r="AF46" t="inlineStr">
        <is>
          <t>2016</t>
        </is>
      </c>
      <c r="AH46" t="inlineStr">
        <is>
          <t>Official referenced source from Standards Norway; included because an applicable law, permit or certification scheme may make its provisions binding within the approved scope.</t>
        </is>
      </c>
      <c r="AI46" t="inlineStr">
        <is>
          <t>LOW</t>
        </is>
      </c>
      <c r="AJ46" t="inlineStr">
        <is>
          <t>OFFICIAL_WEBSITE</t>
        </is>
      </c>
      <c r="AK46" t="inlineStr">
        <is>
          <t>OFFICIAL_ORIGINAL</t>
        </is>
      </c>
      <c r="AL46" t="inlineStr">
        <is>
          <t>VERSIONED</t>
        </is>
      </c>
      <c r="AN46" t="inlineStr">
        <is>
          <t>REV-5b0f91bee7830e8c</t>
        </is>
      </c>
      <c r="AO46" s="725" t="n"/>
      <c r="AP46" s="725" t="n"/>
      <c r="AQ46" s="725" t="n">
        <v>46265.41666666666</v>
      </c>
      <c r="AR46" t="inlineStr">
        <is>
          <t>{"action": "APPLY_FIELD_UPDATES", "issue_codes": ["PAYWALL_BLOCKED", "SELECTION_PENDING"], "retry_after_apply": false, "review_fingerprint": "6d634d06afc3637c", "source_fingerprint": "b1c973f16f25f73a2162", "source_id": "SB002", "updates": {}}</t>
        </is>
      </c>
    </row>
    <row r="47" ht="38" customHeight="1" s="36">
      <c r="A47" s="989" t="inlineStr">
        <is>
          <t>SB003</t>
        </is>
      </c>
      <c r="B47" s="988" t="inlineStr">
        <is>
          <t>NS 9416:2013 Land-based aquaculture facilities for fish</t>
        </is>
      </c>
      <c r="C47" s="988" t="inlineStr">
        <is>
          <t>SOURCE_REVIEW</t>
        </is>
      </c>
      <c r="D47" s="988" t="inlineStr">
        <is>
          <t>PAYWALL_BLOCKED; SELECTION_PENDING</t>
        </is>
      </c>
      <c r="E47" s="988" t="inlineStr">
        <is>
          <t>Place an authorised copy in Data/00_Human_Intake or record an authorised retrieval route. | Review the human-governed source fields and choose INCLUDE, PENDING or EXCLUDE in Human Operation Desktop.</t>
        </is>
      </c>
      <c r="F47" s="1177" t="inlineStr">
        <is>
          <t>PENDING</t>
        </is>
      </c>
      <c r="G47" s="1177" t="n"/>
      <c r="H47" s="1177" t="n"/>
      <c r="I47" s="1178" t="inlineStr">
        <is>
          <t>PENDING</t>
        </is>
      </c>
      <c r="J47" s="1178" t="inlineStr">
        <is>
          <t>Official access is restricted by a paywall or licence; provide an authorised copy or retrieval route. | operator_selection_decision is PENDING; mandatory assessment is not HIGH: scope_relevance, version_currency, access_permission.</t>
        </is>
      </c>
      <c r="K47" t="inlineStr">
        <is>
          <t>https://online.standard.no/nb/ns-9416-2013</t>
        </is>
      </c>
      <c r="M47" t="inlineStr">
        <is>
          <t>HIGH</t>
        </is>
      </c>
      <c r="N47" t="inlineStr">
        <is>
          <t>MEDIUM</t>
        </is>
      </c>
      <c r="O47" t="inlineStr">
        <is>
          <t>MEDIUM</t>
        </is>
      </c>
      <c r="P47" t="inlineStr">
        <is>
          <t>HIGH</t>
        </is>
      </c>
      <c r="Q47" t="inlineStr">
        <is>
          <t>MEDIUM</t>
        </is>
      </c>
      <c r="R47" t="inlineStr">
        <is>
          <t>PENDING</t>
        </is>
      </c>
      <c r="T47" t="inlineStr">
        <is>
          <t>CURRENT</t>
        </is>
      </c>
      <c r="U47" t="inlineStr">
        <is>
          <t>PA022</t>
        </is>
      </c>
      <c r="V47" t="inlineStr">
        <is>
          <t>Referenced by PA022. A revision project is active, so currency requires explicit monitoring.</t>
        </is>
      </c>
      <c r="X47" t="inlineStr">
        <is>
          <t>B_Standards_Body</t>
        </is>
      </c>
      <c r="Y47" t="inlineStr">
        <is>
          <t>Standards Norway</t>
        </is>
      </c>
      <c r="Z47" t="inlineStr">
        <is>
          <t>Norway</t>
        </is>
      </c>
      <c r="AA47" t="inlineStr">
        <is>
          <t>Technical standard</t>
        </is>
      </c>
      <c r="AB47" t="inlineStr">
        <is>
          <t>Standards body</t>
        </is>
      </c>
      <c r="AC47" t="inlineStr">
        <is>
          <t>Referenced normative</t>
        </is>
      </c>
      <c r="AD47" t="inlineStr">
        <is>
          <t>Norwegian</t>
        </is>
      </c>
      <c r="AE47" t="inlineStr">
        <is>
          <t>pdf</t>
        </is>
      </c>
      <c r="AF47" t="inlineStr">
        <is>
          <t>2013</t>
        </is>
      </c>
      <c r="AH47" t="inlineStr">
        <is>
          <t>Official referenced source from Standards Norway; included because an applicable law, permit or certification scheme may make its provisions binding within the approved scope.</t>
        </is>
      </c>
      <c r="AI47" t="inlineStr">
        <is>
          <t>LOW</t>
        </is>
      </c>
      <c r="AJ47" t="inlineStr">
        <is>
          <t>OFFICIAL_WEBSITE</t>
        </is>
      </c>
      <c r="AK47" t="inlineStr">
        <is>
          <t>OFFICIAL_ORIGINAL</t>
        </is>
      </c>
      <c r="AL47" t="inlineStr">
        <is>
          <t>VERSIONED</t>
        </is>
      </c>
      <c r="AN47" t="inlineStr">
        <is>
          <t>REV-6d35dd892819bbc9</t>
        </is>
      </c>
      <c r="AO47" s="725" t="n"/>
      <c r="AP47" s="725" t="n"/>
      <c r="AQ47" s="725" t="n">
        <v>46265.41666666666</v>
      </c>
      <c r="AR47" t="inlineStr">
        <is>
          <t>{"action": "APPLY_FIELD_UPDATES", "issue_codes": ["PAYWALL_BLOCKED", "SELECTION_PENDING"], "retry_after_apply": false, "review_fingerprint": "9117ae12f5316dc0", "source_fingerprint": "bad0e3f5cea0a2294729", "source_id": "SB003", "updates": {}}</t>
        </is>
      </c>
    </row>
    <row r="48" ht="38" customHeight="1" s="36">
      <c r="A48" s="989" t="inlineStr">
        <is>
          <t>SB004</t>
        </is>
      </c>
      <c r="B48" s="988" t="inlineStr">
        <is>
          <t>NS 5814:2021+AC:2023 Requirements for risk assessments</t>
        </is>
      </c>
      <c r="C48" s="988" t="inlineStr">
        <is>
          <t>SOURCE_REVIEW</t>
        </is>
      </c>
      <c r="D48" s="988" t="inlineStr">
        <is>
          <t>PAYWALL_BLOCKED; SELECTION_PENDING</t>
        </is>
      </c>
      <c r="E48" s="988" t="inlineStr">
        <is>
          <t>Place an authorised copy in Data/00_Human_Intake or record an authorised retrieval route. | Review the human-governed source fields and choose INCLUDE, PENDING or EXCLUDE in Human Operation Desktop.</t>
        </is>
      </c>
      <c r="F48" s="1177" t="inlineStr">
        <is>
          <t>PENDING</t>
        </is>
      </c>
      <c r="G48" s="1177" t="n"/>
      <c r="H48" s="1177" t="n"/>
      <c r="I48" s="1178" t="inlineStr">
        <is>
          <t>PENDING</t>
        </is>
      </c>
      <c r="J48" s="1178" t="inlineStr">
        <is>
          <t>Official access is restricted by a paywall or licence; provide an authorised copy or retrieval route. | operator_selection_decision is PENDING; mandatory assessment is not HIGH: scope_relevance, access_permission.</t>
        </is>
      </c>
      <c r="K48" t="inlineStr">
        <is>
          <t>https://standard.no/fagomrader/risikostyring/ns-5814-krav-til-risikovurderinger/</t>
        </is>
      </c>
      <c r="M48" t="inlineStr">
        <is>
          <t>HIGH</t>
        </is>
      </c>
      <c r="N48" t="inlineStr">
        <is>
          <t>MEDIUM</t>
        </is>
      </c>
      <c r="O48" t="inlineStr">
        <is>
          <t>HIGH</t>
        </is>
      </c>
      <c r="P48" t="inlineStr">
        <is>
          <t>HIGH</t>
        </is>
      </c>
      <c r="Q48" t="inlineStr">
        <is>
          <t>MEDIUM</t>
        </is>
      </c>
      <c r="R48" t="inlineStr">
        <is>
          <t>PENDING</t>
        </is>
      </c>
      <c r="T48" t="inlineStr">
        <is>
          <t>CURRENT</t>
        </is>
      </c>
      <c r="V48" t="inlineStr">
        <is>
          <t>Official expansion from Fiskeridirektoratet risk-management guidance. Include only if adopted by contract, policy or method.</t>
        </is>
      </c>
      <c r="X48" t="inlineStr">
        <is>
          <t>B_Standards_Body</t>
        </is>
      </c>
      <c r="Y48" t="inlineStr">
        <is>
          <t>Standards Norway</t>
        </is>
      </c>
      <c r="Z48" t="inlineStr">
        <is>
          <t>Norway</t>
        </is>
      </c>
      <c r="AA48" t="inlineStr">
        <is>
          <t>Technical standard</t>
        </is>
      </c>
      <c r="AB48" t="inlineStr">
        <is>
          <t>Standards body</t>
        </is>
      </c>
      <c r="AC48" t="inlineStr">
        <is>
          <t>Guidance / interpretation</t>
        </is>
      </c>
      <c r="AD48" t="inlineStr">
        <is>
          <t>Norwegian</t>
        </is>
      </c>
      <c r="AE48" t="inlineStr">
        <is>
          <t>pdf</t>
        </is>
      </c>
      <c r="AF48" t="inlineStr">
        <is>
          <t>2021+AC:2023</t>
        </is>
      </c>
      <c r="AH48" t="inlineStr">
        <is>
          <t>Official guidance from Standards Norway; included to interpret and operationalise linked normative requirements, not as independent legal or certification authority.</t>
        </is>
      </c>
      <c r="AI48" t="inlineStr">
        <is>
          <t>LOW</t>
        </is>
      </c>
      <c r="AJ48" t="inlineStr">
        <is>
          <t>OFFICIAL_WEBSITE</t>
        </is>
      </c>
      <c r="AK48" t="inlineStr">
        <is>
          <t>OFFICIAL_ORIGINAL</t>
        </is>
      </c>
      <c r="AL48" t="inlineStr">
        <is>
          <t>VERSIONED</t>
        </is>
      </c>
      <c r="AN48" t="inlineStr">
        <is>
          <t>REV-22e0e1dc464d8702</t>
        </is>
      </c>
      <c r="AO48" s="725" t="n"/>
      <c r="AP48" s="725" t="n"/>
      <c r="AQ48" s="725" t="n">
        <v>46265.41666666666</v>
      </c>
      <c r="AR48" t="inlineStr">
        <is>
          <t>{"action": "APPLY_FIELD_UPDATES", "issue_codes": ["PAYWALL_BLOCKED", "SELECTION_PENDING"], "retry_after_apply": false, "review_fingerprint": "9e7cf44ea1b1dc51", "source_fingerprint": "093058dd8229d13f4eb0", "source_id": "SB004", "updates": {}}</t>
        </is>
      </c>
    </row>
    <row r="49" ht="38" customHeight="1" s="36">
      <c r="A49" s="989" t="inlineStr">
        <is>
          <t>SB005</t>
        </is>
      </c>
      <c r="B49" s="988" t="inlineStr">
        <is>
          <t>NS-ISO 31000:2018 Risk management - Guidelines</t>
        </is>
      </c>
      <c r="C49" s="988" t="inlineStr">
        <is>
          <t>SOURCE_REVIEW</t>
        </is>
      </c>
      <c r="D49" s="988" t="inlineStr">
        <is>
          <t>PAYWALL_BLOCKED; SELECTION_PENDING</t>
        </is>
      </c>
      <c r="E49" s="988" t="inlineStr">
        <is>
          <t>Place an authorised copy in Data/00_Human_Intake or record an authorised retrieval route. | Review the human-governed source fields and choose INCLUDE, PENDING or EXCLUDE in Human Operation Desktop.</t>
        </is>
      </c>
      <c r="F49" s="1177" t="inlineStr">
        <is>
          <t>PENDING</t>
        </is>
      </c>
      <c r="G49" s="1177" t="n"/>
      <c r="H49" s="1177" t="n"/>
      <c r="I49" s="1178" t="inlineStr">
        <is>
          <t>PENDING</t>
        </is>
      </c>
      <c r="J49" s="1178" t="inlineStr">
        <is>
          <t>Official access is restricted by a paywall or licence; provide an authorised copy or retrieval route. | operator_selection_decision is PENDING; mandatory assessment is not HIGH: scope_relevance, access_permission.</t>
        </is>
      </c>
      <c r="K49" t="inlineStr">
        <is>
          <t>https://standard.no/fagomrader/risikostyring/iso-31000-risikostyring--retningslinjer/</t>
        </is>
      </c>
      <c r="M49" t="inlineStr">
        <is>
          <t>HIGH</t>
        </is>
      </c>
      <c r="N49" t="inlineStr">
        <is>
          <t>MEDIUM</t>
        </is>
      </c>
      <c r="O49" t="inlineStr">
        <is>
          <t>HIGH</t>
        </is>
      </c>
      <c r="P49" t="inlineStr">
        <is>
          <t>HIGH</t>
        </is>
      </c>
      <c r="Q49" t="inlineStr">
        <is>
          <t>MEDIUM</t>
        </is>
      </c>
      <c r="R49" t="inlineStr">
        <is>
          <t>PENDING</t>
        </is>
      </c>
      <c r="T49" t="inlineStr">
        <is>
          <t>CURRENT</t>
        </is>
      </c>
      <c r="V49" t="inlineStr">
        <is>
          <t>Official expansion. Provides guidance rather than certifiable requirements unless contractually adopted.</t>
        </is>
      </c>
      <c r="X49" t="inlineStr">
        <is>
          <t>B_Standards_Body</t>
        </is>
      </c>
      <c r="Y49" t="inlineStr">
        <is>
          <t>Standards Norway / ISO</t>
        </is>
      </c>
      <c r="Z49" t="inlineStr">
        <is>
          <t>International</t>
        </is>
      </c>
      <c r="AA49" t="inlineStr">
        <is>
          <t>Technical standard</t>
        </is>
      </c>
      <c r="AB49" t="inlineStr">
        <is>
          <t>Standards body</t>
        </is>
      </c>
      <c r="AC49" t="inlineStr">
        <is>
          <t>Guidance / interpretation</t>
        </is>
      </c>
      <c r="AD49" t="inlineStr">
        <is>
          <t>Norwegian</t>
        </is>
      </c>
      <c r="AE49" t="inlineStr">
        <is>
          <t>pdf</t>
        </is>
      </c>
      <c r="AF49" t="inlineStr">
        <is>
          <t>2018</t>
        </is>
      </c>
      <c r="AH49" t="inlineStr">
        <is>
          <t>Official guidance from Standards Norway / ISO; included to interpret and operationalise linked normative requirements, not as independent legal or certification authority.</t>
        </is>
      </c>
      <c r="AI49" t="inlineStr">
        <is>
          <t>LOW</t>
        </is>
      </c>
      <c r="AJ49" t="inlineStr">
        <is>
          <t>OFFICIAL_WEBSITE</t>
        </is>
      </c>
      <c r="AK49" t="inlineStr">
        <is>
          <t>OFFICIAL_ORIGINAL</t>
        </is>
      </c>
      <c r="AL49" t="inlineStr">
        <is>
          <t>VERSIONED</t>
        </is>
      </c>
      <c r="AN49" t="inlineStr">
        <is>
          <t>REV-a0afc8bc731a3303</t>
        </is>
      </c>
      <c r="AO49" s="725" t="n"/>
      <c r="AP49" s="725" t="n"/>
      <c r="AQ49" s="725" t="n">
        <v>46265.41666666666</v>
      </c>
      <c r="AR49" t="inlineStr">
        <is>
          <t>{"action": "APPLY_FIELD_UPDATES", "issue_codes": ["PAYWALL_BLOCKED", "SELECTION_PENDING"], "retry_after_apply": false, "review_fingerprint": "2115a2c6738c7e4c", "source_fingerprint": "675c555b75e3d334c176", "source_id": "SB005", "updates": {}}</t>
        </is>
      </c>
    </row>
    <row r="50" ht="38" customHeight="1" s="36">
      <c r="A50" s="989" t="inlineStr">
        <is>
          <t>SB006</t>
        </is>
      </c>
      <c r="B50" s="988" t="inlineStr">
        <is>
          <t>NS-EN ISO 9001:2015 Quality management systems - Requirements</t>
        </is>
      </c>
      <c r="C50" s="988" t="inlineStr">
        <is>
          <t>SOURCE_REVIEW</t>
        </is>
      </c>
      <c r="D50" s="988" t="inlineStr">
        <is>
          <t>PAYWALL_BLOCKED; SELECTION_PENDING</t>
        </is>
      </c>
      <c r="E50" s="988" t="inlineStr">
        <is>
          <t>Place an authorised copy in Data/00_Human_Intake or record an authorised retrieval route. | Review the human-governed source fields and choose INCLUDE, PENDING or EXCLUDE in Human Operation Desktop.</t>
        </is>
      </c>
      <c r="F50" s="1177" t="inlineStr">
        <is>
          <t>PENDING</t>
        </is>
      </c>
      <c r="G50" s="1177" t="n"/>
      <c r="H50" s="1177" t="n"/>
      <c r="I50" s="1178" t="inlineStr">
        <is>
          <t>PENDING</t>
        </is>
      </c>
      <c r="J50" s="1178" t="inlineStr">
        <is>
          <t>Official access is restricted by a paywall or licence; provide an authorised copy or retrieval route. | operator_selection_decision is PENDING; mandatory assessment is not HIGH: scope_relevance, access_permission.</t>
        </is>
      </c>
      <c r="K50" t="inlineStr">
        <is>
          <t>https://standard.no/fagomrader/kvalitetsstyring---iso-9000/ledelsessystemer-for-kvalitet--iso-9001/</t>
        </is>
      </c>
      <c r="M50" t="inlineStr">
        <is>
          <t>HIGH</t>
        </is>
      </c>
      <c r="N50" t="inlineStr">
        <is>
          <t>MEDIUM</t>
        </is>
      </c>
      <c r="O50" t="inlineStr">
        <is>
          <t>HIGH</t>
        </is>
      </c>
      <c r="P50" t="inlineStr">
        <is>
          <t>HIGH</t>
        </is>
      </c>
      <c r="Q50" t="inlineStr">
        <is>
          <t>MEDIUM</t>
        </is>
      </c>
      <c r="R50" t="inlineStr">
        <is>
          <t>PENDING</t>
        </is>
      </c>
      <c r="T50" t="inlineStr">
        <is>
          <t>CURRENT</t>
        </is>
      </c>
      <c r="V50" t="inlineStr">
        <is>
          <t>Official expansion from Fiskeridirektoratet risk-management guidance. Include only if client certification or contract makes it applicable.</t>
        </is>
      </c>
      <c r="X50" t="inlineStr">
        <is>
          <t>B_Standards_Body</t>
        </is>
      </c>
      <c r="Y50" t="inlineStr">
        <is>
          <t>Standards Norway / ISO</t>
        </is>
      </c>
      <c r="Z50" t="inlineStr">
        <is>
          <t>International</t>
        </is>
      </c>
      <c r="AA50" t="inlineStr">
        <is>
          <t>Technical standard</t>
        </is>
      </c>
      <c r="AB50" t="inlineStr">
        <is>
          <t>Standards body</t>
        </is>
      </c>
      <c r="AC50" t="inlineStr">
        <is>
          <t>Referenced normative</t>
        </is>
      </c>
      <c r="AD50" t="inlineStr">
        <is>
          <t>Norwegian</t>
        </is>
      </c>
      <c r="AE50" t="inlineStr">
        <is>
          <t>pdf</t>
        </is>
      </c>
      <c r="AF50" t="inlineStr">
        <is>
          <t>2015</t>
        </is>
      </c>
      <c r="AH50" t="inlineStr">
        <is>
          <t>Official referenced source from Standards Norway / ISO; included because an applicable law, permit or certification scheme may make its provisions binding within the approved scope.</t>
        </is>
      </c>
      <c r="AI50" t="inlineStr">
        <is>
          <t>LOW</t>
        </is>
      </c>
      <c r="AJ50" t="inlineStr">
        <is>
          <t>OFFICIAL_WEBSITE</t>
        </is>
      </c>
      <c r="AK50" t="inlineStr">
        <is>
          <t>OFFICIAL_ORIGINAL</t>
        </is>
      </c>
      <c r="AL50" t="inlineStr">
        <is>
          <t>VERSIONED</t>
        </is>
      </c>
      <c r="AN50" t="inlineStr">
        <is>
          <t>REV-5f9522f7d2d7dc43</t>
        </is>
      </c>
      <c r="AO50" s="725" t="n"/>
      <c r="AP50" s="725" t="n"/>
      <c r="AQ50" s="725" t="n">
        <v>46265.41666666666</v>
      </c>
      <c r="AR50" t="inlineStr">
        <is>
          <t>{"action": "APPLY_FIELD_UPDATES", "issue_codes": ["PAYWALL_BLOCKED", "SELECTION_PENDING"], "retry_after_apply": false, "review_fingerprint": "625821142bfafa5b", "source_fingerprint": "f73ea70ddfc88234fba9", "source_id": "SB006", "updates": {}}</t>
        </is>
      </c>
    </row>
    <row r="51" ht="38" customHeight="1" s="36">
      <c r="A51" s="989" t="inlineStr">
        <is>
          <t>SB007</t>
        </is>
      </c>
      <c r="B51" s="988" t="inlineStr">
        <is>
          <t>NS 3424:2012 Condition survey of construction works - Content and execution</t>
        </is>
      </c>
      <c r="C51" s="988" t="inlineStr">
        <is>
          <t>SOURCE_REVIEW</t>
        </is>
      </c>
      <c r="D51" s="988" t="inlineStr">
        <is>
          <t>PAYWALL_BLOCKED; SELECTION_PENDING</t>
        </is>
      </c>
      <c r="E51" s="988" t="inlineStr">
        <is>
          <t>Place an authorised copy in Data/00_Human_Intake or record an authorised retrieval route. | Review the human-governed source fields and choose INCLUDE, PENDING or EXCLUDE in Human Operation Desktop.</t>
        </is>
      </c>
      <c r="F51" s="1177" t="inlineStr">
        <is>
          <t>PENDING</t>
        </is>
      </c>
      <c r="G51" s="1177" t="n"/>
      <c r="H51" s="1177" t="n"/>
      <c r="I51" s="1178" t="inlineStr">
        <is>
          <t>PENDING</t>
        </is>
      </c>
      <c r="J51" s="1178" t="inlineStr">
        <is>
          <t>Official access is restricted by a paywall or licence; provide an authorised copy or retrieval route. | operator_selection_decision is PENDING; mandatory assessment is not HIGH: scope_relevance, access_permission.</t>
        </is>
      </c>
      <c r="K51" t="inlineStr">
        <is>
          <t>https://online.standard.no/nb/ns-3424-2012</t>
        </is>
      </c>
      <c r="M51" t="inlineStr">
        <is>
          <t>HIGH</t>
        </is>
      </c>
      <c r="N51" t="inlineStr">
        <is>
          <t>MEDIUM</t>
        </is>
      </c>
      <c r="O51" t="inlineStr">
        <is>
          <t>HIGH</t>
        </is>
      </c>
      <c r="P51" t="inlineStr">
        <is>
          <t>HIGH</t>
        </is>
      </c>
      <c r="Q51" t="inlineStr">
        <is>
          <t>MEDIUM</t>
        </is>
      </c>
      <c r="R51" t="inlineStr">
        <is>
          <t>PENDING</t>
        </is>
      </c>
      <c r="T51" t="inlineStr">
        <is>
          <t>CURRENT</t>
        </is>
      </c>
      <c r="U51" t="inlineStr">
        <is>
          <t>PA022</t>
        </is>
      </c>
      <c r="V51" t="inlineStr">
        <is>
          <t>Directly referenced by PA057 for condition assessment of land-based facilities. Licensed access is required.</t>
        </is>
      </c>
      <c r="X51" t="inlineStr">
        <is>
          <t>B_Standards_Body</t>
        </is>
      </c>
      <c r="Y51" t="inlineStr">
        <is>
          <t>Standards Norway</t>
        </is>
      </c>
      <c r="Z51" t="inlineStr">
        <is>
          <t>Norway</t>
        </is>
      </c>
      <c r="AA51" t="inlineStr">
        <is>
          <t>Technical standard</t>
        </is>
      </c>
      <c r="AB51" t="inlineStr">
        <is>
          <t>Standards body</t>
        </is>
      </c>
      <c r="AC51" t="inlineStr">
        <is>
          <t>Referenced normative</t>
        </is>
      </c>
      <c r="AD51" t="inlineStr">
        <is>
          <t>Norwegian</t>
        </is>
      </c>
      <c r="AE51" t="inlineStr">
        <is>
          <t>pdf</t>
        </is>
      </c>
      <c r="AF51" t="inlineStr">
        <is>
          <t>2012</t>
        </is>
      </c>
      <c r="AH51" t="inlineStr">
        <is>
          <t>Official referenced source from Standards Norway; included because an applicable law, permit or certification scheme may make its provisions binding within the approved scope.</t>
        </is>
      </c>
      <c r="AI51" t="inlineStr">
        <is>
          <t>LOW</t>
        </is>
      </c>
      <c r="AJ51" t="inlineStr">
        <is>
          <t>OFFICIAL_WEBSITE</t>
        </is>
      </c>
      <c r="AK51" t="inlineStr">
        <is>
          <t>OFFICIAL_ORIGINAL</t>
        </is>
      </c>
      <c r="AL51" t="inlineStr">
        <is>
          <t>VERSIONED</t>
        </is>
      </c>
      <c r="AN51" t="inlineStr">
        <is>
          <t>REV-86e144db90d2cf51</t>
        </is>
      </c>
      <c r="AO51" s="725" t="n"/>
      <c r="AP51" s="725" t="n"/>
      <c r="AQ51" s="725" t="n">
        <v>46265.41666666666</v>
      </c>
      <c r="AR51" t="inlineStr">
        <is>
          <t>{"action": "APPLY_FIELD_UPDATES", "issue_codes": ["PAYWALL_BLOCKED", "SELECTION_PENDING"], "retry_after_apply": false, "review_fingerprint": "9f05856ed39d0268", "source_fingerprint": "6b3e76451403fe581889", "source_id": "SB007", "updates": {}}</t>
        </is>
      </c>
    </row>
    <row r="52" hidden="1" s="36">
      <c r="A52" s="989" t="inlineStr">
        <is>
          <t>PA029</t>
        </is>
      </c>
      <c r="B52" s="988" t="inlineStr">
        <is>
          <t>Yggdrasil aquaculture map and portal</t>
        </is>
      </c>
      <c r="C52" s="988" t="inlineStr">
        <is>
          <t>SOURCE_REVIEW</t>
        </is>
      </c>
      <c r="D52" s="988" t="inlineStr">
        <is>
          <t>SCOPE_REVIEW</t>
        </is>
      </c>
      <c r="E52" s="988" t="inlineStr">
        <is>
          <t>WITHDRAW_SOURCE</t>
        </is>
      </c>
      <c r="F52" s="1177" t="inlineStr">
        <is>
          <t>ACCEPT</t>
        </is>
      </c>
      <c r="G52" s="1177" t="inlineStr">
        <is>
          <t>Jay</t>
        </is>
      </c>
      <c r="H52" s="1177" t="inlineStr">
        <is>
          <t>Confirmed that Yggdrasil is an interactive map and not a Requirement source.</t>
        </is>
      </c>
      <c r="I52" s="1178" t="inlineStr">
        <is>
          <t>APPLIED</t>
        </is>
      </c>
      <c r="J52" s="1178" t="inlineStr">
        <is>
          <t>scope_relevance set to LOW; source_status set to WITHDRAWN.</t>
        </is>
      </c>
      <c r="K52" t="inlineStr">
        <is>
          <t>https://portal.fiskeridir.no/portal/apps/sites/#/yggdrasil</t>
        </is>
      </c>
      <c r="Y52" t="inlineStr">
        <is>
          <t>Norwegian Directorate of Fisheries</t>
        </is>
      </c>
      <c r="Z52" t="inlineStr">
        <is>
          <t>Norway</t>
        </is>
      </c>
      <c r="AA52" t="inlineStr">
        <is>
          <t>Interactive portal / map</t>
        </is>
      </c>
      <c r="AB52" t="inlineStr">
        <is>
          <t>Spatial and environmental evidence platform</t>
        </is>
      </c>
      <c r="AC52" t="inlineStr">
        <is>
          <t>Supporting / orientation</t>
        </is>
      </c>
      <c r="AD52" t="inlineStr">
        <is>
          <t>Norwegian</t>
        </is>
      </c>
      <c r="AE52" t="inlineStr">
        <is>
          <t>html</t>
        </is>
      </c>
      <c r="AM52" t="inlineStr">
        <is>
          <t>SYSTEM_REVIEW</t>
        </is>
      </c>
      <c r="AN52" t="inlineStr">
        <is>
          <t>REV-PA029-WITHDRAW-20260831</t>
        </is>
      </c>
      <c r="AO52" s="725" t="n">
        <v>46265.29166666666</v>
      </c>
      <c r="AP52" s="725" t="n">
        <v>46265.29166666666</v>
      </c>
      <c r="AQ52" s="725" t="n">
        <v>46265.29166666666</v>
      </c>
      <c r="AR52" t="inlineStr">
        <is>
          <t>{"action":"WITHDRAW_SOURCE","source_id":"PA029"}</t>
        </is>
      </c>
    </row>
    <row r="53" hidden="1" s="36">
      <c r="A53" s="989" t="inlineStr">
        <is>
          <t>PA010</t>
        </is>
      </c>
      <c r="B53" s="988" t="inlineStr">
        <is>
          <t>Regulation (EU) 2016/429 on transmissible animal diseases (Animal Health Law)</t>
        </is>
      </c>
      <c r="C53" s="988" t="inlineStr">
        <is>
          <t>SOURCE_REVIEW</t>
        </is>
      </c>
      <c r="D53" s="988" t="inlineStr">
        <is>
          <t>DOWNLOAD_FAILURE</t>
        </is>
      </c>
      <c r="E53" s="988" t="inlineStr">
        <is>
          <t>RETRY_SOURCE</t>
        </is>
      </c>
      <c r="F53" s="1177" t="inlineStr">
        <is>
          <t>PENDING</t>
        </is>
      </c>
      <c r="G53" s="1177" t="n"/>
      <c r="H53" s="1177" t="n"/>
      <c r="I53" s="1178" t="inlineStr">
        <is>
          <t>APPLIED</t>
        </is>
      </c>
      <c r="J53" s="1178" t="inlineStr">
        <is>
          <t>The underlying source state was resolved automatically; no human decision was required.</t>
        </is>
      </c>
      <c r="K53" t="inlineStr">
        <is>
          <t>https://eur-lex.europa.eu/legal-content/EN/TXT/?uri=CELEX:32016R0429</t>
        </is>
      </c>
      <c r="Y53" t="inlineStr">
        <is>
          <t>European Parliament and Council of the European Union</t>
        </is>
      </c>
      <c r="Z53" t="inlineStr">
        <is>
          <t>EU / EEA</t>
        </is>
      </c>
      <c r="AA53" t="inlineStr">
        <is>
          <t>Regulation</t>
        </is>
      </c>
      <c r="AB53" t="inlineStr">
        <is>
          <t>Public authority</t>
        </is>
      </c>
      <c r="AC53" t="inlineStr">
        <is>
          <t>Referenced normative</t>
        </is>
      </c>
      <c r="AD53" t="inlineStr">
        <is>
          <t>English</t>
        </is>
      </c>
      <c r="AE53" t="inlineStr">
        <is>
          <t>html</t>
        </is>
      </c>
      <c r="AM53" t="inlineStr">
        <is>
          <t>SYSTEM_REVIEW</t>
        </is>
      </c>
      <c r="AN53" t="inlineStr">
        <is>
          <t>REV-e789712a4df3b25e</t>
        </is>
      </c>
      <c r="AO53" s="725" t="n"/>
      <c r="AP53" s="725" t="n">
        <v>46265.44850694444</v>
      </c>
      <c r="AQ53" s="725" t="n">
        <v>46265.41292824074</v>
      </c>
      <c r="AR53" t="inlineStr">
        <is>
          <t>{"action": "RETRY_SOURCE", "source_id": "PA010", "updates": {}}</t>
        </is>
      </c>
    </row>
    <row r="54" hidden="1" s="36">
      <c r="A54" s="989" t="n"/>
      <c r="B54" s="988" t="inlineStr">
        <is>
          <t>Team-reported random QA batch</t>
        </is>
      </c>
      <c r="C54" s="988" t="inlineStr">
        <is>
          <t>RANDOM_QA_BATCH_SUMMARY</t>
        </is>
      </c>
      <c r="D54" s="988" t="inlineStr">
        <is>
          <t>TEAM_REPORTED</t>
        </is>
      </c>
      <c r="E54" s="988" t="inlineStr">
        <is>
          <t>7/7</t>
        </is>
      </c>
      <c r="F54" s="1177" t="inlineStr">
        <is>
          <t>CORRECT</t>
        </is>
      </c>
      <c r="G54" s="1177" t="inlineStr">
        <is>
          <t>Jokic; Ana</t>
        </is>
      </c>
      <c r="H54" s="1177" t="inlineStr">
        <is>
          <t>Seven sources were checked and all were correct. Individual source IDs were not supplied.</t>
        </is>
      </c>
      <c r="I54" s="1178" t="inlineStr">
        <is>
          <t>APPLIED</t>
        </is>
      </c>
      <c r="J54" s="1178" t="inlineStr">
        <is>
          <t>Historical batch summary migrated from the deleted QA worksheet into the retained Human Operation Desktop audit trail.</t>
        </is>
      </c>
      <c r="AM54" t="inlineStr">
        <is>
          <t>TEAM_REPORTED</t>
        </is>
      </c>
      <c r="AN54" t="inlineStr">
        <is>
          <t>QA-20260831-TEAM-001</t>
        </is>
      </c>
      <c r="AO54" s="725" t="n">
        <v>46265</v>
      </c>
      <c r="AP54" s="725" t="n">
        <v>46265.50171299768</v>
      </c>
      <c r="AQ54" s="725" t="n">
        <v>46265.50171299768</v>
      </c>
      <c r="AR54" t="inlineStr">
        <is>
          <t>{"requested_count":7,"checked_count":7,"correct_count":7,"incorrect_count":0,"detail_status":"SUMMARY_ONLY"}</t>
        </is>
      </c>
    </row>
    <row r="55" ht="30" customHeight="1" s="36"/>
    <row r="56" ht="30" customHeight="1" s="36"/>
    <row r="57" ht="30" customHeight="1" s="36"/>
    <row r="58" ht="30" customHeight="1" s="36"/>
    <row r="59" ht="30" customHeight="1" s="36"/>
    <row r="60" ht="30" customHeight="1" s="36"/>
    <row r="61" ht="30" customHeight="1" s="36"/>
    <row r="62" ht="30" customHeight="1" s="36"/>
    <row r="63" ht="30" customHeight="1" s="36"/>
    <row r="64" ht="30" customHeight="1" s="36"/>
    <row r="65" ht="30" customHeight="1" s="36"/>
    <row r="66" ht="30" customHeight="1" s="36"/>
    <row r="67" ht="30" customHeight="1" s="36"/>
    <row r="68" ht="30" customHeight="1" s="36"/>
    <row r="69" ht="30" customHeight="1" s="36"/>
    <row r="70" ht="30" customHeight="1" s="36"/>
    <row r="71" ht="30" customHeight="1" s="36"/>
    <row r="72" ht="30" customHeight="1" s="36"/>
    <row r="73" ht="30" customHeight="1" s="36"/>
    <row r="74" ht="30" customHeight="1" s="36"/>
    <row r="75" ht="30" customHeight="1" s="36"/>
    <row r="76" ht="30" customHeight="1" s="36"/>
    <row r="77" ht="30" customHeight="1" s="36"/>
    <row r="78" ht="30" customHeight="1" s="36"/>
    <row r="79" ht="30" customHeight="1" s="36"/>
    <row r="80" ht="30" customHeight="1" s="36"/>
    <row r="81" ht="30" customHeight="1" s="36"/>
    <row r="82" ht="30" customHeight="1" s="36"/>
    <row r="83" ht="30" customHeight="1" s="36"/>
    <row r="84" ht="30" customHeight="1" s="36"/>
    <row r="85" ht="30" customHeight="1" s="36"/>
    <row r="86" ht="30" customHeight="1" s="36"/>
    <row r="87" ht="30" customHeight="1" s="36"/>
    <row r="88" ht="30" customHeight="1" s="36"/>
    <row r="89" ht="30" customHeight="1" s="36"/>
    <row r="90" ht="30" customHeight="1" s="36"/>
    <row r="91" ht="30" customHeight="1" s="36"/>
    <row r="92" ht="30" customHeight="1" s="36"/>
    <row r="93" ht="30" customHeight="1" s="36"/>
    <row r="94" ht="30" customHeight="1" s="36"/>
    <row r="95" ht="30" customHeight="1" s="36"/>
    <row r="96" ht="30" customHeight="1" s="36"/>
    <row r="97" ht="30" customHeight="1" s="36"/>
    <row r="98" ht="30" customHeight="1" s="36"/>
    <row r="99" ht="30" customHeight="1" s="36"/>
    <row r="100" ht="30" customHeight="1" s="36"/>
    <row r="101" ht="30" customHeight="1" s="36"/>
    <row r="102" ht="30" customHeight="1" s="36"/>
    <row r="103" ht="30" customHeight="1" s="36"/>
    <row r="104" ht="30" customHeight="1" s="36"/>
    <row r="105" ht="30" customHeight="1" s="36"/>
    <row r="106" ht="30" customHeight="1" s="36"/>
    <row r="107" ht="30" customHeight="1" s="36"/>
    <row r="108" ht="30" customHeight="1" s="36"/>
    <row r="109" ht="30" customHeight="1" s="36"/>
    <row r="110" ht="30" customHeight="1" s="36"/>
    <row r="111" ht="30" customHeight="1" s="36"/>
    <row r="112" ht="30" customHeight="1" s="36"/>
    <row r="113" ht="30" customHeight="1" s="36"/>
    <row r="114" ht="30" customHeight="1" s="36"/>
    <row r="115" ht="30" customHeight="1" s="36"/>
    <row r="116" ht="30" customHeight="1" s="36"/>
    <row r="117" ht="30" customHeight="1" s="36"/>
    <row r="118" ht="30" customHeight="1" s="36"/>
    <row r="119" ht="30" customHeight="1" s="36"/>
    <row r="120" ht="30" customHeight="1" s="36"/>
    <row r="121" ht="30" customHeight="1" s="36"/>
    <row r="122" ht="30" customHeight="1" s="36"/>
    <row r="123" ht="30" customHeight="1" s="36"/>
    <row r="124" ht="30" customHeight="1" s="36"/>
    <row r="125" ht="30" customHeight="1" s="36"/>
    <row r="126" ht="30" customHeight="1" s="36"/>
    <row r="127" ht="30" customHeight="1" s="36"/>
    <row r="128" ht="30" customHeight="1" s="36"/>
    <row r="129" ht="30" customHeight="1" s="36"/>
    <row r="130" ht="30" customHeight="1" s="36"/>
    <row r="131" ht="30" customHeight="1" s="36"/>
    <row r="132" ht="30" customHeight="1" s="36"/>
    <row r="133" ht="30" customHeight="1" s="36"/>
    <row r="134" ht="30" customHeight="1" s="36"/>
    <row r="135" ht="30" customHeight="1" s="36"/>
    <row r="136" ht="30" customHeight="1" s="36"/>
    <row r="137" ht="30" customHeight="1" s="36"/>
    <row r="138" ht="30" customHeight="1" s="36"/>
    <row r="139" ht="30" customHeight="1" s="36"/>
    <row r="140" ht="30" customHeight="1" s="36"/>
    <row r="141" ht="30" customHeight="1" s="36"/>
    <row r="142" ht="30" customHeight="1" s="36"/>
    <row r="143" ht="30" customHeight="1" s="36"/>
    <row r="144" ht="30" customHeight="1" s="36"/>
    <row r="145" ht="30" customHeight="1" s="36"/>
    <row r="146" ht="30" customHeight="1" s="36"/>
    <row r="147" ht="30" customHeight="1" s="36"/>
    <row r="148" ht="30" customHeight="1" s="36"/>
    <row r="149" ht="30" customHeight="1" s="36"/>
    <row r="150" ht="30" customHeight="1" s="36"/>
    <row r="151" ht="30" customHeight="1" s="36"/>
    <row r="152" ht="30" customHeight="1" s="36"/>
    <row r="153" ht="30" customHeight="1" s="36"/>
    <row r="154" ht="30" customHeight="1" s="36"/>
    <row r="155" ht="30" customHeight="1" s="36"/>
    <row r="156" ht="30" customHeight="1" s="36"/>
    <row r="157" ht="30" customHeight="1" s="36"/>
    <row r="158" ht="30" customHeight="1" s="36"/>
    <row r="159" ht="30" customHeight="1" s="36"/>
    <row r="160" ht="30" customHeight="1" s="36"/>
    <row r="161" ht="30" customHeight="1" s="36"/>
    <row r="162" ht="30" customHeight="1" s="36"/>
    <row r="163" ht="30" customHeight="1" s="36"/>
    <row r="164" ht="30" customHeight="1" s="36"/>
    <row r="165" ht="30" customHeight="1" s="36"/>
    <row r="166" ht="30" customHeight="1" s="36"/>
    <row r="167" ht="30" customHeight="1" s="36"/>
    <row r="168" ht="30" customHeight="1" s="36"/>
    <row r="169" ht="30" customHeight="1" s="36"/>
    <row r="170" ht="30" customHeight="1" s="36"/>
    <row r="171" ht="30" customHeight="1" s="36"/>
    <row r="172" ht="30" customHeight="1" s="36"/>
    <row r="173" ht="30" customHeight="1" s="36"/>
    <row r="174" ht="30" customHeight="1" s="36"/>
    <row r="175" ht="30" customHeight="1" s="36"/>
    <row r="176" ht="30" customHeight="1" s="36"/>
    <row r="177" ht="30" customHeight="1" s="36"/>
    <row r="178" ht="30" customHeight="1" s="36"/>
    <row r="179" ht="30" customHeight="1" s="36"/>
    <row r="180" ht="30" customHeight="1" s="36"/>
    <row r="181" ht="30" customHeight="1" s="36"/>
    <row r="182" ht="30" customHeight="1" s="36"/>
    <row r="183" ht="30" customHeight="1" s="36"/>
    <row r="184" ht="30" customHeight="1" s="36"/>
    <row r="185" ht="30" customHeight="1" s="36"/>
    <row r="186" ht="30" customHeight="1" s="36"/>
    <row r="187" ht="30" customHeight="1" s="36"/>
    <row r="188" ht="30" customHeight="1" s="36"/>
    <row r="189" ht="30" customHeight="1" s="36"/>
    <row r="190" ht="30" customHeight="1" s="36"/>
    <row r="191" ht="30" customHeight="1" s="36"/>
    <row r="192" ht="30" customHeight="1" s="36"/>
    <row r="193" ht="30" customHeight="1" s="36"/>
    <row r="194" ht="30" customHeight="1" s="36"/>
    <row r="195" ht="30" customHeight="1" s="36"/>
    <row r="196" ht="30" customHeight="1" s="36"/>
    <row r="197" ht="30" customHeight="1" s="36"/>
    <row r="198" ht="30" customHeight="1" s="36"/>
    <row r="199" ht="30" customHeight="1" s="36"/>
    <row r="200" ht="30" customHeight="1" s="36"/>
    <row r="201" ht="30" customHeight="1" s="36"/>
    <row r="202" ht="30" customHeight="1" s="36"/>
    <row r="203" ht="30" customHeight="1" s="36"/>
    <row r="204" ht="30" customHeight="1" s="36"/>
    <row r="205" ht="30" customHeight="1" s="36"/>
    <row r="206" ht="30" customHeight="1" s="36"/>
    <row r="207" ht="30" customHeight="1" s="36"/>
    <row r="208" ht="30" customHeight="1" s="36"/>
    <row r="209" ht="30" customHeight="1" s="36"/>
    <row r="210" ht="30" customHeight="1" s="36"/>
    <row r="211" ht="30" customHeight="1" s="36"/>
    <row r="212" ht="30" customHeight="1" s="36"/>
    <row r="213" ht="30" customHeight="1" s="36"/>
    <row r="214" ht="30" customHeight="1" s="36"/>
    <row r="215" ht="30" customHeight="1" s="36"/>
    <row r="216" ht="30" customHeight="1" s="36"/>
    <row r="217" ht="30" customHeight="1" s="36"/>
    <row r="218" ht="30" customHeight="1" s="36"/>
    <row r="219" ht="30" customHeight="1" s="36"/>
    <row r="220" ht="30" customHeight="1" s="36"/>
    <row r="221" ht="30" customHeight="1" s="36"/>
    <row r="222" ht="30" customHeight="1" s="36"/>
    <row r="223" ht="30" customHeight="1" s="36"/>
    <row r="224" ht="30" customHeight="1" s="36"/>
    <row r="225" ht="30" customHeight="1" s="36"/>
    <row r="226" ht="30" customHeight="1" s="36"/>
    <row r="227" ht="30" customHeight="1" s="36"/>
    <row r="228" ht="30" customHeight="1" s="36"/>
    <row r="229" ht="30" customHeight="1" s="36"/>
    <row r="230" ht="30" customHeight="1" s="36"/>
    <row r="231" ht="30" customHeight="1" s="36"/>
    <row r="232" ht="30" customHeight="1" s="36"/>
    <row r="233" ht="30" customHeight="1" s="36"/>
    <row r="234" ht="30" customHeight="1" s="36"/>
    <row r="235" ht="30" customHeight="1" s="36"/>
    <row r="236" ht="30" customHeight="1" s="36"/>
    <row r="237" ht="30" customHeight="1" s="36"/>
    <row r="238" ht="30" customHeight="1" s="36"/>
    <row r="239" ht="30" customHeight="1" s="36"/>
    <row r="240" ht="30" customHeight="1" s="36"/>
    <row r="241" ht="30" customHeight="1" s="36"/>
    <row r="242" ht="30" customHeight="1" s="36"/>
    <row r="243" ht="30" customHeight="1" s="36"/>
    <row r="244" ht="30" customHeight="1" s="36"/>
    <row r="245" ht="30" customHeight="1" s="36"/>
    <row r="246" ht="30" customHeight="1" s="36"/>
    <row r="247" ht="30" customHeight="1" s="36"/>
    <row r="248" ht="30" customHeight="1" s="36"/>
    <row r="249" ht="30" customHeight="1" s="36"/>
    <row r="250" ht="30" customHeight="1" s="36"/>
    <row r="251" ht="30" customHeight="1" s="36"/>
    <row r="252" ht="30" customHeight="1" s="36"/>
    <row r="253" ht="30" customHeight="1" s="36"/>
    <row r="254" ht="30" customHeight="1" s="36"/>
    <row r="255" ht="30" customHeight="1" s="36"/>
    <row r="256" ht="30" customHeight="1" s="36"/>
    <row r="257" ht="30" customHeight="1" s="36"/>
    <row r="258" ht="30" customHeight="1" s="36"/>
    <row r="259" ht="30" customHeight="1" s="36"/>
    <row r="260" ht="30" customHeight="1" s="36"/>
    <row r="261" ht="30" customHeight="1" s="36"/>
    <row r="262" ht="30" customHeight="1" s="36"/>
    <row r="263" ht="30" customHeight="1" s="36"/>
    <row r="264" ht="30" customHeight="1" s="36"/>
    <row r="265" ht="30" customHeight="1" s="36"/>
    <row r="266" ht="30" customHeight="1" s="36"/>
    <row r="267" ht="30" customHeight="1" s="36"/>
    <row r="268" ht="30" customHeight="1" s="36"/>
    <row r="269" ht="30" customHeight="1" s="36"/>
    <row r="270" ht="30" customHeight="1" s="36"/>
    <row r="271" ht="30" customHeight="1" s="36"/>
    <row r="272" ht="30" customHeight="1" s="36"/>
    <row r="273" ht="30" customHeight="1" s="36"/>
    <row r="274" ht="30" customHeight="1" s="36"/>
    <row r="275" ht="30" customHeight="1" s="36"/>
    <row r="276" ht="30" customHeight="1" s="36"/>
    <row r="277" ht="30" customHeight="1" s="36"/>
    <row r="278" ht="30" customHeight="1" s="36"/>
    <row r="279" ht="30" customHeight="1" s="36"/>
    <row r="280" ht="30" customHeight="1" s="36"/>
    <row r="281" ht="30" customHeight="1" s="36"/>
    <row r="282" ht="30" customHeight="1" s="36"/>
    <row r="283" ht="30" customHeight="1" s="36"/>
    <row r="284" ht="30" customHeight="1" s="36"/>
    <row r="285" ht="30" customHeight="1" s="36"/>
    <row r="286" ht="30" customHeight="1" s="36"/>
    <row r="287" ht="30" customHeight="1" s="36"/>
    <row r="288" ht="30" customHeight="1" s="36"/>
    <row r="289" ht="30" customHeight="1" s="36"/>
    <row r="290" ht="30" customHeight="1" s="36"/>
    <row r="291" ht="30" customHeight="1" s="36"/>
    <row r="292" ht="30" customHeight="1" s="36"/>
    <row r="293" ht="30" customHeight="1" s="36"/>
    <row r="294" ht="30" customHeight="1" s="36"/>
    <row r="295" ht="30" customHeight="1" s="36"/>
    <row r="296" ht="30" customHeight="1" s="36"/>
    <row r="297" ht="30" customHeight="1" s="36"/>
    <row r="298" ht="30" customHeight="1" s="36"/>
    <row r="299" ht="30" customHeight="1" s="36"/>
    <row r="300" ht="30" customHeight="1" s="36"/>
    <row r="301" ht="30" customHeight="1" s="36"/>
    <row r="302" ht="30" customHeight="1" s="36"/>
    <row r="303" ht="30" customHeight="1" s="36"/>
    <row r="304" ht="30" customHeight="1" s="36"/>
    <row r="305" ht="30" customHeight="1" s="36"/>
    <row r="306" ht="30" customHeight="1" s="36"/>
    <row r="307" ht="30" customHeight="1" s="36"/>
    <row r="308" ht="30" customHeight="1" s="36"/>
    <row r="309" ht="30" customHeight="1" s="36"/>
    <row r="310" ht="30" customHeight="1" s="36"/>
    <row r="311" ht="30" customHeight="1" s="36"/>
    <row r="312" ht="30" customHeight="1" s="36"/>
    <row r="313" ht="30" customHeight="1" s="36"/>
    <row r="314" ht="30" customHeight="1" s="36"/>
    <row r="315" ht="30" customHeight="1" s="36"/>
    <row r="316" ht="30" customHeight="1" s="36"/>
    <row r="317" ht="30" customHeight="1" s="36"/>
    <row r="318" ht="30" customHeight="1" s="36"/>
    <row r="319" ht="30" customHeight="1" s="36"/>
    <row r="320" ht="30" customHeight="1" s="36"/>
    <row r="321" ht="30" customHeight="1" s="36"/>
    <row r="322" ht="30" customHeight="1" s="36"/>
    <row r="323" ht="30" customHeight="1" s="36"/>
    <row r="324" ht="30" customHeight="1" s="36"/>
    <row r="325" ht="30" customHeight="1" s="36"/>
    <row r="326" ht="30" customHeight="1" s="36"/>
    <row r="327" ht="30" customHeight="1" s="36"/>
    <row r="328" ht="30" customHeight="1" s="36"/>
    <row r="329" ht="30" customHeight="1" s="36"/>
    <row r="330" ht="30" customHeight="1" s="36"/>
    <row r="331" ht="30" customHeight="1" s="36"/>
    <row r="332" ht="30" customHeight="1" s="36"/>
    <row r="333" ht="30" customHeight="1" s="36"/>
    <row r="334" ht="30" customHeight="1" s="36"/>
    <row r="335" ht="30" customHeight="1" s="36"/>
    <row r="336" ht="30" customHeight="1" s="36"/>
    <row r="337" ht="30" customHeight="1" s="36"/>
    <row r="338" ht="30" customHeight="1" s="36"/>
    <row r="339" ht="30" customHeight="1" s="36"/>
    <row r="340" ht="30" customHeight="1" s="36"/>
    <row r="341" ht="30" customHeight="1" s="36"/>
    <row r="342" ht="30" customHeight="1" s="36"/>
    <row r="343" ht="30" customHeight="1" s="36"/>
    <row r="344" ht="30" customHeight="1" s="36"/>
    <row r="345" ht="30" customHeight="1" s="36"/>
    <row r="346" ht="30" customHeight="1" s="36"/>
    <row r="347" ht="30" customHeight="1" s="36"/>
    <row r="348" ht="30" customHeight="1" s="36"/>
    <row r="349" ht="30" customHeight="1" s="36"/>
    <row r="350" ht="30" customHeight="1" s="36"/>
    <row r="351" ht="30" customHeight="1" s="36"/>
    <row r="352" ht="30" customHeight="1" s="36"/>
    <row r="353" ht="30" customHeight="1" s="36"/>
    <row r="354" ht="30" customHeight="1" s="36"/>
    <row r="355" ht="30" customHeight="1" s="36"/>
    <row r="356" ht="30" customHeight="1" s="36"/>
    <row r="357" ht="30" customHeight="1" s="36"/>
    <row r="358" ht="30" customHeight="1" s="36"/>
    <row r="359" ht="30" customHeight="1" s="36"/>
    <row r="360" ht="30" customHeight="1" s="36"/>
    <row r="361" ht="30" customHeight="1" s="36"/>
    <row r="362" ht="30" customHeight="1" s="36"/>
    <row r="363" ht="30" customHeight="1" s="36"/>
    <row r="364" ht="30" customHeight="1" s="36"/>
    <row r="365" ht="30" customHeight="1" s="36"/>
    <row r="366" ht="30" customHeight="1" s="36"/>
    <row r="367" ht="30" customHeight="1" s="36"/>
    <row r="368" ht="30" customHeight="1" s="36"/>
    <row r="369" ht="30" customHeight="1" s="36"/>
    <row r="370" ht="30" customHeight="1" s="36"/>
    <row r="371" ht="30" customHeight="1" s="36"/>
    <row r="372" ht="30" customHeight="1" s="36"/>
    <row r="373" ht="30" customHeight="1" s="36"/>
    <row r="374" ht="30" customHeight="1" s="36"/>
    <row r="375" ht="30" customHeight="1" s="36"/>
    <row r="376" ht="30" customHeight="1" s="36"/>
    <row r="377" ht="30" customHeight="1" s="36"/>
    <row r="378" ht="30" customHeight="1" s="36"/>
    <row r="379" ht="30" customHeight="1" s="36"/>
    <row r="380" ht="30" customHeight="1" s="36"/>
    <row r="381" ht="30" customHeight="1" s="36"/>
    <row r="382" ht="30" customHeight="1" s="36"/>
    <row r="383" ht="30" customHeight="1" s="36"/>
    <row r="384" ht="30" customHeight="1" s="36"/>
    <row r="385" ht="30" customHeight="1" s="36"/>
    <row r="386" ht="30" customHeight="1" s="36"/>
    <row r="387" ht="30" customHeight="1" s="36"/>
    <row r="388" ht="30" customHeight="1" s="36"/>
    <row r="389" ht="30" customHeight="1" s="36"/>
    <row r="390" ht="30" customHeight="1" s="36"/>
    <row r="391" ht="30" customHeight="1" s="36"/>
    <row r="392" ht="30" customHeight="1" s="36"/>
    <row r="393" ht="30" customHeight="1" s="36"/>
    <row r="394" ht="30" customHeight="1" s="36"/>
    <row r="395" ht="30" customHeight="1" s="36"/>
    <row r="396" ht="30" customHeight="1" s="36"/>
    <row r="397" ht="30" customHeight="1" s="36"/>
    <row r="398" ht="30" customHeight="1" s="36"/>
    <row r="399" ht="30" customHeight="1" s="36"/>
    <row r="400" ht="30" customHeight="1" s="36"/>
    <row r="401" ht="30" customHeight="1" s="36"/>
    <row r="402" ht="30" customHeight="1" s="36"/>
    <row r="403" ht="30" customHeight="1" s="36"/>
    <row r="404" ht="30" customHeight="1" s="36"/>
    <row r="405" ht="30" customHeight="1" s="36"/>
    <row r="406" ht="30" customHeight="1" s="36"/>
    <row r="407" ht="30" customHeight="1" s="36"/>
    <row r="408" ht="30" customHeight="1" s="36"/>
    <row r="409" ht="30" customHeight="1" s="36"/>
    <row r="410" ht="30" customHeight="1" s="36"/>
    <row r="411" ht="30" customHeight="1" s="36"/>
    <row r="412" ht="30" customHeight="1" s="36"/>
    <row r="413" ht="30" customHeight="1" s="36"/>
    <row r="414" ht="30" customHeight="1" s="36"/>
    <row r="415" ht="30" customHeight="1" s="36"/>
    <row r="416" ht="30" customHeight="1" s="36"/>
    <row r="417" ht="30" customHeight="1" s="36"/>
    <row r="418" ht="30" customHeight="1" s="36"/>
    <row r="419" ht="30" customHeight="1" s="36"/>
    <row r="420" ht="30" customHeight="1" s="36"/>
    <row r="421" ht="30" customHeight="1" s="36"/>
    <row r="422" ht="30" customHeight="1" s="36"/>
    <row r="423" ht="30" customHeight="1" s="36"/>
    <row r="424" ht="30" customHeight="1" s="36"/>
    <row r="425" ht="30" customHeight="1" s="36"/>
    <row r="426" ht="30" customHeight="1" s="36"/>
    <row r="427" ht="30" customHeight="1" s="36"/>
    <row r="428" ht="30" customHeight="1" s="36"/>
    <row r="429" ht="30" customHeight="1" s="36"/>
    <row r="430" ht="30" customHeight="1" s="36"/>
    <row r="431" ht="30" customHeight="1" s="36"/>
    <row r="432" ht="30" customHeight="1" s="36"/>
    <row r="433" ht="30" customHeight="1" s="36"/>
    <row r="434" ht="30" customHeight="1" s="36"/>
    <row r="435" ht="30" customHeight="1" s="36"/>
    <row r="436" ht="30" customHeight="1" s="36"/>
    <row r="437" ht="30" customHeight="1" s="36"/>
    <row r="438" ht="30" customHeight="1" s="36"/>
    <row r="439" ht="30" customHeight="1" s="36"/>
    <row r="440" ht="30" customHeight="1" s="36"/>
    <row r="441" ht="30" customHeight="1" s="36"/>
    <row r="442" ht="30" customHeight="1" s="36"/>
    <row r="443" ht="30" customHeight="1" s="36"/>
    <row r="444" ht="30" customHeight="1" s="36"/>
    <row r="445" ht="30" customHeight="1" s="36"/>
    <row r="446" ht="30" customHeight="1" s="36"/>
    <row r="447" ht="30" customHeight="1" s="36"/>
    <row r="448" ht="30" customHeight="1" s="36"/>
    <row r="449" ht="30" customHeight="1" s="36"/>
    <row r="450" ht="30" customHeight="1" s="36"/>
    <row r="451" ht="30" customHeight="1" s="36"/>
    <row r="452" ht="30" customHeight="1" s="36"/>
    <row r="453" ht="30" customHeight="1" s="36"/>
    <row r="454" ht="30" customHeight="1" s="36"/>
    <row r="455" ht="30" customHeight="1" s="36"/>
    <row r="456" ht="30" customHeight="1" s="36"/>
    <row r="457" ht="30" customHeight="1" s="36"/>
    <row r="458" ht="30" customHeight="1" s="36"/>
    <row r="459" ht="30" customHeight="1" s="36"/>
    <row r="460" ht="30" customHeight="1" s="36"/>
    <row r="461" ht="30" customHeight="1" s="36"/>
    <row r="462" ht="30" customHeight="1" s="36"/>
    <row r="463" ht="30" customHeight="1" s="36"/>
    <row r="464" ht="30" customHeight="1" s="36"/>
    <row r="465" ht="30" customHeight="1" s="36"/>
    <row r="466" ht="30" customHeight="1" s="36"/>
    <row r="467" ht="30" customHeight="1" s="36"/>
    <row r="468" ht="30" customHeight="1" s="36"/>
    <row r="469" ht="30" customHeight="1" s="36"/>
    <row r="470" ht="30" customHeight="1" s="36"/>
    <row r="471" ht="30" customHeight="1" s="36"/>
    <row r="472" ht="30" customHeight="1" s="36"/>
    <row r="473" ht="30" customHeight="1" s="36"/>
    <row r="474" ht="30" customHeight="1" s="36"/>
    <row r="475" ht="30" customHeight="1" s="36"/>
    <row r="476" ht="30" customHeight="1" s="36"/>
    <row r="477" ht="30" customHeight="1" s="36"/>
    <row r="478" ht="30" customHeight="1" s="36"/>
    <row r="479" ht="30" customHeight="1" s="36"/>
    <row r="480" ht="30" customHeight="1" s="36"/>
    <row r="481" ht="30" customHeight="1" s="36"/>
    <row r="482" ht="30" customHeight="1" s="36"/>
    <row r="483" ht="30" customHeight="1" s="36"/>
    <row r="484" ht="30" customHeight="1" s="36"/>
    <row r="485" ht="30" customHeight="1" s="36"/>
    <row r="486" ht="30" customHeight="1" s="36"/>
    <row r="487" ht="30" customHeight="1" s="36"/>
    <row r="488" ht="30" customHeight="1" s="36"/>
    <row r="489" ht="30" customHeight="1" s="36"/>
    <row r="490" ht="30" customHeight="1" s="36"/>
    <row r="491" ht="30" customHeight="1" s="36"/>
    <row r="492" ht="30" customHeight="1" s="36"/>
    <row r="493" ht="30" customHeight="1" s="36"/>
    <row r="494" ht="30" customHeight="1" s="36"/>
    <row r="495" ht="30" customHeight="1" s="36"/>
    <row r="496" ht="30" customHeight="1" s="36"/>
    <row r="497" ht="30" customHeight="1" s="36"/>
    <row r="498" ht="30" customHeight="1" s="36"/>
    <row r="499" ht="30" customHeight="1" s="36"/>
    <row r="500" ht="30" customHeight="1" s="36"/>
    <row r="501" ht="30" customHeight="1" s="36"/>
    <row r="502" ht="30" customHeight="1" s="36"/>
  </sheetData>
  <mergeCells count="4">
    <mergeCell ref="A1:J1"/>
    <mergeCell ref="AN1:AR1"/>
    <mergeCell ref="K1:V1"/>
    <mergeCell ref="W1:AM1"/>
  </mergeCells>
  <conditionalFormatting sqref="G3:G502">
    <cfRule type="containsText" priority="1" operator="containsText" dxfId="3" text="PENDING"/>
    <cfRule type="containsText" priority="2" operator="containsText" dxfId="4" text="ACCEPT"/>
    <cfRule type="containsText" priority="3" operator="containsText" dxfId="4" text="CORRECT"/>
    <cfRule type="containsText" priority="4" operator="containsText" dxfId="0" text="REJECT"/>
    <cfRule type="containsText" priority="5" operator="containsText" dxfId="0" text="INCORRECT"/>
    <cfRule type="containsText" priority="12" operator="containsText" dxfId="36" text="ACCEPT"/>
    <cfRule type="containsText" priority="13" operator="containsText" dxfId="38" text="REJECT"/>
    <cfRule type="containsText" priority="14" operator="containsText" dxfId="47" text="PENDING"/>
    <cfRule type="containsText" priority="15" operator="containsText" dxfId="36" text="ACCEPT"/>
    <cfRule type="containsText" priority="16" operator="containsText" dxfId="38" text="REJECT"/>
    <cfRule type="containsText" priority="17" operator="containsText" dxfId="47" text="PENDING"/>
  </conditionalFormatting>
  <conditionalFormatting sqref="K3:K502">
    <cfRule type="containsText" priority="6" operator="containsText" dxfId="4" text="APPLIED"/>
    <cfRule type="containsText" priority="7" operator="containsText" dxfId="25" text="REJECTED"/>
    <cfRule type="containsText" priority="8" operator="containsText" dxfId="3" text="PENDING"/>
    <cfRule type="containsText" priority="9" operator="containsText" dxfId="3" text="WAITING_FOR_HUMAN"/>
    <cfRule type="containsText" priority="10" operator="containsText" dxfId="0" text="NEEDS_REPLAN"/>
    <cfRule type="containsText" priority="11" operator="containsText" dxfId="9" text="QUEUED"/>
  </conditionalFormatting>
  <conditionalFormatting sqref="E3:E502">
    <cfRule type="containsText" priority="18" operator="containsText" dxfId="36" text="ACCEPT"/>
    <cfRule type="containsText" priority="19" operator="containsText" dxfId="38" text="REJECT"/>
    <cfRule type="containsText" priority="20" operator="containsText" dxfId="47" text="PENDING"/>
  </conditionalFormatting>
  <conditionalFormatting sqref="F3:F54">
    <cfRule type="containsText" priority="51" operator="containsText" dxfId="89" text="PENDING"/>
    <cfRule type="containsText" priority="52" operator="containsText" dxfId="90" text="APPLY"/>
    <cfRule type="containsText" priority="53" operator="containsText" dxfId="90" text="ACCEPT"/>
    <cfRule type="containsText" priority="54" operator="containsText" dxfId="90" text="CORRECT"/>
    <cfRule type="containsText" priority="55" operator="containsText" dxfId="93" text="RETURN"/>
    <cfRule type="containsText" priority="56" operator="containsText" dxfId="93" text="REJECT"/>
    <cfRule type="containsText" priority="57" operator="containsText" dxfId="93" text="INCORRECT"/>
  </conditionalFormatting>
  <conditionalFormatting sqref="I3:I54">
    <cfRule type="containsText" priority="58" operator="containsText" dxfId="96" text="PENDING"/>
    <cfRule type="containsText" priority="59" operator="containsText" dxfId="93" text="WAITING"/>
    <cfRule type="containsText" priority="60" operator="containsText" dxfId="93" text="REPLAN"/>
  </conditionalFormatting>
  <dataValidations count="72">
    <dataValidation sqref="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showDropDown="0" showInputMessage="0" showErrorMessage="0" allowBlank="0" type="list">
      <formula1>"Public authority,Standards body,Certification scheme,Manufacturer / supplier,Project / engineering,Client / internal,Pending classification"</formula1>
    </dataValidation>
    <dataValidation sqref="W3:W502" showDropDown="0" showInputMessage="0" showErrorMessage="0" allowBlank="0" type="list">
      <formula1>"Primary normative,Referenced normative,Asset-specific normative,Guidance / interpretation,Audit / assessment tool,Context / evidence,Draft working material"</formula1>
    </dataValidation>
    <dataValidation sqref="X3:X502" showDropDown="0" showInputMessage="0" showErrorMessage="0" allowBlank="0" type="list">
      <formula1>"English,Norwegian,Other"</formula1>
    </dataValidation>
    <dataValidation sqref="Y3:Y502" showDropDown="0" showInputMessage="0" showErrorMessage="0" allowBlank="0" type="list">
      <formula1>"html,pdf,xlsx,zip"</formula1>
    </dataValidation>
    <dataValidation sqref="AC3:AH502" showDropDown="0" showInputMessage="0" showErrorMessage="0" allowBlank="0" type="list">
      <formula1>"LOW,MEDIUM,HIGH"</formula1>
    </dataValidation>
    <dataValidation sqref="AI3:AI502" showDropDown="0" showInputMessage="0" showErrorMessage="0" allowBlank="0" type="list">
      <formula1>"html,pdf,xlsx,zip"</formula1>
    </dataValidation>
    <dataValidation sqref="AJ3:AJ502" showDropDown="0" showInputMessage="0" showErrorMessage="0" allowBlank="0" type="list">
      <formula1>"OFFICIAL_WEBSITE,CLIENT_OR_SITE,SUPPLIER_OR_INTEGRATOR,INTERNAL_REPOSITORY,OTHER"</formula1>
    </dataValidation>
    <dataValidation sqref="AK3:AK502" showDropDown="0" showInputMessage="0" showErrorMessage="0" allowBlank="0" type="list">
      <formula1>"OFFICIAL_ORIGINAL,AUTHORISED_COPY,CLIENT_PROVIDED_COPY,UNVERIFIED"</formula1>
    </dataValidation>
    <dataValidation sqref="AL3:AL502" showDropDown="0" showInputMessage="0" showErrorMessage="0" allowBlank="0" type="list">
      <formula1>"VERSIONED,ROLLING,UNKNOWN"</formula1>
    </dataValidation>
    <dataValidation sqref="AN3:AN502" showDropDown="0" showInputMessage="0" showErrorMessage="0" allowBlank="0" type="list">
      <formula1>"OFFICIAL_WEBSITE,CLIENT_OR_SITE,SUPPLIER_OR_INTEGRATOR,INTERNAL_REPOSITORY,OTHER"</formula1>
    </dataValidation>
    <dataValidation sqref="E3:E502" showDropDown="0" showInputMessage="0" showErrorMessage="0" allowBlank="0" type="list">
      <formula1>"PENDING,ACCEPT,REJECT,CORRECT,INCORRECT"</formula1>
    </dataValidation>
    <dataValidation sqref="M3:Q502" showDropDown="0" showInputMessage="0" showErrorMessage="0" allowBlank="0" type="list">
      <formula1>"LOW,MEDIUM,HIGH"</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F3:AF502" showDropDown="0" showInputMessage="0" showErrorMessage="0" allowBlank="0" type="list">
      <formula1>"Public authority,Standards body,Certification scheme,Manufacturer / supplier,Project / engineering,Client / internal,Pending classification"</formula1>
    </dataValidation>
    <dataValidation sqref="AG3:AG502" showDropDown="0" showInputMessage="0" showErrorMessage="0" allowBlank="0" type="list">
      <formula1>"Primary normative,Referenced normative,Asset-specific normative,Guidance / interpretation,Audit / assessment tool,Context / evidence,Draft working material"</formula1>
    </dataValidation>
    <dataValidation sqref="AH3:AH502" showDropDown="0" showInputMessage="0" showErrorMessage="0" allowBlank="0" type="list">
      <formula1>"English,Norwegian,Other"</formula1>
    </dataValidation>
    <dataValidation sqref="AO3:AO502" showDropDown="0" showInputMessage="0" showErrorMessage="0" allowBlank="0" type="list">
      <formula1>"OFFICIAL_ORIGINAL,AUTHORISED_COPY,CLIENT_PROVIDED_COPY,UNVERIFIED"</formula1>
    </dataValidation>
    <dataValidation sqref="AP3:AP502" showDropDown="0" showInputMessage="0" showErrorMessage="0" allowBlank="0" type="list">
      <formula1>"VERSIONED,ROLLING,UNKNOWN"</formula1>
    </dataValidation>
    <dataValidation sqref="F3" showDropDown="0" showInputMessage="0" showErrorMessage="0" allowBlank="0" type="list">
      <formula1>"PENDING,APPLY,RETURN"</formula1>
    </dataValidation>
    <dataValidation sqref="F4" showDropDown="0" showInputMessage="0" showErrorMessage="0" allowBlank="0" type="list">
      <formula1>"PENDING,APPLY,RETURN"</formula1>
    </dataValidation>
    <dataValidation sqref="F5" showDropDown="0" showInputMessage="0" showErrorMessage="0" allowBlank="0" type="list">
      <formula1>"PENDING,APPLY,RETURN"</formula1>
    </dataValidation>
    <dataValidation sqref="F6" showDropDown="0" showInputMessage="0" showErrorMessage="0" allowBlank="0" type="list">
      <formula1>"PENDING,APPLY,RETURN"</formula1>
    </dataValidation>
    <dataValidation sqref="F7" showDropDown="0" showInputMessage="0" showErrorMessage="0" allowBlank="0" type="list">
      <formula1>"PENDING,APPLY,RETURN"</formula1>
    </dataValidation>
    <dataValidation sqref="F8" showDropDown="0" showInputMessage="0" showErrorMessage="0" allowBlank="0" type="list">
      <formula1>"PENDING,APPLY,RETURN"</formula1>
    </dataValidation>
    <dataValidation sqref="F9" showDropDown="0" showInputMessage="0" showErrorMessage="0" allowBlank="0" type="list">
      <formula1>"PENDING,APPLY,RETURN"</formula1>
    </dataValidation>
    <dataValidation sqref="F10" showDropDown="0" showInputMessage="0" showErrorMessage="0" allowBlank="0" type="list">
      <formula1>"PENDING,APPLY,RETURN"</formula1>
    </dataValidation>
    <dataValidation sqref="F11" showDropDown="0" showInputMessage="0" showErrorMessage="0" allowBlank="0" type="list">
      <formula1>"PENDING,APPLY,RETURN"</formula1>
    </dataValidation>
    <dataValidation sqref="F12" showDropDown="0" showInputMessage="0" showErrorMessage="0" allowBlank="0" type="list">
      <formula1>"PENDING,APPLY,RETURN"</formula1>
    </dataValidation>
    <dataValidation sqref="F13" showDropDown="0" showInputMessage="0" showErrorMessage="0" allowBlank="0" type="list">
      <formula1>"PENDING,APPLY,RETURN"</formula1>
    </dataValidation>
    <dataValidation sqref="F14" showDropDown="0" showInputMessage="0" showErrorMessage="0" allowBlank="0" type="list">
      <formula1>"PENDING,APPLY,RETURN"</formula1>
    </dataValidation>
    <dataValidation sqref="F15" showDropDown="0" showInputMessage="0" showErrorMessage="0" allowBlank="0" type="list">
      <formula1>"PENDING,APPLY,RETURN"</formula1>
    </dataValidation>
    <dataValidation sqref="F16" showDropDown="0" showInputMessage="0" showErrorMessage="0" allowBlank="0" type="list">
      <formula1>"PENDING,APPLY,RETURN"</formula1>
    </dataValidation>
    <dataValidation sqref="F17" showDropDown="0" showInputMessage="0" showErrorMessage="0" allowBlank="0" type="list">
      <formula1>"PENDING,APPLY,RETURN"</formula1>
    </dataValidation>
    <dataValidation sqref="F18" showDropDown="0" showInputMessage="0" showErrorMessage="0" allowBlank="0" type="list">
      <formula1>"PENDING,APPLY,RETURN"</formula1>
    </dataValidation>
    <dataValidation sqref="F19" showDropDown="0" showInputMessage="0" showErrorMessage="0" allowBlank="0" type="list">
      <formula1>"PENDING,APPLY,RETURN"</formula1>
    </dataValidation>
    <dataValidation sqref="F20" showDropDown="0" showInputMessage="0" showErrorMessage="0" allowBlank="0" type="list">
      <formula1>"PENDING,APPLY,RETURN"</formula1>
    </dataValidation>
    <dataValidation sqref="F21" showDropDown="0" showInputMessage="0" showErrorMessage="0" allowBlank="0" type="list">
      <formula1>"PENDING,APPLY,RETURN"</formula1>
    </dataValidation>
    <dataValidation sqref="F22" showDropDown="0" showInputMessage="0" showErrorMessage="0" allowBlank="0" type="list">
      <formula1>"PENDING,APPLY,RETURN"</formula1>
    </dataValidation>
    <dataValidation sqref="F23" showDropDown="0" showInputMessage="0" showErrorMessage="0" allowBlank="0" type="list">
      <formula1>"PENDING,APPLY,RETURN"</formula1>
    </dataValidation>
    <dataValidation sqref="F24" showDropDown="0" showInputMessage="0" showErrorMessage="0" allowBlank="0" type="list">
      <formula1>"PENDING,APPLY,RETURN"</formula1>
    </dataValidation>
    <dataValidation sqref="F25" showDropDown="0" showInputMessage="0" showErrorMessage="0" allowBlank="0" type="list">
      <formula1>"PENDING,APPLY,RETURN"</formula1>
    </dataValidation>
    <dataValidation sqref="F26" showDropDown="0" showInputMessage="0" showErrorMessage="0" allowBlank="0" type="list">
      <formula1>"PENDING,APPLY,RETURN"</formula1>
    </dataValidation>
    <dataValidation sqref="F27" showDropDown="0" showInputMessage="0" showErrorMessage="0" allowBlank="0" type="list">
      <formula1>"PENDING,APPLY,RETURN"</formula1>
    </dataValidation>
    <dataValidation sqref="F28" showDropDown="0" showInputMessage="0" showErrorMessage="0" allowBlank="0" type="list">
      <formula1>"PENDING,APPLY,RETURN"</formula1>
    </dataValidation>
    <dataValidation sqref="F29" showDropDown="0" showInputMessage="0" showErrorMessage="0" allowBlank="0" type="list">
      <formula1>"PENDING,APPLY,RETURN"</formula1>
    </dataValidation>
    <dataValidation sqref="F30" showDropDown="0" showInputMessage="0" showErrorMessage="0" allowBlank="0" type="list">
      <formula1>"PENDING,APPLY,RETURN"</formula1>
    </dataValidation>
    <dataValidation sqref="F31" showDropDown="0" showInputMessage="0" showErrorMessage="0" allowBlank="0" type="list">
      <formula1>"PENDING,APPLY,RETURN"</formula1>
    </dataValidation>
    <dataValidation sqref="F32" showDropDown="0" showInputMessage="0" showErrorMessage="0" allowBlank="0" type="list">
      <formula1>"PENDING,APPLY,RETURN"</formula1>
    </dataValidation>
    <dataValidation sqref="F33" showDropDown="0" showInputMessage="0" showErrorMessage="0" allowBlank="0" type="list">
      <formula1>"PENDING,APPLY,RETURN"</formula1>
    </dataValidation>
    <dataValidation sqref="F34" showDropDown="0" showInputMessage="0" showErrorMessage="0" allowBlank="0" type="list">
      <formula1>"PENDING,APPLY,RETURN"</formula1>
    </dataValidation>
    <dataValidation sqref="F35" showDropDown="0" showInputMessage="0" showErrorMessage="0" allowBlank="0" type="list">
      <formula1>"PENDING,APPLY,RETURN"</formula1>
    </dataValidation>
    <dataValidation sqref="F36" showDropDown="0" showInputMessage="0" showErrorMessage="0" allowBlank="0" type="list">
      <formula1>"PENDING,APPLY,RETURN"</formula1>
    </dataValidation>
    <dataValidation sqref="F37" showDropDown="0" showInputMessage="0" showErrorMessage="0" allowBlank="0" type="list">
      <formula1>"PENDING,APPLY,RETURN"</formula1>
    </dataValidation>
    <dataValidation sqref="F38" showDropDown="0" showInputMessage="0" showErrorMessage="0" allowBlank="0" type="list">
      <formula1>"PENDING,APPLY,RETURN"</formula1>
    </dataValidation>
    <dataValidation sqref="F39" showDropDown="0" showInputMessage="0" showErrorMessage="0" allowBlank="0" type="list">
      <formula1>"PENDING,APPLY,RETURN"</formula1>
    </dataValidation>
    <dataValidation sqref="F40" showDropDown="0" showInputMessage="0" showErrorMessage="0" allowBlank="0" type="list">
      <formula1>"PENDING,APPLY,RETURN"</formula1>
    </dataValidation>
    <dataValidation sqref="F41" showDropDown="0" showInputMessage="0" showErrorMessage="0" allowBlank="0" type="list">
      <formula1>"PENDING,APPLY,RETURN"</formula1>
    </dataValidation>
    <dataValidation sqref="F42" showDropDown="0" showInputMessage="0" showErrorMessage="0" allowBlank="0" type="list">
      <formula1>"PENDING,APPLY,RETURN"</formula1>
    </dataValidation>
    <dataValidation sqref="F43" showDropDown="0" showInputMessage="0" showErrorMessage="0" allowBlank="0" type="list">
      <formula1>"PENDING,APPLY,RETURN"</formula1>
    </dataValidation>
    <dataValidation sqref="F44" showDropDown="0" showInputMessage="0" showErrorMessage="0" allowBlank="0" type="list">
      <formula1>"PENDING,APPLY,RETURN"</formula1>
    </dataValidation>
    <dataValidation sqref="F45" showDropDown="0" showInputMessage="0" showErrorMessage="0" allowBlank="0" type="list">
      <formula1>"PENDING,APPLY,RETURN"</formula1>
    </dataValidation>
    <dataValidation sqref="F46" showDropDown="0" showInputMessage="0" showErrorMessage="0" allowBlank="0" type="list">
      <formula1>"PENDING,APPLY,RETURN"</formula1>
    </dataValidation>
    <dataValidation sqref="F47" showDropDown="0" showInputMessage="0" showErrorMessage="0" allowBlank="0" type="list">
      <formula1>"PENDING,APPLY,RETURN"</formula1>
    </dataValidation>
    <dataValidation sqref="F48" showDropDown="0" showInputMessage="0" showErrorMessage="0" allowBlank="0" type="list">
      <formula1>"PENDING,APPLY,RETURN"</formula1>
    </dataValidation>
    <dataValidation sqref="F49" showDropDown="0" showInputMessage="0" showErrorMessage="0" allowBlank="0" type="list">
      <formula1>"PENDING,APPLY,RETURN"</formula1>
    </dataValidation>
    <dataValidation sqref="F50" showDropDown="0" showInputMessage="0" showErrorMessage="0" allowBlank="0" type="list">
      <formula1>"PENDING,APPLY,RETURN"</formula1>
    </dataValidation>
    <dataValidation sqref="F51" showDropDown="0" showInputMessage="0" showErrorMessage="0" allowBlank="0" type="list">
      <formula1>"PENDING,APPLY,RETURN"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2026-09-01T07:56:06Z</dcterms:created>
  <dcterms:modified xsi:type="dcterms:W3CDTF">2026-09-01T07:56:06Z</dcterms:modified>
</cp:coreProperties>
</file>