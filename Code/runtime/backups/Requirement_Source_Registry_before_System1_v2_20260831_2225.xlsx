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5.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33ca7c18a7749ad" /></Relationships>
</file>

<file path=xl/workbook.xml><?xml version="1.0" encoding="utf-8"?>
<x:workbook xmlns:x="http://schemas.openxmlformats.org/spreadsheetml/2006/main">
  <x:sheets>
    <x:sheet xmlns:r="http://schemas.openxmlformats.org/officeDocument/2006/relationships" name="Instructions" sheetId="1" r:id="R2c9f40641c8f4b69"/>
    <x:sheet xmlns:r="http://schemas.openxmlformats.org/officeDocument/2006/relationships" name="Categories" sheetId="2" r:id="R68478b3c10e543f9"/>
    <x:sheet xmlns:r="http://schemas.openxmlformats.org/officeDocument/2006/relationships" name="Source Register" sheetId="3" r:id="R5fb736b4c19e4e67"/>
    <x:sheet xmlns:r="http://schemas.openxmlformats.org/officeDocument/2006/relationships" name="Dashboard" sheetId="4" r:id="Rf5b6771eceb64299"/>
    <x:sheet xmlns:r="http://schemas.openxmlformats.org/officeDocument/2006/relationships" name="Human Operation Desktop" sheetId="5" r:id="R3eeb15bfd6f749ed"/>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164" formatCode="yyyy-mm-dd"/>
    <x:numFmt numFmtId="165" formatCode="yyyy-mm-dd hh:mm"/>
    <x:numFmt numFmtId="200" formatCode="0.0%"/>
    <x:numFmt numFmtId="201" formatCode="0%"/>
    <x:numFmt numFmtId="202" formatCode="0"/>
  </x:numFmts>
  <x:fonts count="42">
    <x:font>
      <x:sz val="11"/>
      <x:name val="Carlito"/>
    </x:font>
    <x:font>
      <x:b/>
      <x:sz val="18"/>
      <x:color rgb="FFFFFFFF"/>
      <x:name val="Aptos Display"/>
    </x:font>
    <x:font>
      <x:i/>
      <x:sz val="11"/>
      <x:color rgb="FF0B1F3A"/>
      <x:name val="Carlito"/>
    </x:font>
    <x:font>
      <x:b/>
      <x:sz val="11"/>
      <x:color rgb="FF0B1F3A"/>
      <x:name val="Carlito"/>
    </x:font>
    <x:font>
      <x:b/>
      <x:sz val="12"/>
      <x:color rgb="FF0B1F3A"/>
      <x:name val="Carlito"/>
    </x:font>
    <x:font>
      <x:b/>
      <x:sz val="11"/>
      <x:color rgb="FFFFFFFF"/>
      <x:name val="Carlito"/>
    </x:font>
    <x:font>
      <x:sz val="11"/>
      <x:color rgb="FF1565C0"/>
      <x:name val="Carlito"/>
    </x:font>
    <x:font>
      <x:b/>
      <x:sz val="15"/>
      <x:color rgb="FFFFFFFF"/>
      <x:name val="Aptos Display"/>
    </x:font>
    <x:font>
      <x:b/>
      <x:sz val="10"/>
      <x:color rgb="FF475467"/>
      <x:name val="Carlito"/>
    </x:font>
    <x:font>
      <x:b/>
      <x:sz val="22"/>
      <x:color rgb="FF0B1F3A"/>
      <x:name val="Carlito"/>
    </x:font>
    <x:font>
      <x:b/>
      <x:sz val="22"/>
      <x:color rgb="FF206A3B"/>
      <x:name val="Carlito"/>
    </x:font>
    <x:font>
      <x:b/>
      <x:sz val="22"/>
      <x:color rgb="FFB42318"/>
      <x:name val="Carlito"/>
    </x:font>
    <x:font>
      <x:b/>
      <x:sz val="22"/>
      <x:color rgb="FF2563EB"/>
      <x:name val="Carlito"/>
    </x:font>
    <x:font>
      <x:b/>
      <x:sz val="22"/>
      <x:color rgb="FF7C3AED"/>
      <x:name val="Carlito"/>
    </x:font>
    <x:font>
      <x:b/>
      <x:sz val="22"/>
      <x:color rgb="FF8A5A00"/>
      <x:name val="Carlito"/>
    </x:font>
    <x:font>
      <x:sz val="11"/>
      <x:color rgb="FF0B1F3A"/>
      <x:name val="Carlito"/>
    </x:font>
    <x:font>
      <x:b/>
      <x:sz val="13"/>
      <x:color rgb="FFFFFFFF"/>
      <x:name val="Carlito"/>
    </x:font>
    <x:font>
      <x:sz val="1"/>
      <x:color rgb="FFF8FAFC"/>
      <x:name val="Carlito"/>
    </x:font>
    <x:font>
      <x:sz val="9"/>
      <x:color rgb="FF0B1F3A"/>
      <x:name val="Carlito"/>
    </x:font>
    <x:font>
      <x:b/>
      <x:sz val="12"/>
      <x:color rgb="FFFFFFFF"/>
      <x:name val="Carlito"/>
    </x:font>
    <x:font>
      <x:b/>
      <x:sz val="13"/>
      <x:color rgb="FF0B1F3A"/>
      <x:name val="Carlito"/>
    </x:font>
    <x:font>
      <x:b/>
      <x:sz val="10"/>
      <x:color rgb="FF0B1F3A"/>
      <x:name val="Carlito"/>
    </x:font>
    <x:font>
      <x:b/>
      <x:sz val="10"/>
      <x:color rgb="FFFFFFFF"/>
      <x:name val="Carlito"/>
    </x:font>
    <x:font>
      <x:b/>
      <x:sz val="16"/>
      <x:color rgb="FF0B1F3A"/>
      <x:name val="Carlito"/>
    </x:font>
    <x:font>
      <x:b/>
      <x:i/>
      <x:sz val="11"/>
      <x:color rgb="FF0B1F3A"/>
      <x:name val="Carlito"/>
    </x:font>
    <x:font>
      <x:b/>
      <x:sz val="16"/>
      <x:color rgb="FF206A3B"/>
      <x:name val="Carlito"/>
    </x:font>
    <x:font>
      <x:b/>
      <x:sz val="16"/>
      <x:color rgb="FF8A5A00"/>
      <x:name val="Carlito"/>
    </x:font>
    <x:font>
      <x:i/>
      <x:sz val="9"/>
      <x:color rgb="FF0B1F3A"/>
      <x:name val="Carlito"/>
    </x:font>
    <x:font>
      <x:sz val="9"/>
      <x:color rgb="FF1565C0"/>
      <x:name val="Carlito"/>
    </x:font>
    <x:font>
      <x:sz val="10"/>
      <x:color rgb="FF0B1F3A"/>
      <x:name val="Carlito"/>
    </x:font>
    <x:font>
      <x:b/>
      <x:sz val="11"/>
      <x:color rgb="FFFFFFFF"/>
      <x:name val="Aptos"/>
    </x:font>
    <x:font>
      <x:sz val="11"/>
      <x:name val="Aptos"/>
    </x:font>
    <x:font>
      <x:b/>
      <x:sz val="18"/>
      <x:color rgb="FFFFFFFF"/>
      <x:name val="Aptos"/>
    </x:font>
    <x:font>
      <x:i/>
      <x:sz val="11"/>
      <x:color rgb="FF0B1F3A"/>
      <x:name val="Aptos"/>
    </x:font>
    <x:font>
      <x:b/>
      <x:sz val="11"/>
      <x:color rgb="FF0B1F3A"/>
      <x:name val="Aptos"/>
    </x:font>
    <x:font>
      <x:b/>
      <x:sz val="12"/>
      <x:color rgb="FF0B1F3A"/>
      <x:name val="Aptos"/>
    </x:font>
    <x:font>
      <x:sz val="11"/>
      <x:color rgb="FF0B1F3A"/>
      <x:name val="Aptos"/>
    </x:font>
    <x:font>
      <x:sz val="9"/>
      <x:color rgb="FF0B1F3A"/>
      <x:name val="Aptos"/>
    </x:font>
    <x:font>
      <x:b/>
      <x:sz val="11"/>
      <x:color rgb="FFFFFFFF"/>
      <x:name val="Aptos Display"/>
    </x:font>
    <x:font>
      <x:i/>
      <x:sz val="11"/>
      <x:color rgb="FF334155"/>
      <x:name val="Aptos"/>
    </x:font>
    <x:font>
      <x:sz val="11"/>
      <x:color rgb="FF334155"/>
      <x:name val="Aptos"/>
    </x:font>
    <x:font>
      <x:b/>
      <x:sz val="12"/>
      <x:color rgb="FFFFFFFF"/>
      <x:name val="Aptos"/>
    </x:font>
  </x:fonts>
  <x:fills count="54">
    <x:fill>
      <x:patternFill patternType="none"/>
    </x:fill>
    <x:fill>
      <x:patternFill patternType="gray125"/>
    </x:fill>
    <x:fill>
      <x:patternFill patternType="solid">
        <x:fgColor rgb="FF0B1F3A"/>
      </x:patternFill>
    </x:fill>
    <x:fill>
      <x:patternFill patternType="solid">
        <x:fgColor rgb="FFE8F1FB"/>
      </x:patternFill>
    </x:fill>
    <x:fill>
      <x:patternFill patternType="solid">
        <x:fgColor rgb="FFFFF4D6"/>
      </x:patternFill>
    </x:fill>
    <x:fill>
      <x:patternFill patternType="solid">
        <x:fgColor rgb="FFDDF5F1"/>
      </x:patternFill>
    </x:fill>
    <x:fill>
      <x:patternFill patternType="solid">
        <x:fgColor rgb="FF0F766E"/>
      </x:patternFill>
    </x:fill>
    <x:fill>
      <x:patternFill patternType="solid">
        <x:fgColor rgb="FF2563EB"/>
      </x:patternFill>
    </x:fill>
    <x:fill>
      <x:patternFill patternType="solid">
        <x:fgColor rgb="FF7C3AED"/>
      </x:patternFill>
    </x:fill>
    <x:fill>
      <x:patternFill patternType="solid">
        <x:fgColor rgb="FFB7791F"/>
      </x:patternFill>
    </x:fill>
    <x:fill>
      <x:patternFill patternType="solid">
        <x:fgColor rgb="FF0E7490"/>
      </x:patternFill>
    </x:fill>
    <x:fill>
      <x:patternFill patternType="solid">
        <x:fgColor rgb="FF475467"/>
      </x:patternFill>
    </x:fill>
    <x:fill>
      <x:patternFill patternType="solid">
        <x:fgColor rgb="FFF8FAFC"/>
      </x:patternFill>
    </x:fill>
    <x:fill>
      <x:patternFill patternType="solid">
        <x:fgColor rgb="FFFFFFFF"/>
      </x:patternFill>
    </x:fill>
    <x:fill>
      <x:patternFill patternType="solid">
        <x:fgColor rgb="FFE6F4EA"/>
      </x:patternFill>
    </x:fill>
    <x:fill>
      <x:patternFill patternType="solid">
        <x:fgColor rgb="FFFDE8E7"/>
      </x:patternFill>
    </x:fill>
    <x:fill>
      <x:patternFill patternType="solid">
        <x:fgColor rgb="FFF3F5F7"/>
      </x:patternFill>
    </x:fill>
    <x:fill>
      <x:patternFill patternType="solid">
        <x:fgColor rgb="FF0B1F3A"/>
      </x:patternFill>
    </x:fill>
    <x:fill>
      <x:patternFill patternType="solid">
        <x:fgColor rgb="FF0F766E"/>
      </x:patternFill>
    </x:fill>
    <x:fill>
      <x:patternFill patternType="solid">
        <x:fgColor rgb="FF0E7490"/>
      </x:patternFill>
    </x:fill>
    <x:fill>
      <x:patternFill patternType="solid">
        <x:fgColor rgb="FF475467"/>
      </x:patternFill>
    </x:fill>
    <x:fill>
      <x:patternFill patternType="solid">
        <x:fgColor rgb="FFFFFFFF"/>
      </x:patternFill>
    </x:fill>
    <x:fill>
      <x:patternFill patternType="solid">
        <x:fgColor rgb="FFE8F1FB"/>
      </x:patternFill>
    </x:fill>
    <x:fill>
      <x:patternFill patternType="solid">
        <x:fgColor rgb="FFF3F5F7"/>
      </x:patternFill>
    </x:fill>
    <x:fill>
      <x:patternFill patternType="solid">
        <x:fgColor rgb="FFDDF5F1"/>
      </x:patternFill>
    </x:fill>
    <x:fill>
      <x:patternFill patternType="solid">
        <x:fgColor rgb="FFE6F4EA"/>
      </x:patternFill>
    </x:fill>
    <x:fill>
      <x:patternFill patternType="solid">
        <x:fgColor rgb="FFFFF4D6"/>
      </x:patternFill>
    </x:fill>
    <x:fill>
      <x:patternFill patternType="solid">
        <x:fgColor rgb="FF0B1F3A"/>
      </x:patternFill>
    </x:fill>
    <x:fill>
      <x:patternFill patternType="solid">
        <x:fgColor rgb="FF0B1F3A"/>
      </x:patternFill>
    </x:fill>
    <x:fill>
      <x:patternFill patternType="solid">
        <x:fgColor rgb="FF0F766E"/>
      </x:patternFill>
    </x:fill>
    <x:fill>
      <x:patternFill patternType="solid">
        <x:fgColor rgb="FF0E7490"/>
      </x:patternFill>
    </x:fill>
    <x:fill>
      <x:patternFill patternType="solid">
        <x:fgColor rgb="FF475467"/>
      </x:patternFill>
    </x:fill>
    <x:fill>
      <x:patternFill patternType="solid">
        <x:fgColor rgb="FFFFFFFF"/>
      </x:patternFill>
    </x:fill>
    <x:fill>
      <x:patternFill patternType="solid">
        <x:fgColor rgb="FF0E7490"/>
      </x:patternFill>
    </x:fill>
    <x:fill>
      <x:patternFill patternType="solid">
        <x:fgColor rgb="FFB7791F"/>
      </x:patternFill>
    </x:fill>
    <x:fill>
      <x:patternFill patternType="solid">
        <x:fgColor rgb="FF0B1F3A"/>
      </x:patternFill>
    </x:fill>
    <x:fill>
      <x:patternFill patternType="solid">
        <x:fgColor rgb="FFE8F4F8"/>
      </x:patternFill>
    </x:fill>
    <x:fill>
      <x:patternFill patternType="solid">
        <x:fgColor rgb="FFFFF9E8"/>
      </x:patternFill>
    </x:fill>
    <x:fill>
      <x:patternFill patternType="solid">
        <x:fgColor rgb="FF334155"/>
      </x:patternFill>
    </x:fill>
    <x:fill>
      <x:patternFill patternType="solid">
        <x:fgColor rgb="FF0F766E"/>
      </x:patternFill>
    </x:fill>
    <x:fill>
      <x:patternFill patternType="solid">
        <x:fgColor rgb="FF2563EB"/>
      </x:patternFill>
    </x:fill>
    <x:fill>
      <x:patternFill patternType="solid">
        <x:fgColor rgb="FFF1F5F9"/>
      </x:patternFill>
    </x:fill>
    <x:fill>
      <x:patternFill patternType="solid">
        <x:fgColor rgb="FFFFF3CD"/>
      </x:patternFill>
    </x:fill>
    <x:fill>
      <x:patternFill patternType="solid">
        <x:fgColor rgb="FFE8F5F2"/>
      </x:patternFill>
    </x:fill>
    <x:fill>
      <x:patternFill patternType="solid">
        <x:fgColor rgb="FFEEF4FF"/>
      </x:patternFill>
    </x:fill>
    <x:fill>
      <x:patternFill patternType="solid">
        <x:fgColor rgb="FF334155"/>
      </x:patternFill>
    </x:fill>
    <x:fill>
      <x:patternFill patternType="solid">
        <x:fgColor rgb="FFB7791F"/>
      </x:patternFill>
    </x:fill>
    <x:fill>
      <x:patternFill patternType="solid">
        <x:fgColor rgb="FF0F766E"/>
      </x:patternFill>
    </x:fill>
    <x:fill>
      <x:patternFill patternType="solid">
        <x:fgColor rgb="FF2563EB"/>
      </x:patternFill>
    </x:fill>
    <x:fill>
      <x:patternFill patternType="solid">
        <x:fgColor rgb="FF0B1F3A"/>
      </x:patternFill>
    </x:fill>
    <x:fill>
      <x:patternFill patternType="solid">
        <x:fgColor rgb="FFF1F5F9"/>
      </x:patternFill>
    </x:fill>
    <x:fill>
      <x:patternFill patternType="solid">
        <x:fgColor rgb="FFFFF3CD"/>
      </x:patternFill>
    </x:fill>
    <x:fill>
      <x:patternFill patternType="solid">
        <x:fgColor rgb="FFE8F5F2"/>
      </x:patternFill>
    </x:fill>
    <x:fill>
      <x:patternFill patternType="solid">
        <x:fgColor rgb="FFEEF4FF"/>
      </x:patternFill>
    </x:fill>
  </x:fills>
  <x:borders count="36">
    <x:border/>
    <x:border>
      <x:left style="thin">
        <x:color rgb="FFE7B84B"/>
      </x:left>
      <x:top style="thin">
        <x:color rgb="FFE7B84B"/>
      </x:top>
      <x:bottom style="thin">
        <x:color rgb="FFE7B84B"/>
      </x:bottom>
    </x:border>
    <x:border>
      <x:right style="thin">
        <x:color rgb="FFE7B84B"/>
      </x:right>
      <x:top style="thin">
        <x:color rgb="FFE7B84B"/>
      </x:top>
      <x:bottom style="thin">
        <x:color rgb="FFE7B84B"/>
      </x:bottom>
    </x:border>
    <x:border>
      <x:right style="thin">
        <x:color rgb="FF52657A"/>
      </x:right>
    </x:border>
    <x:border>
      <x:left style="thin">
        <x:color rgb="FF52657A"/>
      </x:left>
      <x:right style="thin">
        <x:color rgb="FF52657A"/>
      </x:right>
    </x:border>
    <x:border>
      <x:left style="thin">
        <x:color rgb="FF52657A"/>
      </x:left>
    </x:border>
    <x:border>
      <x:left style="thin">
        <x:color rgb="FFD0D5DD"/>
      </x:left>
      <x:right style="thin">
        <x:color rgb="FF52657A"/>
      </x:right>
      <x:top style="thin">
        <x:color rgb="FFD0D5DD"/>
      </x:top>
    </x:border>
    <x:border>
      <x:left style="thin">
        <x:color rgb="FF52657A"/>
      </x:left>
      <x:right style="thin">
        <x:color rgb="FF52657A"/>
      </x:right>
      <x:top style="thin">
        <x:color rgb="FFD0D5DD"/>
      </x:top>
    </x:border>
    <x:border>
      <x:left style="thin">
        <x:color rgb="FF52657A"/>
      </x:left>
      <x:right style="thin">
        <x:color rgb="FFD0D5DD"/>
      </x:right>
      <x:top style="thin">
        <x:color rgb="FFD0D5DD"/>
      </x:top>
    </x:border>
    <x:border>
      <x:left style="thin">
        <x:color rgb="FFD0D5DD"/>
      </x:left>
    </x:border>
    <x:border>
      <x:right style="thin">
        <x:color rgb="FFD0D5DD"/>
      </x:right>
    </x:border>
    <x:border>
      <x:left style="thin">
        <x:color rgb="FFD0D5DD"/>
      </x:left>
      <x:bottom style="thin">
        <x:color rgb="FFD0D5DD"/>
      </x:bottom>
    </x:border>
    <x:border>
      <x:bottom style="thin">
        <x:color rgb="FFD0D5DD"/>
      </x:bottom>
    </x:border>
    <x:border>
      <x:right style="thin">
        <x:color rgb="FFD0D5DD"/>
      </x:right>
      <x:bottom style="thin">
        <x:color rgb="FFD0D5DD"/>
      </x:bottom>
    </x:border>
    <x:border>
      <x:left style="thin">
        <x:color rgb="FFD0D5DD"/>
      </x:left>
      <x:top style="thin">
        <x:color rgb="FFD0D5DD"/>
      </x:top>
    </x:border>
    <x:border>
      <x:right style="thin">
        <x:color rgb="FFD0D5DD"/>
      </x:right>
      <x:top style="thin">
        <x:color rgb="FFD0D5DD"/>
      </x:top>
    </x:border>
    <x:border>
      <x:left style="thin">
        <x:color rgb="FFFFFFFF"/>
      </x:left>
      <x:top style="thin">
        <x:color rgb="FFFFFFFF"/>
      </x:top>
      <x:bottom style="thin">
        <x:color rgb="FFFFFFFF"/>
      </x:bottom>
    </x:border>
    <x:border>
      <x:top style="thin">
        <x:color rgb="FFFFFFFF"/>
      </x:top>
      <x:bottom style="thin">
        <x:color rgb="FFFFFFFF"/>
      </x:bottom>
    </x:border>
    <x:border>
      <x:right style="thin">
        <x:color rgb="FFFFFFFF"/>
      </x:right>
      <x:top style="thin">
        <x:color rgb="FFFFFFFF"/>
      </x:top>
      <x:bottom style="thin">
        <x:color rgb="FFFFFFFF"/>
      </x:bottom>
    </x:border>
    <x:border>
      <x:left style="thin">
        <x:color rgb="FFD0D5DD"/>
      </x:left>
      <x:top style="thin">
        <x:color rgb="FFD0D5DD"/>
      </x:top>
      <x:bottom style="thin">
        <x:color rgb="FFD0D5DD"/>
      </x:bottom>
    </x:border>
    <x:border>
      <x:top style="thin">
        <x:color rgb="FFD0D5DD"/>
      </x:top>
      <x:bottom style="thin">
        <x:color rgb="FFD0D5DD"/>
      </x:bottom>
    </x:border>
    <x:border>
      <x:right style="thin">
        <x:color rgb="FFD0D5DD"/>
      </x:right>
      <x:top style="thin">
        <x:color rgb="FFD0D5DD"/>
      </x:top>
      <x:bottom style="thin">
        <x:color rgb="FFD0D5DD"/>
      </x:bottom>
    </x:border>
    <x:border>
      <x:top style="thin">
        <x:color rgb="FFD0D5DD"/>
      </x:top>
    </x:border>
    <x:border>
      <x:left style="thin">
        <x:color rgb="FFD0D5DD"/>
      </x:left>
      <x:right style="thin">
        <x:color rgb="FFD0D5DD"/>
      </x:right>
      <x:top style="thin">
        <x:color rgb="FFD0D5DD"/>
      </x:top>
      <x:bottom style="thin">
        <x:color rgb="FFD0D5DD"/>
      </x:bottom>
    </x:border>
    <x:border>
      <x:left style="thin">
        <x:color rgb="FFD0D5DD"/>
      </x:left>
      <x:right style="thin">
        <x:color rgb="FF52657A"/>
      </x:right>
      <x:top style="thin">
        <x:color rgb="FFD0D5DD"/>
      </x:top>
      <x:bottom style="thin">
        <x:color rgb="FFD0D5DD"/>
      </x:bottom>
    </x:border>
    <x:border>
      <x:left style="thin">
        <x:color rgb="FF52657A"/>
      </x:left>
      <x:right style="thin">
        <x:color rgb="FFD0D5DD"/>
      </x:right>
      <x:top style="thin">
        <x:color rgb="FFD0D5DD"/>
      </x:top>
      <x:bottom style="thin">
        <x:color rgb="FFD0D5DD"/>
      </x:bottom>
    </x:border>
    <x:border>
      <x:left style="thin">
        <x:color rgb="FFFFFFFF"/>
      </x:left>
      <x:right style="thin">
        <x:color rgb="FFFFFFFF"/>
      </x:right>
      <x:top style="thin">
        <x:color rgb="FFFFFFFF"/>
      </x:top>
      <x:bottom style="thin">
        <x:color rgb="FFFFFFFF"/>
      </x:bottom>
    </x:border>
    <x:border>
      <x:top style="thin">
        <x:color rgb="FFFFFFFF"/>
      </x:top>
    </x:border>
    <x:border>
      <x:right style="thin">
        <x:color rgb="FFFFFFFF"/>
      </x:right>
      <x:top style="thin">
        <x:color rgb="FFFFFFFF"/>
      </x:top>
    </x:border>
    <x:border>
      <x:left style="thin">
        <x:color rgb="FF52657A"/>
      </x:left>
      <x:right style="thin">
        <x:color rgb="FF52657A"/>
      </x:right>
      <x:top style="thin">
        <x:color rgb="FF52657A"/>
      </x:top>
      <x:bottom style="thin">
        <x:color rgb="FF52657A"/>
      </x:bottom>
    </x:border>
    <x:border>
      <x:left style="thin">
        <x:color rgb="FF52657A"/>
      </x:left>
      <x:right style="thin">
        <x:color rgb="FF52657A"/>
      </x:right>
      <x:top style="thin">
        <x:color rgb="FFD0D5DD"/>
      </x:top>
      <x:bottom style="thin">
        <x:color rgb="FFD0D5DD"/>
      </x:bottom>
    </x:border>
    <x:border>
      <x:right style="thin">
        <x:color rgb="FF52657A"/>
      </x:right>
      <x:top style="thin">
        <x:color rgb="FFD0D5DD"/>
      </x:top>
    </x:border>
    <x:border>
      <x:right style="thin">
        <x:color rgb="FF52657A"/>
      </x:right>
      <x:top style="thin">
        <x:color rgb="FFD0D5DD"/>
      </x:top>
      <x:bottom style="thin">
        <x:color rgb="FFD0D5DD"/>
      </x:bottom>
    </x:border>
    <x:border>
      <x:bottom style="thin">
        <x:color rgb="FFD9E2EC"/>
      </x:bottom>
    </x:border>
    <x:border>
      <x:top style="thin">
        <x:color rgb="FFD9E2EC"/>
      </x:top>
      <x:bottom style="thin">
        <x:color rgb="FFD9E2EC"/>
      </x:bottom>
    </x:border>
    <x:border>
      <x:top style="thin">
        <x:color rgb="FFD9E2EC"/>
      </x:top>
    </x:border>
  </x:borders>
  <x:cellStyleXfs count="1">
    <x:xf numFmtId="0" fontId="0" fillId="0" borderId="0"/>
  </x:cellStyleXfs>
  <x:cellXfs count="879">
    <x:xf numFmtId="0" fontId="0" fillId="0" borderId="0" xfId="0"/>
    <x:xf numFmtId="0" fontId="0" fillId="2" borderId="0" xfId="0"/>
    <x:xf numFmtId="0" fontId="1" fillId="2" borderId="0" xfId="0"/>
    <x:xf numFmtId="0" fontId="1" fillId="2" borderId="0" xfId="0" applyAlignment="1">
      <x:alignment horizontal="left"/>
    </x:xf>
    <x:xf numFmtId="0" fontId="1" fillId="2" borderId="0" xfId="0" applyAlignment="1">
      <x:alignment horizontal="left" vertical="center"/>
    </x:xf>
    <x:xf numFmtId="0" fontId="0" fillId="3" borderId="0" xfId="0"/>
    <x:xf numFmtId="0" fontId="2" fillId="3" borderId="0" xfId="0"/>
    <x:xf numFmtId="0" fontId="2" fillId="3" borderId="0" xfId="0" applyAlignment="1">
      <x:alignment wrapText="1"/>
    </x:xf>
    <x:xf numFmtId="0" fontId="2" fillId="3" borderId="0" xfId="0" applyAlignment="1">
      <x:alignment vertical="center" wrapText="1"/>
    </x:xf>
    <x:xf numFmtId="164" fontId="0" fillId="0" borderId="0" xfId="0"/>
    <x:xf numFmtId="0" fontId="0" fillId="4" borderId="0" xfId="0"/>
    <x:xf numFmtId="164" fontId="0" fillId="4" borderId="0" xfId="0"/>
    <x:xf numFmtId="0" fontId="3" fillId="4" borderId="0" xfId="0"/>
    <x:xf numFmtId="164" fontId="3" fillId="4" borderId="0" xfId="0"/>
    <x:xf numFmtId="0" fontId="3" fillId="4" borderId="1" xfId="0"/>
    <x:xf numFmtId="164" fontId="3" fillId="4" borderId="2" xfId="0"/>
    <x:xf numFmtId="0" fontId="0" fillId="5" borderId="0" xfId="0"/>
    <x:xf numFmtId="0" fontId="4" fillId="5" borderId="0" xfId="0"/>
    <x:xf numFmtId="0" fontId="4" fillId="5" borderId="0" xfId="0" applyAlignment="1">
      <x:alignment vertical="center"/>
    </x:xf>
    <x:xf numFmtId="0" fontId="5" fillId="2" borderId="0" xfId="0"/>
    <x:xf numFmtId="0" fontId="5" fillId="2" borderId="3" xfId="0"/>
    <x:xf numFmtId="0" fontId="5" fillId="2" borderId="4" xfId="0"/>
    <x:xf numFmtId="0" fontId="5" fillId="2" borderId="5" xfId="0"/>
    <x:xf numFmtId="0" fontId="5" fillId="2" borderId="3" xfId="0" applyAlignment="1">
      <x:alignment wrapText="1"/>
    </x:xf>
    <x:xf numFmtId="0" fontId="5" fillId="2" borderId="4" xfId="0" applyAlignment="1">
      <x:alignment wrapText="1"/>
    </x:xf>
    <x:xf numFmtId="0" fontId="5" fillId="2" borderId="5" xfId="0" applyAlignment="1">
      <x:alignment wrapText="1"/>
    </x:xf>
    <x:xf numFmtId="0" fontId="5" fillId="2" borderId="3" xfId="0" applyAlignment="1">
      <x:alignment horizontal="left" wrapText="1"/>
    </x:xf>
    <x:xf numFmtId="0" fontId="5" fillId="2" borderId="4" xfId="0" applyAlignment="1">
      <x:alignment horizontal="left" wrapText="1"/>
    </x:xf>
    <x:xf numFmtId="0" fontId="5" fillId="2" borderId="5" xfId="0" applyAlignment="1">
      <x:alignment horizontal="left" wrapText="1"/>
    </x:xf>
    <x:xf numFmtId="0" fontId="5" fillId="2" borderId="3" xfId="0" applyAlignment="1">
      <x:alignment horizontal="left" vertical="center" wrapText="1"/>
    </x:xf>
    <x:xf numFmtId="0" fontId="5" fillId="2" borderId="4" xfId="0" applyAlignment="1">
      <x:alignment horizontal="left" vertical="center" wrapText="1"/>
    </x:xf>
    <x:xf numFmtId="0" fontId="5" fillId="2" borderId="5" xfId="0" applyAlignment="1">
      <x:alignment horizontal="left" vertical="center" wrapText="1"/>
    </x:xf>
    <x:xf numFmtId="0" fontId="5" fillId="2" borderId="6" xfId="0" applyAlignment="1">
      <x:alignment horizontal="left" vertical="center" wrapText="1"/>
    </x:xf>
    <x:xf numFmtId="0" fontId="5" fillId="2" borderId="7" xfId="0" applyAlignment="1">
      <x:alignment horizontal="left" vertical="center" wrapText="1"/>
    </x:xf>
    <x:xf numFmtId="0" fontId="5" fillId="2" borderId="8" xfId="0" applyAlignment="1">
      <x:alignment horizontal="left" vertical="center" wrapText="1"/>
    </x:xf>
    <x:xf numFmtId="0" fontId="0" fillId="0" borderId="9" xfId="0"/>
    <x:xf numFmtId="0" fontId="0" fillId="0" borderId="0" xfId="0"/>
    <x:xf numFmtId="0" fontId="0" fillId="0" borderId="10" xfId="0"/>
    <x:xf numFmtId="0" fontId="0" fillId="0" borderId="11" xfId="0"/>
    <x:xf numFmtId="0" fontId="0" fillId="0" borderId="12" xfId="0"/>
    <x:xf numFmtId="0" fontId="0" fillId="0" borderId="13" xfId="0"/>
    <x:xf numFmtId="0" fontId="0" fillId="0" borderId="9" xfId="0" applyAlignment="1">
      <x:alignment wrapText="1"/>
    </x:xf>
    <x:xf numFmtId="0" fontId="0" fillId="0" borderId="0" xfId="0" applyAlignment="1">
      <x:alignment wrapText="1"/>
    </x:xf>
    <x:xf numFmtId="0" fontId="0" fillId="0" borderId="10" xfId="0" applyAlignment="1">
      <x:alignment wrapText="1"/>
    </x:xf>
    <x:xf numFmtId="0" fontId="0" fillId="0" borderId="11" xfId="0" applyAlignment="1">
      <x:alignment wrapText="1"/>
    </x:xf>
    <x:xf numFmtId="0" fontId="0" fillId="0" borderId="12" xfId="0" applyAlignment="1">
      <x:alignment wrapText="1"/>
    </x:xf>
    <x:xf numFmtId="0" fontId="0" fillId="0" borderId="13" xfId="0" applyAlignment="1">
      <x:alignment wrapText="1"/>
    </x:xf>
    <x:xf numFmtId="0" fontId="5" fillId="2" borderId="6" xfId="0" applyAlignment="1">
      <x:alignment horizontal="left" vertical="top" wrapText="1"/>
    </x:xf>
    <x:xf numFmtId="0" fontId="5" fillId="2" borderId="7" xfId="0" applyAlignment="1">
      <x:alignment horizontal="left" vertical="top" wrapText="1"/>
    </x:xf>
    <x:xf numFmtId="0" fontId="5" fillId="2" borderId="8" xfId="0" applyAlignment="1">
      <x:alignment horizontal="left" vertical="top" wrapText="1"/>
    </x:xf>
    <x:xf numFmtId="0" fontId="0" fillId="0" borderId="9" xfId="0" applyAlignment="1">
      <x:alignment vertical="top" wrapText="1"/>
    </x:xf>
    <x:xf numFmtId="0" fontId="0" fillId="0" borderId="0" xfId="0" applyAlignment="1">
      <x:alignment vertical="top" wrapText="1"/>
    </x:xf>
    <x:xf numFmtId="0" fontId="0" fillId="0" borderId="10" xfId="0" applyAlignment="1">
      <x:alignment vertical="top" wrapText="1"/>
    </x:xf>
    <x:xf numFmtId="0" fontId="0" fillId="0" borderId="11" xfId="0" applyAlignment="1">
      <x:alignment vertical="top" wrapText="1"/>
    </x:xf>
    <x:xf numFmtId="0" fontId="0" fillId="0" borderId="12" xfId="0" applyAlignment="1">
      <x:alignment vertical="top" wrapText="1"/>
    </x:xf>
    <x:xf numFmtId="0" fontId="0" fillId="0" borderId="13" xfId="0" applyAlignment="1">
      <x:alignment vertical="top" wrapText="1"/>
    </x:xf>
    <x:xf numFmtId="0" fontId="0" fillId="0" borderId="14" xfId="0"/>
    <x:xf numFmtId="0" fontId="0" fillId="0" borderId="15" xfId="0"/>
    <x:xf numFmtId="0" fontId="0" fillId="0" borderId="14" xfId="0" applyAlignment="1">
      <x:alignment wrapText="1"/>
    </x:xf>
    <x:xf numFmtId="0" fontId="0" fillId="0" borderId="15" xfId="0" applyAlignment="1">
      <x:alignment wrapText="1"/>
    </x:xf>
    <x:xf numFmtId="0" fontId="0" fillId="0" borderId="14" xfId="0" applyAlignment="1">
      <x:alignment vertical="top" wrapText="1"/>
    </x:xf>
    <x:xf numFmtId="0" fontId="0" fillId="0" borderId="15" xfId="0" applyAlignment="1">
      <x:alignment vertical="top" wrapText="1"/>
    </x:xf>
    <x:xf numFmtId="0" fontId="0" fillId="6" borderId="0" xfId="0"/>
    <x:xf numFmtId="0" fontId="5" fillId="6" borderId="0" xfId="0"/>
    <x:xf numFmtId="0" fontId="5" fillId="6" borderId="16" xfId="0"/>
    <x:xf numFmtId="0" fontId="5" fillId="6" borderId="17" xfId="0"/>
    <x:xf numFmtId="0" fontId="5" fillId="6" borderId="18" xfId="0"/>
    <x:xf numFmtId="0" fontId="5" fillId="6" borderId="16" xfId="0" applyAlignment="1">
      <x:alignment horizontal="center"/>
    </x:xf>
    <x:xf numFmtId="0" fontId="5" fillId="6" borderId="17" xfId="0" applyAlignment="1">
      <x:alignment horizontal="center"/>
    </x:xf>
    <x:xf numFmtId="0" fontId="5" fillId="6" borderId="18" xfId="0" applyAlignment="1">
      <x:alignment horizontal="center"/>
    </x:xf>
    <x:xf numFmtId="0" fontId="5" fillId="6" borderId="16" xfId="0" applyAlignment="1">
      <x:alignment horizontal="center" vertical="center"/>
    </x:xf>
    <x:xf numFmtId="0" fontId="5" fillId="6" borderId="17" xfId="0" applyAlignment="1">
      <x:alignment horizontal="center" vertical="center"/>
    </x:xf>
    <x:xf numFmtId="0" fontId="5" fillId="6" borderId="18" xfId="0" applyAlignment="1">
      <x:alignment horizontal="center" vertical="center"/>
    </x:xf>
    <x:xf numFmtId="0" fontId="0" fillId="7" borderId="0" xfId="0"/>
    <x:xf numFmtId="0" fontId="5" fillId="7" borderId="0" xfId="0"/>
    <x:xf numFmtId="0" fontId="5" fillId="7" borderId="16" xfId="0"/>
    <x:xf numFmtId="0" fontId="5" fillId="7" borderId="17" xfId="0"/>
    <x:xf numFmtId="0" fontId="5" fillId="7" borderId="18" xfId="0"/>
    <x:xf numFmtId="0" fontId="5" fillId="7" borderId="16" xfId="0" applyAlignment="1">
      <x:alignment horizontal="center"/>
    </x:xf>
    <x:xf numFmtId="0" fontId="5" fillId="7" borderId="17" xfId="0" applyAlignment="1">
      <x:alignment horizontal="center"/>
    </x:xf>
    <x:xf numFmtId="0" fontId="5" fillId="7" borderId="18" xfId="0" applyAlignment="1">
      <x:alignment horizontal="center"/>
    </x:xf>
    <x:xf numFmtId="0" fontId="5" fillId="7" borderId="16" xfId="0" applyAlignment="1">
      <x:alignment horizontal="center" vertical="center"/>
    </x:xf>
    <x:xf numFmtId="0" fontId="5" fillId="7" borderId="17" xfId="0" applyAlignment="1">
      <x:alignment horizontal="center" vertical="center"/>
    </x:xf>
    <x:xf numFmtId="0" fontId="5" fillId="7" borderId="18" xfId="0" applyAlignment="1">
      <x:alignment horizontal="center" vertical="center"/>
    </x:xf>
    <x:xf numFmtId="0" fontId="0" fillId="8" borderId="0" xfId="0"/>
    <x:xf numFmtId="0" fontId="5" fillId="8" borderId="0" xfId="0"/>
    <x:xf numFmtId="0" fontId="5" fillId="8" borderId="16" xfId="0"/>
    <x:xf numFmtId="0" fontId="5" fillId="8" borderId="17" xfId="0"/>
    <x:xf numFmtId="0" fontId="5" fillId="8" borderId="18" xfId="0"/>
    <x:xf numFmtId="0" fontId="5" fillId="8" borderId="16" xfId="0" applyAlignment="1">
      <x:alignment horizontal="center"/>
    </x:xf>
    <x:xf numFmtId="0" fontId="5" fillId="8" borderId="17" xfId="0" applyAlignment="1">
      <x:alignment horizontal="center"/>
    </x:xf>
    <x:xf numFmtId="0" fontId="5" fillId="8" borderId="18" xfId="0" applyAlignment="1">
      <x:alignment horizontal="center"/>
    </x:xf>
    <x:xf numFmtId="0" fontId="5" fillId="8" borderId="16" xfId="0" applyAlignment="1">
      <x:alignment horizontal="center" vertical="center"/>
    </x:xf>
    <x:xf numFmtId="0" fontId="5" fillId="8" borderId="17" xfId="0" applyAlignment="1">
      <x:alignment horizontal="center" vertical="center"/>
    </x:xf>
    <x:xf numFmtId="0" fontId="5" fillId="8" borderId="18" xfId="0" applyAlignment="1">
      <x:alignment horizontal="center" vertical="center"/>
    </x:xf>
    <x:xf numFmtId="0" fontId="0" fillId="9" borderId="0" xfId="0"/>
    <x:xf numFmtId="0" fontId="5" fillId="9" borderId="0" xfId="0"/>
    <x:xf numFmtId="0" fontId="5" fillId="9" borderId="16" xfId="0"/>
    <x:xf numFmtId="0" fontId="5" fillId="9" borderId="17" xfId="0"/>
    <x:xf numFmtId="0" fontId="5" fillId="9" borderId="18" xfId="0"/>
    <x:xf numFmtId="0" fontId="5" fillId="9" borderId="16" xfId="0" applyAlignment="1">
      <x:alignment horizontal="center"/>
    </x:xf>
    <x:xf numFmtId="0" fontId="5" fillId="9" borderId="17" xfId="0" applyAlignment="1">
      <x:alignment horizontal="center"/>
    </x:xf>
    <x:xf numFmtId="0" fontId="5" fillId="9" borderId="18" xfId="0" applyAlignment="1">
      <x:alignment horizontal="center"/>
    </x:xf>
    <x:xf numFmtId="0" fontId="5" fillId="9" borderId="16" xfId="0" applyAlignment="1">
      <x:alignment horizontal="center" vertical="center"/>
    </x:xf>
    <x:xf numFmtId="0" fontId="5" fillId="9" borderId="17" xfId="0" applyAlignment="1">
      <x:alignment horizontal="center" vertical="center"/>
    </x:xf>
    <x:xf numFmtId="0" fontId="5" fillId="9" borderId="18" xfId="0" applyAlignment="1">
      <x:alignment horizontal="center" vertical="center"/>
    </x:xf>
    <x:xf numFmtId="0" fontId="0" fillId="10" borderId="0" xfId="0"/>
    <x:xf numFmtId="0" fontId="5" fillId="10" borderId="0" xfId="0"/>
    <x:xf numFmtId="0" fontId="5" fillId="10" borderId="16" xfId="0"/>
    <x:xf numFmtId="0" fontId="5" fillId="10" borderId="17" xfId="0"/>
    <x:xf numFmtId="0" fontId="5" fillId="10" borderId="18" xfId="0"/>
    <x:xf numFmtId="0" fontId="5" fillId="10" borderId="16" xfId="0" applyAlignment="1">
      <x:alignment horizontal="center"/>
    </x:xf>
    <x:xf numFmtId="0" fontId="5" fillId="10" borderId="17" xfId="0" applyAlignment="1">
      <x:alignment horizontal="center"/>
    </x:xf>
    <x:xf numFmtId="0" fontId="5" fillId="10" borderId="18" xfId="0" applyAlignment="1">
      <x:alignment horizontal="center"/>
    </x:xf>
    <x:xf numFmtId="0" fontId="5" fillId="10" borderId="16" xfId="0" applyAlignment="1">
      <x:alignment horizontal="center" vertical="center"/>
    </x:xf>
    <x:xf numFmtId="0" fontId="5" fillId="10" borderId="17" xfId="0" applyAlignment="1">
      <x:alignment horizontal="center" vertical="center"/>
    </x:xf>
    <x:xf numFmtId="0" fontId="5" fillId="10" borderId="18" xfId="0" applyAlignment="1">
      <x:alignment horizontal="center" vertical="center"/>
    </x:xf>
    <x:xf numFmtId="0" fontId="0" fillId="11" borderId="0" xfId="0"/>
    <x:xf numFmtId="0" fontId="5" fillId="11" borderId="0" xfId="0"/>
    <x:xf numFmtId="0" fontId="5" fillId="11" borderId="16" xfId="0"/>
    <x:xf numFmtId="0" fontId="5" fillId="11" borderId="17" xfId="0"/>
    <x:xf numFmtId="0" fontId="5" fillId="11" borderId="18" xfId="0"/>
    <x:xf numFmtId="0" fontId="5" fillId="11" borderId="16" xfId="0" applyAlignment="1">
      <x:alignment horizontal="center"/>
    </x:xf>
    <x:xf numFmtId="0" fontId="5" fillId="11" borderId="17" xfId="0" applyAlignment="1">
      <x:alignment horizontal="center"/>
    </x:xf>
    <x:xf numFmtId="0" fontId="5" fillId="11" borderId="18" xfId="0" applyAlignment="1">
      <x:alignment horizontal="center"/>
    </x:xf>
    <x:xf numFmtId="0" fontId="5" fillId="11" borderId="16" xfId="0" applyAlignment="1">
      <x:alignment horizontal="center" vertical="center"/>
    </x:xf>
    <x:xf numFmtId="0" fontId="5" fillId="11" borderId="17" xfId="0" applyAlignment="1">
      <x:alignment horizontal="center" vertical="center"/>
    </x:xf>
    <x:xf numFmtId="0" fontId="5" fillId="11" borderId="18" xfId="0" applyAlignment="1">
      <x:alignment horizontal="center" vertical="center"/>
    </x:xf>
    <x:xf numFmtId="165" fontId="0" fillId="0" borderId="0" xfId="0"/>
    <x:xf numFmtId="0" fontId="6" fillId="0" borderId="0" xfId="0"/>
    <x:xf numFmtId="0" fontId="7" fillId="2" borderId="0" xfId="0"/>
    <x:xf numFmtId="0" fontId="7" fillId="2" borderId="0" xfId="0" applyAlignment="1">
      <x:alignment horizontal="left"/>
    </x:xf>
    <x:xf numFmtId="0" fontId="7" fillId="2" borderId="0" xfId="0" applyAlignment="1">
      <x:alignment horizontal="left" vertical="center"/>
    </x:xf>
    <x:xf numFmtId="0" fontId="0" fillId="12" borderId="0" xfId="0"/>
    <x:xf numFmtId="0" fontId="8" fillId="3" borderId="0" xfId="0"/>
    <x:xf numFmtId="0" fontId="8" fillId="3" borderId="19" xfId="0"/>
    <x:xf numFmtId="0" fontId="8" fillId="3" borderId="20" xfId="0"/>
    <x:xf numFmtId="0" fontId="8" fillId="3" borderId="21" xfId="0"/>
    <x:xf numFmtId="0" fontId="8" fillId="3" borderId="19" xfId="0" applyAlignment="1">
      <x:alignment horizontal="center"/>
    </x:xf>
    <x:xf numFmtId="0" fontId="8" fillId="3" borderId="20" xfId="0" applyAlignment="1">
      <x:alignment horizontal="center"/>
    </x:xf>
    <x:xf numFmtId="0" fontId="8" fillId="3" borderId="21" xfId="0" applyAlignment="1">
      <x:alignment horizontal="center"/>
    </x:xf>
    <x:xf numFmtId="0" fontId="8" fillId="3" borderId="19" xfId="0" applyAlignment="1">
      <x:alignment horizontal="center" vertical="center"/>
    </x:xf>
    <x:xf numFmtId="0" fontId="8" fillId="3" borderId="20" xfId="0" applyAlignment="1">
      <x:alignment horizontal="center" vertical="center"/>
    </x:xf>
    <x:xf numFmtId="0" fontId="8" fillId="3" borderId="21" xfId="0" applyAlignment="1">
      <x:alignment horizontal="center" vertical="center"/>
    </x:xf>
    <x:xf numFmtId="0" fontId="0" fillId="13" borderId="0" xfId="0"/>
    <x:xf numFmtId="0" fontId="9" fillId="13" borderId="0" xfId="0"/>
    <x:xf numFmtId="0" fontId="9" fillId="13" borderId="14" xfId="0"/>
    <x:xf numFmtId="0" fontId="9" fillId="13" borderId="22" xfId="0"/>
    <x:xf numFmtId="0" fontId="9" fillId="13" borderId="15" xfId="0"/>
    <x:xf numFmtId="0" fontId="9" fillId="13" borderId="11" xfId="0"/>
    <x:xf numFmtId="0" fontId="9" fillId="13" borderId="12" xfId="0"/>
    <x:xf numFmtId="0" fontId="9" fillId="13" borderId="13" xfId="0"/>
    <x:xf numFmtId="1" fontId="9" fillId="13" borderId="14" xfId="0"/>
    <x:xf numFmtId="1" fontId="9" fillId="13" borderId="22" xfId="0"/>
    <x:xf numFmtId="1" fontId="9" fillId="13" borderId="15" xfId="0"/>
    <x:xf numFmtId="1" fontId="9" fillId="13" borderId="11" xfId="0"/>
    <x:xf numFmtId="1" fontId="9" fillId="13" borderId="12" xfId="0"/>
    <x:xf numFmtId="1" fontId="9" fillId="13" borderId="13" xfId="0"/>
    <x:xf numFmtId="1" fontId="9" fillId="13" borderId="14" xfId="0" applyAlignment="1">
      <x:alignment horizontal="center"/>
    </x:xf>
    <x:xf numFmtId="1" fontId="9" fillId="13" borderId="22" xfId="0" applyAlignment="1">
      <x:alignment horizontal="center"/>
    </x:xf>
    <x:xf numFmtId="1" fontId="9" fillId="13" borderId="15" xfId="0" applyAlignment="1">
      <x:alignment horizontal="center"/>
    </x:xf>
    <x:xf numFmtId="1" fontId="9" fillId="13" borderId="11" xfId="0" applyAlignment="1">
      <x:alignment horizontal="center"/>
    </x:xf>
    <x:xf numFmtId="1" fontId="9" fillId="13" borderId="12" xfId="0" applyAlignment="1">
      <x:alignment horizontal="center"/>
    </x:xf>
    <x:xf numFmtId="1" fontId="9" fillId="13" borderId="13" xfId="0" applyAlignment="1">
      <x:alignment horizontal="center"/>
    </x:xf>
    <x:xf numFmtId="1" fontId="9" fillId="13" borderId="14" xfId="0" applyAlignment="1">
      <x:alignment horizontal="center" vertical="center"/>
    </x:xf>
    <x:xf numFmtId="1" fontId="9" fillId="13" borderId="22" xfId="0" applyAlignment="1">
      <x:alignment horizontal="center" vertical="center"/>
    </x:xf>
    <x:xf numFmtId="1" fontId="9" fillId="13" borderId="15" xfId="0" applyAlignment="1">
      <x:alignment horizontal="center" vertical="center"/>
    </x:xf>
    <x:xf numFmtId="1" fontId="9" fillId="13" borderId="11" xfId="0" applyAlignment="1">
      <x:alignment horizontal="center" vertical="center"/>
    </x:xf>
    <x:xf numFmtId="1" fontId="9" fillId="13" borderId="12" xfId="0" applyAlignment="1">
      <x:alignment horizontal="center" vertical="center"/>
    </x:xf>
    <x:xf numFmtId="1" fontId="9" fillId="13" borderId="13" xfId="0" applyAlignment="1">
      <x:alignment horizontal="center" vertical="center"/>
    </x:xf>
    <x:xf numFmtId="0" fontId="0" fillId="14" borderId="0" xfId="0"/>
    <x:xf numFmtId="0" fontId="8" fillId="14" borderId="0" xfId="0"/>
    <x:xf numFmtId="0" fontId="8" fillId="14" borderId="19" xfId="0"/>
    <x:xf numFmtId="0" fontId="8" fillId="14" borderId="20" xfId="0"/>
    <x:xf numFmtId="0" fontId="8" fillId="14" borderId="21" xfId="0"/>
    <x:xf numFmtId="0" fontId="8" fillId="14" borderId="19" xfId="0" applyAlignment="1">
      <x:alignment horizontal="center"/>
    </x:xf>
    <x:xf numFmtId="0" fontId="8" fillId="14" borderId="20" xfId="0" applyAlignment="1">
      <x:alignment horizontal="center"/>
    </x:xf>
    <x:xf numFmtId="0" fontId="8" fillId="14" borderId="21" xfId="0" applyAlignment="1">
      <x:alignment horizontal="center"/>
    </x:xf>
    <x:xf numFmtId="0" fontId="8" fillId="14" borderId="19" xfId="0" applyAlignment="1">
      <x:alignment horizontal="center" vertical="center"/>
    </x:xf>
    <x:xf numFmtId="0" fontId="8" fillId="14" borderId="20" xfId="0" applyAlignment="1">
      <x:alignment horizontal="center" vertical="center"/>
    </x:xf>
    <x:xf numFmtId="0" fontId="8" fillId="14" borderId="21" xfId="0" applyAlignment="1">
      <x:alignment horizontal="center" vertical="center"/>
    </x:xf>
    <x:xf numFmtId="0" fontId="10" fillId="13" borderId="0" xfId="0"/>
    <x:xf numFmtId="0" fontId="10" fillId="13" borderId="14" xfId="0"/>
    <x:xf numFmtId="0" fontId="10" fillId="13" borderId="22" xfId="0"/>
    <x:xf numFmtId="0" fontId="10" fillId="13" borderId="15" xfId="0"/>
    <x:xf numFmtId="0" fontId="10" fillId="13" borderId="11" xfId="0"/>
    <x:xf numFmtId="0" fontId="10" fillId="13" borderId="12" xfId="0"/>
    <x:xf numFmtId="0" fontId="10" fillId="13" borderId="13" xfId="0"/>
    <x:xf numFmtId="1" fontId="10" fillId="13" borderId="14" xfId="0"/>
    <x:xf numFmtId="1" fontId="10" fillId="13" borderId="22" xfId="0"/>
    <x:xf numFmtId="1" fontId="10" fillId="13" borderId="15" xfId="0"/>
    <x:xf numFmtId="1" fontId="10" fillId="13" borderId="11" xfId="0"/>
    <x:xf numFmtId="1" fontId="10" fillId="13" borderId="12" xfId="0"/>
    <x:xf numFmtId="1" fontId="10" fillId="13" borderId="13" xfId="0"/>
    <x:xf numFmtId="1" fontId="10" fillId="13" borderId="14" xfId="0" applyAlignment="1">
      <x:alignment horizontal="center"/>
    </x:xf>
    <x:xf numFmtId="1" fontId="10" fillId="13" borderId="22" xfId="0" applyAlignment="1">
      <x:alignment horizontal="center"/>
    </x:xf>
    <x:xf numFmtId="1" fontId="10" fillId="13" borderId="15" xfId="0" applyAlignment="1">
      <x:alignment horizontal="center"/>
    </x:xf>
    <x:xf numFmtId="1" fontId="10" fillId="13" borderId="11" xfId="0" applyAlignment="1">
      <x:alignment horizontal="center"/>
    </x:xf>
    <x:xf numFmtId="1" fontId="10" fillId="13" borderId="12" xfId="0" applyAlignment="1">
      <x:alignment horizontal="center"/>
    </x:xf>
    <x:xf numFmtId="1" fontId="10" fillId="13" borderId="13" xfId="0" applyAlignment="1">
      <x:alignment horizontal="center"/>
    </x:xf>
    <x:xf numFmtId="1" fontId="10" fillId="13" borderId="14" xfId="0" applyAlignment="1">
      <x:alignment horizontal="center" vertical="center"/>
    </x:xf>
    <x:xf numFmtId="1" fontId="10" fillId="13" borderId="22" xfId="0" applyAlignment="1">
      <x:alignment horizontal="center" vertical="center"/>
    </x:xf>
    <x:xf numFmtId="1" fontId="10" fillId="13" borderId="15" xfId="0" applyAlignment="1">
      <x:alignment horizontal="center" vertical="center"/>
    </x:xf>
    <x:xf numFmtId="1" fontId="10" fillId="13" borderId="11" xfId="0" applyAlignment="1">
      <x:alignment horizontal="center" vertical="center"/>
    </x:xf>
    <x:xf numFmtId="1" fontId="10" fillId="13" borderId="12" xfId="0" applyAlignment="1">
      <x:alignment horizontal="center" vertical="center"/>
    </x:xf>
    <x:xf numFmtId="1" fontId="10" fillId="13" borderId="13" xfId="0" applyAlignment="1">
      <x:alignment horizontal="center" vertical="center"/>
    </x:xf>
    <x:xf numFmtId="0" fontId="0" fillId="15" borderId="0" xfId="0"/>
    <x:xf numFmtId="0" fontId="8" fillId="15" borderId="0" xfId="0"/>
    <x:xf numFmtId="0" fontId="8" fillId="15" borderId="19" xfId="0"/>
    <x:xf numFmtId="0" fontId="8" fillId="15" borderId="20" xfId="0"/>
    <x:xf numFmtId="0" fontId="8" fillId="15" borderId="21" xfId="0"/>
    <x:xf numFmtId="0" fontId="8" fillId="15" borderId="19" xfId="0" applyAlignment="1">
      <x:alignment horizontal="center"/>
    </x:xf>
    <x:xf numFmtId="0" fontId="8" fillId="15" borderId="20" xfId="0" applyAlignment="1">
      <x:alignment horizontal="center"/>
    </x:xf>
    <x:xf numFmtId="0" fontId="8" fillId="15" borderId="21" xfId="0" applyAlignment="1">
      <x:alignment horizontal="center"/>
    </x:xf>
    <x:xf numFmtId="0" fontId="8" fillId="15" borderId="19" xfId="0" applyAlignment="1">
      <x:alignment horizontal="center" vertical="center"/>
    </x:xf>
    <x:xf numFmtId="0" fontId="8" fillId="15" borderId="20" xfId="0" applyAlignment="1">
      <x:alignment horizontal="center" vertical="center"/>
    </x:xf>
    <x:xf numFmtId="0" fontId="8" fillId="15" borderId="21" xfId="0" applyAlignment="1">
      <x:alignment horizontal="center" vertical="center"/>
    </x:xf>
    <x:xf numFmtId="0" fontId="11" fillId="13" borderId="0" xfId="0"/>
    <x:xf numFmtId="0" fontId="11" fillId="13" borderId="14" xfId="0"/>
    <x:xf numFmtId="0" fontId="11" fillId="13" borderId="22" xfId="0"/>
    <x:xf numFmtId="0" fontId="11" fillId="13" borderId="15" xfId="0"/>
    <x:xf numFmtId="0" fontId="11" fillId="13" borderId="11" xfId="0"/>
    <x:xf numFmtId="0" fontId="11" fillId="13" borderId="12" xfId="0"/>
    <x:xf numFmtId="0" fontId="11" fillId="13" borderId="13" xfId="0"/>
    <x:xf numFmtId="1" fontId="11" fillId="13" borderId="14" xfId="0"/>
    <x:xf numFmtId="1" fontId="11" fillId="13" borderId="22" xfId="0"/>
    <x:xf numFmtId="1" fontId="11" fillId="13" borderId="15" xfId="0"/>
    <x:xf numFmtId="1" fontId="11" fillId="13" borderId="11" xfId="0"/>
    <x:xf numFmtId="1" fontId="11" fillId="13" borderId="12" xfId="0"/>
    <x:xf numFmtId="1" fontId="11" fillId="13" borderId="13" xfId="0"/>
    <x:xf numFmtId="1" fontId="11" fillId="13" borderId="14" xfId="0" applyAlignment="1">
      <x:alignment horizontal="center"/>
    </x:xf>
    <x:xf numFmtId="1" fontId="11" fillId="13" borderId="22" xfId="0" applyAlignment="1">
      <x:alignment horizontal="center"/>
    </x:xf>
    <x:xf numFmtId="1" fontId="11" fillId="13" borderId="15" xfId="0" applyAlignment="1">
      <x:alignment horizontal="center"/>
    </x:xf>
    <x:xf numFmtId="1" fontId="11" fillId="13" borderId="11" xfId="0" applyAlignment="1">
      <x:alignment horizontal="center"/>
    </x:xf>
    <x:xf numFmtId="1" fontId="11" fillId="13" borderId="12" xfId="0" applyAlignment="1">
      <x:alignment horizontal="center"/>
    </x:xf>
    <x:xf numFmtId="1" fontId="11" fillId="13" borderId="13" xfId="0" applyAlignment="1">
      <x:alignment horizontal="center"/>
    </x:xf>
    <x:xf numFmtId="1" fontId="11" fillId="13" borderId="14" xfId="0" applyAlignment="1">
      <x:alignment horizontal="center" vertical="center"/>
    </x:xf>
    <x:xf numFmtId="1" fontId="11" fillId="13" borderId="22" xfId="0" applyAlignment="1">
      <x:alignment horizontal="center" vertical="center"/>
    </x:xf>
    <x:xf numFmtId="1" fontId="11" fillId="13" borderId="15" xfId="0" applyAlignment="1">
      <x:alignment horizontal="center" vertical="center"/>
    </x:xf>
    <x:xf numFmtId="1" fontId="11" fillId="13" borderId="11" xfId="0" applyAlignment="1">
      <x:alignment horizontal="center" vertical="center"/>
    </x:xf>
    <x:xf numFmtId="1" fontId="11" fillId="13" borderId="12" xfId="0" applyAlignment="1">
      <x:alignment horizontal="center" vertical="center"/>
    </x:xf>
    <x:xf numFmtId="1" fontId="11" fillId="13" borderId="13" xfId="0" applyAlignment="1">
      <x:alignment horizontal="center" vertical="center"/>
    </x:xf>
    <x:xf numFmtId="0" fontId="0" fillId="16" borderId="0" xfId="0"/>
    <x:xf numFmtId="0" fontId="8" fillId="16" borderId="0" xfId="0"/>
    <x:xf numFmtId="0" fontId="8" fillId="16" borderId="19" xfId="0"/>
    <x:xf numFmtId="0" fontId="8" fillId="16" borderId="20" xfId="0"/>
    <x:xf numFmtId="0" fontId="8" fillId="16" borderId="21" xfId="0"/>
    <x:xf numFmtId="0" fontId="8" fillId="16" borderId="19" xfId="0" applyAlignment="1">
      <x:alignment horizontal="center"/>
    </x:xf>
    <x:xf numFmtId="0" fontId="8" fillId="16" borderId="20" xfId="0" applyAlignment="1">
      <x:alignment horizontal="center"/>
    </x:xf>
    <x:xf numFmtId="0" fontId="8" fillId="16" borderId="21" xfId="0" applyAlignment="1">
      <x:alignment horizontal="center"/>
    </x:xf>
    <x:xf numFmtId="0" fontId="8" fillId="16" borderId="19" xfId="0" applyAlignment="1">
      <x:alignment horizontal="center" vertical="center"/>
    </x:xf>
    <x:xf numFmtId="0" fontId="8" fillId="16" borderId="20" xfId="0" applyAlignment="1">
      <x:alignment horizontal="center" vertical="center"/>
    </x:xf>
    <x:xf numFmtId="0" fontId="8" fillId="16" borderId="21" xfId="0" applyAlignment="1">
      <x:alignment horizontal="center" vertical="center"/>
    </x:xf>
    <x:xf numFmtId="0" fontId="12" fillId="13" borderId="0" xfId="0"/>
    <x:xf numFmtId="0" fontId="12" fillId="13" borderId="14" xfId="0"/>
    <x:xf numFmtId="0" fontId="12" fillId="13" borderId="22" xfId="0"/>
    <x:xf numFmtId="0" fontId="12" fillId="13" borderId="15" xfId="0"/>
    <x:xf numFmtId="0" fontId="12" fillId="13" borderId="11" xfId="0"/>
    <x:xf numFmtId="0" fontId="12" fillId="13" borderId="12" xfId="0"/>
    <x:xf numFmtId="0" fontId="12" fillId="13" borderId="13" xfId="0"/>
    <x:xf numFmtId="1" fontId="12" fillId="13" borderId="14" xfId="0"/>
    <x:xf numFmtId="1" fontId="12" fillId="13" borderId="22" xfId="0"/>
    <x:xf numFmtId="1" fontId="12" fillId="13" borderId="15" xfId="0"/>
    <x:xf numFmtId="1" fontId="12" fillId="13" borderId="11" xfId="0"/>
    <x:xf numFmtId="1" fontId="12" fillId="13" borderId="12" xfId="0"/>
    <x:xf numFmtId="1" fontId="12" fillId="13" borderId="13" xfId="0"/>
    <x:xf numFmtId="1" fontId="12" fillId="13" borderId="14" xfId="0" applyAlignment="1">
      <x:alignment horizontal="center"/>
    </x:xf>
    <x:xf numFmtId="1" fontId="12" fillId="13" borderId="22" xfId="0" applyAlignment="1">
      <x:alignment horizontal="center"/>
    </x:xf>
    <x:xf numFmtId="1" fontId="12" fillId="13" borderId="15" xfId="0" applyAlignment="1">
      <x:alignment horizontal="center"/>
    </x:xf>
    <x:xf numFmtId="1" fontId="12" fillId="13" borderId="11" xfId="0" applyAlignment="1">
      <x:alignment horizontal="center"/>
    </x:xf>
    <x:xf numFmtId="1" fontId="12" fillId="13" borderId="12" xfId="0" applyAlignment="1">
      <x:alignment horizontal="center"/>
    </x:xf>
    <x:xf numFmtId="1" fontId="12" fillId="13" borderId="13" xfId="0" applyAlignment="1">
      <x:alignment horizontal="center"/>
    </x:xf>
    <x:xf numFmtId="1" fontId="12" fillId="13" borderId="14" xfId="0" applyAlignment="1">
      <x:alignment horizontal="center" vertical="center"/>
    </x:xf>
    <x:xf numFmtId="1" fontId="12" fillId="13" borderId="22" xfId="0" applyAlignment="1">
      <x:alignment horizontal="center" vertical="center"/>
    </x:xf>
    <x:xf numFmtId="1" fontId="12" fillId="13" borderId="15" xfId="0" applyAlignment="1">
      <x:alignment horizontal="center" vertical="center"/>
    </x:xf>
    <x:xf numFmtId="1" fontId="12" fillId="13" borderId="11" xfId="0" applyAlignment="1">
      <x:alignment horizontal="center" vertical="center"/>
    </x:xf>
    <x:xf numFmtId="1" fontId="12" fillId="13" borderId="12" xfId="0" applyAlignment="1">
      <x:alignment horizontal="center" vertical="center"/>
    </x:xf>
    <x:xf numFmtId="1" fontId="12" fillId="13" borderId="13" xfId="0" applyAlignment="1">
      <x:alignment horizontal="center" vertical="center"/>
    </x:xf>
    <x:xf numFmtId="0" fontId="13" fillId="13" borderId="0" xfId="0"/>
    <x:xf numFmtId="0" fontId="13" fillId="13" borderId="14" xfId="0"/>
    <x:xf numFmtId="0" fontId="13" fillId="13" borderId="22" xfId="0"/>
    <x:xf numFmtId="0" fontId="13" fillId="13" borderId="15" xfId="0"/>
    <x:xf numFmtId="0" fontId="13" fillId="13" borderId="11" xfId="0"/>
    <x:xf numFmtId="0" fontId="13" fillId="13" borderId="12" xfId="0"/>
    <x:xf numFmtId="0" fontId="13" fillId="13" borderId="13" xfId="0"/>
    <x:xf numFmtId="1" fontId="13" fillId="13" borderId="14" xfId="0"/>
    <x:xf numFmtId="1" fontId="13" fillId="13" borderId="22" xfId="0"/>
    <x:xf numFmtId="1" fontId="13" fillId="13" borderId="15" xfId="0"/>
    <x:xf numFmtId="1" fontId="13" fillId="13" borderId="11" xfId="0"/>
    <x:xf numFmtId="1" fontId="13" fillId="13" borderId="12" xfId="0"/>
    <x:xf numFmtId="1" fontId="13" fillId="13" borderId="13" xfId="0"/>
    <x:xf numFmtId="1" fontId="13" fillId="13" borderId="14" xfId="0" applyAlignment="1">
      <x:alignment horizontal="center"/>
    </x:xf>
    <x:xf numFmtId="1" fontId="13" fillId="13" borderId="22" xfId="0" applyAlignment="1">
      <x:alignment horizontal="center"/>
    </x:xf>
    <x:xf numFmtId="1" fontId="13" fillId="13" borderId="15" xfId="0" applyAlignment="1">
      <x:alignment horizontal="center"/>
    </x:xf>
    <x:xf numFmtId="1" fontId="13" fillId="13" borderId="11" xfId="0" applyAlignment="1">
      <x:alignment horizontal="center"/>
    </x:xf>
    <x:xf numFmtId="1" fontId="13" fillId="13" borderId="12" xfId="0" applyAlignment="1">
      <x:alignment horizontal="center"/>
    </x:xf>
    <x:xf numFmtId="1" fontId="13" fillId="13" borderId="13" xfId="0" applyAlignment="1">
      <x:alignment horizontal="center"/>
    </x:xf>
    <x:xf numFmtId="1" fontId="13" fillId="13" borderId="14" xfId="0" applyAlignment="1">
      <x:alignment horizontal="center" vertical="center"/>
    </x:xf>
    <x:xf numFmtId="1" fontId="13" fillId="13" borderId="22" xfId="0" applyAlignment="1">
      <x:alignment horizontal="center" vertical="center"/>
    </x:xf>
    <x:xf numFmtId="1" fontId="13" fillId="13" borderId="15" xfId="0" applyAlignment="1">
      <x:alignment horizontal="center" vertical="center"/>
    </x:xf>
    <x:xf numFmtId="1" fontId="13" fillId="13" borderId="11" xfId="0" applyAlignment="1">
      <x:alignment horizontal="center" vertical="center"/>
    </x:xf>
    <x:xf numFmtId="1" fontId="13" fillId="13" borderId="12" xfId="0" applyAlignment="1">
      <x:alignment horizontal="center" vertical="center"/>
    </x:xf>
    <x:xf numFmtId="1" fontId="13" fillId="13" borderId="13" xfId="0" applyAlignment="1">
      <x:alignment horizontal="center" vertical="center"/>
    </x:xf>
    <x:xf numFmtId="0" fontId="8" fillId="4" borderId="0" xfId="0"/>
    <x:xf numFmtId="0" fontId="8" fillId="4" borderId="19" xfId="0"/>
    <x:xf numFmtId="0" fontId="8" fillId="4" borderId="20" xfId="0"/>
    <x:xf numFmtId="0" fontId="8" fillId="4" borderId="21" xfId="0"/>
    <x:xf numFmtId="0" fontId="8" fillId="4" borderId="19" xfId="0" applyAlignment="1">
      <x:alignment horizontal="center"/>
    </x:xf>
    <x:xf numFmtId="0" fontId="8" fillId="4" borderId="20" xfId="0" applyAlignment="1">
      <x:alignment horizontal="center"/>
    </x:xf>
    <x:xf numFmtId="0" fontId="8" fillId="4" borderId="21" xfId="0" applyAlignment="1">
      <x:alignment horizontal="center"/>
    </x:xf>
    <x:xf numFmtId="0" fontId="8" fillId="4" borderId="19" xfId="0" applyAlignment="1">
      <x:alignment horizontal="center" vertical="center"/>
    </x:xf>
    <x:xf numFmtId="0" fontId="8" fillId="4" borderId="20" xfId="0" applyAlignment="1">
      <x:alignment horizontal="center" vertical="center"/>
    </x:xf>
    <x:xf numFmtId="0" fontId="8" fillId="4" borderId="21" xfId="0" applyAlignment="1">
      <x:alignment horizontal="center" vertical="center"/>
    </x:xf>
    <x:xf numFmtId="0" fontId="14" fillId="13" borderId="0" xfId="0"/>
    <x:xf numFmtId="0" fontId="14" fillId="13" borderId="14" xfId="0"/>
    <x:xf numFmtId="0" fontId="14" fillId="13" borderId="22" xfId="0"/>
    <x:xf numFmtId="0" fontId="14" fillId="13" borderId="15" xfId="0"/>
    <x:xf numFmtId="0" fontId="14" fillId="13" borderId="11" xfId="0"/>
    <x:xf numFmtId="0" fontId="14" fillId="13" borderId="12" xfId="0"/>
    <x:xf numFmtId="0" fontId="14" fillId="13" borderId="13" xfId="0"/>
    <x:xf numFmtId="1" fontId="14" fillId="13" borderId="14" xfId="0"/>
    <x:xf numFmtId="1" fontId="14" fillId="13" borderId="22" xfId="0"/>
    <x:xf numFmtId="1" fontId="14" fillId="13" borderId="15" xfId="0"/>
    <x:xf numFmtId="1" fontId="14" fillId="13" borderId="11" xfId="0"/>
    <x:xf numFmtId="1" fontId="14" fillId="13" borderId="12" xfId="0"/>
    <x:xf numFmtId="1" fontId="14" fillId="13" borderId="13" xfId="0"/>
    <x:xf numFmtId="1" fontId="14" fillId="13" borderId="14" xfId="0" applyAlignment="1">
      <x:alignment horizontal="center"/>
    </x:xf>
    <x:xf numFmtId="1" fontId="14" fillId="13" borderId="22" xfId="0" applyAlignment="1">
      <x:alignment horizontal="center"/>
    </x:xf>
    <x:xf numFmtId="1" fontId="14" fillId="13" borderId="15" xfId="0" applyAlignment="1">
      <x:alignment horizontal="center"/>
    </x:xf>
    <x:xf numFmtId="1" fontId="14" fillId="13" borderId="11" xfId="0" applyAlignment="1">
      <x:alignment horizontal="center"/>
    </x:xf>
    <x:xf numFmtId="1" fontId="14" fillId="13" borderId="12" xfId="0" applyAlignment="1">
      <x:alignment horizontal="center"/>
    </x:xf>
    <x:xf numFmtId="1" fontId="14" fillId="13" borderId="13" xfId="0" applyAlignment="1">
      <x:alignment horizontal="center"/>
    </x:xf>
    <x:xf numFmtId="1" fontId="14" fillId="13" borderId="14" xfId="0" applyAlignment="1">
      <x:alignment horizontal="center" vertical="center"/>
    </x:xf>
    <x:xf numFmtId="1" fontId="14" fillId="13" borderId="22" xfId="0" applyAlignment="1">
      <x:alignment horizontal="center" vertical="center"/>
    </x:xf>
    <x:xf numFmtId="1" fontId="14" fillId="13" borderId="15" xfId="0" applyAlignment="1">
      <x:alignment horizontal="center" vertical="center"/>
    </x:xf>
    <x:xf numFmtId="1" fontId="14" fillId="13" borderId="11" xfId="0" applyAlignment="1">
      <x:alignment horizontal="center" vertical="center"/>
    </x:xf>
    <x:xf numFmtId="1" fontId="14" fillId="13" borderId="12" xfId="0" applyAlignment="1">
      <x:alignment horizontal="center" vertical="center"/>
    </x:xf>
    <x:xf numFmtId="1" fontId="14" fillId="13" borderId="13" xfId="0" applyAlignment="1">
      <x:alignment horizontal="center" vertical="center"/>
    </x:xf>
    <x:xf numFmtId="0" fontId="5" fillId="13" borderId="3" xfId="0" applyAlignment="1">
      <x:alignment horizontal="left" vertical="center" wrapText="1"/>
    </x:xf>
    <x:xf numFmtId="0" fontId="5" fillId="13" borderId="5" xfId="0" applyAlignment="1">
      <x:alignment horizontal="left" vertical="center" wrapText="1"/>
    </x:xf>
    <x:xf numFmtId="0" fontId="3" fillId="13" borderId="3" xfId="0" applyAlignment="1">
      <x:alignment horizontal="left" vertical="center" wrapText="1"/>
    </x:xf>
    <x:xf numFmtId="0" fontId="3" fillId="13" borderId="5" xfId="0" applyAlignment="1">
      <x:alignment horizontal="left" vertical="center" wrapText="1"/>
    </x:xf>
    <x:xf numFmtId="0" fontId="15" fillId="13" borderId="0" xfId="0"/>
    <x:xf numFmtId="0" fontId="3" fillId="13" borderId="23" xfId="0" applyAlignment="1">
      <x:alignment horizontal="left" vertical="center" wrapText="1"/>
    </x:xf>
    <x:xf numFmtId="0" fontId="15" fillId="13" borderId="23" xfId="0"/>
    <x:xf numFmtId="0" fontId="3" fillId="2" borderId="23" xfId="0" applyAlignment="1">
      <x:alignment horizontal="left" vertical="center" wrapText="1"/>
    </x:xf>
    <x:xf numFmtId="0" fontId="5" fillId="2" borderId="23" xfId="0" applyAlignment="1">
      <x:alignment horizontal="left" vertical="center" wrapText="1"/>
    </x:xf>
    <x:xf numFmtId="0" fontId="5" fillId="2" borderId="24" xfId="0" applyAlignment="1">
      <x:alignment horizontal="left" vertical="center" wrapText="1"/>
    </x:xf>
    <x:xf numFmtId="0" fontId="5" fillId="2" borderId="25" xfId="0" applyAlignment="1">
      <x:alignment horizontal="left" vertical="center" wrapText="1"/>
    </x:xf>
    <x:xf numFmtId="1" fontId="15" fillId="13" borderId="23" xfId="0"/>
    <x:xf numFmtId="0" fontId="16" fillId="2" borderId="0" xfId="0"/>
    <x:xf numFmtId="0" fontId="16" fillId="2" borderId="0" xfId="0" applyAlignment="1">
      <x:alignment horizontal="left"/>
    </x:xf>
    <x:xf numFmtId="0" fontId="16" fillId="2" borderId="0" xfId="0" applyAlignment="1">
      <x:alignment horizontal="left" vertical="center"/>
    </x:xf>
    <x:xf numFmtId="0" fontId="3" fillId="13" borderId="0" xfId="0"/>
    <x:xf numFmtId="0" fontId="3" fillId="13" borderId="14" xfId="0"/>
    <x:xf numFmtId="0" fontId="3" fillId="13" borderId="22" xfId="0"/>
    <x:xf numFmtId="0" fontId="3" fillId="13" borderId="15" xfId="0"/>
    <x:xf numFmtId="0" fontId="3" fillId="13" borderId="11" xfId="0"/>
    <x:xf numFmtId="0" fontId="3" fillId="13" borderId="12" xfId="0"/>
    <x:xf numFmtId="0" fontId="3" fillId="13" borderId="13" xfId="0"/>
    <x:xf numFmtId="0" fontId="3" fillId="13" borderId="14" xfId="0" applyAlignment="1">
      <x:alignment wrapText="1"/>
    </x:xf>
    <x:xf numFmtId="0" fontId="3" fillId="13" borderId="22" xfId="0" applyAlignment="1">
      <x:alignment wrapText="1"/>
    </x:xf>
    <x:xf numFmtId="0" fontId="3" fillId="13" borderId="15" xfId="0" applyAlignment="1">
      <x:alignment wrapText="1"/>
    </x:xf>
    <x:xf numFmtId="0" fontId="3" fillId="13" borderId="11" xfId="0" applyAlignment="1">
      <x:alignment wrapText="1"/>
    </x:xf>
    <x:xf numFmtId="0" fontId="3" fillId="13" borderId="12" xfId="0" applyAlignment="1">
      <x:alignment wrapText="1"/>
    </x:xf>
    <x:xf numFmtId="0" fontId="3" fillId="13" borderId="13" xfId="0" applyAlignment="1">
      <x:alignment wrapText="1"/>
    </x:xf>
    <x:xf numFmtId="0" fontId="3" fillId="13" borderId="14" xfId="0" applyAlignment="1">
      <x:alignment horizontal="left" wrapText="1"/>
    </x:xf>
    <x:xf numFmtId="0" fontId="3" fillId="13" borderId="22" xfId="0" applyAlignment="1">
      <x:alignment horizontal="left" wrapText="1"/>
    </x:xf>
    <x:xf numFmtId="0" fontId="3" fillId="13" borderId="15" xfId="0" applyAlignment="1">
      <x:alignment horizontal="left" wrapText="1"/>
    </x:xf>
    <x:xf numFmtId="0" fontId="3" fillId="13" borderId="11" xfId="0" applyAlignment="1">
      <x:alignment horizontal="left" wrapText="1"/>
    </x:xf>
    <x:xf numFmtId="0" fontId="3" fillId="13" borderId="12" xfId="0" applyAlignment="1">
      <x:alignment horizontal="left" wrapText="1"/>
    </x:xf>
    <x:xf numFmtId="0" fontId="3" fillId="13" borderId="13" xfId="0" applyAlignment="1">
      <x:alignment horizontal="left" wrapText="1"/>
    </x:xf>
    <x:xf numFmtId="0" fontId="3" fillId="13" borderId="14" xfId="0" applyAlignment="1">
      <x:alignment horizontal="left" vertical="center" wrapText="1"/>
    </x:xf>
    <x:xf numFmtId="0" fontId="3" fillId="13" borderId="22" xfId="0" applyAlignment="1">
      <x:alignment horizontal="left" vertical="center" wrapText="1"/>
    </x:xf>
    <x:xf numFmtId="0" fontId="3" fillId="13" borderId="15" xfId="0" applyAlignment="1">
      <x:alignment horizontal="left" vertical="center" wrapText="1"/>
    </x:xf>
    <x:xf numFmtId="0" fontId="3" fillId="13" borderId="11" xfId="0" applyAlignment="1">
      <x:alignment horizontal="left" vertical="center" wrapText="1"/>
    </x:xf>
    <x:xf numFmtId="0" fontId="3" fillId="13" borderId="12" xfId="0" applyAlignment="1">
      <x:alignment horizontal="left" vertical="center" wrapText="1"/>
    </x:xf>
    <x:xf numFmtId="0" fontId="3" fillId="13" borderId="13" xfId="0" applyAlignment="1">
      <x:alignment horizontal="left" vertical="center" wrapText="1"/>
    </x:xf>
    <x:xf numFmtId="0" fontId="3" fillId="5" borderId="0" xfId="0"/>
    <x:xf numFmtId="0" fontId="3" fillId="5" borderId="0" xfId="0" applyAlignment="1">
      <x:alignment horizontal="left"/>
    </x:xf>
    <x:xf numFmtId="0" fontId="3" fillId="5" borderId="0" xfId="0" applyAlignment="1">
      <x:alignment horizontal="left" vertical="center"/>
    </x:xf>
    <x:xf numFmtId="0" fontId="17" fillId="0" borderId="0" xfId="0"/>
    <x:xf numFmtId="0" fontId="18" fillId="13" borderId="0" xfId="0"/>
    <x:xf numFmtId="0" fontId="18" fillId="13" borderId="23" xfId="0"/>
    <x:xf numFmtId="0" fontId="18" fillId="13" borderId="23" xfId="0" applyAlignment="1">
      <x:alignment wrapText="1"/>
    </x:xf>
    <x:xf numFmtId="0" fontId="18" fillId="13" borderId="23" xfId="0" applyAlignment="1">
      <x:alignment vertical="top" wrapText="1"/>
    </x:xf>
    <x:xf numFmtId="164" fontId="18" fillId="13" borderId="23" xfId="0" applyAlignment="1">
      <x:alignment vertical="top" wrapText="1"/>
    </x:xf>
    <x:xf numFmtId="1" fontId="18" fillId="13" borderId="23" xfId="0" applyAlignment="1">
      <x:alignment vertical="top" wrapText="1"/>
    </x:xf>
    <x:xf numFmtId="164" fontId="3" fillId="4" borderId="2" xfId="0"/>
    <x:xf numFmtId="0" fontId="5" fillId="6" borderId="26" xfId="0" applyAlignment="1">
      <x:alignment horizontal="center" vertical="center"/>
    </x:xf>
    <x:xf numFmtId="0" fontId="0" fillId="0" borderId="17" xfId="0"/>
    <x:xf numFmtId="0" fontId="0" fillId="0" borderId="18" xfId="0"/>
    <x:xf numFmtId="0" fontId="5" fillId="7" borderId="26" xfId="0" applyAlignment="1">
      <x:alignment horizontal="center" vertical="center"/>
    </x:xf>
    <x:xf numFmtId="0" fontId="5" fillId="8" borderId="26" xfId="0" applyAlignment="1">
      <x:alignment horizontal="center" vertical="center"/>
    </x:xf>
    <x:xf numFmtId="0" fontId="5" fillId="9" borderId="26" xfId="0" applyAlignment="1">
      <x:alignment horizontal="center" vertical="center"/>
    </x:xf>
    <x:xf numFmtId="0" fontId="5" fillId="10" borderId="26" xfId="0" applyAlignment="1">
      <x:alignment horizontal="center" vertical="center"/>
    </x:xf>
    <x:xf numFmtId="0" fontId="5" fillId="11" borderId="26" xfId="0" applyAlignment="1">
      <x:alignment horizontal="center" vertical="center"/>
    </x:xf>
    <x:xf numFmtId="164" fontId="0" fillId="0" borderId="0" xfId="0"/>
    <x:xf numFmtId="165" fontId="0" fillId="0" borderId="0" xfId="0"/>
    <x:xf numFmtId="0" fontId="8" fillId="3" borderId="23" xfId="0" applyAlignment="1">
      <x:alignment horizontal="center" vertical="center"/>
    </x:xf>
    <x:xf numFmtId="0" fontId="0" fillId="0" borderId="20" xfId="0"/>
    <x:xf numFmtId="0" fontId="0" fillId="0" borderId="21" xfId="0"/>
    <x:xf numFmtId="0" fontId="8" fillId="14" borderId="23" xfId="0" applyAlignment="1">
      <x:alignment horizontal="center" vertical="center"/>
    </x:xf>
    <x:xf numFmtId="0" fontId="8" fillId="15" borderId="23" xfId="0" applyAlignment="1">
      <x:alignment horizontal="center" vertical="center"/>
    </x:xf>
    <x:xf numFmtId="1" fontId="9" fillId="13" borderId="23" xfId="0" applyAlignment="1">
      <x:alignment horizontal="center" vertical="center"/>
    </x:xf>
    <x:xf numFmtId="0" fontId="0" fillId="0" borderId="22" xfId="0"/>
    <x:xf numFmtId="1" fontId="10" fillId="13" borderId="23" xfId="0" applyAlignment="1">
      <x:alignment horizontal="center" vertical="center"/>
    </x:xf>
    <x:xf numFmtId="1" fontId="11" fillId="13" borderId="23" xfId="0" applyAlignment="1">
      <x:alignment horizontal="center" vertical="center"/>
    </x:xf>
    <x:xf numFmtId="0" fontId="8" fillId="16" borderId="23" xfId="0" applyAlignment="1">
      <x:alignment horizontal="center" vertical="center"/>
    </x:xf>
    <x:xf numFmtId="0" fontId="8" fillId="4" borderId="23" xfId="0" applyAlignment="1">
      <x:alignment horizontal="center" vertical="center"/>
    </x:xf>
    <x:xf numFmtId="1" fontId="12" fillId="13" borderId="23" xfId="0" applyAlignment="1">
      <x:alignment horizontal="center" vertical="center"/>
    </x:xf>
    <x:xf numFmtId="1" fontId="13" fillId="13" borderId="23" xfId="0" applyAlignment="1">
      <x:alignment horizontal="center" vertical="center"/>
    </x:xf>
    <x:xf numFmtId="1" fontId="14" fillId="13" borderId="23" xfId="0" applyAlignment="1">
      <x:alignment horizontal="center" vertical="center"/>
    </x:xf>
    <x:xf numFmtId="1" fontId="15" fillId="13" borderId="23" xfId="0"/>
    <x:xf numFmtId="164" fontId="18" fillId="13" borderId="23" xfId="0" applyAlignment="1">
      <x:alignment vertical="top" wrapText="1"/>
    </x:xf>
    <x:xf numFmtId="1" fontId="18" fillId="13" borderId="23" xfId="0" applyAlignment="1">
      <x:alignment vertical="top" wrapText="1"/>
    </x:xf>
    <x:xf numFmtId="0" fontId="0" fillId="17" borderId="0" xfId="0"/>
    <x:xf numFmtId="0" fontId="19" fillId="17" borderId="0" xfId="0"/>
    <x:xf numFmtId="0" fontId="19" fillId="17" borderId="19" xfId="0"/>
    <x:xf numFmtId="0" fontId="19" fillId="17" borderId="20" xfId="0"/>
    <x:xf numFmtId="0" fontId="19" fillId="17" borderId="21" xfId="0"/>
    <x:xf numFmtId="0" fontId="19" fillId="17" borderId="19" xfId="0" applyAlignment="1">
      <x:alignment horizontal="center"/>
    </x:xf>
    <x:xf numFmtId="0" fontId="19" fillId="17" borderId="20" xfId="0" applyAlignment="1">
      <x:alignment horizontal="center"/>
    </x:xf>
    <x:xf numFmtId="0" fontId="19" fillId="17" borderId="21" xfId="0" applyAlignment="1">
      <x:alignment horizontal="center"/>
    </x:xf>
    <x:xf numFmtId="0" fontId="19" fillId="17" borderId="19" xfId="0" applyAlignment="1">
      <x:alignment horizontal="center" vertical="center"/>
    </x:xf>
    <x:xf numFmtId="0" fontId="19" fillId="17" borderId="20" xfId="0" applyAlignment="1">
      <x:alignment horizontal="center" vertical="center"/>
    </x:xf>
    <x:xf numFmtId="0" fontId="19" fillId="17" borderId="21" xfId="0" applyAlignment="1">
      <x:alignment horizontal="center" vertical="center"/>
    </x:xf>
    <x:xf numFmtId="0" fontId="0" fillId="18" borderId="0" xfId="0"/>
    <x:xf numFmtId="0" fontId="19" fillId="18" borderId="0" xfId="0"/>
    <x:xf numFmtId="0" fontId="19" fillId="18" borderId="19" xfId="0"/>
    <x:xf numFmtId="0" fontId="19" fillId="18" borderId="20" xfId="0"/>
    <x:xf numFmtId="0" fontId="19" fillId="18" borderId="21" xfId="0"/>
    <x:xf numFmtId="0" fontId="19" fillId="18" borderId="19" xfId="0" applyAlignment="1">
      <x:alignment horizontal="center"/>
    </x:xf>
    <x:xf numFmtId="0" fontId="19" fillId="18" borderId="20" xfId="0" applyAlignment="1">
      <x:alignment horizontal="center"/>
    </x:xf>
    <x:xf numFmtId="0" fontId="19" fillId="18" borderId="21" xfId="0" applyAlignment="1">
      <x:alignment horizontal="center"/>
    </x:xf>
    <x:xf numFmtId="0" fontId="19" fillId="18" borderId="19" xfId="0" applyAlignment="1">
      <x:alignment horizontal="center" vertical="center"/>
    </x:xf>
    <x:xf numFmtId="0" fontId="19" fillId="18" borderId="20" xfId="0" applyAlignment="1">
      <x:alignment horizontal="center" vertical="center"/>
    </x:xf>
    <x:xf numFmtId="0" fontId="19" fillId="18" borderId="21" xfId="0" applyAlignment="1">
      <x:alignment horizontal="center" vertical="center"/>
    </x:xf>
    <x:xf numFmtId="0" fontId="0" fillId="19" borderId="0" xfId="0"/>
    <x:xf numFmtId="0" fontId="19" fillId="19" borderId="0" xfId="0"/>
    <x:xf numFmtId="0" fontId="19" fillId="19" borderId="19" xfId="0"/>
    <x:xf numFmtId="0" fontId="19" fillId="19" borderId="20" xfId="0"/>
    <x:xf numFmtId="0" fontId="19" fillId="19" borderId="21" xfId="0"/>
    <x:xf numFmtId="0" fontId="19" fillId="19" borderId="19" xfId="0" applyAlignment="1">
      <x:alignment horizontal="center"/>
    </x:xf>
    <x:xf numFmtId="0" fontId="19" fillId="19" borderId="20" xfId="0" applyAlignment="1">
      <x:alignment horizontal="center"/>
    </x:xf>
    <x:xf numFmtId="0" fontId="19" fillId="19" borderId="21" xfId="0" applyAlignment="1">
      <x:alignment horizontal="center"/>
    </x:xf>
    <x:xf numFmtId="0" fontId="19" fillId="19" borderId="19" xfId="0" applyAlignment="1">
      <x:alignment horizontal="center" vertical="center"/>
    </x:xf>
    <x:xf numFmtId="0" fontId="19" fillId="19" borderId="20" xfId="0" applyAlignment="1">
      <x:alignment horizontal="center" vertical="center"/>
    </x:xf>
    <x:xf numFmtId="0" fontId="19" fillId="19" borderId="21" xfId="0" applyAlignment="1">
      <x:alignment horizontal="center" vertical="center"/>
    </x:xf>
    <x:xf numFmtId="0" fontId="0" fillId="20" borderId="0" xfId="0"/>
    <x:xf numFmtId="0" fontId="19" fillId="20" borderId="0" xfId="0"/>
    <x:xf numFmtId="0" fontId="19" fillId="20" borderId="19" xfId="0"/>
    <x:xf numFmtId="0" fontId="19" fillId="20" borderId="20" xfId="0"/>
    <x:xf numFmtId="0" fontId="19" fillId="20" borderId="21" xfId="0"/>
    <x:xf numFmtId="0" fontId="19" fillId="20" borderId="19" xfId="0" applyAlignment="1">
      <x:alignment horizontal="center"/>
    </x:xf>
    <x:xf numFmtId="0" fontId="19" fillId="20" borderId="20" xfId="0" applyAlignment="1">
      <x:alignment horizontal="center"/>
    </x:xf>
    <x:xf numFmtId="0" fontId="19" fillId="20" borderId="21" xfId="0" applyAlignment="1">
      <x:alignment horizontal="center"/>
    </x:xf>
    <x:xf numFmtId="0" fontId="19" fillId="20" borderId="19" xfId="0" applyAlignment="1">
      <x:alignment horizontal="center" vertical="center"/>
    </x:xf>
    <x:xf numFmtId="0" fontId="19" fillId="20" borderId="20" xfId="0" applyAlignment="1">
      <x:alignment horizontal="center" vertical="center"/>
    </x:xf>
    <x:xf numFmtId="0" fontId="19" fillId="20" borderId="21" xfId="0" applyAlignment="1">
      <x:alignment horizontal="center" vertical="center"/>
    </x:xf>
    <x:xf numFmtId="0" fontId="5" fillId="17" borderId="0" xfId="0"/>
    <x:xf numFmtId="0" fontId="5" fillId="17" borderId="29" xfId="0"/>
    <x:xf numFmtId="0" fontId="5" fillId="17" borderId="29" xfId="0" applyAlignment="1">
      <x:alignment wrapText="1"/>
    </x:xf>
    <x:xf numFmtId="0" fontId="5" fillId="17" borderId="29" xfId="0" applyAlignment="1">
      <x:alignment horizontal="left" wrapText="1"/>
    </x:xf>
    <x:xf numFmtId="0" fontId="5" fillId="17" borderId="29" xfId="0" applyAlignment="1">
      <x:alignment horizontal="left" vertical="center" wrapText="1"/>
    </x:xf>
    <x:xf numFmtId="0" fontId="0" fillId="21" borderId="0" xfId="0"/>
    <x:xf numFmtId="0" fontId="18" fillId="21" borderId="0" xfId="0"/>
    <x:xf numFmtId="0" fontId="18" fillId="21" borderId="23" xfId="0"/>
    <x:xf numFmtId="0" fontId="18" fillId="21" borderId="23" xfId="0" applyAlignment="1">
      <x:alignment wrapText="1"/>
    </x:xf>
    <x:xf numFmtId="0" fontId="18" fillId="21" borderId="23" xfId="0" applyAlignment="1">
      <x:alignment vertical="top" wrapText="1"/>
    </x:xf>
    <x:xf numFmtId="165" fontId="18" fillId="21" borderId="23" xfId="0" applyAlignment="1">
      <x:alignment vertical="top" wrapText="1"/>
    </x:xf>
    <x:xf numFmtId="0" fontId="16" fillId="21" borderId="0" xfId="0" applyAlignment="1">
      <x:alignment horizontal="left" vertical="center"/>
    </x:xf>
    <x:xf numFmtId="0" fontId="8" fillId="21" borderId="23" xfId="0" applyAlignment="1">
      <x:alignment horizontal="center" vertical="center"/>
    </x:xf>
    <x:xf numFmtId="0" fontId="0" fillId="21" borderId="20" xfId="0"/>
    <x:xf numFmtId="0" fontId="0" fillId="21" borderId="21" xfId="0"/>
    <x:xf numFmtId="1" fontId="11" fillId="21" borderId="23" xfId="0" applyAlignment="1">
      <x:alignment horizontal="center" vertical="center"/>
    </x:xf>
    <x:xf numFmtId="0" fontId="0" fillId="21" borderId="22" xfId="0"/>
    <x:xf numFmtId="0" fontId="0" fillId="21" borderId="15" xfId="0"/>
    <x:xf numFmtId="1" fontId="14" fillId="21" borderId="23" xfId="0" applyAlignment="1">
      <x:alignment horizontal="center" vertical="center"/>
    </x:xf>
    <x:xf numFmtId="1" fontId="9" fillId="21" borderId="23" xfId="0" applyAlignment="1">
      <x:alignment horizontal="center" vertical="center"/>
    </x:xf>
    <x:xf numFmtId="0" fontId="0" fillId="21" borderId="11" xfId="0"/>
    <x:xf numFmtId="0" fontId="0" fillId="21" borderId="12" xfId="0"/>
    <x:xf numFmtId="0" fontId="0" fillId="21" borderId="13" xfId="0"/>
    <x:xf numFmtId="0" fontId="3" fillId="21" borderId="23" xfId="0" applyAlignment="1">
      <x:alignment horizontal="left" vertical="center" wrapText="1"/>
    </x:xf>
    <x:xf numFmtId="0" fontId="3" fillId="21" borderId="0" xfId="0" applyAlignment="1">
      <x:alignment horizontal="left" vertical="center"/>
    </x:xf>
    <x:xf numFmtId="0" fontId="5" fillId="21" borderId="3" xfId="0" applyAlignment="1">
      <x:alignment horizontal="left" vertical="center" wrapText="1"/>
    </x:xf>
    <x:xf numFmtId="0" fontId="5" fillId="21" borderId="4" xfId="0" applyAlignment="1">
      <x:alignment horizontal="left" vertical="center" wrapText="1"/>
    </x:xf>
    <x:xf numFmtId="0" fontId="5" fillId="21" borderId="5" xfId="0" applyAlignment="1">
      <x:alignment horizontal="left" vertical="center" wrapText="1"/>
    </x:xf>
    <x:xf numFmtId="164" fontId="18" fillId="21" borderId="23" xfId="0" applyAlignment="1">
      <x:alignment vertical="top" wrapText="1"/>
    </x:xf>
    <x:xf numFmtId="1" fontId="18" fillId="21" borderId="23" xfId="0" applyAlignment="1">
      <x:alignment vertical="top" wrapText="1"/>
    </x:xf>
    <x:xf numFmtId="0" fontId="20" fillId="21" borderId="0" xfId="0" applyAlignment="1">
      <x:alignment horizontal="left" vertical="center"/>
    </x:xf>
    <x:xf numFmtId="0" fontId="15" fillId="21" borderId="0" xfId="0"/>
    <x:xf numFmtId="0" fontId="21" fillId="21" borderId="23" xfId="0" applyAlignment="1">
      <x:alignment horizontal="center" vertical="center"/>
    </x:xf>
    <x:xf numFmtId="0" fontId="15" fillId="21" borderId="20" xfId="0"/>
    <x:xf numFmtId="0" fontId="15" fillId="21" borderId="21" xfId="0"/>
    <x:xf numFmtId="0" fontId="15" fillId="21" borderId="22" xfId="0"/>
    <x:xf numFmtId="0" fontId="15" fillId="21" borderId="15" xfId="0"/>
    <x:xf numFmtId="0" fontId="15" fillId="21" borderId="11" xfId="0"/>
    <x:xf numFmtId="0" fontId="15" fillId="21" borderId="12" xfId="0"/>
    <x:xf numFmtId="0" fontId="15" fillId="21" borderId="13" xfId="0"/>
    <x:xf numFmtId="0" fontId="3" fillId="21" borderId="3" xfId="0" applyAlignment="1">
      <x:alignment horizontal="left" vertical="center" wrapText="1"/>
    </x:xf>
    <x:xf numFmtId="0" fontId="3" fillId="21" borderId="4" xfId="0" applyAlignment="1">
      <x:alignment horizontal="left" vertical="center" wrapText="1"/>
    </x:xf>
    <x:xf numFmtId="0" fontId="3" fillId="21" borderId="5" xfId="0" applyAlignment="1">
      <x:alignment horizontal="left" vertical="center" wrapText="1"/>
    </x:xf>
    <x:xf numFmtId="0" fontId="20" fillId="21" borderId="0" xfId="0" applyAlignment="1">
      <x:alignment horizontal="left" vertical="center" wrapText="1"/>
    </x:xf>
    <x:xf numFmtId="0" fontId="15" fillId="21" borderId="0" xfId="0" applyAlignment="1">
      <x:alignment wrapText="1"/>
    </x:xf>
    <x:xf numFmtId="0" fontId="21" fillId="21" borderId="23" xfId="0" applyAlignment="1">
      <x:alignment horizontal="center" vertical="center" wrapText="1"/>
    </x:xf>
    <x:xf numFmtId="0" fontId="15" fillId="21" borderId="20" xfId="0" applyAlignment="1">
      <x:alignment wrapText="1"/>
    </x:xf>
    <x:xf numFmtId="0" fontId="15" fillId="21" borderId="21" xfId="0" applyAlignment="1">
      <x:alignment wrapText="1"/>
    </x:xf>
    <x:xf numFmtId="1" fontId="9" fillId="21" borderId="23" xfId="0" applyAlignment="1">
      <x:alignment horizontal="center" vertical="center" wrapText="1"/>
    </x:xf>
    <x:xf numFmtId="0" fontId="15" fillId="21" borderId="22" xfId="0" applyAlignment="1">
      <x:alignment wrapText="1"/>
    </x:xf>
    <x:xf numFmtId="0" fontId="15" fillId="21" borderId="15" xfId="0" applyAlignment="1">
      <x:alignment wrapText="1"/>
    </x:xf>
    <x:xf numFmtId="0" fontId="15" fillId="21" borderId="11" xfId="0" applyAlignment="1">
      <x:alignment wrapText="1"/>
    </x:xf>
    <x:xf numFmtId="0" fontId="15" fillId="21" borderId="12" xfId="0" applyAlignment="1">
      <x:alignment wrapText="1"/>
    </x:xf>
    <x:xf numFmtId="0" fontId="15" fillId="21" borderId="13" xfId="0" applyAlignment="1">
      <x:alignment wrapText="1"/>
    </x:xf>
    <x:xf numFmtId="0" fontId="3" fillId="21" borderId="0" xfId="0" applyAlignment="1">
      <x:alignment horizontal="left" vertical="center" wrapText="1"/>
    </x:xf>
    <x:xf numFmtId="0" fontId="20" fillId="17" borderId="0" xfId="0" applyAlignment="1">
      <x:alignment horizontal="left" vertical="center" wrapText="1"/>
    </x:xf>
    <x:xf numFmtId="0" fontId="15" fillId="17" borderId="0" xfId="0" applyAlignment="1">
      <x:alignment wrapText="1"/>
    </x:xf>
    <x:xf numFmtId="0" fontId="16" fillId="17" borderId="0" xfId="0" applyAlignment="1">
      <x:alignment horizontal="left" vertical="center" wrapText="1"/>
    </x:xf>
    <x:xf numFmtId="0" fontId="16" fillId="17" borderId="0" xfId="0" applyAlignment="1">
      <x:alignment wrapText="1"/>
    </x:xf>
    <x:xf numFmtId="0" fontId="16" fillId="17" borderId="0" xfId="0" applyAlignment="1">
      <x:alignment vertical="center" wrapText="1"/>
    </x:xf>
    <x:xf numFmtId="0" fontId="21" fillId="17" borderId="23" xfId="0" applyAlignment="1">
      <x:alignment horizontal="center" vertical="center" wrapText="1"/>
    </x:xf>
    <x:xf numFmtId="0" fontId="15" fillId="17" borderId="20" xfId="0" applyAlignment="1">
      <x:alignment wrapText="1"/>
    </x:xf>
    <x:xf numFmtId="0" fontId="15" fillId="17" borderId="21" xfId="0" applyAlignment="1">
      <x:alignment wrapText="1"/>
    </x:xf>
    <x:xf numFmtId="0" fontId="22" fillId="17" borderId="23" xfId="0" applyAlignment="1">
      <x:alignment horizontal="center" vertical="center" wrapText="1"/>
    </x:xf>
    <x:xf numFmtId="0" fontId="22" fillId="17" borderId="20" xfId="0" applyAlignment="1">
      <x:alignment wrapText="1"/>
    </x:xf>
    <x:xf numFmtId="0" fontId="22" fillId="17" borderId="21" xfId="0" applyAlignment="1">
      <x:alignment wrapText="1"/>
    </x:xf>
    <x:xf numFmtId="0" fontId="22" fillId="17" borderId="20" xfId="0" applyAlignment="1">
      <x:alignment horizontal="center" wrapText="1"/>
    </x:xf>
    <x:xf numFmtId="0" fontId="22" fillId="17" borderId="21" xfId="0" applyAlignment="1">
      <x:alignment horizontal="center" wrapText="1"/>
    </x:xf>
    <x:xf numFmtId="0" fontId="22" fillId="17" borderId="20" xfId="0" applyAlignment="1">
      <x:alignment horizontal="center" vertical="center" wrapText="1"/>
    </x:xf>
    <x:xf numFmtId="0" fontId="22" fillId="17" borderId="21" xfId="0" applyAlignment="1">
      <x:alignment horizontal="center" vertical="center" wrapText="1"/>
    </x:xf>
    <x:xf numFmtId="1" fontId="9" fillId="22" borderId="23" xfId="0" applyAlignment="1">
      <x:alignment horizontal="center" vertical="center" wrapText="1"/>
    </x:xf>
    <x:xf numFmtId="0" fontId="15" fillId="22" borderId="22" xfId="0" applyAlignment="1">
      <x:alignment wrapText="1"/>
    </x:xf>
    <x:xf numFmtId="0" fontId="15" fillId="22" borderId="15" xfId="0" applyAlignment="1">
      <x:alignment wrapText="1"/>
    </x:xf>
    <x:xf numFmtId="0" fontId="15" fillId="22" borderId="11" xfId="0" applyAlignment="1">
      <x:alignment wrapText="1"/>
    </x:xf>
    <x:xf numFmtId="0" fontId="15" fillId="22" borderId="12" xfId="0" applyAlignment="1">
      <x:alignment wrapText="1"/>
    </x:xf>
    <x:xf numFmtId="0" fontId="15" fillId="22" borderId="13" xfId="0" applyAlignment="1">
      <x:alignment wrapText="1"/>
    </x:xf>
    <x:xf numFmtId="1" fontId="23" fillId="22" borderId="23" xfId="0" applyAlignment="1">
      <x:alignment horizontal="center" vertical="center" wrapText="1"/>
    </x:xf>
    <x:xf numFmtId="0" fontId="23" fillId="22" borderId="22" xfId="0" applyAlignment="1">
      <x:alignment wrapText="1"/>
    </x:xf>
    <x:xf numFmtId="0" fontId="23" fillId="22" borderId="15" xfId="0" applyAlignment="1">
      <x:alignment wrapText="1"/>
    </x:xf>
    <x:xf numFmtId="0" fontId="23" fillId="22" borderId="11" xfId="0" applyAlignment="1">
      <x:alignment wrapText="1"/>
    </x:xf>
    <x:xf numFmtId="0" fontId="23" fillId="22" borderId="12" xfId="0" applyAlignment="1">
      <x:alignment wrapText="1"/>
    </x:xf>
    <x:xf numFmtId="0" fontId="23" fillId="22" borderId="13" xfId="0" applyAlignment="1">
      <x:alignment wrapText="1"/>
    </x:xf>
    <x:xf numFmtId="0" fontId="23" fillId="22" borderId="22" xfId="0" applyAlignment="1">
      <x:alignment horizontal="center" wrapText="1"/>
    </x:xf>
    <x:xf numFmtId="0" fontId="23" fillId="22" borderId="15" xfId="0" applyAlignment="1">
      <x:alignment horizontal="center" wrapText="1"/>
    </x:xf>
    <x:xf numFmtId="0" fontId="23" fillId="22" borderId="11" xfId="0" applyAlignment="1">
      <x:alignment horizontal="center" wrapText="1"/>
    </x:xf>
    <x:xf numFmtId="0" fontId="23" fillId="22" borderId="12" xfId="0" applyAlignment="1">
      <x:alignment horizontal="center" wrapText="1"/>
    </x:xf>
    <x:xf numFmtId="0" fontId="23" fillId="22" borderId="13" xfId="0" applyAlignment="1">
      <x:alignment horizontal="center" wrapText="1"/>
    </x:xf>
    <x:xf numFmtId="0" fontId="23" fillId="22" borderId="22" xfId="0" applyAlignment="1">
      <x:alignment horizontal="center" vertical="center" wrapText="1"/>
    </x:xf>
    <x:xf numFmtId="0" fontId="23" fillId="22" borderId="15" xfId="0" applyAlignment="1">
      <x:alignment horizontal="center" vertical="center" wrapText="1"/>
    </x:xf>
    <x:xf numFmtId="0" fontId="23" fillId="22" borderId="11" xfId="0" applyAlignment="1">
      <x:alignment horizontal="center" vertical="center" wrapText="1"/>
    </x:xf>
    <x:xf numFmtId="0" fontId="23" fillId="22" borderId="12" xfId="0" applyAlignment="1">
      <x:alignment horizontal="center" vertical="center" wrapText="1"/>
    </x:xf>
    <x:xf numFmtId="0" fontId="23" fillId="22" borderId="13" xfId="0" applyAlignment="1">
      <x:alignment horizontal="center" vertical="center" wrapText="1"/>
    </x:xf>
    <x:xf numFmtId="165" fontId="23" fillId="22" borderId="23" xfId="0" applyAlignment="1">
      <x:alignment horizontal="center" vertical="center" wrapText="1"/>
    </x:xf>
    <x:xf numFmtId="165" fontId="23" fillId="22" borderId="22" xfId="0" applyAlignment="1">
      <x:alignment horizontal="center" vertical="center" wrapText="1"/>
    </x:xf>
    <x:xf numFmtId="165" fontId="23" fillId="22" borderId="15" xfId="0" applyAlignment="1">
      <x:alignment horizontal="center" vertical="center" wrapText="1"/>
    </x:xf>
    <x:xf numFmtId="165" fontId="23" fillId="22" borderId="11" xfId="0" applyAlignment="1">
      <x:alignment horizontal="center" vertical="center" wrapText="1"/>
    </x:xf>
    <x:xf numFmtId="165" fontId="23" fillId="22" borderId="12" xfId="0" applyAlignment="1">
      <x:alignment horizontal="center" vertical="center" wrapText="1"/>
    </x:xf>
    <x:xf numFmtId="165" fontId="23" fillId="22" borderId="13" xfId="0" applyAlignment="1">
      <x:alignment horizontal="center" vertical="center" wrapText="1"/>
    </x:xf>
    <x:xf numFmtId="0" fontId="3" fillId="23" borderId="23" xfId="0" applyAlignment="1">
      <x:alignment horizontal="left" vertical="center" wrapText="1"/>
    </x:xf>
    <x:xf numFmtId="0" fontId="15" fillId="23" borderId="22" xfId="0" applyAlignment="1">
      <x:alignment wrapText="1"/>
    </x:xf>
    <x:xf numFmtId="0" fontId="15" fillId="23" borderId="15" xfId="0" applyAlignment="1">
      <x:alignment wrapText="1"/>
    </x:xf>
    <x:xf numFmtId="0" fontId="15" fillId="23" borderId="11" xfId="0" applyAlignment="1">
      <x:alignment wrapText="1"/>
    </x:xf>
    <x:xf numFmtId="0" fontId="15" fillId="23" borderId="12" xfId="0" applyAlignment="1">
      <x:alignment wrapText="1"/>
    </x:xf>
    <x:xf numFmtId="0" fontId="15" fillId="23" borderId="13" xfId="0" applyAlignment="1">
      <x:alignment wrapText="1"/>
    </x:xf>
    <x:xf numFmtId="0" fontId="24" fillId="23" borderId="23" xfId="0" applyAlignment="1">
      <x:alignment horizontal="left" vertical="center" wrapText="1"/>
    </x:xf>
    <x:xf numFmtId="0" fontId="2" fillId="23" borderId="22" xfId="0" applyAlignment="1">
      <x:alignment wrapText="1"/>
    </x:xf>
    <x:xf numFmtId="0" fontId="2" fillId="23" borderId="15" xfId="0" applyAlignment="1">
      <x:alignment wrapText="1"/>
    </x:xf>
    <x:xf numFmtId="0" fontId="2" fillId="23" borderId="11" xfId="0" applyAlignment="1">
      <x:alignment wrapText="1"/>
    </x:xf>
    <x:xf numFmtId="0" fontId="2" fillId="23" borderId="12" xfId="0" applyAlignment="1">
      <x:alignment wrapText="1"/>
    </x:xf>
    <x:xf numFmtId="0" fontId="2" fillId="23" borderId="13" xfId="0" applyAlignment="1">
      <x:alignment wrapText="1"/>
    </x:xf>
    <x:xf numFmtId="0" fontId="2" fillId="23" borderId="22" xfId="0" applyAlignment="1">
      <x:alignment vertical="center" wrapText="1"/>
    </x:xf>
    <x:xf numFmtId="0" fontId="2" fillId="23" borderId="15" xfId="0" applyAlignment="1">
      <x:alignment vertical="center" wrapText="1"/>
    </x:xf>
    <x:xf numFmtId="0" fontId="2" fillId="23" borderId="11" xfId="0" applyAlignment="1">
      <x:alignment vertical="center" wrapText="1"/>
    </x:xf>
    <x:xf numFmtId="0" fontId="2" fillId="23" borderId="12" xfId="0" applyAlignment="1">
      <x:alignment vertical="center" wrapText="1"/>
    </x:xf>
    <x:xf numFmtId="0" fontId="2" fillId="23" borderId="13" xfId="0" applyAlignment="1">
      <x:alignment vertical="center" wrapText="1"/>
    </x:xf>
    <x:xf numFmtId="0" fontId="3" fillId="24" borderId="0" xfId="0" applyAlignment="1">
      <x:alignment horizontal="left" vertical="center" wrapText="1"/>
    </x:xf>
    <x:xf numFmtId="0" fontId="15" fillId="24" borderId="0" xfId="0" applyAlignment="1">
      <x:alignment wrapText="1"/>
    </x:xf>
    <x:xf numFmtId="0" fontId="3" fillId="24" borderId="0" xfId="0" applyAlignment="1">
      <x:alignment wrapText="1"/>
    </x:xf>
    <x:xf numFmtId="0" fontId="3" fillId="24" borderId="0" xfId="0" applyAlignment="1">
      <x:alignment vertical="center" wrapText="1"/>
    </x:xf>
    <x:xf numFmtId="0" fontId="3" fillId="17" borderId="3" xfId="0" applyAlignment="1">
      <x:alignment horizontal="left" vertical="center" wrapText="1"/>
    </x:xf>
    <x:xf numFmtId="0" fontId="3" fillId="17" borderId="4" xfId="0" applyAlignment="1">
      <x:alignment horizontal="left" vertical="center" wrapText="1"/>
    </x:xf>
    <x:xf numFmtId="0" fontId="22" fillId="17" borderId="3" xfId="0" applyAlignment="1">
      <x:alignment horizontal="left" vertical="center" wrapText="1"/>
    </x:xf>
    <x:xf numFmtId="0" fontId="22" fillId="17" borderId="4" xfId="0" applyAlignment="1">
      <x:alignment horizontal="left" vertical="center" wrapText="1"/>
    </x:xf>
    <x:xf numFmtId="0" fontId="22" fillId="17" borderId="24" xfId="0" applyAlignment="1">
      <x:alignment horizontal="left" vertical="center" wrapText="1"/>
    </x:xf>
    <x:xf numFmtId="0" fontId="22" fillId="17" borderId="30" xfId="0" applyAlignment="1">
      <x:alignment horizontal="left" vertical="center" wrapText="1"/>
    </x:xf>
    <x:xf numFmtId="0" fontId="22" fillId="17" borderId="25" xfId="0" applyAlignment="1">
      <x:alignment horizontal="left" vertical="center" wrapText="1"/>
    </x:xf>
    <x:xf numFmtId="0" fontId="22" fillId="17" borderId="24" xfId="0" applyAlignment="1">
      <x:alignment horizontal="center" vertical="center" wrapText="1"/>
    </x:xf>
    <x:xf numFmtId="0" fontId="22" fillId="17" borderId="30" xfId="0" applyAlignment="1">
      <x:alignment horizontal="center" vertical="center" wrapText="1"/>
    </x:xf>
    <x:xf numFmtId="0" fontId="22" fillId="17" borderId="25" xfId="0" applyAlignment="1">
      <x:alignment horizontal="center" vertical="center" wrapText="1"/>
    </x:xf>
    <x:xf numFmtId="0" fontId="18" fillId="25" borderId="23" xfId="0" applyAlignment="1">
      <x:alignment vertical="top" wrapText="1"/>
    </x:xf>
    <x:xf numFmtId="0" fontId="25" fillId="25" borderId="23" xfId="0" applyAlignment="1">
      <x:alignment vertical="top" wrapText="1"/>
    </x:xf>
    <x:xf numFmtId="0" fontId="25" fillId="25" borderId="23" xfId="0" applyAlignment="1">
      <x:alignment horizontal="center" vertical="top" wrapText="1"/>
    </x:xf>
    <x:xf numFmtId="0" fontId="25" fillId="25" borderId="23" xfId="0" applyAlignment="1">
      <x:alignment horizontal="center" vertical="center" wrapText="1"/>
    </x:xf>
    <x:xf numFmtId="1" fontId="18" fillId="25" borderId="23" xfId="0" applyAlignment="1">
      <x:alignment vertical="top" wrapText="1"/>
    </x:xf>
    <x:xf numFmtId="1" fontId="25" fillId="25" borderId="23" xfId="0" applyAlignment="1">
      <x:alignment vertical="top" wrapText="1"/>
    </x:xf>
    <x:xf numFmtId="1" fontId="25" fillId="25" borderId="23" xfId="0" applyAlignment="1">
      <x:alignment horizontal="center" vertical="top" wrapText="1"/>
    </x:xf>
    <x:xf numFmtId="1" fontId="25" fillId="25" borderId="23" xfId="0" applyAlignment="1">
      <x:alignment horizontal="center" vertical="center" wrapText="1"/>
    </x:xf>
    <x:xf numFmtId="9" fontId="25" fillId="25" borderId="23" xfId="0" applyAlignment="1">
      <x:alignment horizontal="center" vertical="center" wrapText="1"/>
    </x:xf>
    <x:xf numFmtId="0" fontId="3" fillId="17" borderId="5" xfId="0" applyAlignment="1">
      <x:alignment horizontal="left" vertical="center" wrapText="1"/>
    </x:xf>
    <x:xf numFmtId="0" fontId="22" fillId="17" borderId="5" xfId="0" applyAlignment="1">
      <x:alignment horizontal="left" vertical="center" wrapText="1"/>
    </x:xf>
    <x:xf numFmtId="0" fontId="18" fillId="26" borderId="23" xfId="0" applyAlignment="1">
      <x:alignment vertical="top" wrapText="1"/>
    </x:xf>
    <x:xf numFmtId="0" fontId="26" fillId="26" borderId="23" xfId="0" applyAlignment="1">
      <x:alignment vertical="top" wrapText="1"/>
    </x:xf>
    <x:xf numFmtId="0" fontId="26" fillId="26" borderId="23" xfId="0" applyAlignment="1">
      <x:alignment horizontal="center" vertical="top" wrapText="1"/>
    </x:xf>
    <x:xf numFmtId="0" fontId="26" fillId="26" borderId="23" xfId="0" applyAlignment="1">
      <x:alignment horizontal="center" vertical="center" wrapText="1"/>
    </x:xf>
    <x:xf numFmtId="0" fontId="18" fillId="24" borderId="23" xfId="0" applyAlignment="1">
      <x:alignment vertical="top" wrapText="1"/>
    </x:xf>
    <x:xf numFmtId="164" fontId="18" fillId="24" borderId="23" xfId="0" applyAlignment="1">
      <x:alignment vertical="top" wrapText="1"/>
    </x:xf>
    <x:xf numFmtId="1" fontId="18" fillId="24" borderId="23" xfId="0" applyAlignment="1">
      <x:alignment vertical="top" wrapText="1"/>
    </x:xf>
    <x:xf numFmtId="0" fontId="4" fillId="24" borderId="23" xfId="0" applyAlignment="1">
      <x:alignment vertical="top" wrapText="1"/>
    </x:xf>
    <x:xf numFmtId="164" fontId="4" fillId="24" borderId="23" xfId="0" applyAlignment="1">
      <x:alignment vertical="top" wrapText="1"/>
    </x:xf>
    <x:xf numFmtId="1" fontId="4" fillId="24" borderId="23" xfId="0" applyAlignment="1">
      <x:alignment vertical="top" wrapText="1"/>
    </x:xf>
    <x:xf numFmtId="0" fontId="4" fillId="24" borderId="23" xfId="0" applyAlignment="1">
      <x:alignment horizontal="left" vertical="top" wrapText="1"/>
    </x:xf>
    <x:xf numFmtId="164" fontId="4" fillId="24" borderId="23" xfId="0" applyAlignment="1">
      <x:alignment horizontal="left" vertical="top" wrapText="1"/>
    </x:xf>
    <x:xf numFmtId="1" fontId="4" fillId="24" borderId="23" xfId="0" applyAlignment="1">
      <x:alignment horizontal="left" vertical="top" wrapText="1"/>
    </x:xf>
    <x:xf numFmtId="0" fontId="4" fillId="24" borderId="23" xfId="0" applyAlignment="1">
      <x:alignment horizontal="left" vertical="center" wrapText="1"/>
    </x:xf>
    <x:xf numFmtId="164" fontId="4" fillId="24" borderId="23" xfId="0" applyAlignment="1">
      <x:alignment horizontal="left" vertical="center" wrapText="1"/>
    </x:xf>
    <x:xf numFmtId="1" fontId="4" fillId="24" borderId="23" xfId="0" applyAlignment="1">
      <x:alignment horizontal="left" vertical="center" wrapText="1"/>
    </x:xf>
    <x:xf numFmtId="0" fontId="18" fillId="17" borderId="23" xfId="0" applyAlignment="1">
      <x:alignment vertical="top" wrapText="1"/>
    </x:xf>
    <x:xf numFmtId="0" fontId="22" fillId="17" borderId="23" xfId="0" applyAlignment="1">
      <x:alignment vertical="top" wrapText="1"/>
    </x:xf>
    <x:xf numFmtId="0" fontId="22" fillId="17" borderId="23" xfId="0" applyAlignment="1">
      <x:alignment horizontal="center" vertical="top" wrapText="1"/>
    </x:xf>
    <x:xf numFmtId="1" fontId="18" fillId="17" borderId="23" xfId="0" applyAlignment="1">
      <x:alignment vertical="top" wrapText="1"/>
    </x:xf>
    <x:xf numFmtId="1" fontId="22" fillId="17" borderId="23" xfId="0" applyAlignment="1">
      <x:alignment vertical="top" wrapText="1"/>
    </x:xf>
    <x:xf numFmtId="1" fontId="22" fillId="17" borderId="23" xfId="0" applyAlignment="1">
      <x:alignment horizontal="center" vertical="top" wrapText="1"/>
    </x:xf>
    <x:xf numFmtId="1" fontId="22" fillId="17" borderId="23" xfId="0" applyAlignment="1">
      <x:alignment horizontal="center" vertical="center" wrapText="1"/>
    </x:xf>
    <x:xf numFmtId="1" fontId="18" fillId="26" borderId="23" xfId="0" applyAlignment="1">
      <x:alignment vertical="top" wrapText="1"/>
    </x:xf>
    <x:xf numFmtId="1" fontId="26" fillId="26" borderId="23" xfId="0" applyAlignment="1">
      <x:alignment vertical="top" wrapText="1"/>
    </x:xf>
    <x:xf numFmtId="1" fontId="26" fillId="26" borderId="23" xfId="0" applyAlignment="1">
      <x:alignment horizontal="center" vertical="top" wrapText="1"/>
    </x:xf>
    <x:xf numFmtId="1" fontId="26" fillId="26" borderId="23" xfId="0" applyAlignment="1">
      <x:alignment horizontal="center" vertical="center" wrapText="1"/>
    </x:xf>
    <x:xf numFmtId="0" fontId="18" fillId="22" borderId="23" xfId="0" applyAlignment="1">
      <x:alignment vertical="top" wrapText="1"/>
    </x:xf>
    <x:xf numFmtId="0" fontId="23" fillId="22" borderId="23" xfId="0" applyAlignment="1">
      <x:alignment vertical="top" wrapText="1"/>
    </x:xf>
    <x:xf numFmtId="0" fontId="23" fillId="22" borderId="23" xfId="0" applyAlignment="1">
      <x:alignment horizontal="center" vertical="top" wrapText="1"/>
    </x:xf>
    <x:xf numFmtId="0" fontId="23" fillId="22" borderId="23" xfId="0" applyAlignment="1">
      <x:alignment horizontal="center" vertical="center" wrapText="1"/>
    </x:xf>
    <x:xf numFmtId="0" fontId="18" fillId="23" borderId="23" xfId="0" applyAlignment="1">
      <x:alignment vertical="top" wrapText="1"/>
    </x:xf>
    <x:xf numFmtId="164" fontId="18" fillId="23" borderId="23" xfId="0" applyAlignment="1">
      <x:alignment vertical="top" wrapText="1"/>
    </x:xf>
    <x:xf numFmtId="1" fontId="18" fillId="23" borderId="23" xfId="0" applyAlignment="1">
      <x:alignment vertical="top" wrapText="1"/>
    </x:xf>
    <x:xf numFmtId="0" fontId="27" fillId="23" borderId="23" xfId="0" applyAlignment="1">
      <x:alignment vertical="top" wrapText="1"/>
    </x:xf>
    <x:xf numFmtId="164" fontId="27" fillId="23" borderId="23" xfId="0" applyAlignment="1">
      <x:alignment vertical="top" wrapText="1"/>
    </x:xf>
    <x:xf numFmtId="1" fontId="27" fillId="23" borderId="23" xfId="0" applyAlignment="1">
      <x:alignment vertical="top" wrapText="1"/>
    </x:xf>
    <x:xf numFmtId="0" fontId="27" fillId="23" borderId="23" xfId="0" applyAlignment="1">
      <x:alignment vertical="center" wrapText="1"/>
    </x:xf>
    <x:xf numFmtId="164" fontId="27" fillId="23" borderId="23" xfId="0" applyAlignment="1">
      <x:alignment vertical="center" wrapText="1"/>
    </x:xf>
    <x:xf numFmtId="1" fontId="27" fillId="23" borderId="23" xfId="0" applyAlignment="1">
      <x:alignment vertical="center" wrapText="1"/>
    </x:xf>
    <x:xf numFmtId="0" fontId="0" fillId="21" borderId="9" xfId="0" applyAlignment="1">
      <x:alignment vertical="top" wrapText="1"/>
    </x:xf>
    <x:xf numFmtId="0" fontId="0" fillId="21" borderId="0" xfId="0" applyAlignment="1">
      <x:alignment vertical="top" wrapText="1"/>
    </x:xf>
    <x:xf numFmtId="0" fontId="0" fillId="21" borderId="10" xfId="0" applyAlignment="1">
      <x:alignment vertical="top" wrapText="1"/>
    </x:xf>
    <x:xf numFmtId="0" fontId="0" fillId="21" borderId="11" xfId="0" applyAlignment="1">
      <x:alignment vertical="top" wrapText="1"/>
    </x:xf>
    <x:xf numFmtId="0" fontId="0" fillId="21" borderId="12" xfId="0" applyAlignment="1">
      <x:alignment vertical="top" wrapText="1"/>
    </x:xf>
    <x:xf numFmtId="0" fontId="0" fillId="21" borderId="13" xfId="0" applyAlignment="1">
      <x:alignment vertical="top" wrapText="1"/>
    </x:xf>
    <x:xf numFmtId="0" fontId="15" fillId="21" borderId="9" xfId="0" applyAlignment="1">
      <x:alignment vertical="top" wrapText="1"/>
    </x:xf>
    <x:xf numFmtId="0" fontId="15" fillId="21" borderId="0" xfId="0" applyAlignment="1">
      <x:alignment vertical="top" wrapText="1"/>
    </x:xf>
    <x:xf numFmtId="0" fontId="15" fillId="21" borderId="10" xfId="0" applyAlignment="1">
      <x:alignment vertical="top" wrapText="1"/>
    </x:xf>
    <x:xf numFmtId="0" fontId="15" fillId="21" borderId="11" xfId="0" applyAlignment="1">
      <x:alignment vertical="top" wrapText="1"/>
    </x:xf>
    <x:xf numFmtId="0" fontId="15" fillId="21" borderId="12" xfId="0" applyAlignment="1">
      <x:alignment vertical="top" wrapText="1"/>
    </x:xf>
    <x:xf numFmtId="0" fontId="15" fillId="21" borderId="13" xfId="0" applyAlignment="1">
      <x:alignment vertical="top" wrapText="1"/>
    </x:xf>
    <x:xf numFmtId="0" fontId="15" fillId="21" borderId="23" xfId="0" applyAlignment="1">
      <x:alignment vertical="top" wrapText="1"/>
    </x:xf>
    <x:xf numFmtId="0" fontId="15" fillId="21" borderId="23" xfId="0"/>
    <x:xf numFmtId="0" fontId="15" fillId="21" borderId="23" xfId="0" applyAlignment="1">
      <x:alignment wrapText="1"/>
    </x:xf>
    <x:xf numFmtId="0" fontId="0" fillId="24" borderId="0" xfId="0"/>
    <x:xf numFmtId="0" fontId="4" fillId="24" borderId="0" xfId="0"/>
    <x:xf numFmtId="0" fontId="4" fillId="24" borderId="0" xfId="0" applyAlignment="1">
      <x:alignment horizontal="left"/>
    </x:xf>
    <x:xf numFmtId="0" fontId="4" fillId="24" borderId="0" xfId="0" applyAlignment="1">
      <x:alignment horizontal="left" vertical="center"/>
    </x:xf>
    <x:xf numFmtId="9" fontId="25" fillId="25" borderId="23" xfId="0" applyAlignment="1">
      <x:alignment horizontal="center" vertical="center" wrapText="1"/>
    </x:xf>
    <x:xf numFmtId="0" fontId="19" fillId="17" borderId="23" xfId="0" applyAlignment="1">
      <x:alignment horizontal="center" vertical="center"/>
    </x:xf>
    <x:xf numFmtId="0" fontId="19" fillId="18" borderId="23" xfId="0" applyAlignment="1">
      <x:alignment horizontal="center" vertical="center"/>
    </x:xf>
    <x:xf numFmtId="0" fontId="19" fillId="19" borderId="23" xfId="0" applyAlignment="1">
      <x:alignment horizontal="center" vertical="center"/>
    </x:xf>
    <x:xf numFmtId="0" fontId="19" fillId="20" borderId="23" xfId="0" applyAlignment="1">
      <x:alignment horizontal="center" vertical="center"/>
    </x:xf>
    <x:xf numFmtId="0" fontId="22" fillId="27" borderId="24" xfId="0" applyAlignment="1">
      <x:alignment horizontal="center" vertical="center" wrapText="1"/>
    </x:xf>
    <x:xf numFmtId="0" fontId="22" fillId="27" borderId="30" xfId="0" applyAlignment="1">
      <x:alignment horizontal="center" vertical="center" wrapText="1"/>
    </x:xf>
    <x:xf numFmtId="0" fontId="22" fillId="27" borderId="25" xfId="0" applyAlignment="1">
      <x:alignment horizontal="center" vertical="center" wrapText="1"/>
    </x:xf>
    <x:xf numFmtId="0" fontId="22" fillId="27" borderId="23" xfId="0" applyAlignment="1">
      <x:alignment horizontal="center" vertical="center" wrapText="1"/>
    </x:xf>
    <x:xf numFmtId="1" fontId="22" fillId="27" borderId="23" xfId="0" applyAlignment="1">
      <x:alignment horizontal="center" vertical="center" wrapText="1"/>
    </x:xf>
    <x:xf numFmtId="0" fontId="6" fillId="0" borderId="0" xfId="0"/>
    <x:xf numFmtId="0" fontId="28" fillId="13" borderId="23" xfId="0" applyAlignment="1">
      <x:alignment vertical="top" wrapText="1"/>
    </x:xf>
    <x:xf numFmtId="0" fontId="0" fillId="0" borderId="32" xfId="0"/>
    <x:xf numFmtId="0" fontId="0" fillId="28" borderId="0" xfId="0" applyNumberFormat="1" applyFont="1" applyFill="1" applyBorder="1"/>
    <x:xf numFmtId="0" fontId="19" fillId="28" borderId="0" xfId="0" applyNumberFormat="1" applyFont="1" applyFill="1" applyBorder="1"/>
    <x:xf numFmtId="0" fontId="19" fillId="28" borderId="19" xfId="0" applyNumberFormat="1" applyFont="1" applyFill="1" applyBorder="1"/>
    <x:xf numFmtId="0" fontId="19" fillId="28" borderId="21" xfId="0" applyNumberFormat="1" applyFont="1" applyFill="1" applyBorder="1"/>
    <x:xf numFmtId="0" fontId="19" fillId="28" borderId="19" xfId="0" applyNumberFormat="1" applyFont="1" applyFill="1" applyBorder="1" applyAlignment="1">
      <x:alignment horizontal="center"/>
    </x:xf>
    <x:xf numFmtId="0" fontId="19" fillId="28" borderId="21" xfId="0" applyNumberFormat="1" applyFont="1" applyFill="1" applyBorder="1" applyAlignment="1">
      <x:alignment horizontal="center"/>
    </x:xf>
    <x:xf numFmtId="0" fontId="19" fillId="28" borderId="19" xfId="0" applyNumberFormat="1" applyFont="1" applyFill="1" applyBorder="1" applyAlignment="1">
      <x:alignment horizontal="center" vertical="center"/>
    </x:xf>
    <x:xf numFmtId="0" fontId="19" fillId="28" borderId="21" xfId="0" applyNumberFormat="1" applyFont="1" applyFill="1" applyBorder="1" applyAlignment="1">
      <x:alignment horizontal="center" vertical="center"/>
    </x:xf>
    <x:xf numFmtId="0" fontId="0" fillId="29" borderId="0" xfId="0" applyNumberFormat="1" applyFont="1" applyFill="1" applyBorder="1"/>
    <x:xf numFmtId="0" fontId="19" fillId="29" borderId="0" xfId="0" applyNumberFormat="1" applyFont="1" applyFill="1" applyBorder="1"/>
    <x:xf numFmtId="0" fontId="19" fillId="29" borderId="19" xfId="0" applyNumberFormat="1" applyFont="1" applyFill="1" applyBorder="1"/>
    <x:xf numFmtId="0" fontId="19" fillId="29" borderId="20" xfId="0" applyNumberFormat="1" applyFont="1" applyFill="1" applyBorder="1"/>
    <x:xf numFmtId="0" fontId="19" fillId="29" borderId="21" xfId="0" applyNumberFormat="1" applyFont="1" applyFill="1" applyBorder="1"/>
    <x:xf numFmtId="0" fontId="19" fillId="29" borderId="19" xfId="0" applyNumberFormat="1" applyFont="1" applyFill="1" applyBorder="1" applyAlignment="1">
      <x:alignment horizontal="center"/>
    </x:xf>
    <x:xf numFmtId="0" fontId="19" fillId="29" borderId="20" xfId="0" applyNumberFormat="1" applyFont="1" applyFill="1" applyBorder="1" applyAlignment="1">
      <x:alignment horizontal="center"/>
    </x:xf>
    <x:xf numFmtId="0" fontId="19" fillId="29" borderId="21" xfId="0" applyNumberFormat="1" applyFont="1" applyFill="1" applyBorder="1" applyAlignment="1">
      <x:alignment horizontal="center"/>
    </x:xf>
    <x:xf numFmtId="0" fontId="19" fillId="29" borderId="19" xfId="0" applyNumberFormat="1" applyFont="1" applyFill="1" applyBorder="1" applyAlignment="1">
      <x:alignment horizontal="center" vertical="center"/>
    </x:xf>
    <x:xf numFmtId="0" fontId="19" fillId="29" borderId="20" xfId="0" applyNumberFormat="1" applyFont="1" applyFill="1" applyBorder="1" applyAlignment="1">
      <x:alignment horizontal="center" vertical="center"/>
    </x:xf>
    <x:xf numFmtId="0" fontId="19" fillId="29" borderId="21" xfId="0" applyNumberFormat="1" applyFont="1" applyFill="1" applyBorder="1" applyAlignment="1">
      <x:alignment horizontal="center" vertical="center"/>
    </x:xf>
    <x:xf numFmtId="0" fontId="0" fillId="30" borderId="0" xfId="0" applyNumberFormat="1" applyFont="1" applyFill="1" applyBorder="1"/>
    <x:xf numFmtId="0" fontId="19" fillId="30" borderId="0" xfId="0" applyNumberFormat="1" applyFont="1" applyFill="1" applyBorder="1"/>
    <x:xf numFmtId="0" fontId="19" fillId="30" borderId="19" xfId="0" applyNumberFormat="1" applyFont="1" applyFill="1" applyBorder="1"/>
    <x:xf numFmtId="0" fontId="19" fillId="30" borderId="20" xfId="0" applyNumberFormat="1" applyFont="1" applyFill="1" applyBorder="1"/>
    <x:xf numFmtId="0" fontId="19" fillId="30" borderId="21" xfId="0" applyNumberFormat="1" applyFont="1" applyFill="1" applyBorder="1"/>
    <x:xf numFmtId="0" fontId="19" fillId="30" borderId="19" xfId="0" applyNumberFormat="1" applyFont="1" applyFill="1" applyBorder="1" applyAlignment="1">
      <x:alignment horizontal="center"/>
    </x:xf>
    <x:xf numFmtId="0" fontId="19" fillId="30" borderId="20" xfId="0" applyNumberFormat="1" applyFont="1" applyFill="1" applyBorder="1" applyAlignment="1">
      <x:alignment horizontal="center"/>
    </x:xf>
    <x:xf numFmtId="0" fontId="19" fillId="30" borderId="21" xfId="0" applyNumberFormat="1" applyFont="1" applyFill="1" applyBorder="1" applyAlignment="1">
      <x:alignment horizontal="center"/>
    </x:xf>
    <x:xf numFmtId="0" fontId="19" fillId="30" borderId="19" xfId="0" applyNumberFormat="1" applyFont="1" applyFill="1" applyBorder="1" applyAlignment="1">
      <x:alignment horizontal="center" vertical="center"/>
    </x:xf>
    <x:xf numFmtId="0" fontId="19" fillId="30" borderId="20" xfId="0" applyNumberFormat="1" applyFont="1" applyFill="1" applyBorder="1" applyAlignment="1">
      <x:alignment horizontal="center" vertical="center"/>
    </x:xf>
    <x:xf numFmtId="0" fontId="19" fillId="30" borderId="21" xfId="0" applyNumberFormat="1" applyFont="1" applyFill="1" applyBorder="1" applyAlignment="1">
      <x:alignment horizontal="center" vertical="center"/>
    </x:xf>
    <x:xf numFmtId="0" fontId="0" fillId="31" borderId="0" xfId="0" applyNumberFormat="1" applyFont="1" applyFill="1" applyBorder="1"/>
    <x:xf numFmtId="0" fontId="19" fillId="31" borderId="0" xfId="0" applyNumberFormat="1" applyFont="1" applyFill="1" applyBorder="1"/>
    <x:xf numFmtId="0" fontId="19" fillId="31" borderId="19" xfId="0" applyNumberFormat="1" applyFont="1" applyFill="1" applyBorder="1"/>
    <x:xf numFmtId="0" fontId="19" fillId="31" borderId="20" xfId="0" applyNumberFormat="1" applyFont="1" applyFill="1" applyBorder="1"/>
    <x:xf numFmtId="0" fontId="19" fillId="31" borderId="21" xfId="0" applyNumberFormat="1" applyFont="1" applyFill="1" applyBorder="1"/>
    <x:xf numFmtId="0" fontId="19" fillId="31" borderId="19" xfId="0" applyNumberFormat="1" applyFont="1" applyFill="1" applyBorder="1" applyAlignment="1">
      <x:alignment horizontal="center"/>
    </x:xf>
    <x:xf numFmtId="0" fontId="19" fillId="31" borderId="20" xfId="0" applyNumberFormat="1" applyFont="1" applyFill="1" applyBorder="1" applyAlignment="1">
      <x:alignment horizontal="center"/>
    </x:xf>
    <x:xf numFmtId="0" fontId="19" fillId="31" borderId="21" xfId="0" applyNumberFormat="1" applyFont="1" applyFill="1" applyBorder="1" applyAlignment="1">
      <x:alignment horizontal="center"/>
    </x:xf>
    <x:xf numFmtId="0" fontId="19" fillId="31" borderId="19" xfId="0" applyNumberFormat="1" applyFont="1" applyFill="1" applyBorder="1" applyAlignment="1">
      <x:alignment horizontal="center" vertical="center"/>
    </x:xf>
    <x:xf numFmtId="0" fontId="19" fillId="31" borderId="20" xfId="0" applyNumberFormat="1" applyFont="1" applyFill="1" applyBorder="1" applyAlignment="1">
      <x:alignment horizontal="center" vertical="center"/>
    </x:xf>
    <x:xf numFmtId="0" fontId="19" fillId="31" borderId="21" xfId="0" applyNumberFormat="1" applyFont="1" applyFill="1" applyBorder="1" applyAlignment="1">
      <x:alignment horizontal="center" vertical="center"/>
    </x:xf>
    <x:xf numFmtId="0" fontId="5" fillId="28" borderId="0" xfId="0" applyNumberFormat="1" applyFont="1" applyFill="1" applyBorder="1"/>
    <x:xf numFmtId="0" fontId="5" fillId="28" borderId="29" xfId="0" applyNumberFormat="1" applyFont="1" applyFill="1" applyBorder="1"/>
    <x:xf numFmtId="0" fontId="5" fillId="28" borderId="29" xfId="0" applyNumberFormat="1" applyFont="1" applyFill="1" applyBorder="1" applyAlignment="1">
      <x:alignment wrapText="1"/>
    </x:xf>
    <x:xf numFmtId="0" fontId="5" fillId="28" borderId="29" xfId="0" applyNumberFormat="1" applyFont="1" applyFill="1" applyBorder="1" applyAlignment="1">
      <x:alignment horizontal="left" wrapText="1"/>
    </x:xf>
    <x:xf numFmtId="0" fontId="5" fillId="28" borderId="29" xfId="0" applyNumberFormat="1" applyFont="1" applyFill="1" applyBorder="1" applyAlignment="1">
      <x:alignment horizontal="left" vertical="center" wrapText="1"/>
    </x:xf>
    <x:xf numFmtId="0" fontId="0" fillId="32" borderId="0" xfId="0" applyNumberFormat="1" applyFont="1" applyFill="1" applyBorder="1"/>
    <x:xf numFmtId="0" fontId="29" fillId="32" borderId="0" xfId="0" applyNumberFormat="1" applyFont="1" applyFill="1" applyBorder="1"/>
    <x:xf numFmtId="0" fontId="29" fillId="32" borderId="23" xfId="0" applyNumberFormat="1" applyFont="1" applyFill="1" applyBorder="1"/>
    <x:xf numFmtId="0" fontId="29" fillId="32" borderId="23" xfId="0" applyNumberFormat="1" applyFont="1" applyFill="1" applyBorder="1" applyAlignment="1">
      <x:alignment vertical="top"/>
    </x:xf>
    <x:xf numFmtId="0" fontId="29" fillId="32" borderId="23" xfId="0" applyNumberFormat="1" applyFont="1" applyFill="1" applyBorder="1" applyAlignment="1">
      <x:alignment vertical="top" wrapText="1"/>
    </x:xf>
    <x:xf numFmtId="0" fontId="0" fillId="0" borderId="0" xfId="0" applyNumberFormat="1" applyFont="1" applyFill="1" applyBorder="1" applyAlignment="1">
      <x:alignment wrapText="1"/>
    </x:xf>
    <x:xf numFmtId="165" fontId="29" fillId="32" borderId="23" xfId="0" applyNumberFormat="1" applyFont="1" applyFill="1" applyBorder="1" applyAlignment="1">
      <x:alignment vertical="top"/>
    </x:xf>
    <x:xf numFmtId="165" fontId="0" fillId="0" borderId="0" xfId="0" applyNumberFormat="1" applyFont="1" applyFill="1" applyBorder="1"/>
    <x:xf numFmtId="200" fontId="29" fillId="32" borderId="23" xfId="0" applyNumberFormat="1" applyFont="1" applyFill="1" applyBorder="1" applyAlignment="1">
      <x:alignment vertical="top"/>
    </x:xf>
    <x:xf numFmtId="200" fontId="0" fillId="0" borderId="0" xfId="0" applyNumberFormat="1" applyFont="1" applyFill="1" applyBorder="1"/>
    <x:xf numFmtId="164" fontId="23" fillId="3" borderId="23" xfId="0" applyNumberFormat="1" applyFont="1" applyFill="1" applyBorder="1" applyAlignment="1">
      <x:alignment horizontal="center" vertical="center" wrapText="1"/>
    </x:xf>
    <x:xf numFmtId="201" fontId="25" fillId="14" borderId="23" xfId="0" applyNumberFormat="1" applyFont="1" applyFill="1" applyBorder="1" applyAlignment="1">
      <x:alignment horizontal="center" vertical="center" wrapText="1"/>
    </x:xf>
    <x:xf numFmtId="165" fontId="29" fillId="13" borderId="23" xfId="0" applyNumberFormat="1" applyFont="1" applyFill="1" applyBorder="1" applyAlignment="1">
      <x:alignment vertical="top"/>
    </x:xf>
    <x:xf numFmtId="0" fontId="0" fillId="33" borderId="0" xfId="0" applyNumberFormat="1" applyFont="1" applyFill="1" applyBorder="1"/>
    <x:xf numFmtId="0" fontId="5" fillId="33" borderId="0" xfId="0" applyNumberFormat="1" applyFont="1" applyFill="1" applyBorder="1"/>
    <x:xf numFmtId="0" fontId="5" fillId="33" borderId="0" xfId="0" applyNumberFormat="1" applyFont="1" applyFill="1" applyBorder="1" applyAlignment="1">
      <x:alignment horizontal="center"/>
    </x:xf>
    <x:xf numFmtId="0" fontId="0" fillId="34" borderId="0" xfId="0" applyNumberFormat="1" applyFont="1" applyFill="1" applyBorder="1"/>
    <x:xf numFmtId="0" fontId="5" fillId="34" borderId="0" xfId="0" applyNumberFormat="1" applyFont="1" applyFill="1" applyBorder="1"/>
    <x:xf numFmtId="0" fontId="5" fillId="34" borderId="0" xfId="0" applyNumberFormat="1" applyFont="1" applyFill="1" applyBorder="1" applyAlignment="1">
      <x:alignment horizontal="center"/>
    </x:xf>
    <x:xf numFmtId="0" fontId="0" fillId="35" borderId="0" xfId="0" applyNumberFormat="1" applyFont="1" applyFill="1" applyBorder="1"/>
    <x:xf numFmtId="0" fontId="5" fillId="35" borderId="0" xfId="0" applyNumberFormat="1" applyFont="1" applyFill="1" applyBorder="1"/>
    <x:xf numFmtId="0" fontId="5" fillId="35" borderId="0" xfId="0" applyNumberFormat="1" applyFont="1" applyFill="1" applyBorder="1" applyAlignment="1">
      <x:alignment wrapText="1"/>
    </x:xf>
    <x:xf numFmtId="0" fontId="5" fillId="35" borderId="0" xfId="0" applyNumberFormat="1" applyFont="1" applyFill="1" applyBorder="1" applyAlignment="1">
      <x:alignment horizontal="left" wrapText="1"/>
    </x:xf>
    <x:xf numFmtId="0" fontId="0" fillId="36" borderId="0" xfId="0" applyNumberFormat="1" applyFont="1" applyFill="1" applyBorder="1"/>
    <x:xf numFmtId="0" fontId="0" fillId="37" borderId="0" xfId="0" applyNumberFormat="1" applyFont="1" applyFill="1" applyBorder="1"/>
    <x:xf numFmtId="0" fontId="30" fillId="33" borderId="0" xfId="0" applyNumberFormat="1" applyFont="1" applyFill="1" applyBorder="1" applyAlignment="1">
      <x:alignment horizontal="center"/>
    </x:xf>
    <x:xf numFmtId="0" fontId="30" fillId="34" borderId="0" xfId="0" applyNumberFormat="1" applyFont="1" applyFill="1" applyBorder="1" applyAlignment="1">
      <x:alignment horizontal="center"/>
    </x:xf>
    <x:xf numFmtId="0" fontId="30" fillId="35" borderId="0" xfId="0" applyNumberFormat="1" applyFont="1" applyFill="1" applyBorder="1" applyAlignment="1">
      <x:alignment horizontal="left" wrapText="1"/>
    </x:xf>
    <x:xf numFmtId="0" fontId="31" fillId="36" borderId="0" xfId="0" applyNumberFormat="1" applyFont="1" applyFill="1" applyBorder="1"/>
    <x:xf numFmtId="0" fontId="31" fillId="37" borderId="0" xfId="0" applyNumberFormat="1" applyFont="1" applyFill="1" applyBorder="1"/>
    <x:xf numFmtId="0" fontId="30" fillId="33" borderId="33" xfId="0" applyNumberFormat="1" applyFont="1" applyFill="1" applyBorder="1" applyAlignment="1">
      <x:alignment horizontal="center"/>
    </x:xf>
    <x:xf numFmtId="0" fontId="30" fillId="34" borderId="33" xfId="0" applyNumberFormat="1" applyFont="1" applyFill="1" applyBorder="1" applyAlignment="1">
      <x:alignment horizontal="center"/>
    </x:xf>
    <x:xf numFmtId="0" fontId="30" fillId="35" borderId="34" xfId="0" applyNumberFormat="1" applyFont="1" applyFill="1" applyBorder="1" applyAlignment="1">
      <x:alignment horizontal="left" wrapText="1"/>
    </x:xf>
    <x:xf numFmtId="0" fontId="31" fillId="36" borderId="34" xfId="0" applyNumberFormat="1" applyFont="1" applyFill="1" applyBorder="1"/>
    <x:xf numFmtId="0" fontId="31" fillId="37" borderId="34" xfId="0" applyNumberFormat="1" applyFont="1" applyFill="1" applyBorder="1"/>
    <x:xf numFmtId="0" fontId="31" fillId="36" borderId="35" xfId="0" applyNumberFormat="1" applyFont="1" applyFill="1" applyBorder="1"/>
    <x:xf numFmtId="0" fontId="31" fillId="37" borderId="35" xfId="0" applyNumberFormat="1" applyFont="1" applyFill="1" applyBorder="1"/>
    <x:xf numFmtId="165" fontId="31" fillId="36" borderId="34" xfId="0" applyNumberFormat="1" applyFont="1" applyFill="1" applyBorder="1"/>
    <x:xf numFmtId="165" fontId="31" fillId="36" borderId="35" xfId="0" applyNumberFormat="1" applyFont="1" applyFill="1" applyBorder="1"/>
    <x:xf numFmtId="164" fontId="31" fillId="36" borderId="34" xfId="0" applyNumberFormat="1" applyFont="1" applyFill="1" applyBorder="1"/>
    <x:xf numFmtId="164" fontId="31" fillId="36" borderId="35" xfId="0" applyNumberFormat="1" applyFont="1" applyFill="1" applyBorder="1"/>
    <x:xf numFmtId="164" fontId="31" fillId="37" borderId="34" xfId="0" applyNumberFormat="1" applyFont="1" applyFill="1" applyBorder="1"/>
    <x:xf numFmtId="164" fontId="31" fillId="37" borderId="35" xfId="0" applyNumberFormat="1" applyFont="1" applyFill="1" applyBorder="1"/>
    <x:xf numFmtId="0" fontId="0" fillId="38" borderId="0" xfId="0" applyNumberFormat="1" applyFont="1" applyFill="1" applyBorder="1"/>
    <x:xf numFmtId="0" fontId="5" fillId="38" borderId="0" xfId="0" applyNumberFormat="1" applyFont="1" applyFill="1" applyBorder="1"/>
    <x:xf numFmtId="0" fontId="5" fillId="38" borderId="0" xfId="0" applyNumberFormat="1" applyFont="1" applyFill="1" applyBorder="1" applyAlignment="1">
      <x:alignment horizontal="center"/>
    </x:xf>
    <x:xf numFmtId="0" fontId="0" fillId="39" borderId="0" xfId="0" applyNumberFormat="1" applyFont="1" applyFill="1" applyBorder="1"/>
    <x:xf numFmtId="0" fontId="5" fillId="39" borderId="0" xfId="0" applyNumberFormat="1" applyFont="1" applyFill="1" applyBorder="1"/>
    <x:xf numFmtId="0" fontId="5" fillId="39" borderId="0" xfId="0" applyNumberFormat="1" applyFont="1" applyFill="1" applyBorder="1" applyAlignment="1">
      <x:alignment horizontal="center"/>
    </x:xf>
    <x:xf numFmtId="0" fontId="0" fillId="40" borderId="0" xfId="0" applyNumberFormat="1" applyFont="1" applyFill="1" applyBorder="1"/>
    <x:xf numFmtId="0" fontId="5" fillId="40" borderId="0" xfId="0" applyNumberFormat="1" applyFont="1" applyFill="1" applyBorder="1"/>
    <x:xf numFmtId="0" fontId="5" fillId="40" borderId="0" xfId="0" applyNumberFormat="1" applyFont="1" applyFill="1" applyBorder="1" applyAlignment="1">
      <x:alignment horizontal="center"/>
    </x:xf>
    <x:xf numFmtId="0" fontId="0" fillId="41" borderId="0" xfId="0" applyNumberFormat="1" applyFont="1" applyFill="1" applyBorder="1"/>
    <x:xf numFmtId="0" fontId="0" fillId="42" borderId="0" xfId="0" applyNumberFormat="1" applyFont="1" applyFill="1" applyBorder="1"/>
    <x:xf numFmtId="0" fontId="0" fillId="43" borderId="0" xfId="0" applyNumberFormat="1" applyFont="1" applyFill="1" applyBorder="1"/>
    <x:xf numFmtId="0" fontId="0" fillId="44" borderId="0" xfId="0" applyNumberFormat="1" applyFont="1" applyFill="1" applyBorder="1"/>
    <x:xf numFmtId="0" fontId="30" fillId="38" borderId="0" xfId="0" applyNumberFormat="1" applyFont="1" applyFill="1" applyBorder="1" applyAlignment="1">
      <x:alignment horizontal="center"/>
    </x:xf>
    <x:xf numFmtId="0" fontId="30" fillId="39" borderId="0" xfId="0" applyNumberFormat="1" applyFont="1" applyFill="1" applyBorder="1" applyAlignment="1">
      <x:alignment horizontal="center"/>
    </x:xf>
    <x:xf numFmtId="0" fontId="30" fillId="40" borderId="0" xfId="0" applyNumberFormat="1" applyFont="1" applyFill="1" applyBorder="1" applyAlignment="1">
      <x:alignment horizontal="center"/>
    </x:xf>
    <x:xf numFmtId="0" fontId="30" fillId="35" borderId="0" xfId="0" applyNumberFormat="1" applyFont="1" applyFill="1" applyBorder="1" applyAlignment="1">
      <x:alignment wrapText="1"/>
    </x:xf>
    <x:xf numFmtId="0" fontId="31" fillId="41" borderId="0" xfId="0" applyNumberFormat="1" applyFont="1" applyFill="1" applyBorder="1"/>
    <x:xf numFmtId="0" fontId="31" fillId="42" borderId="0" xfId="0" applyNumberFormat="1" applyFont="1" applyFill="1" applyBorder="1"/>
    <x:xf numFmtId="0" fontId="31" fillId="43" borderId="0" xfId="0" applyNumberFormat="1" applyFont="1" applyFill="1" applyBorder="1"/>
    <x:xf numFmtId="0" fontId="31" fillId="44" borderId="0" xfId="0" applyNumberFormat="1" applyFont="1" applyFill="1" applyBorder="1"/>
    <x:xf numFmtId="165" fontId="31" fillId="42" borderId="0" xfId="0" applyNumberFormat="1" applyFont="1" applyFill="1" applyBorder="1"/>
    <x:xf numFmtId="165" fontId="31" fillId="43" borderId="0" xfId="0" applyNumberFormat="1" applyFont="1" applyFill="1" applyBorder="1"/>
    <x:xf numFmtId="164" fontId="31" fillId="42" borderId="0" xfId="0" applyNumberFormat="1" applyFont="1" applyFill="1" applyBorder="1"/>
    <x:xf numFmtId="165" fontId="31" fillId="44" borderId="0" xfId="0" applyNumberFormat="1" applyFont="1" applyFill="1" applyBorder="1"/>
    <x:xf numFmtId="0" fontId="32" fillId="2" borderId="0" xfId="0" applyNumberFormat="1" applyFont="1" applyFill="1" applyBorder="1" applyAlignment="1">
      <x:alignment horizontal="left" vertical="center"/>
    </x:xf>
    <x:xf numFmtId="0" fontId="31" fillId="0" borderId="0" xfId="0" applyNumberFormat="1" applyFont="1" applyFill="1" applyBorder="1"/>
    <x:xf numFmtId="0" fontId="33" fillId="3" borderId="0" xfId="0" applyNumberFormat="1" applyFont="1" applyFill="1" applyBorder="1" applyAlignment="1">
      <x:alignment vertical="center" wrapText="1"/>
    </x:xf>
    <x:xf numFmtId="0" fontId="34" fillId="4" borderId="1" xfId="0" applyNumberFormat="1" applyFont="1" applyFill="1" applyBorder="1"/>
    <x:xf numFmtId="164" fontId="34" fillId="4" borderId="2" xfId="0" applyNumberFormat="1" applyFont="1" applyFill="1" applyBorder="1"/>
    <x:xf numFmtId="0" fontId="35" fillId="5" borderId="0" xfId="0" applyNumberFormat="1" applyFont="1" applyFill="1" applyBorder="1" applyAlignment="1">
      <x:alignment vertical="center"/>
    </x:xf>
    <x:xf numFmtId="0" fontId="30" fillId="2" borderId="6" xfId="0" applyNumberFormat="1" applyFont="1" applyFill="1" applyBorder="1" applyAlignment="1">
      <x:alignment horizontal="left" vertical="center" wrapText="1"/>
    </x:xf>
    <x:xf numFmtId="0" fontId="30" fillId="2" borderId="7" xfId="0" applyNumberFormat="1" applyFont="1" applyFill="1" applyBorder="1" applyAlignment="1">
      <x:alignment horizontal="left" vertical="center" wrapText="1"/>
    </x:xf>
    <x:xf numFmtId="0" fontId="30" fillId="2" borderId="8" xfId="0" applyNumberFormat="1" applyFont="1" applyFill="1" applyBorder="1" applyAlignment="1">
      <x:alignment horizontal="left" vertical="center" wrapText="1"/>
    </x:xf>
    <x:xf numFmtId="0" fontId="36" fillId="13" borderId="23" xfId="0" applyNumberFormat="1" applyFont="1" applyFill="1" applyBorder="1" applyAlignment="1">
      <x:alignment vertical="top" wrapText="1"/>
    </x:xf>
    <x:xf numFmtId="0" fontId="31" fillId="0" borderId="9" xfId="0" applyNumberFormat="1" applyFont="1" applyFill="1" applyBorder="1" applyAlignment="1">
      <x:alignment vertical="top" wrapText="1"/>
    </x:xf>
    <x:xf numFmtId="0" fontId="31" fillId="0" borderId="0" xfId="0" applyNumberFormat="1" applyFont="1" applyFill="1" applyBorder="1" applyAlignment="1">
      <x:alignment vertical="top" wrapText="1"/>
    </x:xf>
    <x:xf numFmtId="0" fontId="31" fillId="0" borderId="10" xfId="0" applyNumberFormat="1" applyFont="1" applyFill="1" applyBorder="1" applyAlignment="1">
      <x:alignment vertical="top" wrapText="1"/>
    </x:xf>
    <x:xf numFmtId="0" fontId="31" fillId="0" borderId="11" xfId="0" applyNumberFormat="1" applyFont="1" applyFill="1" applyBorder="1" applyAlignment="1">
      <x:alignment vertical="top" wrapText="1"/>
    </x:xf>
    <x:xf numFmtId="0" fontId="31" fillId="0" borderId="12" xfId="0" applyNumberFormat="1" applyFont="1" applyFill="1" applyBorder="1" applyAlignment="1">
      <x:alignment vertical="top" wrapText="1"/>
    </x:xf>
    <x:xf numFmtId="0" fontId="31" fillId="0" borderId="13" xfId="0" applyNumberFormat="1" applyFont="1" applyFill="1" applyBorder="1" applyAlignment="1">
      <x:alignment vertical="top" wrapText="1"/>
    </x:xf>
    <x:xf numFmtId="0" fontId="31" fillId="0" borderId="14" xfId="0" applyNumberFormat="1" applyFont="1" applyFill="1" applyBorder="1" applyAlignment="1">
      <x:alignment vertical="top" wrapText="1"/>
    </x:xf>
    <x:xf numFmtId="0" fontId="31" fillId="0" borderId="15" xfId="0" applyNumberFormat="1" applyFont="1" applyFill="1" applyBorder="1" applyAlignment="1">
      <x:alignment vertical="top" wrapText="1"/>
    </x:xf>
    <x:xf numFmtId="0" fontId="35" fillId="5" borderId="0" xfId="0" applyNumberFormat="1" applyFont="1" applyFill="1" applyBorder="1" applyAlignment="1">
      <x:alignment horizontal="left" vertical="center"/>
    </x:xf>
    <x:xf numFmtId="0" fontId="30" fillId="2" borderId="29" xfId="0" applyNumberFormat="1" applyFont="1" applyFill="1" applyBorder="1" applyAlignment="1">
      <x:alignment horizontal="left" vertical="center" wrapText="1"/>
    </x:xf>
    <x:xf numFmtId="0" fontId="37" fillId="13" borderId="23" xfId="0" applyNumberFormat="1" applyFont="1" applyFill="1" applyBorder="1" applyAlignment="1">
      <x:alignment vertical="top" wrapText="1"/>
    </x:xf>
    <x:xf numFmtId="0" fontId="32" fillId="35" borderId="0" xfId="0" applyNumberFormat="1" applyFont="1" applyFill="1" applyBorder="1" applyAlignment="1">
      <x:alignment horizontal="left" vertical="center"/>
    </x:xf>
    <x:xf numFmtId="0" fontId="31" fillId="35" borderId="0" xfId="0" applyNumberFormat="1" applyFont="1" applyFill="1" applyBorder="1"/>
    <x:xf numFmtId="0" fontId="1" fillId="35" borderId="0" xfId="0" applyNumberFormat="1" applyFont="1" applyFill="1" applyBorder="1" applyAlignment="1">
      <x:alignment horizontal="left" vertical="center"/>
    </x:xf>
    <x:xf numFmtId="0" fontId="38" fillId="35" borderId="0" xfId="0" applyNumberFormat="1" applyFont="1" applyFill="1" applyBorder="1"/>
    <x:xf numFmtId="0" fontId="33" fillId="36" borderId="0" xfId="0" applyNumberFormat="1" applyFont="1" applyFill="1" applyBorder="1" applyAlignment="1">
      <x:alignment vertical="center" wrapText="1"/>
    </x:xf>
    <x:xf numFmtId="0" fontId="39" fillId="36" borderId="0" xfId="0" applyNumberFormat="1" applyFont="1" applyFill="1" applyBorder="1" applyAlignment="1">
      <x:alignment vertical="center" wrapText="1"/>
    </x:xf>
    <x:xf numFmtId="0" fontId="40" fillId="36" borderId="0" xfId="0" applyNumberFormat="1" applyFont="1" applyFill="1" applyBorder="1"/>
    <x:xf numFmtId="0" fontId="40" fillId="36" borderId="0" xfId="0" applyNumberFormat="1" applyFont="1" applyFill="1" applyBorder="1" applyAlignment="1">
      <x:alignment wrapText="1"/>
    </x:xf>
    <x:xf numFmtId="0" fontId="35" fillId="39" borderId="0" xfId="0" applyNumberFormat="1" applyFont="1" applyFill="1" applyBorder="1" applyAlignment="1">
      <x:alignment vertical="center"/>
    </x:xf>
    <x:xf numFmtId="0" fontId="31" fillId="39" borderId="0" xfId="0" applyNumberFormat="1" applyFont="1" applyFill="1" applyBorder="1"/>
    <x:xf numFmtId="0" fontId="41" fillId="39" borderId="0" xfId="0" applyNumberFormat="1" applyFont="1" applyFill="1" applyBorder="1" applyAlignment="1">
      <x:alignment vertical="center"/>
    </x:xf>
    <x:xf numFmtId="0" fontId="30" fillId="39" borderId="0" xfId="0" applyNumberFormat="1" applyFont="1" applyFill="1" applyBorder="1"/>
    <x:xf numFmtId="0" fontId="31" fillId="39" borderId="9" xfId="0" applyNumberFormat="1" applyFont="1" applyFill="1" applyBorder="1" applyAlignment="1">
      <x:alignment vertical="top" wrapText="1"/>
    </x:xf>
    <x:xf numFmtId="0" fontId="31" fillId="39" borderId="0" xfId="0" applyNumberFormat="1" applyFont="1" applyFill="1" applyBorder="1" applyAlignment="1">
      <x:alignment vertical="top" wrapText="1"/>
    </x:xf>
    <x:xf numFmtId="0" fontId="31" fillId="39" borderId="10" xfId="0" applyNumberFormat="1" applyFont="1" applyFill="1" applyBorder="1" applyAlignment="1">
      <x:alignment vertical="top" wrapText="1"/>
    </x:xf>
    <x:xf numFmtId="0" fontId="30" fillId="39" borderId="9" xfId="0" applyNumberFormat="1" applyFont="1" applyFill="1" applyBorder="1" applyAlignment="1">
      <x:alignment vertical="top" wrapText="1"/>
    </x:xf>
    <x:xf numFmtId="0" fontId="30" fillId="39" borderId="0" xfId="0" applyNumberFormat="1" applyFont="1" applyFill="1" applyBorder="1" applyAlignment="1">
      <x:alignment vertical="top" wrapText="1"/>
    </x:xf>
    <x:xf numFmtId="0" fontId="30" fillId="39" borderId="10" xfId="0" applyNumberFormat="1" applyFont="1" applyFill="1" applyBorder="1" applyAlignment="1">
      <x:alignment vertical="top" wrapText="1"/>
    </x:xf>
    <x:xf numFmtId="0" fontId="30" fillId="35" borderId="6" xfId="0" applyNumberFormat="1" applyFont="1" applyFill="1" applyBorder="1" applyAlignment="1">
      <x:alignment horizontal="left" vertical="center" wrapText="1"/>
    </x:xf>
    <x:xf numFmtId="0" fontId="30" fillId="35" borderId="7" xfId="0" applyNumberFormat="1" applyFont="1" applyFill="1" applyBorder="1" applyAlignment="1">
      <x:alignment horizontal="left" vertical="center" wrapText="1"/>
    </x:xf>
    <x:xf numFmtId="0" fontId="30" fillId="35" borderId="8" xfId="0" applyNumberFormat="1" applyFont="1" applyFill="1" applyBorder="1" applyAlignment="1">
      <x:alignment horizontal="left" vertical="center" wrapText="1"/>
    </x:xf>
    <x:xf numFmtId="0" fontId="30" fillId="35" borderId="0" xfId="0" applyNumberFormat="1" applyFont="1" applyFill="1" applyBorder="1"/>
    <x:xf numFmtId="0" fontId="31" fillId="35" borderId="9" xfId="0" applyNumberFormat="1" applyFont="1" applyFill="1" applyBorder="1" applyAlignment="1">
      <x:alignment vertical="top" wrapText="1"/>
    </x:xf>
    <x:xf numFmtId="0" fontId="31" fillId="35" borderId="0" xfId="0" applyNumberFormat="1" applyFont="1" applyFill="1" applyBorder="1" applyAlignment="1">
      <x:alignment vertical="top" wrapText="1"/>
    </x:xf>
    <x:xf numFmtId="0" fontId="31" fillId="35" borderId="10" xfId="0" applyNumberFormat="1" applyFont="1" applyFill="1" applyBorder="1" applyAlignment="1">
      <x:alignment vertical="top" wrapText="1"/>
    </x:xf>
    <x:xf numFmtId="0" fontId="30" fillId="35" borderId="9" xfId="0" applyNumberFormat="1" applyFont="1" applyFill="1" applyBorder="1" applyAlignment="1">
      <x:alignment vertical="top" wrapText="1"/>
    </x:xf>
    <x:xf numFmtId="0" fontId="30" fillId="35" borderId="0" xfId="0" applyNumberFormat="1" applyFont="1" applyFill="1" applyBorder="1" applyAlignment="1">
      <x:alignment vertical="top" wrapText="1"/>
    </x:xf>
    <x:xf numFmtId="0" fontId="30" fillId="35" borderId="10" xfId="0" applyNumberFormat="1" applyFont="1" applyFill="1" applyBorder="1" applyAlignment="1">
      <x:alignment vertical="top" wrapText="1"/>
    </x:xf>
    <x:xf numFmtId="0" fontId="1" fillId="35" borderId="0" xfId="0" applyNumberFormat="1" applyFont="1" applyFill="1" applyBorder="1" applyAlignment="1">
      <x:alignment horizontal="left" vertical="center" wrapText="1"/>
    </x:xf>
    <x:xf numFmtId="0" fontId="38" fillId="35" borderId="0" xfId="0" applyNumberFormat="1" applyFont="1" applyFill="1" applyBorder="1" applyAlignment="1">
      <x:alignment wrapText="1"/>
    </x:xf>
    <x:xf numFmtId="0" fontId="31" fillId="0" borderId="0" xfId="0" applyNumberFormat="1" applyFont="1" applyFill="1" applyBorder="1" applyAlignment="1">
      <x:alignment wrapText="1"/>
    </x:xf>
    <x:xf numFmtId="0" fontId="34" fillId="4" borderId="1" xfId="0" applyNumberFormat="1" applyFont="1" applyFill="1" applyBorder="1" applyAlignment="1">
      <x:alignment wrapText="1"/>
    </x:xf>
    <x:xf numFmtId="164" fontId="34" fillId="4" borderId="2" xfId="0" applyNumberFormat="1" applyFont="1" applyFill="1" applyBorder="1" applyAlignment="1">
      <x:alignment wrapText="1"/>
    </x:xf>
    <x:xf numFmtId="0" fontId="41" fillId="39" borderId="0" xfId="0" applyNumberFormat="1" applyFont="1" applyFill="1" applyBorder="1" applyAlignment="1">
      <x:alignment vertical="center" wrapText="1"/>
    </x:xf>
    <x:xf numFmtId="0" fontId="30" fillId="39" borderId="0" xfId="0" applyNumberFormat="1" applyFont="1" applyFill="1" applyBorder="1" applyAlignment="1">
      <x:alignment wrapText="1"/>
    </x:xf>
    <x:xf numFmtId="0" fontId="35" fillId="5" borderId="0" xfId="0" applyNumberFormat="1" applyFont="1" applyFill="1" applyBorder="1" applyAlignment="1">
      <x:alignment vertical="center" wrapText="1"/>
    </x:xf>
    <x:xf numFmtId="0" fontId="35" fillId="5" borderId="0" xfId="0" applyNumberFormat="1" applyFont="1" applyFill="1" applyBorder="1" applyAlignment="1">
      <x:alignment horizontal="left" vertical="center" wrapText="1"/>
    </x:xf>
    <x:xf numFmtId="164" fontId="0" fillId="0" borderId="11" xfId="0" applyNumberFormat="1" applyFont="1" applyFill="1" applyBorder="1"/>
    <x:xf numFmtId="201" fontId="0" fillId="0" borderId="11" xfId="0" applyNumberFormat="1" applyFont="1" applyFill="1" applyBorder="1"/>
    <x:xf numFmtId="202" fontId="26" fillId="4" borderId="23" xfId="0" applyNumberFormat="1" applyFont="1" applyFill="1" applyBorder="1" applyAlignment="1">
      <x:alignment horizontal="center" vertical="center" wrapText="1"/>
    </x:xf>
    <x:xf numFmtId="0" fontId="0" fillId="45" borderId="0" xfId="0" applyNumberFormat="1" applyFont="1" applyFill="1" applyBorder="1"/>
    <x:xf numFmtId="0" fontId="5" fillId="45" borderId="0" xfId="0" applyNumberFormat="1" applyFont="1" applyFill="1" applyBorder="1"/>
    <x:xf numFmtId="0" fontId="5" fillId="45" borderId="0" xfId="0" applyNumberFormat="1" applyFont="1" applyFill="1" applyBorder="1" applyAlignment="1">
      <x:alignment horizontal="center"/>
    </x:xf>
    <x:xf numFmtId="0" fontId="0" fillId="46" borderId="0" xfId="0" applyNumberFormat="1" applyFont="1" applyFill="1" applyBorder="1"/>
    <x:xf numFmtId="0" fontId="5" fillId="46" borderId="0" xfId="0" applyNumberFormat="1" applyFont="1" applyFill="1" applyBorder="1"/>
    <x:xf numFmtId="0" fontId="5" fillId="46" borderId="0" xfId="0" applyNumberFormat="1" applyFont="1" applyFill="1" applyBorder="1" applyAlignment="1">
      <x:alignment horizontal="center"/>
    </x:xf>
    <x:xf numFmtId="0" fontId="0" fillId="47" borderId="0" xfId="0" applyNumberFormat="1" applyFont="1" applyFill="1" applyBorder="1"/>
    <x:xf numFmtId="0" fontId="5" fillId="47" borderId="0" xfId="0" applyNumberFormat="1" applyFont="1" applyFill="1" applyBorder="1"/>
    <x:xf numFmtId="0" fontId="5" fillId="47" borderId="0" xfId="0" applyNumberFormat="1" applyFont="1" applyFill="1" applyBorder="1" applyAlignment="1">
      <x:alignment horizontal="center"/>
    </x:xf>
    <x:xf numFmtId="0" fontId="0" fillId="48" borderId="0" xfId="0" applyNumberFormat="1" applyFont="1" applyFill="1" applyBorder="1"/>
    <x:xf numFmtId="0" fontId="5" fillId="48" borderId="0" xfId="0" applyNumberFormat="1" applyFont="1" applyFill="1" applyBorder="1"/>
    <x:xf numFmtId="0" fontId="5" fillId="48" borderId="0" xfId="0" applyNumberFormat="1" applyFont="1" applyFill="1" applyBorder="1" applyAlignment="1">
      <x:alignment horizontal="center"/>
    </x:xf>
    <x:xf numFmtId="0" fontId="0" fillId="49" borderId="0" xfId="0" applyNumberFormat="1" applyFont="1" applyFill="1" applyBorder="1"/>
    <x:xf numFmtId="0" fontId="5" fillId="49" borderId="0" xfId="0" applyNumberFormat="1" applyFont="1" applyFill="1" applyBorder="1"/>
    <x:xf numFmtId="0" fontId="5" fillId="49" borderId="0" xfId="0" applyNumberFormat="1" applyFont="1" applyFill="1" applyBorder="1" applyAlignment="1">
      <x:alignment wrapText="1"/>
    </x:xf>
    <x:xf numFmtId="0" fontId="0" fillId="50" borderId="0" xfId="0" applyNumberFormat="1" applyFont="1" applyFill="1" applyBorder="1"/>
    <x:xf numFmtId="0" fontId="0" fillId="51" borderId="0" xfId="0" applyNumberFormat="1" applyFont="1" applyFill="1" applyBorder="1"/>
    <x:xf numFmtId="0" fontId="0" fillId="52" borderId="0" xfId="0" applyNumberFormat="1" applyFont="1" applyFill="1" applyBorder="1"/>
    <x:xf numFmtId="0" fontId="0" fillId="53" borderId="0" xfId="0" applyNumberFormat="1" applyFont="1" applyFill="1" applyBorder="1"/>
    <x:xf numFmtId="0" fontId="30" fillId="45" borderId="0" xfId="0" applyNumberFormat="1" applyFont="1" applyFill="1" applyBorder="1" applyAlignment="1">
      <x:alignment horizontal="center"/>
    </x:xf>
    <x:xf numFmtId="0" fontId="30" fillId="46" borderId="0" xfId="0" applyNumberFormat="1" applyFont="1" applyFill="1" applyBorder="1" applyAlignment="1">
      <x:alignment horizontal="center"/>
    </x:xf>
    <x:xf numFmtId="0" fontId="30" fillId="47" borderId="0" xfId="0" applyNumberFormat="1" applyFont="1" applyFill="1" applyBorder="1" applyAlignment="1">
      <x:alignment horizontal="center"/>
    </x:xf>
    <x:xf numFmtId="0" fontId="30" fillId="48" borderId="0" xfId="0" applyNumberFormat="1" applyFont="1" applyFill="1" applyBorder="1" applyAlignment="1">
      <x:alignment horizontal="center"/>
    </x:xf>
    <x:xf numFmtId="0" fontId="30" fillId="49" borderId="0" xfId="0" applyNumberFormat="1" applyFont="1" applyFill="1" applyBorder="1" applyAlignment="1">
      <x:alignment wrapText="1"/>
    </x:xf>
    <x:xf numFmtId="0" fontId="31" fillId="50" borderId="0" xfId="0" applyNumberFormat="1" applyFont="1" applyFill="1" applyBorder="1"/>
    <x:xf numFmtId="0" fontId="31" fillId="51" borderId="0" xfId="0" applyNumberFormat="1" applyFont="1" applyFill="1" applyBorder="1"/>
    <x:xf numFmtId="0" fontId="31" fillId="52" borderId="0" xfId="0" applyNumberFormat="1" applyFont="1" applyFill="1" applyBorder="1"/>
    <x:xf numFmtId="0" fontId="31" fillId="53" borderId="0" xfId="0" applyNumberFormat="1" applyFont="1" applyFill="1" applyBorder="1"/>
    <x:xf numFmtId="165" fontId="31" fillId="51" borderId="0" xfId="0" applyNumberFormat="1" applyFont="1" applyFill="1" applyBorder="1"/>
    <x:xf numFmtId="165" fontId="31" fillId="52" borderId="0" xfId="0" applyNumberFormat="1" applyFont="1" applyFill="1" applyBorder="1"/>
    <x:xf numFmtId="164" fontId="31" fillId="51" borderId="0" xfId="0" applyNumberFormat="1" applyFont="1" applyFill="1" applyBorder="1"/>
    <x:xf numFmtId="165" fontId="31" fillId="53" borderId="0" xfId="0" applyNumberFormat="1" applyFont="1" applyFill="1" applyBorder="1"/>
  </x:cellXfs>
  <x:cellStyles count="1">
    <x:cellStyle name="Normal" xfId="0"/>
  </x:cellStyles>
  <x:dxfs count="56">
    <x:dxf>
      <x:font>
        <x:b/>
        <x:color rgb="FFB42318"/>
      </x:font>
      <x:fill>
        <x:patternFill>
          <x:bgColor rgb="FFFDE8E7"/>
        </x:patternFill>
      </x:fill>
    </x:dxf>
    <x:dxf>
      <x:font>
        <x:b/>
        <x:color rgb="FFB42318"/>
      </x:font>
      <x:fill>
        <x:patternFill>
          <x:bgColor rgb="FFFDE8E7"/>
        </x:patternFill>
      </x:fill>
    </x:dxf>
    <x:dxf>
      <x:font>
        <x:b/>
        <x:color rgb="FFB42318"/>
      </x:font>
      <x:fill>
        <x:patternFill>
          <x:bgColor rgb="FFFDE8E7"/>
        </x:patternFill>
      </x:fill>
    </x:dxf>
    <x:dxf>
      <x:font>
        <x:b/>
        <x:color rgb="FF8A5A00"/>
      </x:font>
      <x:fill>
        <x:patternFill>
          <x:bgColor rgb="FFFFF4D6"/>
        </x:patternFill>
      </x:fill>
    </x:dxf>
    <x:dxf>
      <x:font>
        <x:b/>
        <x:color rgb="FF206A3B"/>
      </x:font>
      <x:fill>
        <x:patternFill>
          <x:bgColor rgb="FFE6F4EA"/>
        </x:patternFill>
      </x:fill>
    </x:dxf>
    <x:dxf>
      <x:font>
        <x:b/>
        <x:color rgb="FF206A3B"/>
      </x:font>
      <x:fill>
        <x:patternFill>
          <x:bgColor rgb="FFE6F4EA"/>
        </x:patternFill>
      </x:fill>
    </x:dxf>
    <x:dxf>
      <x:font>
        <x:b/>
        <x:color rgb="FF8A5A00"/>
      </x:font>
      <x:fill>
        <x:patternFill>
          <x:bgColor rgb="FFFFF4D6"/>
        </x:patternFill>
      </x:fill>
    </x:dxf>
    <x:dxf>
      <x:font>
        <x:b/>
        <x:color rgb="FFB42318"/>
      </x:font>
      <x:fill>
        <x:patternFill>
          <x:bgColor rgb="FFFDE8E7"/>
        </x:patternFill>
      </x:fill>
    </x:dxf>
    <x:dxf>
      <x:font>
        <x:b/>
        <x:color rgb="FF206A3B"/>
      </x:font>
      <x:fill>
        <x:patternFill>
          <x:bgColor rgb="FFE6F4EA"/>
        </x:patternFill>
      </x:fill>
    </x:dxf>
    <x:dxf>
      <x:font>
        <x:b/>
        <x:color rgb="FF2563EB"/>
      </x:font>
      <x:fill>
        <x:patternFill>
          <x:bgColor rgb="FFE8F1FB"/>
        </x:patternFill>
      </x:fill>
    </x:dxf>
    <x:dxf>
      <x:font>
        <x:b/>
        <x:color rgb="FFB42318"/>
      </x:font>
      <x:fill>
        <x:patternFill>
          <x:bgColor rgb="FFFDE8E7"/>
        </x:patternFill>
      </x:fill>
    </x:dxf>
    <x:dxf>
      <x:font>
        <x:b/>
        <x:color rgb="FF8A5A00"/>
      </x:font>
      <x:fill>
        <x:patternFill>
          <x:bgColor rgb="FFFFF4D6"/>
        </x:patternFill>
      </x:fill>
    </x:dxf>
    <x:dxf>
      <x:font>
        <x:b/>
        <x:color rgb="FFB42318"/>
      </x:font>
      <x:fill>
        <x:patternFill>
          <x:bgColor rgb="FFFDE8E7"/>
        </x:patternFill>
      </x:fill>
    </x:dxf>
    <x:dxf>
      <x:font>
        <x:color rgb="FF206A3B"/>
      </x:font>
      <x:fill>
        <x:patternFill>
          <x:bgColor rgb="FFE6F4EA"/>
        </x:patternFill>
      </x:fill>
    </x:dxf>
    <x:dxf>
      <x:font>
        <x:b/>
        <x:color rgb="FFB42318"/>
      </x:font>
      <x:fill>
        <x:patternFill>
          <x:bgColor rgb="FFFDE8E7"/>
        </x:patternFill>
      </x:fill>
    </x:dxf>
    <x:dxf>
      <x:font>
        <x:b/>
        <x:color rgb="FF8A5A00"/>
      </x:font>
      <x:fill>
        <x:patternFill>
          <x:bgColor rgb="FFFFF4D6"/>
        </x:patternFill>
      </x:fill>
    </x:dxf>
    <x:dxf>
      <x:font>
        <x:b/>
        <x:color rgb="FFB42318"/>
      </x:font>
      <x:fill>
        <x:patternFill>
          <x:bgColor rgb="FFFDE8E7"/>
        </x:patternFill>
      </x:fill>
    </x:dxf>
    <x:dxf>
      <x:font>
        <x:b/>
        <x:color rgb="FFB42318"/>
      </x:font>
      <x:fill>
        <x:patternFill>
          <x:bgColor rgb="FFFDE8E7"/>
        </x:patternFill>
      </x:fill>
    </x:dxf>
    <x:dxf>
      <x:font>
        <x:b/>
        <x:color rgb="FF8A5A00"/>
      </x:font>
      <x:fill>
        <x:patternFill>
          <x:bgColor rgb="FFFFF4D6"/>
        </x:patternFill>
      </x:fill>
    </x:dxf>
    <x:dxf>
      <x:font>
        <x:b/>
        <x:color rgb="FF8A5A00"/>
      </x:font>
      <x:fill>
        <x:patternFill>
          <x:bgColor rgb="FFFFF4D6"/>
        </x:patternFill>
      </x:fill>
    </x:dxf>
    <x:dxf>
      <x:font>
        <x:b/>
        <x:color rgb="FF206A3B"/>
      </x:font>
      <x:fill>
        <x:patternFill>
          <x:bgColor rgb="FFE6F4EA"/>
        </x:patternFill>
      </x:fill>
    </x:dxf>
    <x:dxf>
      <x:font>
        <x:b/>
        <x:color rgb="FF206A3B"/>
      </x:font>
      <x:fill>
        <x:patternFill>
          <x:bgColor rgb="FFE6F4EA"/>
        </x:patternFill>
      </x:fill>
    </x:dxf>
    <x:dxf>
      <x:font>
        <x:b/>
        <x:color rgb="FFB42318"/>
      </x:font>
      <x:fill>
        <x:patternFill>
          <x:bgColor rgb="FFFDE8E7"/>
        </x:patternFill>
      </x:fill>
    </x:dxf>
    <x:dxf>
      <x:font>
        <x:b/>
        <x:color rgb="FFB42318"/>
      </x:font>
      <x:fill>
        <x:patternFill>
          <x:bgColor rgb="FFFDE8E7"/>
        </x:patternFill>
      </x:fill>
    </x:dxf>
    <x:dxf>
      <x:font>
        <x:b/>
        <x:color rgb="FF206A3B"/>
      </x:font>
      <x:fill>
        <x:patternFill>
          <x:bgColor rgb="FFE6F4EA"/>
        </x:patternFill>
      </x:fill>
    </x:dxf>
    <x:dxf>
      <x:font>
        <x:b/>
        <x:color rgb="FF667085"/>
      </x:font>
      <x:fill>
        <x:patternFill>
          <x:bgColor rgb="FFF3F5F7"/>
        </x:patternFill>
      </x:fill>
    </x:dxf>
    <x:dxf>
      <x:font>
        <x:b/>
        <x:color rgb="FF8A5A00"/>
      </x:font>
      <x:fill>
        <x:patternFill>
          <x:bgColor rgb="FFFFF4D6"/>
        </x:patternFill>
      </x:fill>
    </x:dxf>
    <x:dxf>
      <x:font>
        <x:b/>
        <x:color rgb="FF8A5A00"/>
      </x:font>
      <x:fill>
        <x:patternFill>
          <x:bgColor rgb="FFFFF4D6"/>
        </x:patternFill>
      </x:fill>
    </x:dxf>
    <x:dxf>
      <x:font>
        <x:b/>
        <x:color rgb="FFB42318"/>
      </x:font>
      <x:fill>
        <x:patternFill>
          <x:bgColor rgb="FFFDE8E7"/>
        </x:patternFill>
      </x:fill>
    </x:dxf>
    <x:dxf>
      <x:font>
        <x:b/>
        <x:color rgb="FF2563EB"/>
      </x:font>
      <x:fill>
        <x:patternFill>
          <x:bgColor rgb="FFE8F1FB"/>
        </x:patternFill>
      </x:fill>
    </x:dxf>
    <x:dxf>
      <x:font>
        <x:b/>
        <x:color rgb="FF8A5A00"/>
      </x:font>
      <x:fill>
        <x:patternFill>
          <x:bgColor rgb="FFFFF4D6"/>
        </x:patternFill>
      </x:fill>
    </x:dxf>
    <x:dxf>
      <x:font>
        <x:b/>
        <x:color rgb="FF206A3B"/>
      </x:font>
      <x:fill>
        <x:patternFill>
          <x:bgColor rgb="FFE6F4EA"/>
        </x:patternFill>
      </x:fill>
    </x:dxf>
    <x:dxf>
      <x:font>
        <x:b/>
        <x:color rgb="FF8A5A00"/>
      </x:font>
      <x:fill>
        <x:patternFill>
          <x:bgColor rgb="FFFFF4D6"/>
        </x:patternFill>
      </x:fill>
    </x:dxf>
    <x:dxf>
      <x:font>
        <x:b/>
        <x:color rgb="FF8A5A00"/>
      </x:font>
      <x:fill>
        <x:patternFill>
          <x:bgColor rgb="FFFFF4D6"/>
        </x:patternFill>
      </x:fill>
    </x:dxf>
    <x:dxf>
      <x:font>
        <x:b/>
        <x:color rgb="FF206A3B"/>
      </x:font>
      <x:fill>
        <x:patternFill>
          <x:bgColor rgb="FFE6F4EA"/>
        </x:patternFill>
      </x:fill>
    </x:dxf>
    <x:dxf>
      <x:font>
        <x:b/>
        <x:color rgb="FF206A3B"/>
      </x:font>
      <x:fill>
        <x:patternFill>
          <x:bgColor rgb="FFE6F4EA"/>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6D28D9"/>
      </x:font>
      <x:fill>
        <x:patternFill>
          <x:bgColor rgb="FFEDE9FE"/>
        </x:patternFill>
      </x:fill>
    </x:dxf>
    <x:dxf>
      <x:font>
        <x:color rgb="FF374151"/>
      </x:font>
      <x:fill>
        <x:patternFill>
          <x:bgColor rgb="FFE5E7EB"/>
        </x:patternFill>
      </x:fill>
    </x:dxf>
    <x:dxf>
      <x:font>
        <x:color rgb="FF166534"/>
      </x:font>
      <x:fill>
        <x:patternFill>
          <x:bgColor rgb="FFDCFCE7"/>
        </x:patternFill>
      </x:fill>
    </x:dxf>
    <x:dxf>
      <x:font>
        <x:color rgb="FF92400E"/>
      </x:font>
      <x:fill>
        <x:patternFill>
          <x:bgColor rgb="FFFEF3C7"/>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color rgb="FF92400E"/>
      </x:font>
      <x:fill>
        <x:patternFill>
          <x:bgColor rgb="FFFEF3C7"/>
        </x:patternFill>
      </x:fill>
    </x:dxf>
    <x:dxf>
      <x:font>
        <x:b/>
        <x:color rgb="FF166534"/>
      </x:font>
      <x:fill>
        <x:patternFill patternType="solid">
          <x:bgColor rgb="FFDCFCE7"/>
        </x:patternFill>
      </x:fill>
    </x:dxf>
    <x:dxf>
      <x:font>
        <x:b/>
        <x:color rgb="FF991B1B"/>
      </x:font>
      <x:fill>
        <x:patternFill patternType="solid">
          <x:bgColor rgb="FFFEE2E2"/>
        </x:patternFill>
      </x:fill>
    </x:dxf>
    <x:dxf>
      <x:font>
        <x:color rgb="FF92400E"/>
      </x:font>
      <x:fill>
        <x:patternFill patternType="solid">
          <x:bgColor rgb="FFFEF3C7"/>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946c9e97aec424d" /><Relationship Type="http://schemas.openxmlformats.org/officeDocument/2006/relationships/theme" Target="/xl/theme/theme1.xml" Id="R03bfae5756ab428b" /><Relationship Type="http://schemas.openxmlformats.org/officeDocument/2006/relationships/sharedStrings" Target="/xl/sharedStrings.xml" Id="R455e8fc74af446fd" /><Relationship Type="http://schemas.openxmlformats.org/officeDocument/2006/relationships/worksheet" Target="/xl/worksheets/sheet1.xml" Id="R2c9f40641c8f4b69" /><Relationship Type="http://schemas.openxmlformats.org/officeDocument/2006/relationships/worksheet" Target="/xl/worksheets/sheet2.xml" Id="R68478b3c10e543f9" /><Relationship Type="http://schemas.openxmlformats.org/officeDocument/2006/relationships/worksheet" Target="/xl/worksheets/sheet3.xml" Id="R5fb736b4c19e4e67" /><Relationship Type="http://schemas.openxmlformats.org/officeDocument/2006/relationships/worksheet" Target="/xl/worksheets/sheet4.xml" Id="Rf5b6771eceb64299" /><Relationship Type="http://schemas.openxmlformats.org/officeDocument/2006/relationships/worksheet" Target="/xl/worksheets/sheet5.xml" Id="R3eeb15bfd6f749ed" /></Relationships>
</file>

<file path=xl/drawings/_rels/drawing1.xml.rels>&#65279;<?xml version="1.0" encoding="utf-8"?><Relationships xmlns="http://schemas.openxmlformats.org/package/2006/relationships"><Relationship Type="http://schemas.openxmlformats.org/officeDocument/2006/relationships/chart" Target="/xl/drawings/charts/chart1.xml" Id="Rad74fbadbe0f4bcd" /><Relationship Type="http://schemas.openxmlformats.org/officeDocument/2006/relationships/chart" Target="/xl/drawings/charts/chart2.xml" Id="R5367581e2a484f4d"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sz="900"/>
              <a:t>Sources by Document Type</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grouping val="clustered"/>
        <c:varyColors val="0"/>
        <c:ser>
          <c:idx val="0"/>
          <c:order val="0"/>
          <c:tx>
            <c:v>COUNT</c:v>
          </c:tx>
          <c:spPr>
            <a:ln xmlns:a="http://schemas.openxmlformats.org/drawingml/2006/main">
              <a:prstDash val="solid"/>
            </a:ln>
          </c:spPr>
          <c:cat>
            <c:strRef>
              <c:f>'Dashboard'!$A$12:$A$22</c:f>
              <c:strCache>
                <c:ptCount val="0"/>
              </c:strCache>
            </c:strRef>
          </c:cat>
          <c:val>
            <c:numRef>
              <c:f>'Dashboard'!$B$12:$B$22</c:f>
              <c:numCache>
                <c:formatCode>0</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Offset val="100"/>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sz="900"/>
              <a:t>Selection Status</a:t>
            </a:r>
          </a:p>
        </c:rich>
      </c:tx>
      <c:overlay val="0"/>
      <c:txPr>
        <a:bodyPr xmlns:a="http://schemas.openxmlformats.org/drawingml/2006/main" anchorCtr="1"/>
        <a:lstStyle xmlns:a="http://schemas.openxmlformats.org/drawingml/2006/main"/>
        <a:p xmlns:a="http://schemas.openxmlformats.org/drawingml/2006/main">
          <a:pPr>
            <a:defRPr sz="900"/>
          </a:pPr>
        </a:p>
      </c:txPr>
    </c:title>
    <c:plotArea>
      <c:doughnutChart>
        <c:ser>
          <c:idx val="0"/>
          <c:order val="0"/>
          <c:tx>
            <c:v>COUNT</c:v>
          </c:tx>
          <c:spPr>
            <a:ln xmlns:a="http://schemas.openxmlformats.org/drawingml/2006/main">
              <a:prstDash val="solid"/>
            </a:ln>
          </c:spPr>
          <c:cat>
            <c:strRef>
              <c:f>'Dashboard'!$A$36:$A$38</c:f>
              <c:strCache>
                <c:ptCount val="0"/>
              </c:strCache>
            </c:strRef>
          </c:cat>
          <c:val>
            <c:numRef>
              <c:f>'Dashboard'!$B$36:$B$38</c:f>
              <c:numCache>
                <c:formatCode>General</c:formatCode>
                <c:ptCount val="0"/>
              </c:numCache>
            </c:numRef>
          </c:val>
        </c:ser>
        <c:firstSliceAng val="0"/>
        <c:holeSize val="10"/>
      </c:doughnutChart>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10</xdr:row>
      <xdr:rowOff>0</xdr:rowOff>
    </xdr:from>
    <xdr:to>
      <xdr:col>11</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d74fbadbe0f4bcd"/>
        </a:graphicData>
      </a:graphic>
    </xdr:graphicFrame>
    <xdr:clientData/>
  </xdr:twoCellAnchor>
  <xdr:twoCellAnchor>
    <xdr:from>
      <xdr:col>3</xdr:col>
      <xdr:colOff>0</xdr:colOff>
      <xdr:row>26</xdr:row>
      <xdr:rowOff>0</xdr:rowOff>
    </xdr:from>
    <xdr:to>
      <xdr:col>11</xdr:col>
      <xdr:colOff>0</xdr:colOff>
      <xdr:row>40</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367581e2a484f4d"/>
        </a:graphicData>
      </a:graphic>
    </xdr:graphicFrame>
    <xdr:clientData/>
  </xdr:twoCellAnchor>
</xdr:wsDr>
</file>

<file path=xl/tables/table1.xml><?xml version="1.0" encoding="utf-8"?>
<x:table xmlns:x="http://schemas.openxmlformats.org/spreadsheetml/2006/main" id="4" name="SourceRegisterTable" displayName="SourceRegisterTable" ref="A2:AS302" headerRowCount="1" totalsRowCount="0" totalsRowShown="0">
  <x:autoFilter ref="A2:AS302"/>
  <x:tableColumns count="45">
    <x:tableColumn id="1" name="source_id"/>
    <x:tableColumn id="2" name="snapshot_id"/>
    <x:tableColumn id="3" name="stored_filename"/>
    <x:tableColumn id="4" name="snapshot_status"/>
    <x:tableColumn id="5" name="selection_status"/>
    <x:tableColumn id="6" name="download_status"/>
    <x:tableColumn id="7" name="last_attempt_at"/>
    <x:tableColumn id="8" name="last_success_at"/>
    <x:tableColumn id="9" name="content_change"/>
    <x:tableColumn id="10" name="current_origin"/>
    <x:tableColumn id="11" name="current_snapshot_date"/>
    <x:tableColumn id="12" name="failure_stage"/>
    <x:tableColumn id="13" name="failure_reason"/>
    <x:tableColumn id="14" name="needs_human_action"/>
    <x:tableColumn id="15" name="content_hash"/>
    <x:tableColumn id="16" name="source_title"/>
    <x:tableColumn id="17" name="official_url"/>
    <x:tableColumn id="18" name="retrieval_url"/>
    <x:tableColumn id="19" name="folder_code"/>
    <x:tableColumn id="20" name="file_format"/>
    <x:tableColumn id="21" name="issuer"/>
    <x:tableColumn id="22" name="jurisdiction"/>
    <x:tableColumn id="23" name="authoritative_language"/>
    <x:tableColumn id="24" name="version"/>
    <x:tableColumn id="25" name="effective_date"/>
    <x:tableColumn id="26" name="source_family"/>
    <x:tableColumn id="27" name="document_type"/>
    <x:tableColumn id="28" name="requirement_role"/>
    <x:tableColumn id="29" name="inclusion_rationale"/>
    <x:tableColumn id="30" name="authority_quality"/>
    <x:tableColumn id="31" name="scope_relevance"/>
    <x:tableColumn id="32" name="version_currency"/>
    <x:tableColumn id="33" name="traceability"/>
    <x:tableColumn id="34" name="access_permission"/>
    <x:tableColumn id="35" name="automation_readiness"/>
    <x:tableColumn id="36" name="operator_selection_decision"/>
    <x:tableColumn id="37" name="manual_update_date"/>
    <x:tableColumn id="38" name="manual_updated_by"/>
    <x:tableColumn id="39" name="source_status"/>
    <x:tableColumn id="40" name="primary_source_id"/>
    <x:tableColumn id="41" name="notes"/>
    <x:tableColumn id="42" name="acquisition_channel"/>
    <x:tableColumn id="43" name="provenance_status"/>
    <x:tableColumn id="44" name="update_model"/>
    <x:tableColumn id="45" name="applicability_reference"/>
  </x:tableColumns>
  <x:tableStyleInfo name="TableStyleMedium2" showFirstColumn="0" showLastColumn="0" showRowStripes="1" showColumnStripes="0"/>
</x:table>
</file>

<file path=xl/tables/table2.xml><?xml version="1.0" encoding="utf-8"?>
<x:table xmlns:x="http://schemas.openxmlformats.org/spreadsheetml/2006/main" id="5" name="HumanOperationsTable" displayName="HumanOperationsTable" ref="A2:AR502" headerRowCount="1" totalsRowCount="0" totalsRowShown="0">
  <x:autoFilter ref="A2:AR502"/>
  <x:tableColumns count="44">
    <x:tableColumn id="1" name="operation_id"/>
    <x:tableColumn id="2" name="operation_type"/>
    <x:tableColumn id="3" name="source_id"/>
    <x:tableColumn id="4" name="source_title"/>
    <x:tableColumn id="5" name="trigger"/>
    <x:tableColumn id="6" name="proposed_action"/>
    <x:tableColumn id="7" name="decision"/>
    <x:tableColumn id="8" name="operator"/>
    <x:tableColumn id="9" name="checked_at"/>
    <x:tableColumn id="10" name="operator_note"/>
    <x:tableColumn id="11" name="program_status"/>
    <x:tableColumn id="12" name="program_operated_at"/>
    <x:tableColumn id="13" name="program_note"/>
    <x:tableColumn id="14" name="candidate_origin"/>
    <x:tableColumn id="15" name="intake_file"/>
    <x:tableColumn id="16" name="official_url"/>
    <x:tableColumn id="17" name="retrieval_url"/>
    <x:tableColumn id="18" name="folder_code"/>
    <x:tableColumn id="19" name="issuer"/>
    <x:tableColumn id="20" name="jurisdiction"/>
    <x:tableColumn id="21" name="document_type"/>
    <x:tableColumn id="22" name="source_family"/>
    <x:tableColumn id="23" name="requirement_role"/>
    <x:tableColumn id="24" name="authoritative_language"/>
    <x:tableColumn id="25" name="file_format"/>
    <x:tableColumn id="26" name="version"/>
    <x:tableColumn id="27" name="effective_date"/>
    <x:tableColumn id="28" name="inclusion_rationale"/>
    <x:tableColumn id="29" name="authority_quality"/>
    <x:tableColumn id="30" name="scope_relevance"/>
    <x:tableColumn id="31" name="version_currency"/>
    <x:tableColumn id="32" name="traceability"/>
    <x:tableColumn id="33" name="access_permission"/>
    <x:tableColumn id="34" name="automation_readiness"/>
    <x:tableColumn id="35" name="operator_selection_decision"/>
    <x:tableColumn id="36" name="acquisition_channel"/>
    <x:tableColumn id="37" name="provenance_status"/>
    <x:tableColumn id="38" name="update_model"/>
    <x:tableColumn id="39" name="applicability_reference"/>
    <x:tableColumn id="40" name="source_status"/>
    <x:tableColumn id="41" name="primary_source_id"/>
    <x:tableColumn id="42" name="source_notes"/>
    <x:tableColumn id="43" name="created_at"/>
    <x:tableColumn id="44" name="payload_j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ba7aea0c338d4e72" /></Relationships>
</file>

<file path=xl/worksheets/_rels/sheet4.xml.rels>&#65279;<?xml version="1.0" encoding="utf-8"?><Relationships xmlns="http://schemas.openxmlformats.org/package/2006/relationships"><Relationship Type="http://schemas.openxmlformats.org/officeDocument/2006/relationships/drawing" Target="/xl/drawings/drawing1.xml" Id="R93067934ffde4879" /></Relationships>
</file>

<file path=xl/worksheets/_rels/sheet5.xml.rels>&#65279;<?xml version="1.0" encoding="utf-8"?><Relationships xmlns="http://schemas.openxmlformats.org/package/2006/relationships"><Relationship Type="http://schemas.openxmlformats.org/officeDocument/2006/relationships/table" Target="/xl/tables/table2.xml" Id="R9e3ede6fd86e4786"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24" style="36" hidden="0" customWidth="1"/>
    <x:col min="2" max="2" width="34" style="36" hidden="0" customWidth="1"/>
    <x:col min="3" max="3" width="28" style="36" hidden="0" customWidth="1"/>
    <x:col min="4" max="4" width="24" style="36" hidden="0" customWidth="1"/>
    <x:col min="5" max="5" width="34" style="36" hidden="0" customWidth="1"/>
    <x:col min="6" max="6" width="48" style="36" hidden="0" customWidth="1"/>
  </x:cols>
  <x:sheetData>
    <x:row r="1" s="36" customFormat="1" ht="21.600000381469727" hidden="0" customHeight="1">
      <x:c r="A1" s="835" t="str">
        <x:v>Requirement Source Registry | Instructions</x:v>
      </x:c>
      <x:c r="B1" s="836"/>
      <x:c r="C1" s="836"/>
      <x:c r="D1" s="836"/>
      <x:c r="E1" s="836"/>
      <x:c r="F1" s="836"/>
    </x:row>
    <x:row r="2" s="36" customFormat="1" ht="26.399999618530273" hidden="0" customHeight="1">
      <x:c r="A2" s="812" t="str">
        <x:v>Instructions, Categories, Source Register and Dashboard are program-generated read-only views. Human Operation Desktop is the single normal operator workspace. Completed decisions remain hidden as an audit trail.</x:v>
      </x:c>
      <x:c r="B2" s="814"/>
      <x:c r="C2" s="814"/>
      <x:c r="D2" s="814"/>
      <x:c r="E2" s="814"/>
      <x:c r="F2" s="814"/>
    </x:row>
    <x:row r="3" ht="15" hidden="0" customHeight="1">
      <x:c r="A3" s="837"/>
      <x:c r="B3" s="837"/>
      <x:c r="C3" s="837"/>
      <x:c r="D3" s="837"/>
      <x:c r="E3" s="838" t="str">
        <x:v>Today helper</x:v>
      </x:c>
      <x:c r="F3" s="839" t="n">
        <x:v>46265</x:v>
      </x:c>
    </x:row>
    <x:row r="4" ht="15" hidden="0" customHeight="1">
      <x:c r="A4" s="837"/>
      <x:c r="B4" s="837"/>
      <x:c r="C4" s="837"/>
      <x:c r="D4" s="837"/>
      <x:c r="E4" s="837"/>
      <x:c r="F4" s="837"/>
    </x:row>
    <x:row r="5" s="36" customFormat="1" ht="15" hidden="0" customHeight="1">
      <x:c r="A5" s="840" t="str">
        <x:v>1. Workbook structure</x:v>
      </x:c>
      <x:c r="B5" s="841"/>
      <x:c r="C5" s="841"/>
      <x:c r="D5" s="841"/>
      <x:c r="E5" s="841"/>
      <x:c r="F5" s="841"/>
    </x:row>
    <x:row r="6" s="36" customFormat="1" ht="15" hidden="0" customHeight="1">
      <x:c r="A6" s="825" t="str">
        <x:v>Sheet</x:v>
      </x:c>
      <x:c r="B6" s="826" t="str">
        <x:v>Purpose</x:v>
      </x:c>
      <x:c r="C6" s="827" t="str">
        <x:v>How to use it</x:v>
      </x:c>
      <x:c r="D6" s="777"/>
      <x:c r="E6" s="777"/>
      <x:c r="F6" s="777"/>
    </x:row>
    <x:row r="7" s="36" customFormat="1" ht="26.399999618530273" hidden="0" customHeight="1">
      <x:c r="A7" s="795" t="str">
        <x:v>Instructions</x:v>
      </x:c>
      <x:c r="B7" s="795" t="str">
        <x:v>Operating rules, field ownership and source-selection criteria</x:v>
      </x:c>
      <x:c r="C7" s="795" t="str">
        <x:v>Read first</x:v>
      </x:c>
      <x:c r="D7" s="837"/>
      <x:c r="E7" s="837"/>
      <x:c r="F7" s="837"/>
    </x:row>
    <x:row r="8" s="36" customFormat="1" ht="26.399999618530273" hidden="0" customHeight="1">
      <x:c r="A8" s="795" t="str">
        <x:v>Categories</x:v>
      </x:c>
      <x:c r="B8" s="795" t="str">
        <x:v>Controlled classifications and dropdown values</x:v>
      </x:c>
      <x:c r="C8" s="795" t="str">
        <x:v>Program-generated controlled values; do not edit directly</x:v>
      </x:c>
      <x:c r="D8" s="837"/>
      <x:c r="E8" s="837"/>
      <x:c r="F8" s="837"/>
    </x:row>
    <x:row r="9" s="36" customFormat="1" ht="39.599998474121094" hidden="0" customHeight="1">
      <x:c r="A9" s="795" t="str">
        <x:v>Source Register</x:v>
      </x:c>
      <x:c r="B9" s="795" t="str">
        <x:v>Current source inventory, split into program-managed and operator-managed fields</x:v>
      </x:c>
      <x:c r="C9" s="795" t="str">
        <x:v>Read-only inventory; submit every change through Human Operation Desktop</x:v>
      </x:c>
      <x:c r="D9" s="837"/>
      <x:c r="E9" s="837"/>
      <x:c r="F9" s="837"/>
    </x:row>
    <x:row r="10" s="36" customFormat="1" ht="26.399999618530273" hidden="0" customHeight="1">
      <x:c r="A10" s="795" t="str">
        <x:v>Dashboard / Human Operation Desktop</x:v>
      </x:c>
      <x:c r="B10" s="795" t="str">
        <x:v>Live KPIs and the human decision queue with retained hidden history</x:v>
      </x:c>
      <x:c r="C10" s="795" t="str">
        <x:v>Dashboard is read-only; edit only visible Human Operation Desktop rows</x:v>
      </x:c>
      <x:c r="D10" s="837"/>
      <x:c r="E10" s="837"/>
      <x:c r="F10" s="837"/>
    </x:row>
    <x:row r="11" s="36" customFormat="1" ht="15" hidden="0" customHeight="1">
      <x:c r="A11" s="795"/>
      <x:c r="B11" s="795"/>
      <x:c r="C11" s="795"/>
      <x:c r="D11" s="837"/>
      <x:c r="E11" s="837"/>
      <x:c r="F11" s="837"/>
    </x:row>
    <x:row r="12" s="36" customFormat="1" ht="15" hidden="0" customHeight="1">
      <x:c r="A12" s="840" t="str">
        <x:v>2. Source Register field dictionary</x:v>
      </x:c>
      <x:c r="B12" s="841"/>
      <x:c r="C12" s="841"/>
      <x:c r="D12" s="841"/>
      <x:c r="E12" s="841"/>
      <x:c r="F12" s="841"/>
    </x:row>
    <x:row r="13" s="36" customFormat="1" ht="15" hidden="0" customHeight="1">
      <x:c r="A13" s="825" t="str">
        <x:v>Group</x:v>
      </x:c>
      <x:c r="B13" s="826" t="str">
        <x:v>Field name</x:v>
      </x:c>
      <x:c r="C13" s="826" t="str">
        <x:v>Owner</x:v>
      </x:c>
      <x:c r="D13" s="826" t="str">
        <x:v>Requirement</x:v>
      </x:c>
      <x:c r="E13" s="826" t="str">
        <x:v>Meaning</x:v>
      </x:c>
      <x:c r="F13" s="827" t="str">
        <x:v>Key rule</x:v>
      </x:c>
    </x:row>
    <x:row r="14" s="36" customFormat="1" ht="15" hidden="0" customHeight="1">
      <x:c r="A14" s="796" t="str">
        <x:v>Program-managed</x:v>
      </x:c>
      <x:c r="B14" s="797" t="str">
        <x:v>source_id</x:v>
      </x:c>
      <x:c r="C14" s="797" t="str">
        <x:v>Program / formula</x:v>
      </x:c>
      <x:c r="D14" s="797" t="str">
        <x:v>Required</x:v>
      </x:c>
      <x:c r="E14" s="797" t="str">
        <x:v>Stable primary key</x:v>
      </x:c>
      <x:c r="F14" s="798" t="str">
        <x:v>Use the controlled value where applicable</x:v>
      </x:c>
    </x:row>
    <x:row r="15" s="36" customFormat="1" ht="15" hidden="0" customHeight="1">
      <x:c r="A15" s="796" t="str">
        <x:v>Program-managed</x:v>
      </x:c>
      <x:c r="B15" s="797" t="str">
        <x:v>snapshot_id</x:v>
      </x:c>
      <x:c r="C15" s="797" t="str">
        <x:v>Program / formula</x:v>
      </x:c>
      <x:c r="D15" s="797" t="str">
        <x:v>Required</x:v>
      </x:c>
      <x:c r="E15" s="797" t="str">
        <x:v>Current snapshot identifier</x:v>
      </x:c>
      <x:c r="F15" s="798" t="str">
        <x:v>Use the controlled value where applicable</x:v>
      </x:c>
    </x:row>
    <x:row r="16" s="36" customFormat="1" ht="15" hidden="0" customHeight="1">
      <x:c r="A16" s="796" t="str">
        <x:v>Program-managed</x:v>
      </x:c>
      <x:c r="B16" s="797" t="str">
        <x:v>stored_filename</x:v>
      </x:c>
      <x:c r="C16" s="797" t="str">
        <x:v>Program / formula</x:v>
      </x:c>
      <x:c r="D16" s="797" t="str">
        <x:v>Required</x:v>
      </x:c>
      <x:c r="E16" s="797" t="str">
        <x:v>Exact stored filename</x:v>
      </x:c>
      <x:c r="F16" s="798" t="str">
        <x:v>Use the controlled value where applicable</x:v>
      </x:c>
    </x:row>
    <x:row r="17" s="36" customFormat="1" ht="15" hidden="0" customHeight="1">
      <x:c r="A17" s="796" t="str">
        <x:v>Program-managed</x:v>
      </x:c>
      <x:c r="B17" s="797" t="str">
        <x:v>snapshot_status</x:v>
      </x:c>
      <x:c r="C17" s="797" t="str">
        <x:v>Program / formula</x:v>
      </x:c>
      <x:c r="D17" s="797" t="str">
        <x:v>Conditional</x:v>
      </x:c>
      <x:c r="E17" s="797" t="str">
        <x:v>Whether the current file is stored</x:v>
      </x:c>
      <x:c r="F17" s="798" t="str">
        <x:v>Use the controlled value where applicable</x:v>
      </x:c>
    </x:row>
    <x:row r="18" s="36" customFormat="1" ht="26.399999618530273" hidden="0" customHeight="1">
      <x:c r="A18" s="796" t="str">
        <x:v>Program-managed</x:v>
      </x:c>
      <x:c r="B18" s="797" t="str">
        <x:v>selection_status</x:v>
      </x:c>
      <x:c r="C18" s="797" t="str">
        <x:v>Program / formula</x:v>
      </x:c>
      <x:c r="D18" s="797" t="str">
        <x:v>Conditional</x:v>
      </x:c>
      <x:c r="E18" s="797" t="str">
        <x:v>Effective INCLUDE / PENDING / EXCLUDE result</x:v>
      </x:c>
      <x:c r="F18" s="798" t="str">
        <x:v>INCLUDE requires operator INCLUDE, five HIGH gates, STORED and SUCCESS</x:v>
      </x:c>
    </x:row>
    <x:row r="19" s="36" customFormat="1" ht="15" hidden="0" customHeight="1">
      <x:c r="A19" s="796" t="str">
        <x:v>Program-managed</x:v>
      </x:c>
      <x:c r="B19" s="797" t="str">
        <x:v>download_status</x:v>
      </x:c>
      <x:c r="C19" s="797" t="str">
        <x:v>Program / formula</x:v>
      </x:c>
      <x:c r="D19" s="797" t="str">
        <x:v>Conditional</x:v>
      </x:c>
      <x:c r="E19" s="797" t="str">
        <x:v>Latest acquisition result</x:v>
      </x:c>
      <x:c r="F19" s="798" t="str">
        <x:v>Use the controlled value where applicable</x:v>
      </x:c>
    </x:row>
    <x:row r="20" s="36" customFormat="1" ht="15" hidden="0" customHeight="1">
      <x:c r="A20" s="796" t="str">
        <x:v>Program-managed</x:v>
      </x:c>
      <x:c r="B20" s="797" t="str">
        <x:v>last_attempt_at</x:v>
      </x:c>
      <x:c r="C20" s="797" t="str">
        <x:v>Program / formula</x:v>
      </x:c>
      <x:c r="D20" s="797" t="str">
        <x:v>Conditional</x:v>
      </x:c>
      <x:c r="E20" s="797" t="str">
        <x:v>Latest retrieval attempt</x:v>
      </x:c>
      <x:c r="F20" s="798" t="str">
        <x:v>Use the controlled value where applicable</x:v>
      </x:c>
    </x:row>
    <x:row r="21" s="36" customFormat="1" ht="15" hidden="0" customHeight="1">
      <x:c r="A21" s="796" t="str">
        <x:v>Program-managed</x:v>
      </x:c>
      <x:c r="B21" s="797" t="str">
        <x:v>last_success_at</x:v>
      </x:c>
      <x:c r="C21" s="797" t="str">
        <x:v>Program / formula</x:v>
      </x:c>
      <x:c r="D21" s="797" t="str">
        <x:v>Conditional</x:v>
      </x:c>
      <x:c r="E21" s="797" t="str">
        <x:v>Latest validated success</x:v>
      </x:c>
      <x:c r="F21" s="798" t="str">
        <x:v>Use the controlled value where applicable</x:v>
      </x:c>
    </x:row>
    <x:row r="22" s="36" customFormat="1" ht="15" hidden="0" customHeight="1">
      <x:c r="A22" s="796" t="str">
        <x:v>Program-managed</x:v>
      </x:c>
      <x:c r="B22" s="797" t="str">
        <x:v>content_change</x:v>
      </x:c>
      <x:c r="C22" s="797" t="str">
        <x:v>Program / formula</x:v>
      </x:c>
      <x:c r="D22" s="797" t="str">
        <x:v>Conditional</x:v>
      </x:c>
      <x:c r="E22" s="797" t="str">
        <x:v>Initial, unchanged or changed</x:v>
      </x:c>
      <x:c r="F22" s="798" t="str">
        <x:v>Use the controlled value where applicable</x:v>
      </x:c>
    </x:row>
    <x:row r="23" s="36" customFormat="1" ht="15" hidden="0" customHeight="1">
      <x:c r="A23" s="796" t="str">
        <x:v>Program-managed</x:v>
      </x:c>
      <x:c r="B23" s="797" t="str">
        <x:v>current_origin</x:v>
      </x:c>
      <x:c r="C23" s="797" t="str">
        <x:v>Program / formula</x:v>
      </x:c>
      <x:c r="D23" s="797" t="str">
        <x:v>Conditional</x:v>
      </x:c>
      <x:c r="E23" s="797" t="str">
        <x:v>AUTO, MANUAL or NONE</x:v>
      </x:c>
      <x:c r="F23" s="798" t="str">
        <x:v>Use the controlled value where applicable</x:v>
      </x:c>
    </x:row>
    <x:row r="24" s="36" customFormat="1" ht="15" hidden="0" customHeight="1">
      <x:c r="A24" s="796" t="str">
        <x:v>Program-managed</x:v>
      </x:c>
      <x:c r="B24" s="797" t="str">
        <x:v>current_snapshot_date</x:v>
      </x:c>
      <x:c r="C24" s="797" t="str">
        <x:v>Program / formula</x:v>
      </x:c>
      <x:c r="D24" s="797" t="str">
        <x:v>Conditional</x:v>
      </x:c>
      <x:c r="E24" s="797" t="str">
        <x:v>Formula-derived current snapshot date</x:v>
      </x:c>
      <x:c r="F24" s="798" t="str">
        <x:v>Use the controlled value where applicable</x:v>
      </x:c>
    </x:row>
    <x:row r="25" s="36" customFormat="1" ht="15" hidden="0" customHeight="1">
      <x:c r="A25" s="796" t="str">
        <x:v>Program-managed</x:v>
      </x:c>
      <x:c r="B25" s="797" t="str">
        <x:v>failure_stage</x:v>
      </x:c>
      <x:c r="C25" s="797" t="str">
        <x:v>Program / formula</x:v>
      </x:c>
      <x:c r="D25" s="797" t="str">
        <x:v>Conditional</x:v>
      </x:c>
      <x:c r="E25" s="797" t="str">
        <x:v>Failure stage</x:v>
      </x:c>
      <x:c r="F25" s="798" t="str">
        <x:v>Use the controlled value where applicable</x:v>
      </x:c>
    </x:row>
    <x:row r="26" s="36" customFormat="1" ht="15" hidden="0" customHeight="1">
      <x:c r="A26" s="796" t="str">
        <x:v>Program-managed</x:v>
      </x:c>
      <x:c r="B26" s="797" t="str">
        <x:v>failure_reason</x:v>
      </x:c>
      <x:c r="C26" s="797" t="str">
        <x:v>Program / formula</x:v>
      </x:c>
      <x:c r="D26" s="797" t="str">
        <x:v>Conditional</x:v>
      </x:c>
      <x:c r="E26" s="797" t="str">
        <x:v>Actionable failure reason</x:v>
      </x:c>
      <x:c r="F26" s="798" t="str">
        <x:v>Use the controlled value where applicable</x:v>
      </x:c>
    </x:row>
    <x:row r="27" s="36" customFormat="1" ht="15" hidden="0" customHeight="1">
      <x:c r="A27" s="796" t="str">
        <x:v>Program-managed</x:v>
      </x:c>
      <x:c r="B27" s="797" t="str">
        <x:v>needs_human_action</x:v>
      </x:c>
      <x:c r="C27" s="797" t="str">
        <x:v>Program / formula</x:v>
      </x:c>
      <x:c r="D27" s="797" t="str">
        <x:v>Conditional</x:v>
      </x:c>
      <x:c r="E27" s="797" t="str">
        <x:v>Unresolved intervention flag</x:v>
      </x:c>
      <x:c r="F27" s="798" t="str">
        <x:v>Use the controlled value where applicable</x:v>
      </x:c>
    </x:row>
    <x:row r="28" s="36" customFormat="1" ht="15" hidden="0" customHeight="1">
      <x:c r="A28" s="796" t="str">
        <x:v>Program-managed</x:v>
      </x:c>
      <x:c r="B28" s="797" t="str">
        <x:v>content_hash</x:v>
      </x:c>
      <x:c r="C28" s="797" t="str">
        <x:v>Program / formula</x:v>
      </x:c>
      <x:c r="D28" s="797" t="str">
        <x:v>Conditional</x:v>
      </x:c>
      <x:c r="E28" s="797" t="str">
        <x:v>SHA-256 of current file</x:v>
      </x:c>
      <x:c r="F28" s="798" t="str">
        <x:v>Use the controlled value where applicable</x:v>
      </x:c>
    </x:row>
    <x:row r="29" s="36" customFormat="1" ht="26.399999618530273" hidden="0" customHeight="1">
      <x:c r="A29" s="796" t="str">
        <x:v>Operator-managed</x:v>
      </x:c>
      <x:c r="B29" s="797" t="str">
        <x:v>source_title</x:v>
      </x:c>
      <x:c r="C29" s="797" t="str">
        <x:v>Operator via Human Operation Desktop</x:v>
      </x:c>
      <x:c r="D29" s="797" t="str">
        <x:v>Required</x:v>
      </x:c>
      <x:c r="E29" s="797" t="str">
        <x:v>Official title</x:v>
      </x:c>
      <x:c r="F29" s="798" t="str">
        <x:v>Use the controlled value where applicable</x:v>
      </x:c>
    </x:row>
    <x:row r="30" s="36" customFormat="1" ht="26.399999618530273" hidden="0" customHeight="1">
      <x:c r="A30" s="796" t="str">
        <x:v>Operator-managed</x:v>
      </x:c>
      <x:c r="B30" s="797" t="str">
        <x:v>official_url</x:v>
      </x:c>
      <x:c r="C30" s="797" t="str">
        <x:v>Operator via Human Operation Desktop</x:v>
      </x:c>
      <x:c r="D30" s="797" t="str">
        <x:v>Conditional</x:v>
      </x:c>
      <x:c r="E30" s="797" t="str">
        <x:v>Official identity or publication page</x:v>
      </x:c>
      <x:c r="F30" s="798" t="str">
        <x:v>Use the controlled value where applicable</x:v>
      </x:c>
    </x:row>
    <x:row r="31" s="36" customFormat="1" ht="26.399999618530273" hidden="0" customHeight="1">
      <x:c r="A31" s="796" t="str">
        <x:v>Operator-managed</x:v>
      </x:c>
      <x:c r="B31" s="797" t="str">
        <x:v>retrieval_url</x:v>
      </x:c>
      <x:c r="C31" s="797" t="str">
        <x:v>Operator via Human Operation Desktop</x:v>
      </x:c>
      <x:c r="D31" s="797" t="str">
        <x:v>Conditional</x:v>
      </x:c>
      <x:c r="E31" s="797" t="str">
        <x:v>Exact preferred retrieval target</x:v>
      </x:c>
      <x:c r="F31" s="798" t="str">
        <x:v>Use the controlled value where applicable</x:v>
      </x:c>
    </x:row>
    <x:row r="32" s="36" customFormat="1" ht="26.399999618530273" hidden="0" customHeight="1">
      <x:c r="A32" s="796" t="str">
        <x:v>Operator-managed</x:v>
      </x:c>
      <x:c r="B32" s="797" t="str">
        <x:v>folder_code</x:v>
      </x:c>
      <x:c r="C32" s="797" t="str">
        <x:v>Operator via Human Operation Desktop</x:v>
      </x:c>
      <x:c r="D32" s="797" t="str">
        <x:v>Required</x:v>
      </x:c>
      <x:c r="E32" s="797" t="str">
        <x:v>Controlled source-family folder</x:v>
      </x:c>
      <x:c r="F32" s="798" t="str">
        <x:v>Use the controlled value where applicable</x:v>
      </x:c>
    </x:row>
    <x:row r="33" s="36" customFormat="1" ht="26.399999618530273" hidden="0" customHeight="1">
      <x:c r="A33" s="796" t="str">
        <x:v>Operator-managed</x:v>
      </x:c>
      <x:c r="B33" s="797" t="str">
        <x:v>file_format</x:v>
      </x:c>
      <x:c r="C33" s="797" t="str">
        <x:v>Operator via Human Operation Desktop</x:v>
      </x:c>
      <x:c r="D33" s="797" t="str">
        <x:v>Required</x:v>
      </x:c>
      <x:c r="E33" s="797" t="str">
        <x:v>Chosen source format</x:v>
      </x:c>
      <x:c r="F33" s="798" t="str">
        <x:v>Equivalent official HTML is preferred over PDF</x:v>
      </x:c>
    </x:row>
    <x:row r="34" s="36" customFormat="1" ht="26.399999618530273" hidden="0" customHeight="1">
      <x:c r="A34" s="796" t="str">
        <x:v>Operator-managed</x:v>
      </x:c>
      <x:c r="B34" s="797" t="str">
        <x:v>issuer</x:v>
      </x:c>
      <x:c r="C34" s="797" t="str">
        <x:v>Operator via Human Operation Desktop</x:v>
      </x:c>
      <x:c r="D34" s="797" t="str">
        <x:v>Conditional</x:v>
      </x:c>
      <x:c r="E34" s="797" t="str">
        <x:v>Issuing organisation</x:v>
      </x:c>
      <x:c r="F34" s="798" t="str">
        <x:v>Use the controlled value where applicable</x:v>
      </x:c>
    </x:row>
    <x:row r="35" s="36" customFormat="1" ht="26.399999618530273" hidden="0" customHeight="1">
      <x:c r="A35" s="796" t="str">
        <x:v>Operator-managed</x:v>
      </x:c>
      <x:c r="B35" s="797" t="str">
        <x:v>jurisdiction</x:v>
      </x:c>
      <x:c r="C35" s="797" t="str">
        <x:v>Operator via Human Operation Desktop</x:v>
      </x:c>
      <x:c r="D35" s="797" t="str">
        <x:v>Conditional</x:v>
      </x:c>
      <x:c r="E35" s="797" t="str">
        <x:v>Applicable jurisdiction</x:v>
      </x:c>
      <x:c r="F35" s="798" t="str">
        <x:v>Use the controlled value where applicable</x:v>
      </x:c>
    </x:row>
    <x:row r="36" s="36" customFormat="1" ht="26.399999618530273" hidden="0" customHeight="1">
      <x:c r="A36" s="796" t="str">
        <x:v>Operator-managed</x:v>
      </x:c>
      <x:c r="B36" s="797" t="str">
        <x:v>authoritative_language</x:v>
      </x:c>
      <x:c r="C36" s="797" t="str">
        <x:v>Operator via Human Operation Desktop</x:v>
      </x:c>
      <x:c r="D36" s="797" t="str">
        <x:v>Conditional</x:v>
      </x:c>
      <x:c r="E36" s="797" t="str">
        <x:v>Language with authoritative effect</x:v>
      </x:c>
      <x:c r="F36" s="798" t="str">
        <x:v>Authoritative language first; equivalent working versions: English, Norwegian, Other</x:v>
      </x:c>
    </x:row>
    <x:row r="37" s="36" customFormat="1" ht="26.399999618530273" hidden="0" customHeight="1">
      <x:c r="A37" s="796" t="str">
        <x:v>Operator-managed</x:v>
      </x:c>
      <x:c r="B37" s="797" t="str">
        <x:v>version</x:v>
      </x:c>
      <x:c r="C37" s="797" t="str">
        <x:v>Operator via Human Operation Desktop</x:v>
      </x:c>
      <x:c r="D37" s="797" t="str">
        <x:v>Conditional</x:v>
      </x:c>
      <x:c r="E37" s="797" t="str">
        <x:v>Issuer version</x:v>
      </x:c>
      <x:c r="F37" s="798" t="str">
        <x:v>Use the controlled value where applicable</x:v>
      </x:c>
    </x:row>
    <x:row r="38" s="36" customFormat="1" ht="26.399999618530273" hidden="0" customHeight="1">
      <x:c r="A38" s="796" t="str">
        <x:v>Operator-managed</x:v>
      </x:c>
      <x:c r="B38" s="797" t="str">
        <x:v>effective_date</x:v>
      </x:c>
      <x:c r="C38" s="797" t="str">
        <x:v>Operator via Human Operation Desktop</x:v>
      </x:c>
      <x:c r="D38" s="797" t="str">
        <x:v>Conditional</x:v>
      </x:c>
      <x:c r="E38" s="797" t="str">
        <x:v>Effective date</x:v>
      </x:c>
      <x:c r="F38" s="798" t="str">
        <x:v>Use the controlled value where applicable</x:v>
      </x:c>
    </x:row>
    <x:row r="39" s="36" customFormat="1" ht="26.399999618530273" hidden="0" customHeight="1">
      <x:c r="A39" s="796" t="str">
        <x:v>Operator-managed</x:v>
      </x:c>
      <x:c r="B39" s="797" t="str">
        <x:v>source_family</x:v>
      </x:c>
      <x:c r="C39" s="797" t="str">
        <x:v>Operator via Human Operation Desktop</x:v>
      </x:c>
      <x:c r="D39" s="797" t="str">
        <x:v>Conditional</x:v>
      </x:c>
      <x:c r="E39" s="797" t="str">
        <x:v>Content owner classification</x:v>
      </x:c>
      <x:c r="F39" s="798" t="str">
        <x:v>Use the controlled value where applicable</x:v>
      </x:c>
    </x:row>
    <x:row r="40" s="36" customFormat="1" ht="26.399999618530273" hidden="0" customHeight="1">
      <x:c r="A40" s="796" t="str">
        <x:v>Operator-managed</x:v>
      </x:c>
      <x:c r="B40" s="797" t="str">
        <x:v>document_type</x:v>
      </x:c>
      <x:c r="C40" s="797" t="str">
        <x:v>Operator via Human Operation Desktop</x:v>
      </x:c>
      <x:c r="D40" s="797" t="str">
        <x:v>Conditional</x:v>
      </x:c>
      <x:c r="E40" s="797" t="str">
        <x:v>Document type</x:v>
      </x:c>
      <x:c r="F40" s="798" t="str">
        <x:v>Use the controlled value where applicable</x:v>
      </x:c>
    </x:row>
    <x:row r="41" s="36" customFormat="1" ht="26.399999618530273" hidden="0" customHeight="1">
      <x:c r="A41" s="796" t="str">
        <x:v>Operator-managed</x:v>
      </x:c>
      <x:c r="B41" s="797" t="str">
        <x:v>requirement_role</x:v>
      </x:c>
      <x:c r="C41" s="797" t="str">
        <x:v>Operator via Human Operation Desktop</x:v>
      </x:c>
      <x:c r="D41" s="797" t="str">
        <x:v>Conditional</x:v>
      </x:c>
      <x:c r="E41" s="797" t="str">
        <x:v>How the source creates or supports requirements</x:v>
      </x:c>
      <x:c r="F41" s="798" t="str">
        <x:v>Use the controlled value where applicable</x:v>
      </x:c>
    </x:row>
    <x:row r="42" s="36" customFormat="1" ht="26.399999618530273" hidden="0" customHeight="1">
      <x:c r="A42" s="796" t="str">
        <x:v>Operator-managed</x:v>
      </x:c>
      <x:c r="B42" s="797" t="str">
        <x:v>inclusion_rationale</x:v>
      </x:c>
      <x:c r="C42" s="797" t="str">
        <x:v>Operator via Human Operation Desktop</x:v>
      </x:c>
      <x:c r="D42" s="797" t="str">
        <x:v>Conditional</x:v>
      </x:c>
      <x:c r="E42" s="797" t="str">
        <x:v>Why the source is relevant</x:v>
      </x:c>
      <x:c r="F42" s="798" t="str">
        <x:v>Use the controlled value where applicable</x:v>
      </x:c>
    </x:row>
    <x:row r="43" s="36" customFormat="1" ht="26.399999618530273" hidden="0" customHeight="1">
      <x:c r="A43" s="796" t="str">
        <x:v>Operator-managed</x:v>
      </x:c>
      <x:c r="B43" s="797" t="str">
        <x:v>authority_quality</x:v>
      </x:c>
      <x:c r="C43" s="797" t="str">
        <x:v>Operator via Human Operation Desktop</x:v>
      </x:c>
      <x:c r="D43" s="797" t="str">
        <x:v>Conditional</x:v>
      </x:c>
      <x:c r="E43" s="797" t="str">
        <x:v>Authority score</x:v>
      </x:c>
      <x:c r="F43" s="798" t="str">
        <x:v>Use the controlled value where applicable</x:v>
      </x:c>
    </x:row>
    <x:row r="44" s="36" customFormat="1" ht="26.399999618530273" hidden="0" customHeight="1">
      <x:c r="A44" s="796" t="str">
        <x:v>Operator-managed</x:v>
      </x:c>
      <x:c r="B44" s="797" t="str">
        <x:v>scope_relevance</x:v>
      </x:c>
      <x:c r="C44" s="797" t="str">
        <x:v>Operator via Human Operation Desktop</x:v>
      </x:c>
      <x:c r="D44" s="797" t="str">
        <x:v>Conditional</x:v>
      </x:c>
      <x:c r="E44" s="797" t="str">
        <x:v>Scope score</x:v>
      </x:c>
      <x:c r="F44" s="798" t="str">
        <x:v>Use the controlled value where applicable</x:v>
      </x:c>
    </x:row>
    <x:row r="45" s="36" customFormat="1" ht="26.399999618530273" hidden="0" customHeight="1">
      <x:c r="A45" s="796" t="str">
        <x:v>Operator-managed</x:v>
      </x:c>
      <x:c r="B45" s="797" t="str">
        <x:v>version_currency</x:v>
      </x:c>
      <x:c r="C45" s="797" t="str">
        <x:v>Operator via Human Operation Desktop</x:v>
      </x:c>
      <x:c r="D45" s="797" t="str">
        <x:v>Conditional</x:v>
      </x:c>
      <x:c r="E45" s="797" t="str">
        <x:v>Version score</x:v>
      </x:c>
      <x:c r="F45" s="798" t="str">
        <x:v>Use the controlled value where applicable</x:v>
      </x:c>
    </x:row>
    <x:row r="46" s="36" customFormat="1" ht="26.399999618530273" hidden="0" customHeight="1">
      <x:c r="A46" s="796" t="str">
        <x:v>Operator-managed</x:v>
      </x:c>
      <x:c r="B46" s="797" t="str">
        <x:v>traceability</x:v>
      </x:c>
      <x:c r="C46" s="797" t="str">
        <x:v>Operator via Human Operation Desktop</x:v>
      </x:c>
      <x:c r="D46" s="797" t="str">
        <x:v>Conditional</x:v>
      </x:c>
      <x:c r="E46" s="797" t="str">
        <x:v>Traceability score</x:v>
      </x:c>
      <x:c r="F46" s="798" t="str">
        <x:v>Use the controlled value where applicable</x:v>
      </x:c>
    </x:row>
    <x:row r="47" s="36" customFormat="1" ht="26.399999618530273" hidden="0" customHeight="1">
      <x:c r="A47" s="796" t="str">
        <x:v>Operator-managed</x:v>
      </x:c>
      <x:c r="B47" s="797" t="str">
        <x:v>access_permission</x:v>
      </x:c>
      <x:c r="C47" s="797" t="str">
        <x:v>Operator via Human Operation Desktop</x:v>
      </x:c>
      <x:c r="D47" s="797" t="str">
        <x:v>Conditional</x:v>
      </x:c>
      <x:c r="E47" s="797" t="str">
        <x:v>Authorised use score</x:v>
      </x:c>
      <x:c r="F47" s="798" t="str">
        <x:v>Use the controlled value where applicable</x:v>
      </x:c>
    </x:row>
    <x:row r="48" s="36" customFormat="1" ht="26.399999618530273" hidden="0" customHeight="1">
      <x:c r="A48" s="796" t="str">
        <x:v>Operator-managed</x:v>
      </x:c>
      <x:c r="B48" s="797" t="str">
        <x:v>automation_readiness</x:v>
      </x:c>
      <x:c r="C48" s="797" t="str">
        <x:v>Operator via Human Operation Desktop</x:v>
      </x:c>
      <x:c r="D48" s="797" t="str">
        <x:v>Conditional</x:v>
      </x:c>
      <x:c r="E48" s="797" t="str">
        <x:v>Retrieval readiness score</x:v>
      </x:c>
      <x:c r="F48" s="798" t="str">
        <x:v>Use the controlled value where applicable</x:v>
      </x:c>
    </x:row>
    <x:row r="49" s="36" customFormat="1" ht="26.399999618530273" hidden="0" customHeight="1">
      <x:c r="A49" s="796" t="str">
        <x:v>Operator-managed</x:v>
      </x:c>
      <x:c r="B49" s="797" t="str">
        <x:v>operator_selection_decision</x:v>
      </x:c>
      <x:c r="C49" s="797" t="str">
        <x:v>Operator via Human Operation Desktop</x:v>
      </x:c>
      <x:c r="D49" s="797" t="str">
        <x:v>Conditional</x:v>
      </x:c>
      <x:c r="E49" s="797" t="str">
        <x:v>Operator key controlling formal source-list entry</x:v>
      </x:c>
      <x:c r="F49" s="798" t="str">
        <x:v>Use the controlled value where applicable</x:v>
      </x:c>
    </x:row>
    <x:row r="50" s="36" customFormat="1" ht="26.399999618530273" hidden="0" customHeight="1">
      <x:c r="A50" s="796" t="str">
        <x:v>Operator-managed</x:v>
      </x:c>
      <x:c r="B50" s="797" t="str">
        <x:v>manual_update_date</x:v>
      </x:c>
      <x:c r="C50" s="797" t="str">
        <x:v>Operator via Human Operation Desktop</x:v>
      </x:c>
      <x:c r="D50" s="797" t="str">
        <x:v>Conditional</x:v>
      </x:c>
      <x:c r="E50" s="797" t="str">
        <x:v>Fixed manual update date</x:v>
      </x:c>
      <x:c r="F50" s="798" t="str">
        <x:v>Use the controlled value where applicable</x:v>
      </x:c>
    </x:row>
    <x:row r="51" s="36" customFormat="1" ht="26.399999618530273" hidden="0" customHeight="1">
      <x:c r="A51" s="796" t="str">
        <x:v>Operator-managed</x:v>
      </x:c>
      <x:c r="B51" s="797" t="str">
        <x:v>manual_updated_by</x:v>
      </x:c>
      <x:c r="C51" s="797" t="str">
        <x:v>Operator via Human Operation Desktop</x:v>
      </x:c>
      <x:c r="D51" s="797" t="str">
        <x:v>Conditional</x:v>
      </x:c>
      <x:c r="E51" s="797" t="str">
        <x:v>Manual updater</x:v>
      </x:c>
      <x:c r="F51" s="798" t="str">
        <x:v>Use the controlled value where applicable</x:v>
      </x:c>
    </x:row>
    <x:row r="52" s="36" customFormat="1" ht="26.399999618530273" hidden="0" customHeight="1">
      <x:c r="A52" s="796" t="str">
        <x:v>Operator-managed</x:v>
      </x:c>
      <x:c r="B52" s="797" t="str">
        <x:v>source_status</x:v>
      </x:c>
      <x:c r="C52" s="797" t="str">
        <x:v>Operator via Human Operation Desktop</x:v>
      </x:c>
      <x:c r="D52" s="797" t="str">
        <x:v>Conditional</x:v>
      </x:c>
      <x:c r="E52" s="797" t="str">
        <x:v>CURRENT / SUPERSEDED / WITHDRAWN</x:v>
      </x:c>
      <x:c r="F52" s="798" t="str">
        <x:v>Use the controlled value where applicable</x:v>
      </x:c>
    </x:row>
    <x:row r="53" s="36" customFormat="1" ht="26.399999618530273" hidden="0" customHeight="1">
      <x:c r="A53" s="796" t="str">
        <x:v>Operator-managed</x:v>
      </x:c>
      <x:c r="B53" s="797" t="str">
        <x:v>primary_source_id</x:v>
      </x:c>
      <x:c r="C53" s="797" t="str">
        <x:v>Operator via Human Operation Desktop</x:v>
      </x:c>
      <x:c r="D53" s="797" t="str">
        <x:v>Conditional</x:v>
      </x:c>
      <x:c r="E53" s="797" t="str">
        <x:v>Linked primary source</x:v>
      </x:c>
      <x:c r="F53" s="798" t="str">
        <x:v>Use the controlled value where applicable</x:v>
      </x:c>
    </x:row>
    <x:row r="54" s="36" customFormat="1" ht="26.399999618530273" hidden="0" customHeight="1">
      <x:c r="A54" s="796" t="str">
        <x:v>Operator-managed</x:v>
      </x:c>
      <x:c r="B54" s="797" t="str">
        <x:v>notes</x:v>
      </x:c>
      <x:c r="C54" s="797" t="str">
        <x:v>Operator via Human Operation Desktop</x:v>
      </x:c>
      <x:c r="D54" s="797" t="str">
        <x:v>Conditional</x:v>
      </x:c>
      <x:c r="E54" s="797" t="str">
        <x:v>Concise exceptions</x:v>
      </x:c>
      <x:c r="F54" s="798" t="str">
        <x:v>Use the controlled value where applicable</x:v>
      </x:c>
    </x:row>
    <x:row r="55" s="36" customFormat="1" ht="26.399999618530273" hidden="0" customHeight="1">
      <x:c r="A55" s="796" t="str">
        <x:v>Operator-managed</x:v>
      </x:c>
      <x:c r="B55" s="797" t="str">
        <x:v>acquisition_channel</x:v>
      </x:c>
      <x:c r="C55" s="797" t="str">
        <x:v>Operator via Human Operation Desktop</x:v>
      </x:c>
      <x:c r="D55" s="797" t="str">
        <x:v>Conditional</x:v>
      </x:c>
      <x:c r="E55" s="797" t="str">
        <x:v>How the copy was acquired</x:v>
      </x:c>
      <x:c r="F55" s="798" t="str">
        <x:v>Use the controlled value where applicable</x:v>
      </x:c>
    </x:row>
    <x:row r="56" s="36" customFormat="1" ht="26.399999618530273" hidden="0" customHeight="1">
      <x:c r="A56" s="796" t="str">
        <x:v>Operator-managed</x:v>
      </x:c>
      <x:c r="B56" s="797" t="str">
        <x:v>provenance_status</x:v>
      </x:c>
      <x:c r="C56" s="797" t="str">
        <x:v>Operator via Human Operation Desktop</x:v>
      </x:c>
      <x:c r="D56" s="797" t="str">
        <x:v>Conditional</x:v>
      </x:c>
      <x:c r="E56" s="797" t="str">
        <x:v>Authenticity and authorisation</x:v>
      </x:c>
      <x:c r="F56" s="798" t="str">
        <x:v>Use the controlled value where applicable</x:v>
      </x:c>
    </x:row>
    <x:row r="57" s="36" customFormat="1" ht="26.399999618530273" hidden="0" customHeight="1">
      <x:c r="A57" s="799" t="str">
        <x:v>Operator-managed</x:v>
      </x:c>
      <x:c r="B57" s="800" t="str">
        <x:v>update_model</x:v>
      </x:c>
      <x:c r="C57" s="800" t="str">
        <x:v>Operator via Human Operation Desktop</x:v>
      </x:c>
      <x:c r="D57" s="800" t="str">
        <x:v>Conditional</x:v>
      </x:c>
      <x:c r="E57" s="800" t="str">
        <x:v>VERSIONED / ROLLING / UNKNOWN</x:v>
      </x:c>
      <x:c r="F57" s="801" t="str">
        <x:v>Use the controlled value where applicable</x:v>
      </x:c>
    </x:row>
    <x:row r="58" ht="26.399999618530273" hidden="0" customHeight="1">
      <x:c r="A58" s="837" t="str">
        <x:v>Operator-managed</x:v>
      </x:c>
      <x:c r="B58" s="837" t="str">
        <x:v>applicability_reference</x:v>
      </x:c>
      <x:c r="C58" s="837" t="str">
        <x:v>Operator via Human Operation Desktop</x:v>
      </x:c>
      <x:c r="D58" s="837" t="str">
        <x:v>Conditional</x:v>
      </x:c>
      <x:c r="E58" s="837" t="str">
        <x:v>Site, asset or contract applicability</x:v>
      </x:c>
      <x:c r="F58" s="837" t="str">
        <x:v>Use the controlled value where applicable</x:v>
      </x:c>
    </x:row>
    <x:row r="59" ht="15" hidden="0" customHeight="1">
      <x:c r="A59" s="837"/>
      <x:c r="B59" s="837"/>
      <x:c r="C59" s="837"/>
      <x:c r="D59" s="837"/>
      <x:c r="E59" s="837"/>
      <x:c r="F59" s="837"/>
    </x:row>
    <x:row r="60" s="36" customFormat="1" ht="15" hidden="0" customHeight="1">
      <x:c r="A60" s="840" t="str">
        <x:v>3. Source selection and acquisition rules</x:v>
      </x:c>
      <x:c r="B60" s="841"/>
      <x:c r="C60" s="841"/>
      <x:c r="D60" s="841"/>
      <x:c r="E60" s="841"/>
      <x:c r="F60" s="841"/>
    </x:row>
    <x:row r="61" s="36" customFormat="1" ht="15" hidden="0" customHeight="1">
      <x:c r="A61" s="825" t="str">
        <x:v>Rule</x:v>
      </x:c>
      <x:c r="B61" s="826" t="str">
        <x:v>Operator input</x:v>
      </x:c>
      <x:c r="C61" s="826" t="str">
        <x:v>Program check</x:v>
      </x:c>
      <x:c r="D61" s="826" t="str">
        <x:v>Result</x:v>
      </x:c>
      <x:c r="E61" s="826" t="str">
        <x:v>Action</x:v>
      </x:c>
      <x:c r="F61" s="827" t="str">
        <x:v>Notes</x:v>
      </x:c>
    </x:row>
    <x:row r="62" s="36" customFormat="1" ht="15" hidden="0" customHeight="1">
      <x:c r="A62" s="796" t="str">
        <x:v>Selection key</x:v>
      </x:c>
      <x:c r="B62" s="797" t="str">
        <x:v>operator_selection_decision</x:v>
      </x:c>
      <x:c r="C62" s="797" t="str">
        <x:v>INCLUDE / PENDING / EXCLUDE</x:v>
      </x:c>
      <x:c r="D62" s="797" t="str">
        <x:v>Controls formal source-list entry</x:v>
      </x:c>
      <x:c r="E62" s="797" t="str">
        <x:v>Set in Human Operation Desktop</x:v>
      </x:c>
      <x:c r="F62" s="798" t="str">
        <x:v>It never blocks collection</x:v>
      </x:c>
    </x:row>
    <x:row r="63" s="36" customFormat="1" ht="26.399999618530273" hidden="0" customHeight="1">
      <x:c r="A63" s="796" t="str">
        <x:v>Success gate</x:v>
      </x:c>
      <x:c r="B63" s="797" t="str">
        <x:v>INCLUDE requested</x:v>
      </x:c>
      <x:c r="C63" s="797" t="str">
        <x:v>download_status=SUCCESS and snapshot_status=STORED</x:v>
      </x:c>
      <x:c r="D63" s="797" t="str">
        <x:v>Effective INCLUDE</x:v>
      </x:c>
      <x:c r="E63" s="797" t="str">
        <x:v>Collect or validate the file</x:v>
      </x:c>
      <x:c r="F63" s="798" t="str">
        <x:v>Without SUCCESS the effective status remains PENDING</x:v>
      </x:c>
    </x:row>
    <x:row r="64" s="36" customFormat="1" ht="15" hidden="0" customHeight="1">
      <x:c r="A64" s="796" t="str">
        <x:v>Low score</x:v>
      </x:c>
      <x:c r="B64" s="797" t="str">
        <x:v>Any mandatory score LOW</x:v>
      </x:c>
      <x:c r="C64" s="797" t="str">
        <x:v>Quality gate</x:v>
      </x:c>
      <x:c r="D64" s="797" t="str">
        <x:v>EXCLUDE</x:v>
      </x:c>
      <x:c r="E64" s="797" t="str">
        <x:v>Record the reason</x:v>
      </x:c>
      <x:c r="F64" s="798" t="str">
        <x:v>Download may still be retained for audit</x:v>
      </x:c>
    </x:row>
    <x:row r="65" s="36" customFormat="1" ht="15" hidden="0" customHeight="1">
      <x:c r="A65" s="796" t="str">
        <x:v>Paywall</x:v>
      </x:c>
      <x:c r="B65" s="797" t="str">
        <x:v>Authorised copy unavailable</x:v>
      </x:c>
      <x:c r="C65" s="797" t="str">
        <x:v>PAYWALL_BLOCKED</x:v>
      </x:c>
      <x:c r="D65" s="797" t="str">
        <x:v>PENDING</x:v>
      </x:c>
      <x:c r="E65" s="797" t="str">
        <x:v>Supply an authorised copy</x:v>
      </x:c>
      <x:c r="F65" s="798" t="str">
        <x:v>Never bypass licence controls</x:v>
      </x:c>
    </x:row>
    <x:row r="66" s="36" customFormat="1" ht="15" hidden="0" customHeight="1">
      <x:c r="A66" s="796" t="str">
        <x:v>Format</x:v>
      </x:c>
      <x:c r="B66" s="797" t="str">
        <x:v>Equivalent official formats exist</x:v>
      </x:c>
      <x:c r="C66" s="797" t="str">
        <x:v>html &gt; pdf &gt; xlsx &gt; zip</x:v>
      </x:c>
      <x:c r="D66" s="797" t="str">
        <x:v>Preferred retrieval target</x:v>
      </x:c>
      <x:c r="E66" s="797" t="str">
        <x:v>Use the full-content official HTML</x:v>
      </x:c>
      <x:c r="F66" s="798" t="str">
        <x:v>A generic landing page is not an equivalent HTML source</x:v>
      </x:c>
    </x:row>
    <x:row r="67" s="36" customFormat="1" ht="26.399999618530273" hidden="0" customHeight="1">
      <x:c r="A67" s="799" t="str">
        <x:v>Language</x:v>
      </x:c>
      <x:c r="B67" s="800" t="str">
        <x:v>Multiple equivalent official versions</x:v>
      </x:c>
      <x:c r="C67" s="800" t="str">
        <x:v>Authoritative language first</x:v>
      </x:c>
      <x:c r="D67" s="800" t="str">
        <x:v>Working preference English &gt; Norwegian &gt; Other</x:v>
      </x:c>
      <x:c r="E67" s="800" t="str">
        <x:v>Retain authoritative-language metadata</x:v>
      </x:c>
      <x:c r="F67" s="801" t="str">
        <x:v>A translation does not replace the authoritative text</x:v>
      </x:c>
    </x:row>
    <x:row r="68" ht="26.399999618530273" hidden="0" customHeight="1">
      <x:c r="A68" s="837" t="str">
        <x:v>Collection</x:v>
      </x:c>
      <x:c r="B68" s="837" t="str">
        <x:v>Any CURRENT candidate</x:v>
      </x:c>
      <x:c r="C68" s="837" t="str">
        <x:v>Access and retrieval checks</x:v>
      </x:c>
      <x:c r="D68" s="837" t="str">
        <x:v>Attempt collection</x:v>
      </x:c>
      <x:c r="E68" s="837" t="str">
        <x:v>Selection is evaluated afterwards</x:v>
      </x:c>
      <x:c r="F68" s="837" t="str">
        <x:v>Accessible PENDING and EXCLUDE candidates can still be collected</x:v>
      </x:c>
    </x:row>
    <x:row r="69" ht="15" hidden="0" customHeight="1">
      <x:c r="A69" s="837" t="str">
        <x:v>History</x:v>
      </x:c>
      <x:c r="B69" s="837" t="str">
        <x:v>Human decisions and random QA</x:v>
      </x:c>
      <x:c r="C69" s="837" t="str">
        <x:v>APPLIED / REJECTED rows hidden</x:v>
      </x:c>
      <x:c r="D69" s="837" t="str">
        <x:v>Audit trail retained</x:v>
      </x:c>
      <x:c r="E69" s="837" t="str">
        <x:v>Unhide only for audit</x:v>
      </x:c>
      <x:c r="F69" s="837" t="str">
        <x:v>No separate QA sheet</x:v>
      </x:c>
    </x:row>
    <x:row r="70" s="36" customFormat="1" ht="15" hidden="0" customHeight="1">
      <x:c r="A70" s="840" t="str">
        <x:v>4. Download status</x:v>
      </x:c>
      <x:c r="B70" s="841"/>
      <x:c r="C70" s="841"/>
      <x:c r="D70" s="841"/>
      <x:c r="E70" s="841"/>
      <x:c r="F70" s="841"/>
    </x:row>
    <x:row r="71" s="36" customFormat="1" ht="15" hidden="0" customHeight="1">
      <x:c r="A71" s="825" t="str">
        <x:v>Status</x:v>
      </x:c>
      <x:c r="B71" s="826" t="str">
        <x:v>Meaning</x:v>
      </x:c>
      <x:c r="C71" s="827" t="str">
        <x:v>Selection effect</x:v>
      </x:c>
      <x:c r="D71" s="777" t="str">
        <x:v>Human action</x:v>
      </x:c>
      <x:c r="E71" s="777" t="str">
        <x:v>Program action</x:v>
      </x:c>
      <x:c r="F71" s="777" t="str">
        <x:v>File rule</x:v>
      </x:c>
    </x:row>
    <x:row r="72" s="36" customFormat="1" ht="15" hidden="0" customHeight="1">
      <x:c r="A72" s="796" t="str">
        <x:v>NOT_RUN</x:v>
      </x:c>
      <x:c r="B72" s="797" t="str">
        <x:v>No acquisition attempt yet</x:v>
      </x:c>
      <x:c r="C72" s="798" t="str">
        <x:v>Cannot be effective INCLUDE</x:v>
      </x:c>
      <x:c r="D72" s="837" t="str">
        <x:v>None unless overdue</x:v>
      </x:c>
      <x:c r="E72" s="837" t="str">
        <x:v>Attempt when scheduled</x:v>
      </x:c>
      <x:c r="F72" s="837" t="str">
        <x:v>No current file required</x:v>
      </x:c>
    </x:row>
    <x:row r="73" s="36" customFormat="1" ht="26.399999618530273" hidden="0" customHeight="1">
      <x:c r="A73" s="796" t="str">
        <x:v>SUCCESS</x:v>
      </x:c>
      <x:c r="B73" s="797" t="str">
        <x:v>Validated file is safely stored</x:v>
      </x:c>
      <x:c r="C73" s="798" t="str">
        <x:v>May become INCLUDE</x:v>
      </x:c>
      <x:c r="D73" s="837" t="str">
        <x:v>Review selection and applicability</x:v>
      </x:c>
      <x:c r="E73" s="837" t="str">
        <x:v>Monitor for change</x:v>
      </x:c>
      <x:c r="F73" s="837" t="str">
        <x:v>Hash and snapshot must match</x:v>
      </x:c>
    </x:row>
    <x:row r="74" s="36" customFormat="1" ht="15" hidden="0" customHeight="1">
      <x:c r="A74" s="796" t="str">
        <x:v>FAIL</x:v>
      </x:c>
      <x:c r="B74" s="797" t="str">
        <x:v>Technical retrieval or validation failed</x:v>
      </x:c>
      <x:c r="C74" s="798" t="str">
        <x:v>Effective status stays PENDING</x:v>
      </x:c>
      <x:c r="D74" s="837" t="str">
        <x:v>Review failure_reason</x:v>
      </x:c>
      <x:c r="E74" s="837" t="str">
        <x:v>Preserve any current valid file</x:v>
      </x:c>
      <x:c r="F74" s="837" t="str">
        <x:v>Never replace with an error page</x:v>
      </x:c>
    </x:row>
    <x:row r="75" s="36" customFormat="1" ht="26.399999618530273" hidden="0" customHeight="1">
      <x:c r="A75" s="796" t="str">
        <x:v>PAYWALL_BLOCKED</x:v>
      </x:c>
      <x:c r="B75" s="797" t="str">
        <x:v>Official access needs payment or licence</x:v>
      </x:c>
      <x:c r="C75" s="798" t="str">
        <x:v>Effective status stays PENDING</x:v>
      </x:c>
      <x:c r="D75" s="837" t="str">
        <x:v>Provide an authorised copy or route</x:v>
      </x:c>
      <x:c r="E75" s="837" t="str">
        <x:v>Do not bypass the paywall</x:v>
      </x:c>
      <x:c r="F75" s="837" t="str">
        <x:v>Record provenance and permission</x:v>
      </x:c>
    </x:row>
    <x:row r="76" s="36" customFormat="1" ht="26.399999618530273" hidden="0" customHeight="1">
      <x:c r="A76" s="796" t="str">
        <x:v>Manual success</x:v>
      </x:c>
      <x:c r="B76" s="797" t="str">
        <x:v>A human file passes validation</x:v>
      </x:c>
      <x:c r="C76" s="798" t="str">
        <x:v>Uses SUCCESS with current_origin=MANUAL</x:v>
      </x:c>
      <x:c r="D76" s="837" t="str">
        <x:v>Record operator and date</x:v>
      </x:c>
      <x:c r="E76" s="837" t="str">
        <x:v>Continue monitoring official sources</x:v>
      </x:c>
      <x:c r="F76" s="837" t="str">
        <x:v>Preserve original format unless equivalent official HTML is selected</x:v>
      </x:c>
    </x:row>
    <x:row r="77" s="36" customFormat="1" ht="15" hidden="0" customHeight="1">
      <x:c r="A77" s="796"/>
      <x:c r="B77" s="797"/>
      <x:c r="C77" s="798"/>
      <x:c r="D77" s="837"/>
      <x:c r="E77" s="837"/>
      <x:c r="F77" s="837"/>
    </x:row>
    <x:row r="78" s="36" customFormat="1" ht="26.399999618530273" hidden="0" customHeight="1">
      <x:c r="A78" s="822" t="str">
        <x:v>5. Ownership and direct-edit rules</x:v>
      </x:c>
      <x:c r="B78" s="823"/>
      <x:c r="C78" s="824"/>
      <x:c r="D78" s="841"/>
      <x:c r="E78" s="841"/>
      <x:c r="F78" s="841"/>
    </x:row>
    <x:row r="79" s="36" customFormat="1" ht="15" hidden="0" customHeight="1">
      <x:c r="A79" s="832" t="str">
        <x:v>Area</x:v>
      </x:c>
      <x:c r="B79" s="833" t="str">
        <x:v>Columns</x:v>
      </x:c>
      <x:c r="C79" s="834" t="str">
        <x:v>Owner</x:v>
      </x:c>
      <x:c r="D79" s="777" t="str">
        <x:v>Normal edit route</x:v>
      </x:c>
      <x:c r="E79" s="777" t="str">
        <x:v>Why</x:v>
      </x:c>
      <x:c r="F79" s="777" t="str">
        <x:v>Rule</x:v>
      </x:c>
    </x:row>
    <x:row r="80" s="36" customFormat="1" ht="26.399999618530273" hidden="0" customHeight="1">
      <x:c r="A80" s="796" t="str">
        <x:v>Program-generated views</x:v>
      </x:c>
      <x:c r="B80" s="797" t="str">
        <x:v>First four sheets</x:v>
      </x:c>
      <x:c r="C80" s="798" t="str">
        <x:v>Program / formula</x:v>
      </x:c>
      <x:c r="D80" s="837" t="str">
        <x:v>Do not edit directly</x:v>
      </x:c>
      <x:c r="E80" s="837" t="str">
        <x:v>Keeps calculations, classifications and state reproducible</x:v>
      </x:c>
      <x:c r="F80" s="837" t="str">
        <x:v>Use Human Operation Desktop for every human decision</x:v>
      </x:c>
    </x:row>
    <x:row r="81" s="36" customFormat="1" ht="26.399999618530273" hidden="0" customHeight="1">
      <x:c r="A81" s="799" t="str">
        <x:v>Source changes</x:v>
      </x:c>
      <x:c r="B81" s="800" t="str">
        <x:v>Source Register P:AS</x:v>
      </x:c>
      <x:c r="C81" s="801" t="str">
        <x:v>Operator through queue</x:v>
      </x:c>
      <x:c r="D81" s="837" t="str">
        <x:v>Human Operation Desktop</x:v>
      </x:c>
      <x:c r="E81" s="837" t="str">
        <x:v>Preserves accountability and lets the program validate changes</x:v>
      </x:c>
      <x:c r="F81" s="837" t="str">
        <x:v>Do not edit Source Register directly</x:v>
      </x:c>
    </x:row>
    <x:row r="82" ht="26.399999618530273" hidden="0" customHeight="1">
      <x:c r="A82" s="837" t="str">
        <x:v>Selection</x:v>
      </x:c>
      <x:c r="B82" s="837" t="str">
        <x:v>operator_selection_decision</x:v>
      </x:c>
      <x:c r="C82" s="837" t="str">
        <x:v>Operator through queue</x:v>
      </x:c>
      <x:c r="D82" s="837" t="str">
        <x:v>INCLUDE / PENDING / EXCLUDE</x:v>
      </x:c>
      <x:c r="E82" s="837" t="str">
        <x:v>Controls formal source-list entry</x:v>
      </x:c>
      <x:c r="F82" s="837" t="str">
        <x:v>Every effective PENDING item is queued for review</x:v>
      </x:c>
    </x:row>
    <x:row r="83" ht="15" hidden="0" customHeight="1">
      <x:c r="A83" s="837" t="str">
        <x:v>Manual file</x:v>
      </x:c>
      <x:c r="B83" s="837" t="str">
        <x:v>Data/00_Human_Intake</x:v>
      </x:c>
      <x:c r="C83" s="837" t="str">
        <x:v>Operator</x:v>
      </x:c>
      <x:c r="D83" s="837" t="str">
        <x:v>Drop the original file</x:v>
      </x:c>
      <x:c r="E83" s="837" t="str">
        <x:v>Minimises spreadsheet typing</x:v>
      </x:c>
      <x:c r="F83" s="837" t="str">
        <x:v>The program proposes metadata and a queue item</x:v>
      </x:c>
    </x:row>
    <x:row r="84" s="36" customFormat="1" ht="15" hidden="0" customHeight="1">
      <x:c r="A84" s="842" t="str">
        <x:v>Dates</x:v>
      </x:c>
      <x:c r="B84" s="837" t="str">
        <x:v>checked_at</x:v>
      </x:c>
      <x:c r="C84" s="837" t="str">
        <x:v>Operator</x:v>
      </x:c>
      <x:c r="D84" s="837" t="str">
        <x:v>Enter a fixed date</x:v>
      </x:c>
      <x:c r="E84" s="837" t="str">
        <x:v>Historical auditability</x:v>
      </x:c>
      <x:c r="F84" s="837" t="str">
        <x:v>Do not use =TODAY()</x:v>
      </x:c>
    </x:row>
    <x:row r="85" s="36" customFormat="1" ht="15" hidden="0" customHeight="1">
      <x:c r="A85" s="802" t="str">
        <x:v>Runtime</x:v>
      </x:c>
      <x:c r="B85" s="803" t="str">
        <x:v>Workbook and files</x:v>
      </x:c>
      <x:c r="C85" s="837" t="str">
        <x:v>Program</x:v>
      </x:c>
      <x:c r="D85" s="837" t="str">
        <x:v>Close Excel before running</x:v>
      </x:c>
      <x:c r="E85" s="837" t="str">
        <x:v>Prevents concurrent overwrite</x:v>
      </x:c>
      <x:c r="F85" s="837" t="str">
        <x:v>Run the consistency audit after applied operations</x:v>
      </x:c>
    </x:row>
    <x:row r="86" s="36" customFormat="1" ht="15" hidden="0" customHeight="1">
      <x:c r="A86" s="796"/>
      <x:c r="B86" s="798"/>
      <x:c r="C86" s="837"/>
      <x:c r="D86" s="837"/>
      <x:c r="E86" s="837"/>
      <x:c r="F86" s="837"/>
    </x:row>
    <x:row r="87" s="36" customFormat="1" ht="26.399999618530273" hidden="0" customHeight="1">
      <x:c r="A87" s="822" t="str">
        <x:v>6. Human Operation Desktop workflow</x:v>
      </x:c>
      <x:c r="B87" s="824"/>
      <x:c r="C87" s="841"/>
      <x:c r="D87" s="841"/>
      <x:c r="E87" s="841"/>
      <x:c r="F87" s="841"/>
    </x:row>
    <x:row r="88" s="36" customFormat="1" ht="15" hidden="0" customHeight="1">
      <x:c r="A88" s="832" t="str">
        <x:v>Step</x:v>
      </x:c>
      <x:c r="B88" s="834" t="str">
        <x:v>Human action</x:v>
      </x:c>
      <x:c r="C88" s="777" t="str">
        <x:v>Program action</x:v>
      </x:c>
      <x:c r="D88" s="777" t="str">
        <x:v>Required fields</x:v>
      </x:c>
      <x:c r="E88" s="777" t="str">
        <x:v>Decision</x:v>
      </x:c>
      <x:c r="F88" s="777" t="str">
        <x:v>Result</x:v>
      </x:c>
    </x:row>
    <x:row r="89" s="36" customFormat="1" ht="26.399999618530273" hidden="0" customHeight="1">
      <x:c r="A89" s="796" t="n">
        <x:v>1</x:v>
      </x:c>
      <x:c r="B89" s="798" t="str">
        <x:v>Open Human Operation Desktop only</x:v>
      </x:c>
      <x:c r="C89" s="837" t="str">
        <x:v>Generate all unresolved human tasks from the first four sheets and audits</x:v>
      </x:c>
      <x:c r="D89" s="837" t="str">
        <x:v>Workbook closed before program runs</x:v>
      </x:c>
      <x:c r="E89" s="837" t="str">
        <x:v>None</x:v>
      </x:c>
      <x:c r="F89" s="837" t="str">
        <x:v>One consolidated visible queue</x:v>
      </x:c>
    </x:row>
    <x:row r="90" s="36" customFormat="1" ht="39.599998474121094" hidden="0" customHeight="1">
      <x:c r="A90" s="796" t="n">
        <x:v>2</x:v>
      </x:c>
      <x:c r="B90" s="798" t="str">
        <x:v>Read trigger, proposed_action and program_note</x:v>
      </x:c>
      <x:c r="C90" s="837" t="str">
        <x:v>Keep source context beside the decision fields</x:v>
      </x:c>
      <x:c r="D90" s="837" t="str">
        <x:v>None</x:v>
      </x:c>
      <x:c r="E90" s="837" t="str">
        <x:v>PENDING</x:v>
      </x:c>
      <x:c r="F90" s="837" t="str">
        <x:v>Operator understands the requested action</x:v>
      </x:c>
    </x:row>
    <x:row r="91" s="36" customFormat="1" ht="26.399999618530273" hidden="0" customHeight="1">
      <x:c r="A91" s="799" t="n">
        <x:v>3</x:v>
      </x:c>
      <x:c r="B91" s="801" t="str">
        <x:v>Correct the yellow source fields when needed</x:v>
      </x:c>
      <x:c r="C91" s="837" t="str">
        <x:v>Validate controlled values and URLs</x:v>
      </x:c>
      <x:c r="D91" s="837" t="str">
        <x:v>Only fields relevant to the task</x:v>
      </x:c>
      <x:c r="E91" s="837" t="str">
        <x:v>PENDING</x:v>
      </x:c>
      <x:c r="F91" s="837" t="str">
        <x:v>Candidate remains visible</x:v>
      </x:c>
    </x:row>
    <x:row r="92" ht="26.399999618530273" hidden="0" customHeight="1">
      <x:c r="A92" s="837" t="n">
        <x:v>4</x:v>
      </x:c>
      <x:c r="B92" s="837" t="str">
        <x:v>Set operator_selection_decision</x:v>
      </x:c>
      <x:c r="C92" s="837" t="str">
        <x:v>Keep effective status PENDING until all gates are satisfied</x:v>
      </x:c>
      <x:c r="D92" s="837" t="str">
        <x:v>INCLUDE / PENDING / EXCLUDE</x:v>
      </x:c>
      <x:c r="E92" s="837" t="str">
        <x:v>Selection intent</x:v>
      </x:c>
      <x:c r="F92" s="837" t="str">
        <x:v>Formal-list intent recorded</x:v>
      </x:c>
    </x:row>
    <x:row r="93" s="36" customFormat="1" ht="15" hidden="0" customHeight="1">
      <x:c r="A93" s="843" t="n">
        <x:v>5</x:v>
      </x:c>
      <x:c r="B93" s="837" t="str">
        <x:v>Set decision and operator</x:v>
      </x:c>
      <x:c r="C93" s="837" t="str">
        <x:v>Apply the approved action</x:v>
      </x:c>
      <x:c r="D93" s="837" t="str">
        <x:v>Operator; note for REJECT, INCORRECT or retained PENDING</x:v>
      </x:c>
      <x:c r="E93" s="837" t="str">
        <x:v>ACCEPT / REJECT / CORRECT / INCORRECT</x:v>
      </x:c>
      <x:c r="F93" s="837" t="str">
        <x:v>Applied or returned for correction</x:v>
      </x:c>
    </x:row>
    <x:row r="94" s="36" customFormat="1" ht="26.399999618530273" hidden="0" customHeight="1">
      <x:c r="A94" s="805" t="n">
        <x:v>6</x:v>
      </x:c>
      <x:c r="B94" s="805" t="str">
        <x:v>Enter checked_at and save, then close Excel</x:v>
      </x:c>
      <x:c r="C94" s="805" t="str">
        <x:v>Record program_operated_at and update the first four sheets</x:v>
      </x:c>
      <x:c r="D94" s="805" t="str">
        <x:v>Fixed review date</x:v>
      </x:c>
      <x:c r="E94" s="805" t="str">
        <x:v>Submitted</x:v>
      </x:c>
      <x:c r="F94" s="805" t="str">
        <x:v>Program timestamp recorded</x:v>
      </x:c>
    </x:row>
    <x:row r="95" s="36" customFormat="1" ht="15" hidden="0" customHeight="1">
      <x:c r="A95" s="806" t="n">
        <x:v>7</x:v>
      </x:c>
      <x:c r="B95" s="806" t="str">
        <x:v>For manual files, drop the original into Data/00_Human_Intake</x:v>
      </x:c>
      <x:c r="C95" s="806" t="str">
        <x:v>Search for an official page and propose metadata</x:v>
      </x:c>
      <x:c r="D95" s="806" t="str">
        <x:v>File only</x:v>
      </x:c>
      <x:c r="E95" s="806" t="str">
        <x:v>None</x:v>
      </x:c>
      <x:c r="F95" s="806" t="str">
        <x:v>A visible intake or replacement task is created</x:v>
      </x:c>
    </x:row>
    <x:row r="96" s="36" customFormat="1" ht="15" hidden="0" customHeight="1">
      <x:c r="A96" s="806" t="n">
        <x:v>8</x:v>
      </x:c>
      <x:c r="B96" s="806" t="str">
        <x:v>On monthly QA rows, inspect the actual source and stored file</x:v>
      </x:c>
      <x:c r="C96" s="806" t="str">
        <x:v>Create one random batch on the last calendar day of each month</x:v>
      </x:c>
      <x:c r="D96" s="806" t="str">
        <x:v>Operator; note for INCORRECT</x:v>
      </x:c>
      <x:c r="E96" s="806" t="str">
        <x:v>CORRECT / INCORRECT</x:v>
      </x:c>
      <x:c r="F96" s="806" t="str">
        <x:v>Dashboard QA history updates</x:v>
      </x:c>
    </x:row>
    <x:row r="97" s="36" customFormat="1" ht="15" hidden="0" customHeight="1">
      <x:c r="A97" s="806" t="n">
        <x:v>9</x:v>
      </x:c>
      <x:c r="B97" s="806" t="str">
        <x:v>If WAITING_FOR_HUMAN appears, read program_note and correct the same row</x:v>
      </x:c>
      <x:c r="C97" s="806" t="str">
        <x:v>Keep the row visible without partial application</x:v>
      </x:c>
      <x:c r="D97" s="806" t="str">
        <x:v>Corrected field</x:v>
      </x:c>
      <x:c r="E97" s="806" t="str">
        <x:v>PENDING</x:v>
      </x:c>
      <x:c r="F97" s="806" t="str">
        <x:v>Safe retry</x:v>
      </x:c>
    </x:row>
    <x:row r="98" s="36" customFormat="1" ht="15" hidden="0" customHeight="1">
      <x:c r="A98" s="806" t="n">
        <x:v>10</x:v>
      </x:c>
      <x:c r="B98" s="806" t="str">
        <x:v>Do not delete completed rows</x:v>
      </x:c>
      <x:c r="C98" s="806" t="str">
        <x:v>Hide APPLIED and REJECTED rows</x:v>
      </x:c>
      <x:c r="D98" s="806" t="str">
        <x:v>None</x:v>
      </x:c>
      <x:c r="E98" s="806" t="str">
        <x:v>Completed</x:v>
      </x:c>
      <x:c r="F98" s="806" t="str">
        <x:v>Audit history retained</x:v>
      </x:c>
    </x:row>
    <x:row r="99" s="36" customFormat="1" ht="15" hidden="0" customHeight="1">
      <x:c r="A99" s="806"/>
      <x:c r="B99" s="806"/>
      <x:c r="C99" s="806"/>
      <x:c r="D99" s="806"/>
      <x:c r="E99" s="806"/>
      <x:c r="F99" s="806"/>
    </x:row>
    <x:row r="100" s="36" customFormat="1" ht="15" hidden="0" customHeight="1">
      <x:c r="A100" s="806"/>
      <x:c r="B100" s="806"/>
      <x:c r="C100" s="806"/>
      <x:c r="D100" s="806"/>
      <x:c r="E100" s="806"/>
      <x:c r="F100" s="806"/>
    </x:row>
    <x:row r="101" s="36" customFormat="1" ht="15" hidden="0" customHeight="1">
      <x:c r="A101" s="806"/>
      <x:c r="B101" s="806"/>
      <x:c r="C101" s="806"/>
      <x:c r="D101" s="806"/>
      <x:c r="E101" s="806"/>
      <x:c r="F101" s="806"/>
    </x:row>
    <x:row r="102" s="36" customFormat="1" ht="15" hidden="0" customHeight="1">
      <x:c r="A102" s="806"/>
      <x:c r="B102" s="806"/>
      <x:c r="C102" s="806"/>
      <x:c r="D102" s="806"/>
      <x:c r="E102" s="806"/>
      <x:c r="F102" s="806"/>
    </x:row>
  </x:sheetData>
  <x:mergeCells>
    <x:mergeCell ref="A2:F2"/>
    <x:mergeCell ref="A60:F60"/>
    <x:mergeCell ref="A93:F93"/>
    <x:mergeCell ref="A84:F84"/>
    <x:mergeCell ref="A1:F1"/>
    <x:mergeCell ref="A5:F5"/>
    <x:mergeCell ref="A70:F70"/>
    <x:mergeCell ref="A12:F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4" style="36" customWidth="1"/>
    <x:col min="2" max="2" width="30" style="36" customWidth="1"/>
    <x:col min="3" max="3" width="62" style="36" customWidth="1"/>
    <x:col min="4" max="4" width="34" style="36" customWidth="1"/>
  </x:cols>
  <x:sheetData>
    <x:row r="1" s="36" customFormat="1" ht="34" customHeight="1">
      <x:c r="A1" s="4" t="str">
        <x:v>Categories and Controlled Values</x:v>
      </x:c>
      <x:c r="B1"/>
      <x:c r="C1"/>
      <x:c r="D1"/>
    </x:row>
    <x:row r="2">
      <x:c r="A2" s="7" t="str">
        <x:v>Program-generated controlled values. Do not edit this sheet directly; update approved configuration and regenerate.</x:v>
      </x:c>
      <x:c r="B2"/>
      <x:c r="C2"/>
      <x:c r="D2"/>
    </x:row>
    <x:row r="3">
      <x:c r="A3"/>
      <x:c r="B3"/>
      <x:c r="C3"/>
      <x:c r="D3"/>
    </x:row>
    <x:row r="4" s="36" customFormat="1" ht="25" customHeight="1">
      <x:c r="A4" s="18" t="str">
        <x:v>Classification dimension | Source family and identifier prefix</x:v>
      </x:c>
      <x:c r="B4"/>
      <x:c r="C4"/>
      <x:c r="D4"/>
    </x:row>
    <x:row r="5" s="36" customFormat="1" ht="32" customHeight="1">
      <x:c r="A5" s="47" t="str">
        <x:v>Code</x:v>
      </x:c>
      <x:c r="B5" s="48" t="str">
        <x:v>Option value</x:v>
      </x:c>
      <x:c r="C5" s="48" t="str">
        <x:v>Definition</x:v>
      </x:c>
      <x:c r="D5" s="49" t="str">
        <x:v>Folder code</x:v>
      </x:c>
    </x:row>
    <x:row r="6">
      <x:c r="A6" s="50" t="str">
        <x:v>PA</x:v>
      </x:c>
      <x:c r="B6" s="51" t="str">
        <x:v>Public authority</x:v>
      </x:c>
      <x:c r="C6" s="51" t="str">
        <x:v>Government, regulator or permitting authority</x:v>
      </x:c>
      <x:c r="D6" s="52" t="str">
        <x:v>A_Public_Authority</x:v>
      </x:c>
    </x:row>
    <x:row r="7">
      <x:c r="A7" s="50" t="str">
        <x:v>SB</x:v>
      </x:c>
      <x:c r="B7" s="51" t="str">
        <x:v>Standards body</x:v>
      </x:c>
      <x:c r="C7" s="51" t="str">
        <x:v>Standards organisation such as NS, EN or ISO</x:v>
      </x:c>
      <x:c r="D7" s="52" t="str">
        <x:v>B_Standards_Body</x:v>
      </x:c>
    </x:row>
    <x:row r="8">
      <x:c r="A8" s="50" t="str">
        <x:v>CS</x:v>
      </x:c>
      <x:c r="B8" s="51" t="str">
        <x:v>Certification scheme</x:v>
      </x:c>
      <x:c r="C8" s="51" t="str">
        <x:v>Certification scheme such as ASC or GLOBALG.A.P.</x:v>
      </x:c>
      <x:c r="D8" s="52" t="str">
        <x:v>C_Certification_Scheme</x:v>
      </x:c>
    </x:row>
    <x:row r="9">
      <x:c r="A9" s="50" t="str">
        <x:v>MS</x:v>
      </x:c>
      <x:c r="B9" s="51" t="str">
        <x:v>Manufacturer / supplier</x:v>
      </x:c>
      <x:c r="C9" s="51" t="str">
        <x:v>Equipment manufacturer or supplier</x:v>
      </x:c>
      <x:c r="D9" s="52" t="str">
        <x:v>D_Manufacturer_Supplier</x:v>
      </x:c>
    </x:row>
    <x:row r="10">
      <x:c r="A10" s="50" t="str">
        <x:v>PE</x:v>
      </x:c>
      <x:c r="B10" s="51" t="str">
        <x:v>Project / engineering</x:v>
      </x:c>
      <x:c r="C10" s="51" t="str">
        <x:v>Site, design or engineering source</x:v>
      </x:c>
      <x:c r="D10" s="52" t="str">
        <x:v>E_Project_Engineering</x:v>
      </x:c>
    </x:row>
    <x:row r="11">
      <x:c r="A11" s="50" t="str">
        <x:v>CI</x:v>
      </x:c>
      <x:c r="B11" s="51" t="str">
        <x:v>Client / internal</x:v>
      </x:c>
      <x:c r="C11" s="51" t="str">
        <x:v>Client, contract or internal rule</x:v>
      </x:c>
      <x:c r="D11" s="52" t="str">
        <x:v>F_Client_Internal</x:v>
      </x:c>
    </x:row>
    <x:row r="12">
      <x:c r="A12" s="53" t="str">
        <x:v>PC</x:v>
      </x:c>
      <x:c r="B12" s="54" t="str">
        <x:v>Pending classification</x:v>
      </x:c>
      <x:c r="C12" s="54" t="str">
        <x:v>Temporary category; cannot be directly included</x:v>
      </x:c>
      <x:c r="D12" s="55" t="str">
        <x:v>Z_Pending_Classification</x:v>
      </x:c>
    </x:row>
    <x:row r="13">
      <x:c r="A13"/>
      <x:c r="B13"/>
      <x:c r="C13"/>
      <x:c r="D13"/>
    </x:row>
    <x:row r="14" s="36" customFormat="1" ht="25" customHeight="1">
      <x:c r="A14" s="18" t="str">
        <x:v>Classification dimension | Document type</x:v>
      </x:c>
      <x:c r="B14"/>
      <x:c r="C14"/>
      <x:c r="D14"/>
    </x:row>
    <x:row r="15" s="36" customFormat="1" ht="32" customHeight="1">
      <x:c r="A15" s="47" t="str">
        <x:v>Code</x:v>
      </x:c>
      <x:c r="B15" s="48" t="str">
        <x:v>Option value</x:v>
      </x:c>
      <x:c r="C15" s="48" t="str">
        <x:v>Definition</x:v>
      </x:c>
      <x:c r="D15" s="49" t="str">
        <x:v>Notes</x:v>
      </x:c>
    </x:row>
    <x:row r="16">
      <x:c r="A16" s="50" t="str">
        <x:v>LAW</x:v>
      </x:c>
      <x:c r="B16" s="51" t="str">
        <x:v>Law</x:v>
      </x:c>
      <x:c r="C16" s="51" t="str">
        <x:v>Primary legislation</x:v>
      </x:c>
      <x:c r="D16" s="52"/>
    </x:row>
    <x:row r="17">
      <x:c r="A17" s="50" t="str">
        <x:v>REG</x:v>
      </x:c>
      <x:c r="B17" s="51" t="str">
        <x:v>Regulation</x:v>
      </x:c>
      <x:c r="C17" s="51" t="str">
        <x:v>Secondary legislation or regulation</x:v>
      </x:c>
      <x:c r="D17" s="52"/>
    </x:row>
    <x:row r="18">
      <x:c r="A18" s="50" t="str">
        <x:v>PER</x:v>
      </x:c>
      <x:c r="B18" s="51" t="str">
        <x:v>Permit / authority decision</x:v>
      </x:c>
      <x:c r="C18" s="51" t="str">
        <x:v>Permit or site-specific administrative decision</x:v>
      </x:c>
      <x:c r="D18" s="52"/>
    </x:row>
    <x:row r="19">
      <x:c r="A19" s="50" t="str">
        <x:v>STD</x:v>
      </x:c>
      <x:c r="B19" s="51" t="str">
        <x:v>Technical standard</x:v>
      </x:c>
      <x:c r="C19" s="51" t="str">
        <x:v>NS, EN, ISO or industry technical standard</x:v>
      </x:c>
      <x:c r="D19" s="52"/>
    </x:row>
    <x:row r="20">
      <x:c r="A20" s="50" t="str">
        <x:v>SCH</x:v>
      </x:c>
      <x:c r="B20" s="51" t="str">
        <x:v>Scheme standard</x:v>
      </x:c>
      <x:c r="C20" s="51" t="str">
        <x:v>Primary certification scheme standard</x:v>
      </x:c>
      <x:c r="D20" s="52"/>
    </x:row>
    <x:row r="21">
      <x:c r="A21" s="50" t="str">
        <x:v>INT</x:v>
      </x:c>
      <x:c r="B21" s="51" t="str">
        <x:v>Interpretation document</x:v>
      </x:c>
      <x:c r="C21" s="51" t="str">
        <x:v>Interpretation manual or guidance</x:v>
      </x:c>
      <x:c r="D21" s="52"/>
    </x:row>
    <x:row r="22">
      <x:c r="A22" s="50" t="str">
        <x:v>AUD</x:v>
      </x:c>
      <x:c r="B22" s="51" t="str">
        <x:v>Audit / assessment document</x:v>
      </x:c>
      <x:c r="C22" s="51" t="str">
        <x:v>Audit manual, checklist or assessment tool</x:v>
      </x:c>
      <x:c r="D22" s="52"/>
    </x:row>
    <x:row r="23">
      <x:c r="A23" s="50" t="str">
        <x:v>MAN</x:v>
      </x:c>
      <x:c r="B23" s="51" t="str">
        <x:v>Equipment manual / OEM instruction</x:v>
      </x:c>
      <x:c r="C23" s="51" t="str">
        <x:v>Manufacturer installation, operation, maintenance or safety instruction</x:v>
      </x:c>
      <x:c r="D23" s="52"/>
    </x:row>
    <x:row r="24">
      <x:c r="A24" s="50" t="str">
        <x:v>ENG</x:v>
      </x:c>
      <x:c r="B24" s="51" t="str">
        <x:v>Design / engineering document</x:v>
      </x:c>
      <x:c r="C24" s="51" t="str">
        <x:v>Design basis, analysis or engineering report</x:v>
      </x:c>
      <x:c r="D24" s="52"/>
    </x:row>
    <x:row r="25">
      <x:c r="A25" s="50" t="str">
        <x:v>CON</x:v>
      </x:c>
      <x:c r="B25" s="51" t="str">
        <x:v>Internal policy / contract</x:v>
      </x:c>
      <x:c r="C25" s="51" t="str">
        <x:v>Client, contract or internal normative document</x:v>
      </x:c>
      <x:c r="D25" s="52"/>
    </x:row>
    <x:row r="26">
      <x:c r="A26" s="53" t="str">
        <x:v>OTH</x:v>
      </x:c>
      <x:c r="B26" s="54" t="str">
        <x:v>Other</x:v>
      </x:c>
      <x:c r="C26" s="54" t="str">
        <x:v>Use only when no controlled document type applies</x:v>
      </x:c>
      <x:c r="D26" s="55"/>
    </x:row>
    <x:row r="27">
      <x:c r="A27"/>
      <x:c r="B27"/>
      <x:c r="C27"/>
      <x:c r="D27"/>
    </x:row>
    <x:row r="28" s="36" customFormat="1" ht="25" customHeight="1">
      <x:c r="A28" s="18" t="str">
        <x:v>Classification dimension | Requirement role</x:v>
      </x:c>
      <x:c r="B28"/>
      <x:c r="C28"/>
      <x:c r="D28"/>
    </x:row>
    <x:row r="29" s="36" customFormat="1" ht="32" customHeight="1">
      <x:c r="A29" s="47" t="str">
        <x:v>Code</x:v>
      </x:c>
      <x:c r="B29" s="48" t="str">
        <x:v>Option value</x:v>
      </x:c>
      <x:c r="C29" s="48" t="str">
        <x:v>Definition</x:v>
      </x:c>
      <x:c r="D29" s="49" t="str">
        <x:v>Notes</x:v>
      </x:c>
    </x:row>
    <x:row r="30">
      <x:c r="A30" s="50" t="str">
        <x:v>PN</x:v>
      </x:c>
      <x:c r="B30" s="51" t="str">
        <x:v>Primary normative</x:v>
      </x:c>
      <x:c r="C30" s="51" t="str">
        <x:v>Directly creates requirements within the approved scope</x:v>
      </x:c>
      <x:c r="D30" s="52"/>
    </x:row>
    <x:row r="31">
      <x:c r="A31" s="50" t="str">
        <x:v>RN</x:v>
      </x:c>
      <x:c r="B31" s="51" t="str">
        <x:v>Referenced normative</x:v>
      </x:c>
      <x:c r="C31" s="51" t="str">
        <x:v>Applies through citation by law, contract or a primary source</x:v>
      </x:c>
      <x:c r="D31" s="52"/>
    </x:row>
    <x:row r="32">
      <x:c r="A32" s="50" t="str">
        <x:v>AN</x:v>
      </x:c>
      <x:c r="B32" s="51" t="str">
        <x:v>Asset-specific normative</x:v>
      </x:c>
      <x:c r="C32" s="51" t="str">
        <x:v>Creates requirements only for confirmed applicable equipment, model, asset or configuration</x:v>
      </x:c>
      <x:c r="D32" s="52"/>
    </x:row>
    <x:row r="33">
      <x:c r="A33" s="50" t="str">
        <x:v>GI</x:v>
      </x:c>
      <x:c r="B33" s="51" t="str">
        <x:v>Guidance / interpretation</x:v>
      </x:c>
      <x:c r="C33" s="51" t="str">
        <x:v>Helps interpretation but does not independently create requirements</x:v>
      </x:c>
      <x:c r="D33" s="52"/>
    </x:row>
    <x:row r="34">
      <x:c r="A34" s="50" t="str">
        <x:v>AT</x:v>
      </x:c>
      <x:c r="B34" s="51" t="str">
        <x:v>Audit / assessment tool</x:v>
      </x:c>
      <x:c r="C34" s="51" t="str">
        <x:v>Supports verification and should link to a primary source</x:v>
      </x:c>
      <x:c r="D34" s="52"/>
    </x:row>
    <x:row r="35">
      <x:c r="A35" s="50" t="str">
        <x:v>CE</x:v>
      </x:c>
      <x:c r="B35" s="51" t="str">
        <x:v>Context / evidence</x:v>
      </x:c>
      <x:c r="C35" s="51" t="str">
        <x:v>Provides facts or proof; only normative statements may become requirements</x:v>
      </x:c>
      <x:c r="D35" s="52"/>
    </x:row>
    <x:row r="36">
      <x:c r="A36" s="53" t="str">
        <x:v>DW</x:v>
      </x:c>
      <x:c r="B36" s="54" t="str">
        <x:v>Draft working material</x:v>
      </x:c>
      <x:c r="C36" s="54" t="str">
        <x:v>Working material that cannot be treated as formal authority</x:v>
      </x:c>
      <x:c r="D36" s="55"/>
    </x:row>
    <x:row r="37">
      <x:c r="A37"/>
      <x:c r="B37"/>
      <x:c r="C37"/>
      <x:c r="D37"/>
    </x:row>
    <x:row r="38" s="36" customFormat="1" ht="25" customHeight="1">
      <x:c r="A38" s="18" t="str">
        <x:v>Authoritative language</x:v>
      </x:c>
      <x:c r="B38"/>
      <x:c r="C38"/>
      <x:c r="D38"/>
    </x:row>
    <x:row r="39" s="36" customFormat="1" ht="32" customHeight="1">
      <x:c r="A39" s="47" t="str">
        <x:v>Code</x:v>
      </x:c>
      <x:c r="B39" s="48" t="str">
        <x:v>Option value</x:v>
      </x:c>
      <x:c r="C39" s="48" t="str">
        <x:v>Definition</x:v>
      </x:c>
      <x:c r="D39" s="49" t="str">
        <x:v>Notes</x:v>
      </x:c>
    </x:row>
    <x:row r="40">
      <x:c r="A40" s="50" t="str">
        <x:v>EN</x:v>
      </x:c>
      <x:c r="B40" s="51" t="str">
        <x:v>English</x:v>
      </x:c>
      <x:c r="C40" s="51" t="str">
        <x:v>English is authoritative</x:v>
      </x:c>
      <x:c r="D40" s="52" t="str">
        <x:v>Use the authoritative language first; among equivalent official versions the working preference is English, then Norwegian, then Other</x:v>
      </x:c>
    </x:row>
    <x:row r="41">
      <x:c r="A41" s="50" t="str">
        <x:v>NO</x:v>
      </x:c>
      <x:c r="B41" s="51" t="str">
        <x:v>Norwegian</x:v>
      </x:c>
      <x:c r="C41" s="51" t="str">
        <x:v>Norwegian is authoritative</x:v>
      </x:c>
      <x:c r="D41" s="52"/>
    </x:row>
    <x:row r="42">
      <x:c r="A42" s="53" t="str">
        <x:v>OT</x:v>
      </x:c>
      <x:c r="B42" s="54" t="str">
        <x:v>Other</x:v>
      </x:c>
      <x:c r="C42" s="54" t="str">
        <x:v>Another language is authoritative; specify details in notes</x:v>
      </x:c>
      <x:c r="D42" s="55"/>
    </x:row>
    <x:row r="43">
      <x:c r="A43"/>
      <x:c r="B43"/>
      <x:c r="C43"/>
      <x:c r="D43"/>
    </x:row>
    <x:row r="44" s="36" customFormat="1" ht="25" customHeight="1">
      <x:c r="A44" s="18" t="str">
        <x:v>Jurisdiction</x:v>
      </x:c>
      <x:c r="B44"/>
      <x:c r="C44"/>
      <x:c r="D44"/>
    </x:row>
    <x:row r="45" s="36" customFormat="1" ht="32" customHeight="1">
      <x:c r="A45" s="47" t="str">
        <x:v>Code</x:v>
      </x:c>
      <x:c r="B45" s="48" t="str">
        <x:v>Option value</x:v>
      </x:c>
      <x:c r="C45" s="48" t="str">
        <x:v>Definition</x:v>
      </x:c>
      <x:c r="D45" s="49" t="str">
        <x:v>Notes</x:v>
      </x:c>
    </x:row>
    <x:row r="46">
      <x:c r="A46" s="50" t="str">
        <x:v>NO</x:v>
      </x:c>
      <x:c r="B46" s="51" t="str">
        <x:v>Norway</x:v>
      </x:c>
      <x:c r="C46" s="51" t="str">
        <x:v>Norwegian jurisdiction</x:v>
      </x:c>
      <x:c r="D46" s="52"/>
    </x:row>
    <x:row r="47">
      <x:c r="A47" s="50" t="str">
        <x:v>EU</x:v>
      </x:c>
      <x:c r="B47" s="51" t="str">
        <x:v>EU / EEA</x:v>
      </x:c>
      <x:c r="C47" s="51" t="str">
        <x:v>European Union or European Economic Area</x:v>
      </x:c>
      <x:c r="D47" s="52"/>
    </x:row>
    <x:row r="48">
      <x:c r="A48" s="50" t="str">
        <x:v>INT</x:v>
      </x:c>
      <x:c r="B48" s="51" t="str">
        <x:v>International</x:v>
      </x:c>
      <x:c r="C48" s="51" t="str">
        <x:v>International or scheme-wide scope</x:v>
      </x:c>
      <x:c r="D48" s="52"/>
    </x:row>
    <x:row r="49">
      <x:c r="A49" s="50" t="str">
        <x:v>MULTI</x:v>
      </x:c>
      <x:c r="B49" s="51" t="str">
        <x:v>Multi-jurisdiction</x:v>
      </x:c>
      <x:c r="C49" s="51" t="str">
        <x:v>Applies across more than one defined jurisdiction</x:v>
      </x:c>
      <x:c r="D49" s="52"/>
    </x:row>
    <x:row r="50">
      <x:c r="A50" s="50" t="str">
        <x:v>SITE</x:v>
      </x:c>
      <x:c r="B50" s="51" t="str">
        <x:v>Site-specific</x:v>
      </x:c>
      <x:c r="C50" s="51" t="str">
        <x:v>Applies to one site, permit or location</x:v>
      </x:c>
      <x:c r="D50" s="52"/>
    </x:row>
    <x:row r="51">
      <x:c r="A51" s="53" t="str">
        <x:v>OTH</x:v>
      </x:c>
      <x:c r="B51" s="54" t="str">
        <x:v>Other</x:v>
      </x:c>
      <x:c r="C51" s="54" t="str">
        <x:v>Another jurisdiction; specify details in notes</x:v>
      </x:c>
      <x:c r="D51" s="55"/>
    </x:row>
    <x:row r="52">
      <x:c r="A52"/>
      <x:c r="B52"/>
      <x:c r="C52"/>
      <x:c r="D52"/>
    </x:row>
    <x:row r="53" s="36" customFormat="1" ht="25" customHeight="1">
      <x:c r="A53" s="18" t="str">
        <x:v>File format</x:v>
      </x:c>
      <x:c r="B53"/>
      <x:c r="C53"/>
      <x:c r="D53"/>
    </x:row>
    <x:row r="54" s="36" customFormat="1" ht="32" customHeight="1">
      <x:c r="A54" s="47" t="str">
        <x:v>Code</x:v>
      </x:c>
      <x:c r="B54" s="48" t="str">
        <x:v>Option value</x:v>
      </x:c>
      <x:c r="C54" s="48" t="str">
        <x:v>Definition</x:v>
      </x:c>
      <x:c r="D54" s="49" t="str">
        <x:v>Notes</x:v>
      </x:c>
    </x:row>
    <x:row r="55">
      <x:c r="A55" s="50" t="str">
        <x:v>PDF</x:v>
      </x:c>
      <x:c r="B55" s="51" t="str">
        <x:v>pdf</x:v>
      </x:c>
      <x:c r="C55" s="51" t="str">
        <x:v>Use when no equivalent official HTML version contains the full source content</x:v>
      </x:c>
      <x:c r="D55" s="52"/>
    </x:row>
    <x:row r="56">
      <x:c r="A56" s="50" t="str">
        <x:v>HTML</x:v>
      </x:c>
      <x:c r="B56" s="51" t="str">
        <x:v>html</x:v>
      </x:c>
      <x:c r="C56" s="51" t="str">
        <x:v>Preferred format whenever an equivalent official HTML source contains the full authoritative content</x:v>
      </x:c>
      <x:c r="D56" s="52"/>
    </x:row>
    <x:row r="57">
      <x:c r="A57" s="50" t="str">
        <x:v>XLSX</x:v>
      </x:c>
      <x:c r="B57" s="51" t="str">
        <x:v>xlsx</x:v>
      </x:c>
      <x:c r="C57" s="51" t="str">
        <x:v>Original Excel workbook</x:v>
      </x:c>
      <x:c r="D57" s="52"/>
    </x:row>
    <x:row r="58">
      <x:c r="A58" s="53" t="str">
        <x:v>ZIP</x:v>
      </x:c>
      <x:c r="B58" s="54" t="str">
        <x:v>zip</x:v>
      </x:c>
      <x:c r="C58" s="54" t="str">
        <x:v>Original ZIP package; extraction requires an explicit rule</x:v>
      </x:c>
      <x:c r="D58" s="55"/>
    </x:row>
    <x:row r="59">
      <x:c r="A59"/>
      <x:c r="B59"/>
      <x:c r="C59"/>
      <x:c r="D59"/>
    </x:row>
    <x:row r="60" s="36" customFormat="1" ht="25" customHeight="1">
      <x:c r="A60" s="18" t="str">
        <x:v>Assessment score</x:v>
      </x:c>
      <x:c r="B60"/>
      <x:c r="C60"/>
      <x:c r="D60"/>
    </x:row>
    <x:row r="61" s="36" customFormat="1" ht="32" customHeight="1">
      <x:c r="A61" s="47" t="str">
        <x:v>Code</x:v>
      </x:c>
      <x:c r="B61" s="48" t="str">
        <x:v>Option value</x:v>
      </x:c>
      <x:c r="C61" s="48" t="str">
        <x:v>Definition</x:v>
      </x:c>
      <x:c r="D61" s="49" t="str">
        <x:v>Notes</x:v>
      </x:c>
    </x:row>
    <x:row r="62">
      <x:c r="A62" s="50" t="str">
        <x:v>L</x:v>
      </x:c>
      <x:c r="B62" s="51" t="str">
        <x:v>LOW</x:v>
      </x:c>
      <x:c r="C62" s="51" t="str">
        <x:v>Does not meet the criterion or evidence is materially insufficient</x:v>
      </x:c>
      <x:c r="D62" s="52"/>
    </x:row>
    <x:row r="63">
      <x:c r="A63" s="50" t="str">
        <x:v>M</x:v>
      </x:c>
      <x:c r="B63" s="51" t="str">
        <x:v>MEDIUM</x:v>
      </x:c>
      <x:c r="C63" s="51" t="str">
        <x:v>May meet the criterion but requires confirmation</x:v>
      </x:c>
      <x:c r="D63" s="52"/>
    </x:row>
    <x:row r="64">
      <x:c r="A64" s="53" t="str">
        <x:v>H</x:v>
      </x:c>
      <x:c r="B64" s="54" t="str">
        <x:v>HIGH</x:v>
      </x:c>
      <x:c r="C64" s="54" t="str">
        <x:v>Verified and supported by sufficient evidence</x:v>
      </x:c>
      <x:c r="D64" s="55"/>
    </x:row>
    <x:row r="65">
      <x:c r="A65"/>
      <x:c r="B65"/>
      <x:c r="C65"/>
      <x:c r="D65"/>
    </x:row>
    <x:row r="66" s="36" customFormat="1" ht="25" customHeight="1">
      <x:c r="A66" s="18" t="str">
        <x:v>Selection status</x:v>
      </x:c>
      <x:c r="B66"/>
      <x:c r="C66"/>
      <x:c r="D66"/>
    </x:row>
    <x:row r="67" s="36" customFormat="1" ht="32" customHeight="1">
      <x:c r="A67" s="47" t="str">
        <x:v>Code</x:v>
      </x:c>
      <x:c r="B67" s="48" t="str">
        <x:v>Option value</x:v>
      </x:c>
      <x:c r="C67" s="48" t="str">
        <x:v>Definition</x:v>
      </x:c>
      <x:c r="D67" s="49" t="str">
        <x:v>Notes</x:v>
      </x:c>
    </x:row>
    <x:row r="68">
      <x:c r="A68" s="50" t="str">
        <x:v>P</x:v>
      </x:c>
      <x:c r="B68" s="51" t="str">
        <x:v>PENDING</x:v>
      </x:c>
      <x:c r="C68" s="51" t="str">
        <x:v>Not yet selected, a gate is incomplete, or no validated current file with SUCCESS is available</x:v>
      </x:c>
      <x:c r="D68" s="52"/>
    </x:row>
    <x:row r="69">
      <x:c r="A69" s="50" t="str">
        <x:v>I</x:v>
      </x:c>
      <x:c r="B69" s="51" t="str">
        <x:v>INCLUDE</x:v>
      </x:c>
      <x:c r="C69" s="51" t="str">
        <x:v>Operator decision is INCLUDE, all mandatory gates are HIGH, and the current file is STORED with download_status SUCCESS</x:v>
      </x:c>
      <x:c r="D69" s="52"/>
    </x:row>
    <x:row r="70">
      <x:c r="A70" s="53" t="str">
        <x:v>E</x:v>
      </x:c>
      <x:c r="B70" s="54" t="str">
        <x:v>EXCLUDE</x:v>
      </x:c>
      <x:c r="C70" s="54" t="str">
        <x:v>Operator decision is EXCLUDE or at least one mandatory criterion is LOW</x:v>
      </x:c>
      <x:c r="D70" s="55"/>
    </x:row>
    <x:row r="71">
      <x:c r="A71"/>
      <x:c r="B71"/>
      <x:c r="C71"/>
      <x:c r="D71"/>
    </x:row>
    <x:row r="72" s="36" customFormat="1" ht="25" customHeight="1">
      <x:c r="A72" s="18" t="str">
        <x:v>Snapshot status</x:v>
      </x:c>
      <x:c r="B72"/>
      <x:c r="C72"/>
      <x:c r="D72"/>
    </x:row>
    <x:row r="73" s="36" customFormat="1" ht="32" customHeight="1">
      <x:c r="A73" s="47" t="str">
        <x:v>Code</x:v>
      </x:c>
      <x:c r="B73" s="48" t="str">
        <x:v>Option value</x:v>
      </x:c>
      <x:c r="C73" s="48" t="str">
        <x:v>Definition</x:v>
      </x:c>
      <x:c r="D73" s="49" t="str">
        <x:v>Notes</x:v>
      </x:c>
    </x:row>
    <x:row r="74">
      <x:c r="A74" s="50" t="str">
        <x:v>NC</x:v>
      </x:c>
      <x:c r="B74" s="51" t="str">
        <x:v>NOT_COLLECTED</x:v>
      </x:c>
      <x:c r="C74" s="51" t="str">
        <x:v>No current file has been collected</x:v>
      </x:c>
      <x:c r="D74" s="52"/>
    </x:row>
    <x:row r="75">
      <x:c r="A75" s="50" t="str">
        <x:v>ST</x:v>
      </x:c>
      <x:c r="B75" s="51" t="str">
        <x:v>STORED</x:v>
      </x:c>
      <x:c r="C75" s="51" t="str">
        <x:v>Current file is stored and locatable</x:v>
      </x:c>
      <x:c r="D75" s="52"/>
    </x:row>
    <x:row r="76">
      <x:c r="A76" s="53" t="str">
        <x:v>MI</x:v>
      </x:c>
      <x:c r="B76" s="54" t="str">
        <x:v>MISSING</x:v>
      </x:c>
      <x:c r="C76" s="54" t="str">
        <x:v>A registry record exists but the file is missing</x:v>
      </x:c>
      <x:c r="D76" s="55"/>
    </x:row>
    <x:row r="77">
      <x:c r="A77"/>
      <x:c r="B77"/>
      <x:c r="C77"/>
      <x:c r="D77"/>
    </x:row>
    <x:row r="78" s="36" customFormat="1" ht="25" customHeight="1">
      <x:c r="A78" s="18" t="str">
        <x:v>Download status</x:v>
      </x:c>
      <x:c r="B78"/>
      <x:c r="C78"/>
      <x:c r="D78"/>
    </x:row>
    <x:row r="79" s="36" customFormat="1" ht="32" customHeight="1">
      <x:c r="A79" s="47" t="str">
        <x:v>Code</x:v>
      </x:c>
      <x:c r="B79" s="48" t="str">
        <x:v>Option value</x:v>
      </x:c>
      <x:c r="C79" s="48" t="str">
        <x:v>Definition</x:v>
      </x:c>
      <x:c r="D79" s="49" t="str">
        <x:v>Notes</x:v>
      </x:c>
    </x:row>
    <x:row r="80">
      <x:c r="A80" s="50" t="str">
        <x:v>NR</x:v>
      </x:c>
      <x:c r="B80" s="51" t="str">
        <x:v>NOT_RUN</x:v>
      </x:c>
      <x:c r="C80" s="51" t="str">
        <x:v>Automated retrieval has not run</x:v>
      </x:c>
      <x:c r="D80" s="52"/>
    </x:row>
    <x:row r="81">
      <x:c r="A81" s="50" t="str">
        <x:v>PB</x:v>
      </x:c>
      <x:c r="B81" s="51" t="str">
        <x:v>PAYWALL_BLOCKED</x:v>
      </x:c>
      <x:c r="C81" s="51" t="str">
        <x:v>The official source is restricted by a paywall or licence; an authorised copy or route is required</x:v>
      </x:c>
      <x:c r="D81" s="52"/>
    </x:row>
    <x:row r="82">
      <x:c r="A82" s="50" t="str">
        <x:v>SU</x:v>
      </x:c>
      <x:c r="B82" s="51" t="str">
        <x:v>SUCCESS</x:v>
      </x:c>
      <x:c r="C82" s="51" t="str">
        <x:v>Download, validation and safe storage succeeded</x:v>
      </x:c>
      <x:c r="D82" s="52"/>
    </x:row>
    <x:row r="83">
      <x:c r="A83" s="53" t="str">
        <x:v>FA</x:v>
      </x:c>
      <x:c r="B83" s="54" t="str">
        <x:v>FAIL</x:v>
      </x:c>
      <x:c r="C83" s="54" t="str">
        <x:v>At least one stage failed and requires a recorded reason</x:v>
      </x:c>
      <x:c r="D83" s="55"/>
    </x:row>
    <x:row r="84">
      <x:c r="A84"/>
      <x:c r="B84"/>
      <x:c r="C84"/>
      <x:c r="D84"/>
    </x:row>
    <x:row r="85" s="36" customFormat="1" ht="25" customHeight="1">
      <x:c r="A85" s="18" t="str">
        <x:v>Content change</x:v>
      </x:c>
      <x:c r="B85"/>
      <x:c r="C85"/>
      <x:c r="D85"/>
    </x:row>
    <x:row r="86" s="36" customFormat="1" ht="32" customHeight="1">
      <x:c r="A86" s="47" t="str">
        <x:v>Code</x:v>
      </x:c>
      <x:c r="B86" s="48" t="str">
        <x:v>Option value</x:v>
      </x:c>
      <x:c r="C86" s="48" t="str">
        <x:v>Definition</x:v>
      </x:c>
      <x:c r="D86" s="49" t="str">
        <x:v>Notes</x:v>
      </x:c>
    </x:row>
    <x:row r="87">
      <x:c r="A87" s="50" t="str">
        <x:v>UK</x:v>
      </x:c>
      <x:c r="B87" s="51" t="str">
        <x:v>UNKNOWN</x:v>
      </x:c>
      <x:c r="C87" s="51" t="str">
        <x:v>Content has not been compared</x:v>
      </x:c>
      <x:c r="D87" s="52"/>
    </x:row>
    <x:row r="88">
      <x:c r="A88" s="50" t="str">
        <x:v>IN</x:v>
      </x:c>
      <x:c r="B88" s="51" t="str">
        <x:v>INITIAL</x:v>
      </x:c>
      <x:c r="C88" s="51" t="str">
        <x:v>First validated collection; no earlier snapshot exists</x:v>
      </x:c>
      <x:c r="D88" s="52"/>
    </x:row>
    <x:row r="89">
      <x:c r="A89" s="50" t="str">
        <x:v>UN</x:v>
      </x:c>
      <x:c r="B89" s="51" t="str">
        <x:v>UNCHANGED</x:v>
      </x:c>
      <x:c r="C89" s="51" t="str">
        <x:v>Hash matches the current valid file</x:v>
      </x:c>
      <x:c r="D89" s="52"/>
    </x:row>
    <x:row r="90">
      <x:c r="A90" s="53" t="str">
        <x:v>CH</x:v>
      </x:c>
      <x:c r="B90" s="54" t="str">
        <x:v>CHANGED</x:v>
      </x:c>
      <x:c r="C90" s="54" t="str">
        <x:v>Hash differs and creates a new snapshot</x:v>
      </x:c>
      <x:c r="D90" s="55"/>
    </x:row>
    <x:row r="91">
      <x:c r="A91"/>
      <x:c r="B91"/>
      <x:c r="C91"/>
      <x:c r="D91"/>
    </x:row>
    <x:row r="92" s="36" customFormat="1" ht="25" customHeight="1">
      <x:c r="A92" s="18" t="str">
        <x:v>Current origin</x:v>
      </x:c>
      <x:c r="B92"/>
      <x:c r="C92"/>
      <x:c r="D92"/>
    </x:row>
    <x:row r="93" s="36" customFormat="1" ht="32" customHeight="1">
      <x:c r="A93" s="47" t="str">
        <x:v>Code</x:v>
      </x:c>
      <x:c r="B93" s="48" t="str">
        <x:v>Option value</x:v>
      </x:c>
      <x:c r="C93" s="48" t="str">
        <x:v>Definition</x:v>
      </x:c>
      <x:c r="D93" s="49" t="str">
        <x:v>Notes</x:v>
      </x:c>
    </x:row>
    <x:row r="94">
      <x:c r="A94" s="50" t="str">
        <x:v>NO</x:v>
      </x:c>
      <x:c r="B94" s="51" t="str">
        <x:v>NONE</x:v>
      </x:c>
      <x:c r="C94" s="51" t="str">
        <x:v>No valid file exists</x:v>
      </x:c>
      <x:c r="D94" s="52"/>
    </x:row>
    <x:row r="95">
      <x:c r="A95" s="50" t="str">
        <x:v>AU</x:v>
      </x:c>
      <x:c r="B95" s="51" t="str">
        <x:v>AUTO</x:v>
      </x:c>
      <x:c r="C95" s="51" t="str">
        <x:v>Current file came from successful automated retrieval</x:v>
      </x:c>
      <x:c r="D95" s="52"/>
    </x:row>
    <x:row r="96">
      <x:c r="A96" s="53" t="str">
        <x:v>MA</x:v>
      </x:c>
      <x:c r="B96" s="54" t="str">
        <x:v>MANUAL</x:v>
      </x:c>
      <x:c r="C96" s="54" t="str">
        <x:v>Current file came from manual fallback</x:v>
      </x:c>
      <x:c r="D96" s="55"/>
    </x:row>
    <x:row r="97">
      <x:c r="A97"/>
      <x:c r="B97"/>
      <x:c r="C97"/>
      <x:c r="D97"/>
    </x:row>
    <x:row r="98" s="36" customFormat="1" ht="25" customHeight="1">
      <x:c r="A98" s="18" t="str">
        <x:v>Failure stage</x:v>
      </x:c>
      <x:c r="B98"/>
      <x:c r="C98"/>
      <x:c r="D98"/>
    </x:row>
    <x:row r="99" s="36" customFormat="1" ht="32" customHeight="1">
      <x:c r="A99" s="47" t="str">
        <x:v>Code</x:v>
      </x:c>
      <x:c r="B99" s="48" t="str">
        <x:v>Option value</x:v>
      </x:c>
      <x:c r="C99" s="48" t="str">
        <x:v>Definition</x:v>
      </x:c>
      <x:c r="D99" s="49" t="str">
        <x:v>Notes</x:v>
      </x:c>
    </x:row>
    <x:row r="100">
      <x:c r="A100" s="50" t="str">
        <x:v>NON</x:v>
      </x:c>
      <x:c r="B100" s="51" t="str">
        <x:v>NONE</x:v>
      </x:c>
      <x:c r="C100" s="51" t="str">
        <x:v>No failure</x:v>
      </x:c>
      <x:c r="D100" s="52"/>
    </x:row>
    <x:row r="101">
      <x:c r="A101" s="50" t="str">
        <x:v>CFG</x:v>
      </x:c>
      <x:c r="B101" s="51" t="str">
        <x:v>CONFIG</x:v>
      </x:c>
      <x:c r="C101" s="51" t="str">
        <x:v>Required field, URL, format or folder configuration is invalid</x:v>
      </x:c>
      <x:c r="D101" s="52"/>
    </x:row>
    <x:row r="102">
      <x:c r="A102" s="50" t="str">
        <x:v>CON</x:v>
      </x:c>
      <x:c r="B102" s="51" t="str">
        <x:v>CONNECTION</x:v>
      </x:c>
      <x:c r="C102" s="51" t="str">
        <x:v>DNS, network or connection failure</x:v>
      </x:c>
      <x:c r="D102" s="52"/>
    </x:row>
    <x:row r="103">
      <x:c r="A103" s="50" t="str">
        <x:v>HTT</x:v>
      </x:c>
      <x:c r="B103" s="51" t="str">
        <x:v>HTTP</x:v>
      </x:c>
      <x:c r="C103" s="51" t="str">
        <x:v>HTTP status, redirect or permission failure</x:v>
      </x:c>
      <x:c r="D103" s="52"/>
    </x:row>
    <x:row r="104">
      <x:c r="A104" s="50" t="str">
        <x:v>DOW</x:v>
      </x:c>
      <x:c r="B104" s="51" t="str">
        <x:v>DOWNLOAD</x:v>
      </x:c>
      <x:c r="C104" s="51" t="str">
        <x:v>Interrupted, timed-out or incomplete download</x:v>
      </x:c>
      <x:c r="D104" s="52"/>
    </x:row>
    <x:row r="105">
      <x:c r="A105" s="50" t="str">
        <x:v>FOR</x:v>
      </x:c>
      <x:c r="B105" s="51" t="str">
        <x:v>FORMAT</x:v>
      </x:c>
      <x:c r="C105" s="51" t="str">
        <x:v>Extension, MIME type or file signature mismatch</x:v>
      </x:c>
      <x:c r="D105" s="52"/>
    </x:row>
    <x:row r="106">
      <x:c r="A106" s="50" t="str">
        <x:v>CNT</x:v>
      </x:c>
      <x:c r="B106" s="51" t="str">
        <x:v>CONTENT</x:v>
      </x:c>
      <x:c r="C106" s="51" t="str">
        <x:v>Empty file, error page, login page or unreadable content</x:v>
      </x:c>
      <x:c r="D106" s="52"/>
    </x:row>
    <x:row r="107">
      <x:c r="A107" s="50" t="str">
        <x:v>STO</x:v>
      </x:c>
      <x:c r="B107" s="51" t="str">
        <x:v>STORAGE</x:v>
      </x:c>
      <x:c r="C107" s="51" t="str">
        <x:v>Write, rename or archive failure</x:v>
      </x:c>
      <x:c r="D107" s="52"/>
    </x:row>
    <x:row r="108">
      <x:c r="A108" s="53" t="str">
        <x:v>UNK</x:v>
      </x:c>
      <x:c r="B108" s="54" t="str">
        <x:v>UNKNOWN</x:v>
      </x:c>
      <x:c r="C108" s="54" t="str">
        <x:v>Failure stage not yet identified</x:v>
      </x:c>
      <x:c r="D108" s="55"/>
    </x:row>
    <x:row r="109">
      <x:c r="A109"/>
      <x:c r="B109"/>
      <x:c r="C109"/>
      <x:c r="D109"/>
    </x:row>
    <x:row r="110" s="36" customFormat="1" ht="25" customHeight="1">
      <x:c r="A110" s="18" t="str">
        <x:v>Source status</x:v>
      </x:c>
      <x:c r="B110"/>
      <x:c r="C110"/>
      <x:c r="D110"/>
    </x:row>
    <x:row r="111" s="36" customFormat="1" ht="32" customHeight="1">
      <x:c r="A111" s="47" t="str">
        <x:v>Code</x:v>
      </x:c>
      <x:c r="B111" s="48" t="str">
        <x:v>Option value</x:v>
      </x:c>
      <x:c r="C111" s="48" t="str">
        <x:v>Definition</x:v>
      </x:c>
      <x:c r="D111" s="49" t="str">
        <x:v>Notes</x:v>
      </x:c>
    </x:row>
    <x:row r="112">
      <x:c r="A112" s="50" t="str">
        <x:v>CU</x:v>
      </x:c>
      <x:c r="B112" s="51" t="str">
        <x:v>CURRENT</x:v>
      </x:c>
      <x:c r="C112" s="51" t="str">
        <x:v>Currently valid source</x:v>
      </x:c>
      <x:c r="D112" s="52"/>
    </x:row>
    <x:row r="113">
      <x:c r="A113" s="50" t="str">
        <x:v>SU</x:v>
      </x:c>
      <x:c r="B113" s="51" t="str">
        <x:v>SUPERSEDED</x:v>
      </x:c>
      <x:c r="C113" s="51" t="str">
        <x:v>Replaced by a later source or version</x:v>
      </x:c>
      <x:c r="D113" s="52"/>
    </x:row>
    <x:row r="114">
      <x:c r="A114" s="53" t="str">
        <x:v>WI</x:v>
      </x:c>
      <x:c r="B114" s="54" t="str">
        <x:v>WITHDRAWN</x:v>
      </x:c>
      <x:c r="C114" s="54" t="str">
        <x:v>Withdrawn by the issuer or no longer applicable</x:v>
      </x:c>
      <x:c r="D114" s="55"/>
    </x:row>
    <x:row r="115">
      <x:c r="A115"/>
      <x:c r="B115"/>
      <x:c r="C115"/>
      <x:c r="D115"/>
    </x:row>
    <x:row r="116" s="36" customFormat="1" ht="25" customHeight="1">
      <x:c r="A116" s="18" t="str">
        <x:v>Acquisition channel</x:v>
      </x:c>
      <x:c r="B116"/>
      <x:c r="C116"/>
      <x:c r="D116"/>
    </x:row>
    <x:row r="117" s="36" customFormat="1" ht="32" customHeight="1">
      <x:c r="A117" s="47" t="str">
        <x:v>Code</x:v>
      </x:c>
      <x:c r="B117" s="48" t="str">
        <x:v>Option value</x:v>
      </x:c>
      <x:c r="C117" s="48" t="str">
        <x:v>Definition</x:v>
      </x:c>
      <x:c r="D117" s="49" t="str">
        <x:v>Notes</x:v>
      </x:c>
    </x:row>
    <x:row r="118">
      <x:c r="A118" s="50" t="str">
        <x:v>OW</x:v>
      </x:c>
      <x:c r="B118" s="51" t="str">
        <x:v>OFFICIAL_WEBSITE</x:v>
      </x:c>
      <x:c r="C118" s="51" t="str">
        <x:v>Retrieved from an official public issuer or scheme website</x:v>
      </x:c>
      <x:c r="D118" s="52"/>
    </x:row>
    <x:row r="119">
      <x:c r="A119" s="50" t="str">
        <x:v>CL</x:v>
      </x:c>
      <x:c r="B119" s="51" t="str">
        <x:v>CLIENT_OR_SITE</x:v>
      </x:c>
      <x:c r="C119" s="51" t="str">
        <x:v>Provided through a client or site-controlled channel</x:v>
      </x:c>
      <x:c r="D119" s="52"/>
    </x:row>
    <x:row r="120">
      <x:c r="A120" s="50" t="str">
        <x:v>SI</x:v>
      </x:c>
      <x:c r="B120" s="51" t="str">
        <x:v>SUPPLIER_OR_INTEGRATOR</x:v>
      </x:c>
      <x:c r="C120" s="51" t="str">
        <x:v>Provided by a supplier, OEM representative or system integrator</x:v>
      </x:c>
      <x:c r="D120" s="52"/>
    </x:row>
    <x:row r="121">
      <x:c r="A121" s="50" t="str">
        <x:v>IR</x:v>
      </x:c>
      <x:c r="B121" s="51" t="str">
        <x:v>INTERNAL_REPOSITORY</x:v>
      </x:c>
      <x:c r="C121" s="51" t="str">
        <x:v>Obtained from an authorised controlled internal repository</x:v>
      </x:c>
      <x:c r="D121" s="52"/>
    </x:row>
    <x:row r="122">
      <x:c r="A122" s="53" t="str">
        <x:v>OT</x:v>
      </x:c>
      <x:c r="B122" s="54" t="str">
        <x:v>OTHER</x:v>
      </x:c>
      <x:c r="C122" s="54" t="str">
        <x:v>Another documented acquisition route</x:v>
      </x:c>
      <x:c r="D122" s="55"/>
    </x:row>
    <x:row r="123">
      <x:c r="A123"/>
      <x:c r="B123"/>
      <x:c r="C123"/>
      <x:c r="D123"/>
    </x:row>
    <x:row r="124" s="36" customFormat="1" ht="25" customHeight="1">
      <x:c r="A124" s="18" t="str">
        <x:v>Provenance status</x:v>
      </x:c>
      <x:c r="B124"/>
      <x:c r="C124"/>
      <x:c r="D124"/>
    </x:row>
    <x:row r="125" s="36" customFormat="1" ht="32" customHeight="1">
      <x:c r="A125" s="47" t="str">
        <x:v>Code</x:v>
      </x:c>
      <x:c r="B125" s="48" t="str">
        <x:v>Option value</x:v>
      </x:c>
      <x:c r="C125" s="48" t="str">
        <x:v>Definition</x:v>
      </x:c>
      <x:c r="D125" s="49" t="str">
        <x:v>Notes</x:v>
      </x:c>
    </x:row>
    <x:row r="126">
      <x:c r="A126" s="50" t="str">
        <x:v>OO</x:v>
      </x:c>
      <x:c r="B126" s="51" t="str">
        <x:v>OFFICIAL_ORIGINAL</x:v>
      </x:c>
      <x:c r="C126" s="51" t="str">
        <x:v>Direct official original or issuer-controlled copy</x:v>
      </x:c>
      <x:c r="D126" s="52"/>
    </x:row>
    <x:row r="127">
      <x:c r="A127" s="50" t="str">
        <x:v>AC</x:v>
      </x:c>
      <x:c r="B127" s="51" t="str">
        <x:v>AUTHORISED_COPY</x:v>
      </x:c>
      <x:c r="C127" s="51" t="str">
        <x:v>Copy confirmed by the issuer or an authorised responsible party</x:v>
      </x:c>
      <x:c r="D127" s="52"/>
    </x:row>
    <x:row r="128">
      <x:c r="A128" s="50" t="str">
        <x:v>CC</x:v>
      </x:c>
      <x:c r="B128" s="51" t="str">
        <x:v>CLIENT_PROVIDED_COPY</x:v>
      </x:c>
      <x:c r="C128" s="51" t="str">
        <x:v>Client-provided copy with provenance recorded but authority still assessed separately</x:v>
      </x:c>
      <x:c r="D128" s="52"/>
    </x:row>
    <x:row r="129">
      <x:c r="A129" s="53" t="str">
        <x:v>UV</x:v>
      </x:c>
      <x:c r="B129" s="54" t="str">
        <x:v>UNVERIFIED</x:v>
      </x:c>
      <x:c r="C129" s="54" t="str">
        <x:v>Authenticity, completeness or authorisation has not been confirmed</x:v>
      </x:c>
      <x:c r="D129" s="55"/>
    </x:row>
    <x:row r="130">
      <x:c r="A130"/>
      <x:c r="B130"/>
      <x:c r="C130"/>
      <x:c r="D130"/>
    </x:row>
    <x:row r="131" s="36" customFormat="1" ht="25" customHeight="1">
      <x:c r="A131" s="18" t="str">
        <x:v>Update model</x:v>
      </x:c>
      <x:c r="B131"/>
      <x:c r="C131"/>
      <x:c r="D131"/>
    </x:row>
    <x:row r="132" s="36" customFormat="1" ht="32" customHeight="1">
      <x:c r="A132" s="47" t="str">
        <x:v>Code</x:v>
      </x:c>
      <x:c r="B132" s="48" t="str">
        <x:v>Option value</x:v>
      </x:c>
      <x:c r="C132" s="48" t="str">
        <x:v>Definition</x:v>
      </x:c>
      <x:c r="D132" s="49" t="str">
        <x:v>Notes</x:v>
      </x:c>
    </x:row>
    <x:row r="133">
      <x:c r="A133" s="50" t="str">
        <x:v>VE</x:v>
      </x:c>
      <x:c r="B133" s="51" t="str">
        <x:v>VERSIONED</x:v>
      </x:c>
      <x:c r="C133" s="51" t="str">
        <x:v>Issuer publishes identifiable versions or revisions</x:v>
      </x:c>
      <x:c r="D133" s="52"/>
    </x:row>
    <x:row r="134">
      <x:c r="A134" s="50" t="str">
        <x:v>RO</x:v>
      </x:c>
      <x:c r="B134" s="51" t="str">
        <x:v>ROLLING</x:v>
      </x:c>
      <x:c r="C134" s="51" t="str">
        <x:v>Issuer maintains content without a formal version number</x:v>
      </x:c>
      <x:c r="D134" s="52"/>
    </x:row>
    <x:row r="135">
      <x:c r="A135" s="53" t="str">
        <x:v>UN</x:v>
      </x:c>
      <x:c r="B135" s="54" t="str">
        <x:v>UNKNOWN</x:v>
      </x:c>
      <x:c r="C135" s="54" t="str">
        <x:v>Update pattern has not been confirmed</x:v>
      </x:c>
      <x:c r="D135" s="55"/>
    </x:row>
  </x:sheetData>
  <x:mergeCells>
    <x:mergeCell ref="A116:D116"/>
    <x:mergeCell ref="A53:D53"/>
    <x:mergeCell ref="A131:D131"/>
    <x:mergeCell ref="A4:D4"/>
    <x:mergeCell ref="A38:D38"/>
    <x:mergeCell ref="A72:D72"/>
    <x:mergeCell ref="A28:D28"/>
    <x:mergeCell ref="A44:D44"/>
    <x:mergeCell ref="A92:D92"/>
    <x:mergeCell ref="A60:D60"/>
    <x:mergeCell ref="A98:D98"/>
    <x:mergeCell ref="A1:D1"/>
    <x:mergeCell ref="A110:D110"/>
    <x:mergeCell ref="A78:D78"/>
    <x:mergeCell ref="A124:D124"/>
    <x:mergeCell ref="A66:D66"/>
    <x:mergeCell ref="A2:D2"/>
    <x:mergeCell ref="A85:D85"/>
    <x:mergeCell ref="A14:D14"/>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0" style="36" hidden="0" customWidth="1"/>
    <x:col min="2" max="2" width="12" style="36" hidden="0" customWidth="1"/>
    <x:col min="3" max="3" width="34" style="36" hidden="0" customWidth="1"/>
    <x:col min="4" max="4" width="14" style="36" hidden="0" customWidth="1"/>
    <x:col min="5" max="5" width="14" style="36" hidden="0" customWidth="1"/>
    <x:col min="6" max="6" width="18" style="36" hidden="0" customWidth="1"/>
    <x:col min="7" max="7" width="18" style="36" hidden="0" customWidth="1"/>
    <x:col min="8" max="8" width="18" style="36" hidden="0" customWidth="1"/>
    <x:col min="9" max="9" width="14" style="36" hidden="0" customWidth="1"/>
    <x:col min="10" max="10" width="12" style="36" hidden="0" customWidth="1"/>
    <x:col min="11" max="11" width="16" style="36" hidden="0" customWidth="1"/>
    <x:col min="12" max="12" width="14" style="36" hidden="0" customWidth="1"/>
    <x:col min="13" max="13" width="36" style="36" hidden="0" customWidth="1"/>
    <x:col min="14" max="14" width="16" style="36" hidden="0" customWidth="1"/>
    <x:col min="15" max="15" width="36" style="36" hidden="0" customWidth="1"/>
    <x:col min="16" max="16" width="42" style="36" hidden="0" customWidth="1"/>
    <x:col min="17" max="17" width="42" style="36" hidden="0" customWidth="1"/>
    <x:col min="18" max="18" width="42" style="36" hidden="0" customWidth="1"/>
    <x:col min="19" max="19" width="26" style="36" hidden="0" customWidth="1"/>
    <x:col min="20" max="20" width="12" style="36" hidden="0" customWidth="1"/>
    <x:col min="21" max="21" width="28" style="36" hidden="0" customWidth="1"/>
    <x:col min="22" max="22" width="15" style="36" hidden="0" customWidth="1"/>
    <x:col min="23" max="23" width="17" style="36" hidden="0" customWidth="1"/>
    <x:col min="24" max="24" width="14" style="36" hidden="0" customWidth="1"/>
    <x:col min="25" max="25" width="14" style="36" hidden="0" customWidth="1"/>
    <x:col min="26" max="26" width="22" style="36" hidden="0" customWidth="1"/>
    <x:col min="27" max="27" width="24" style="36" hidden="0" customWidth="1"/>
    <x:col min="28" max="28" width="25" style="36" hidden="0" customWidth="1"/>
    <x:col min="29" max="29" width="54" style="36" hidden="0" customWidth="1"/>
    <x:col min="30" max="30" width="14" style="36" hidden="0" customWidth="1"/>
    <x:col min="31" max="31" width="14" style="36" hidden="0" customWidth="1"/>
    <x:col min="32" max="32" width="14" style="36" hidden="0" customWidth="1"/>
    <x:col min="33" max="33" width="14" style="36" hidden="0" customWidth="1"/>
    <x:col min="34" max="34" width="14" style="36" hidden="0" customWidth="1"/>
    <x:col min="35" max="35" width="16" style="36" hidden="0" customWidth="1"/>
    <x:col min="36" max="36" width="20" style="36" hidden="0" customWidth="1"/>
    <x:col min="37" max="37" width="16" style="36" hidden="0" customWidth="1"/>
    <x:col min="38" max="38" width="18" style="36" hidden="0" customWidth="1"/>
    <x:col min="39" max="39" width="14" style="36" hidden="0" customWidth="1"/>
    <x:col min="40" max="40" width="16" style="36" hidden="0" customWidth="1"/>
    <x:col min="41" max="41" width="44" style="36" hidden="0" customWidth="1"/>
    <x:col min="42" max="42" width="22" style="36" hidden="0" customWidth="1"/>
    <x:col min="43" max="43" width="20" style="36" hidden="0" customWidth="1"/>
    <x:col min="44" max="44" width="14" style="36" hidden="0" customWidth="1"/>
    <x:col min="45" max="45" width="28" hidden="0" customWidth="1"/>
  </x:cols>
  <x:sheetData>
    <x:row r="1" s="36" customFormat="1" ht="24" customHeight="1">
      <x:c r="A1" s="748" t="str">
        <x:v>PROGRAM-MANAGED | DO NOT EDIT DIRECTLY</x:v>
      </x:c>
      <x:c r="B1" s="748"/>
      <x:c r="C1" s="748"/>
      <x:c r="D1" s="748"/>
      <x:c r="E1" s="748"/>
      <x:c r="F1" s="748"/>
      <x:c r="G1" s="748"/>
      <x:c r="H1" s="748"/>
      <x:c r="I1" s="748"/>
      <x:c r="J1" s="748"/>
      <x:c r="K1" s="748"/>
      <x:c r="L1" s="748"/>
      <x:c r="M1" s="748"/>
      <x:c r="N1" s="748"/>
      <x:c r="O1" s="748"/>
      <x:c r="P1" s="749" t="str">
        <x:v>HUMAN-GOVERNED | CHANGES APPLIED FROM HUMAN OPERATION DESKTOP</x:v>
      </x:c>
      <x:c r="Q1" s="749"/>
      <x:c r="R1" s="749"/>
      <x:c r="S1" s="749"/>
      <x:c r="T1" s="749"/>
      <x:c r="U1" s="749"/>
      <x:c r="V1" s="749"/>
      <x:c r="W1" s="749"/>
      <x:c r="X1" s="749"/>
      <x:c r="Y1" s="749"/>
      <x:c r="Z1" s="749"/>
      <x:c r="AA1" s="749"/>
      <x:c r="AB1" s="749"/>
      <x:c r="AC1" s="749"/>
      <x:c r="AD1" s="749"/>
      <x:c r="AE1" s="749"/>
      <x:c r="AF1" s="749"/>
      <x:c r="AG1" s="749"/>
      <x:c r="AH1" s="749"/>
      <x:c r="AI1" s="749"/>
      <x:c r="AJ1" s="749"/>
      <x:c r="AK1" s="749"/>
      <x:c r="AL1" s="749"/>
      <x:c r="AM1" s="749"/>
      <x:c r="AN1" s="749"/>
      <x:c r="AO1" s="749"/>
      <x:c r="AP1" s="749"/>
      <x:c r="AQ1" s="749"/>
      <x:c r="AR1" s="749"/>
      <x:c r="AS1" s="749"/>
    </x:row>
    <x:row r="2" s="36" customFormat="1" ht="42" customHeight="1">
      <x:c r="A2" s="750" t="str">
        <x:v>source_id</x:v>
      </x:c>
      <x:c r="B2" s="750" t="str">
        <x:v>snapshot_id</x:v>
      </x:c>
      <x:c r="C2" s="750" t="str">
        <x:v>stored_filename</x:v>
      </x:c>
      <x:c r="D2" s="750" t="str">
        <x:v>snapshot_status</x:v>
      </x:c>
      <x:c r="E2" s="750" t="str">
        <x:v>selection_status</x:v>
      </x:c>
      <x:c r="F2" s="750" t="str">
        <x:v>download_status</x:v>
      </x:c>
      <x:c r="G2" s="750" t="str">
        <x:v>last_attempt_at</x:v>
      </x:c>
      <x:c r="H2" s="750" t="str">
        <x:v>last_success_at</x:v>
      </x:c>
      <x:c r="I2" s="750" t="str">
        <x:v>content_change</x:v>
      </x:c>
      <x:c r="J2" s="750" t="str">
        <x:v>current_origin</x:v>
      </x:c>
      <x:c r="K2" s="750" t="str">
        <x:v>current_snapshot_date</x:v>
      </x:c>
      <x:c r="L2" s="750" t="str">
        <x:v>failure_stage</x:v>
      </x:c>
      <x:c r="M2" s="750" t="str">
        <x:v>failure_reason</x:v>
      </x:c>
      <x:c r="N2" s="750" t="str">
        <x:v>needs_human_action</x:v>
      </x:c>
      <x:c r="O2" s="750" t="str">
        <x:v>content_hash</x:v>
      </x:c>
      <x:c r="P2" s="750" t="str">
        <x:v>source_title</x:v>
      </x:c>
      <x:c r="Q2" s="750" t="str">
        <x:v>official_url</x:v>
      </x:c>
      <x:c r="R2" s="750" t="str">
        <x:v>retrieval_url</x:v>
      </x:c>
      <x:c r="S2" s="750" t="str">
        <x:v>folder_code</x:v>
      </x:c>
      <x:c r="T2" s="750" t="str">
        <x:v>file_format</x:v>
      </x:c>
      <x:c r="U2" s="750" t="str">
        <x:v>issuer</x:v>
      </x:c>
      <x:c r="V2" s="750" t="str">
        <x:v>jurisdiction</x:v>
      </x:c>
      <x:c r="W2" s="750" t="str">
        <x:v>authoritative_language</x:v>
      </x:c>
      <x:c r="X2" s="750" t="str">
        <x:v>version</x:v>
      </x:c>
      <x:c r="Y2" s="750" t="str">
        <x:v>effective_date</x:v>
      </x:c>
      <x:c r="Z2" s="750" t="str">
        <x:v>source_family</x:v>
      </x:c>
      <x:c r="AA2" s="750" t="str">
        <x:v>document_type</x:v>
      </x:c>
      <x:c r="AB2" s="750" t="str">
        <x:v>requirement_role</x:v>
      </x:c>
      <x:c r="AC2" s="750" t="str">
        <x:v>inclusion_rationale</x:v>
      </x:c>
      <x:c r="AD2" s="750" t="str">
        <x:v>authority_quality</x:v>
      </x:c>
      <x:c r="AE2" s="750" t="str">
        <x:v>scope_relevance</x:v>
      </x:c>
      <x:c r="AF2" s="750" t="str">
        <x:v>version_currency</x:v>
      </x:c>
      <x:c r="AG2" s="750" t="str">
        <x:v>traceability</x:v>
      </x:c>
      <x:c r="AH2" s="750" t="str">
        <x:v>access_permission</x:v>
      </x:c>
      <x:c r="AI2" s="750" t="str">
        <x:v>automation_readiness</x:v>
      </x:c>
      <x:c r="AJ2" s="750" t="str">
        <x:v>operator_selection_decision</x:v>
      </x:c>
      <x:c r="AK2" s="750" t="str">
        <x:v>manual_update_date</x:v>
      </x:c>
      <x:c r="AL2" s="750" t="str">
        <x:v>manual_updated_by</x:v>
      </x:c>
      <x:c r="AM2" s="750" t="str">
        <x:v>source_status</x:v>
      </x:c>
      <x:c r="AN2" s="750" t="str">
        <x:v>primary_source_id</x:v>
      </x:c>
      <x:c r="AO2" s="750" t="str">
        <x:v>notes</x:v>
      </x:c>
      <x:c r="AP2" s="750" t="str">
        <x:v>acquisition_channel</x:v>
      </x:c>
      <x:c r="AQ2" s="750" t="str">
        <x:v>provenance_status</x:v>
      </x:c>
      <x:c r="AR2" s="750" t="str">
        <x:v>update_model</x:v>
      </x:c>
      <x:c r="AS2" s="750" t="str">
        <x:v>applicability_reference</x:v>
      </x:c>
    </x:row>
    <x:row r="3" s="36" customFormat="1" ht="30" customHeight="1">
      <x:c r="A3" s="751" t="str">
        <x:v>PA001</x:v>
      </x:c>
      <x:c r="B3" s="751" t="str">
        <x:v>PA001-001</x:v>
      </x:c>
      <x:c r="C3" s="751" t="str">
        <x:v>PA001-001_Act_relating_to_aquaculture_Aquaculture_Act.html</x:v>
      </x:c>
      <x:c r="D3" s="751" t="str">
        <x:v>STORED</x:v>
      </x:c>
      <x:c r="E3" s="751" t="str">
        <x:f>IF(A3="","",IF(OR(AJ3="EXCLUDE",COUNTIF(AD3:AH3,"LOW")&gt;0),"EXCLUDE",IF(OR(AJ3&lt;&gt;"INCLUDE",F3&lt;&gt;"SUCCESS",D3&lt;&gt;"STORED",U3="",AP3="",AQ3="",AQ3="UNVERIFIED",AND(AP3="OFFICIAL_WEBSITE",Q3=""),AND(OR(AA3="Equipment manual / OEM instruction",AB3="Asset-specific normative"),OR(Z3&lt;&gt;"Manufacturer / supplier",AS3="",AC3=""))),"PENDING",IF(COUNTIF(AD3:AH3,"HIGH")=5,"INCLUDE","PENDING"))))</x:f>
        <x:v>INCLUDE</x:v>
      </x:c>
      <x:c r="F3" s="751" t="str">
        <x:v>SUCCESS</x:v>
      </x:c>
      <x:c r="G3" s="755" t="n">
        <x:v>46262.53069444445</x:v>
      </x:c>
      <x:c r="H3" s="755" t="n">
        <x:v>46262.53069444445</x:v>
      </x:c>
      <x:c r="I3" s="751" t="str">
        <x:v>INITIAL</x:v>
      </x:c>
      <x:c r="J3" s="751" t="str">
        <x:v>AUTO</x:v>
      </x:c>
      <x:c r="K3" s="757" t="n">
        <x:f>IF(A3="","",IF(J3="AUTO",H3,IF(J3="MANUAL",AK3,"")))</x:f>
        <x:v>46262.53069444445</x:v>
      </x:c>
      <x:c r="L3" s="751" t="str">
        <x:v>NONE</x:v>
      </x:c>
      <x:c r="M3" s="751"/>
      <x:c r="N3" s="751" t="str">
        <x:f>IF(OR(AM3&lt;&gt;"CURRENT",E3="EXCLUDE"),"NO",IF(A3="","",IF(OR(F3="FAIL",F3="PAYWALL_BLOCKED"),IF(AND(AK3&lt;&gt;"",AK3&gt;=INT(G3),D3="STORED",J3="MANUAL",AL3&lt;&gt;""),"NO","YES"),IF(AND(AR3="ROLLING",I3="CHANGED"),IF(AND(AK3&lt;&gt;"",AK3&gt;=INT(IF(H3&lt;&gt;"",H3,G3)),AL3&lt;&gt;""),"NO","YES"),"NO"))))</x:f>
        <x:v>NO</x:v>
      </x:c>
      <x:c r="O3" s="751" t="str">
        <x:v>8c9f2d952806c8dabc44294d197d55654284d98ff63683cae18633b9ab76a967</x:v>
      </x:c>
      <x:c r="P3" s="752" t="str">
        <x:v>Act relating to aquaculture (Aquaculture Act)</x:v>
      </x:c>
      <x:c r="Q3" s="752" t="str">
        <x:v>https://lovdata.no/dokument/NL/lov/2005-06-17-79</x:v>
      </x:c>
      <x:c r="R3" s="752" t="str">
        <x:v>https://lovdata.no/dokument/NL/lov/2005-06-17-79</x:v>
      </x:c>
      <x:c r="S3" s="752" t="str">
        <x:v>A_Public_Authority</x:v>
      </x:c>
      <x:c r="T3" s="752" t="str">
        <x:v>html</x:v>
      </x:c>
      <x:c r="U3" s="752" t="str">
        <x:v>Norwegian Ministry of Trade, Industry and Fisheries</x:v>
      </x:c>
      <x:c r="V3" s="752" t="str">
        <x:v>Norway</x:v>
      </x:c>
      <x:c r="W3" s="752" t="str">
        <x:v>Norwegian</x:v>
      </x:c>
      <x:c r="X3" s="752"/>
      <x:c r="Y3" s="752"/>
      <x:c r="Z3" s="752" t="str">
        <x:v>Public authority</x:v>
      </x:c>
      <x:c r="AA3" s="752" t="str">
        <x:v>Law</x:v>
      </x:c>
      <x:c r="AB3" s="752" t="str">
        <x:v>Primary normative</x:v>
      </x:c>
      <x:c r="AC3" s="752" t="str">
        <x:v>Official law issued by Norwegian Ministry of Trade, Industry and Fisheries; included because it may impose binding requirements on an in-scope aquaculture asset, activity, permit or certification.</x:v>
      </x:c>
      <x:c r="AD3" s="752" t="str">
        <x:v>HIGH</x:v>
      </x:c>
      <x:c r="AE3" s="752" t="str">
        <x:v>HIGH</x:v>
      </x:c>
      <x:c r="AF3" s="752" t="str">
        <x:v>HIGH</x:v>
      </x:c>
      <x:c r="AG3" s="752" t="str">
        <x:v>HIGH</x:v>
      </x:c>
      <x:c r="AH3" s="752" t="str">
        <x:v>HIGH</x:v>
      </x:c>
      <x:c r="AI3" s="752" t="str">
        <x:v>HIGH</x:v>
      </x:c>
      <x:c r="AJ3" s="752" t="str">
        <x:v>INCLUDE</x:v>
      </x:c>
      <x:c r="AK3" s="759"/>
      <x:c r="AL3" s="752"/>
      <x:c r="AM3" s="752" t="str">
        <x:v>CURRENT</x:v>
      </x:c>
      <x:c r="AN3" s="752"/>
      <x:c r="AO3" s="752" t="str">
        <x:v>Project-mentioned candidate. Client scope and applicability are not yet approved.</x:v>
      </x:c>
      <x:c r="AP3" s="752" t="str">
        <x:v>OFFICIAL_WEBSITE</x:v>
      </x:c>
      <x:c r="AQ3" s="752" t="str">
        <x:v>OFFICIAL_ORIGINAL</x:v>
      </x:c>
      <x:c r="AR3" s="752" t="str">
        <x:v>ROLLING</x:v>
      </x:c>
      <x:c r="AS3" s="752"/>
    </x:row>
    <x:row r="4" s="36" customFormat="1" ht="30" customHeight="1">
      <x:c r="A4" s="751" t="str">
        <x:v>PA002</x:v>
      </x:c>
      <x:c r="B4" s="751" t="str">
        <x:v>PA002-001</x:v>
      </x:c>
      <x:c r="C4" s="751" t="str">
        <x:v>PA002-001_Regulation_on_production_areas_for_sea-based_salmon_trout_and_rainbow_trout_aquaculture.html</x:v>
      </x:c>
      <x:c r="D4" s="751" t="str">
        <x:v>STORED</x:v>
      </x:c>
      <x:c r="E4" s="751" t="str">
        <x:f>IF(A4="","",IF(OR(AJ4="EXCLUDE",COUNTIF(AD4:AH4,"LOW")&gt;0),"EXCLUDE",IF(OR(AJ4&lt;&gt;"INCLUDE",F4&lt;&gt;"SUCCESS",D4&lt;&gt;"STORED",U4="",AP4="",AQ4="",AQ4="UNVERIFIED",AND(AP4="OFFICIAL_WEBSITE",Q4=""),AND(OR(AA4="Equipment manual / OEM instruction",AB4="Asset-specific normative"),OR(Z4&lt;&gt;"Manufacturer / supplier",AS4="",AC4=""))),"PENDING",IF(COUNTIF(AD4:AH4,"HIGH")=5,"INCLUDE","PENDING"))))</x:f>
        <x:v>INCLUDE</x:v>
      </x:c>
      <x:c r="F4" s="751" t="str">
        <x:v>SUCCESS</x:v>
      </x:c>
      <x:c r="G4" s="755" t="n">
        <x:v>46262.53069444445</x:v>
      </x:c>
      <x:c r="H4" s="755" t="n">
        <x:v>46262.53069444445</x:v>
      </x:c>
      <x:c r="I4" s="751" t="str">
        <x:v>INITIAL</x:v>
      </x:c>
      <x:c r="J4" s="751" t="str">
        <x:v>AUTO</x:v>
      </x:c>
      <x:c r="K4" s="757" t="n">
        <x:f>IF(A4="","",IF(J4="AUTO",H4,IF(J4="MANUAL",AK4,"")))</x:f>
        <x:v>46262.53069444445</x:v>
      </x:c>
      <x:c r="L4" s="751" t="str">
        <x:v>NONE</x:v>
      </x:c>
      <x:c r="M4" s="751"/>
      <x:c r="N4" s="751" t="str">
        <x:f>IF(OR(AM4&lt;&gt;"CURRENT",E4="EXCLUDE"),"NO",IF(A4="","",IF(OR(F4="FAIL",F4="PAYWALL_BLOCKED"),IF(AND(AK4&lt;&gt;"",AK4&gt;=INT(G4),D4="STORED",J4="MANUAL",AL4&lt;&gt;""),"NO","YES"),IF(AND(AR4="ROLLING",I4="CHANGED"),IF(AND(AK4&lt;&gt;"",AK4&gt;=INT(IF(H4&lt;&gt;"",H4,G4)),AL4&lt;&gt;""),"NO","YES"),"NO"))))</x:f>
        <x:v>NO</x:v>
      </x:c>
      <x:c r="O4" s="751" t="str">
        <x:v>19a632a343fe10fa8262a0ed8df8daa6d3e96e34ff686704da4c28e3671b2833</x:v>
      </x:c>
      <x:c r="P4" s="752" t="str">
        <x:v>Regulation on production areas for sea-based salmon, trout and rainbow trout aquaculture</x:v>
      </x:c>
      <x:c r="Q4" s="752" t="str">
        <x:v>https://lovdata.no/dokument/SF/forskrift/2017-01-16-61</x:v>
      </x:c>
      <x:c r="R4" s="752" t="str">
        <x:v>https://lovdata.no/dokument/SF/forskrift/2017-01-16-61</x:v>
      </x:c>
      <x:c r="S4" s="752" t="str">
        <x:v>A_Public_Authority</x:v>
      </x:c>
      <x:c r="T4" s="752" t="str">
        <x:v>html</x:v>
      </x:c>
      <x:c r="U4" s="752" t="str">
        <x:v>Norwegian Ministry of Trade, Industry and Fisheries</x:v>
      </x:c>
      <x:c r="V4" s="752" t="str">
        <x:v>Norway</x:v>
      </x:c>
      <x:c r="W4" s="752" t="str">
        <x:v>Norwegian</x:v>
      </x:c>
      <x:c r="X4" s="752"/>
      <x:c r="Y4" s="752"/>
      <x:c r="Z4" s="752" t="str">
        <x:v>Public authority</x:v>
      </x:c>
      <x:c r="AA4" s="752" t="str">
        <x:v>Regulation</x:v>
      </x:c>
      <x:c r="AB4" s="752" t="str">
        <x:v>Primary normative</x:v>
      </x:c>
      <x:c r="AC4" s="752" t="str">
        <x:v>Official regulation issued by Norwegian Ministry of Trade, Industry and Fisheries; included because it may impose binding requirements on an in-scope aquaculture asset, activity, permit or certification.</x:v>
      </x:c>
      <x:c r="AD4" s="752" t="str">
        <x:v>HIGH</x:v>
      </x:c>
      <x:c r="AE4" s="752" t="str">
        <x:v>HIGH</x:v>
      </x:c>
      <x:c r="AF4" s="752" t="str">
        <x:v>HIGH</x:v>
      </x:c>
      <x:c r="AG4" s="752" t="str">
        <x:v>HIGH</x:v>
      </x:c>
      <x:c r="AH4" s="752" t="str">
        <x:v>HIGH</x:v>
      </x:c>
      <x:c r="AI4" s="752" t="str">
        <x:v>HIGH</x:v>
      </x:c>
      <x:c r="AJ4" s="752" t="str">
        <x:v>INCLUDE</x:v>
      </x:c>
      <x:c r="AK4" s="759"/>
      <x:c r="AL4" s="752"/>
      <x:c r="AM4" s="752" t="str">
        <x:v>CURRENT</x:v>
      </x:c>
      <x:c r="AN4" s="752"/>
      <x:c r="AO4" s="752" t="str">
        <x:v>Project-mentioned candidate. Conditional on species, production area and sea-based operation.</x:v>
      </x:c>
      <x:c r="AP4" s="752" t="str">
        <x:v>OFFICIAL_WEBSITE</x:v>
      </x:c>
      <x:c r="AQ4" s="752" t="str">
        <x:v>OFFICIAL_ORIGINAL</x:v>
      </x:c>
      <x:c r="AR4" s="752" t="str">
        <x:v>ROLLING</x:v>
      </x:c>
      <x:c r="AS4" s="752"/>
    </x:row>
    <x:row r="5" s="36" customFormat="1" ht="30" customHeight="1">
      <x:c r="A5" s="751" t="str">
        <x:v>PA003</x:v>
      </x:c>
      <x:c r="B5" s="751" t="str">
        <x:v>PA003-001</x:v>
      </x:c>
      <x:c r="C5" s="751" t="str">
        <x:v>PA003-001_Regulation_on_the_operation_of_aquaculture_facilities_Aquaculture_Operations_Regulations.html</x:v>
      </x:c>
      <x:c r="D5" s="751" t="str">
        <x:v>STORED</x:v>
      </x:c>
      <x:c r="E5" s="751" t="str">
        <x:f>IF(A5="","",IF(OR(AJ5="EXCLUDE",COUNTIF(AD5:AH5,"LOW")&gt;0),"EXCLUDE",IF(OR(AJ5&lt;&gt;"INCLUDE",F5&lt;&gt;"SUCCESS",D5&lt;&gt;"STORED",U5="",AP5="",AQ5="",AQ5="UNVERIFIED",AND(AP5="OFFICIAL_WEBSITE",Q5=""),AND(OR(AA5="Equipment manual / OEM instruction",AB5="Asset-specific normative"),OR(Z5&lt;&gt;"Manufacturer / supplier",AS5="",AC5=""))),"PENDING",IF(COUNTIF(AD5:AH5,"HIGH")=5,"INCLUDE","PENDING"))))</x:f>
        <x:v>INCLUDE</x:v>
      </x:c>
      <x:c r="F5" s="751" t="str">
        <x:v>SUCCESS</x:v>
      </x:c>
      <x:c r="G5" s="755" t="n">
        <x:v>46262.53069444445</x:v>
      </x:c>
      <x:c r="H5" s="755" t="n">
        <x:v>46262.53070601852</x:v>
      </x:c>
      <x:c r="I5" s="751" t="str">
        <x:v>INITIAL</x:v>
      </x:c>
      <x:c r="J5" s="751" t="str">
        <x:v>AUTO</x:v>
      </x:c>
      <x:c r="K5" s="757" t="n">
        <x:f>IF(A5="","",IF(J5="AUTO",H5,IF(J5="MANUAL",AK5,"")))</x:f>
        <x:v>46262.53070601852</x:v>
      </x:c>
      <x:c r="L5" s="751" t="str">
        <x:v>NONE</x:v>
      </x:c>
      <x:c r="M5" s="751"/>
      <x:c r="N5" s="751" t="str">
        <x:f>IF(OR(AM5&lt;&gt;"CURRENT",E5="EXCLUDE"),"NO",IF(A5="","",IF(OR(F5="FAIL",F5="PAYWALL_BLOCKED"),IF(AND(AK5&lt;&gt;"",AK5&gt;=INT(G5),D5="STORED",J5="MANUAL",AL5&lt;&gt;""),"NO","YES"),IF(AND(AR5="ROLLING",I5="CHANGED"),IF(AND(AK5&lt;&gt;"",AK5&gt;=INT(IF(H5&lt;&gt;"",H5,G5)),AL5&lt;&gt;""),"NO","YES"),"NO"))))</x:f>
        <x:v>NO</x:v>
      </x:c>
      <x:c r="O5" s="751" t="str">
        <x:v>81650171c1177e709d49dfe6b19673e4d07f5425b3bbb5cbf8fef92e3421bbea</x:v>
      </x:c>
      <x:c r="P5" s="752" t="str">
        <x:v>Regulation on the operation of aquaculture facilities (Aquaculture Operations Regulations)</x:v>
      </x:c>
      <x:c r="Q5" s="752" t="str">
        <x:v>https://lovdata.no/dokument/SF/forskrift/2008-06-17-822</x:v>
      </x:c>
      <x:c r="R5" s="752" t="str">
        <x:v>https://lovdata.no/dokument/SF/forskrift/2008-06-17-822</x:v>
      </x:c>
      <x:c r="S5" s="752" t="str">
        <x:v>A_Public_Authority</x:v>
      </x:c>
      <x:c r="T5" s="752" t="str">
        <x:v>html</x:v>
      </x:c>
      <x:c r="U5" s="752" t="str">
        <x:v>Norwegian Government</x:v>
      </x:c>
      <x:c r="V5" s="752" t="str">
        <x:v>Norway</x:v>
      </x:c>
      <x:c r="W5" s="752" t="str">
        <x:v>Norwegian</x:v>
      </x:c>
      <x:c r="X5" s="752"/>
      <x:c r="Y5" s="752"/>
      <x:c r="Z5" s="752" t="str">
        <x:v>Public authority</x:v>
      </x:c>
      <x:c r="AA5" s="752" t="str">
        <x:v>Regulation</x:v>
      </x:c>
      <x:c r="AB5" s="752" t="str">
        <x:v>Primary normative</x:v>
      </x:c>
      <x:c r="AC5" s="752" t="str">
        <x:v>Official regulation issued by Norwegian Government; included because it may impose binding requirements on an in-scope aquaculture asset, activity, permit or certification.</x:v>
      </x:c>
      <x:c r="AD5" s="752" t="str">
        <x:v>HIGH</x:v>
      </x:c>
      <x:c r="AE5" s="752" t="str">
        <x:v>HIGH</x:v>
      </x:c>
      <x:c r="AF5" s="752" t="str">
        <x:v>HIGH</x:v>
      </x:c>
      <x:c r="AG5" s="752" t="str">
        <x:v>HIGH</x:v>
      </x:c>
      <x:c r="AH5" s="752" t="str">
        <x:v>HIGH</x:v>
      </x:c>
      <x:c r="AI5" s="752" t="str">
        <x:v>HIGH</x:v>
      </x:c>
      <x:c r="AJ5" s="752" t="str">
        <x:v>INCLUDE</x:v>
      </x:c>
      <x:c r="AK5" s="759"/>
      <x:c r="AL5" s="752"/>
      <x:c r="AM5" s="752" t="str">
        <x:v>CURRENT</x:v>
      </x:c>
      <x:c r="AN5" s="752"/>
      <x:c r="AO5" s="752" t="str">
        <x:v>Project-mentioned candidate. Central operational source; scope confirmation is still required.</x:v>
      </x:c>
      <x:c r="AP5" s="752" t="str">
        <x:v>OFFICIAL_WEBSITE</x:v>
      </x:c>
      <x:c r="AQ5" s="752" t="str">
        <x:v>OFFICIAL_ORIGINAL</x:v>
      </x:c>
      <x:c r="AR5" s="752" t="str">
        <x:v>ROLLING</x:v>
      </x:c>
      <x:c r="AS5" s="752"/>
    </x:row>
    <x:row r="6" s="36" customFormat="1" ht="30" customHeight="1">
      <x:c r="A6" s="751" t="str">
        <x:v>PA004</x:v>
      </x:c>
      <x:c r="B6" s="751" t="str">
        <x:v>PA004-001</x:v>
      </x:c>
      <x:c r="C6" s="751" t="str">
        <x:v>PA004-001_NYTEK23_-_Regulation_on_technical_standards_for_aquaculture_facilities_for_fish_in_sea_lakes_and_watercourses.html</x:v>
      </x:c>
      <x:c r="D6" s="751" t="str">
        <x:v>STORED</x:v>
      </x:c>
      <x:c r="E6" s="751" t="str">
        <x:f>IF(A6="","",IF(OR(AJ6="EXCLUDE",COUNTIF(AD6:AH6,"LOW")&gt;0),"EXCLUDE",IF(OR(AJ6&lt;&gt;"INCLUDE",F6&lt;&gt;"SUCCESS",D6&lt;&gt;"STORED",U6="",AP6="",AQ6="",AQ6="UNVERIFIED",AND(AP6="OFFICIAL_WEBSITE",Q6=""),AND(OR(AA6="Equipment manual / OEM instruction",AB6="Asset-specific normative"),OR(Z6&lt;&gt;"Manufacturer / supplier",AS6="",AC6=""))),"PENDING",IF(COUNTIF(AD6:AH6,"HIGH")=5,"INCLUDE","PENDING"))))</x:f>
        <x:v>INCLUDE</x:v>
      </x:c>
      <x:c r="F6" s="751" t="str">
        <x:v>SUCCESS</x:v>
      </x:c>
      <x:c r="G6" s="755" t="n">
        <x:v>46262.53070601852</x:v>
      </x:c>
      <x:c r="H6" s="755" t="n">
        <x:v>46262.53070601852</x:v>
      </x:c>
      <x:c r="I6" s="751" t="str">
        <x:v>INITIAL</x:v>
      </x:c>
      <x:c r="J6" s="751" t="str">
        <x:v>AUTO</x:v>
      </x:c>
      <x:c r="K6" s="757" t="n">
        <x:f>IF(A6="","",IF(J6="AUTO",H6,IF(J6="MANUAL",AK6,"")))</x:f>
        <x:v>46262.53070601852</x:v>
      </x:c>
      <x:c r="L6" s="751" t="str">
        <x:v>NONE</x:v>
      </x:c>
      <x:c r="M6" s="751"/>
      <x:c r="N6" s="751" t="str">
        <x:f>IF(OR(AM6&lt;&gt;"CURRENT",E6="EXCLUDE"),"NO",IF(A6="","",IF(OR(F6="FAIL",F6="PAYWALL_BLOCKED"),IF(AND(AK6&lt;&gt;"",AK6&gt;=INT(G6),D6="STORED",J6="MANUAL",AL6&lt;&gt;""),"NO","YES"),IF(AND(AR6="ROLLING",I6="CHANGED"),IF(AND(AK6&lt;&gt;"",AK6&gt;=INT(IF(H6&lt;&gt;"",H6,G6)),AL6&lt;&gt;""),"NO","YES"),"NO"))))</x:f>
        <x:v>NO</x:v>
      </x:c>
      <x:c r="O6" s="751" t="str">
        <x:v>a20988ddfe78bcf3d4ab87695f50f2c0f57f542fe77f2b1a66f94a81a993ce17</x:v>
      </x:c>
      <x:c r="P6" s="752" t="str">
        <x:v>NYTEK23 - Regulation on technical standards for aquaculture facilities for fish in sea, lakes and watercourses</x:v>
      </x:c>
      <x:c r="Q6" s="752" t="str">
        <x:v>https://lovdata.no/dokument/SF/forskrift/2022-08-22-1484</x:v>
      </x:c>
      <x:c r="R6" s="752" t="str">
        <x:v>https://lovdata.no/dokument/SF/forskrift/2022-08-22-1484</x:v>
      </x:c>
      <x:c r="S6" s="752" t="str">
        <x:v>A_Public_Authority</x:v>
      </x:c>
      <x:c r="T6" s="752" t="str">
        <x:v>html</x:v>
      </x:c>
      <x:c r="U6" s="752" t="str">
        <x:v>Norwegian Ministry of Trade, Industry and Fisheries</x:v>
      </x:c>
      <x:c r="V6" s="752" t="str">
        <x:v>Norway</x:v>
      </x:c>
      <x:c r="W6" s="752" t="str">
        <x:v>Norwegian</x:v>
      </x:c>
      <x:c r="X6" s="752"/>
      <x:c r="Y6" s="752"/>
      <x:c r="Z6" s="752" t="str">
        <x:v>Public authority</x:v>
      </x:c>
      <x:c r="AA6" s="752" t="str">
        <x:v>Regulation</x:v>
      </x:c>
      <x:c r="AB6" s="752" t="str">
        <x:v>Primary normative</x:v>
      </x:c>
      <x:c r="AC6" s="752" t="str">
        <x:v>Official regulation issued by Norwegian Ministry of Trade, Industry and Fisheries; included because it may impose binding requirements on an in-scope aquaculture asset, activity, permit or certification.</x:v>
      </x:c>
      <x:c r="AD6" s="752" t="str">
        <x:v>HIGH</x:v>
      </x:c>
      <x:c r="AE6" s="752" t="str">
        <x:v>HIGH</x:v>
      </x:c>
      <x:c r="AF6" s="752" t="str">
        <x:v>HIGH</x:v>
      </x:c>
      <x:c r="AG6" s="752" t="str">
        <x:v>HIGH</x:v>
      </x:c>
      <x:c r="AH6" s="752" t="str">
        <x:v>HIGH</x:v>
      </x:c>
      <x:c r="AI6" s="752" t="str">
        <x:v>HIGH</x:v>
      </x:c>
      <x:c r="AJ6" s="752" t="str">
        <x:v>INCLUDE</x:v>
      </x:c>
      <x:c r="AK6" s="759"/>
      <x:c r="AL6" s="752"/>
      <x:c r="AM6" s="752" t="str">
        <x:v>CURRENT</x:v>
      </x:c>
      <x:c r="AN6" s="752"/>
      <x:c r="AO6" s="752" t="str">
        <x:v>Project-mentioned candidate. Applies to relevant water-based fish facilities.</x:v>
      </x:c>
      <x:c r="AP6" s="752" t="str">
        <x:v>OFFICIAL_WEBSITE</x:v>
      </x:c>
      <x:c r="AQ6" s="752" t="str">
        <x:v>OFFICIAL_ORIGINAL</x:v>
      </x:c>
      <x:c r="AR6" s="752" t="str">
        <x:v>ROLLING</x:v>
      </x:c>
      <x:c r="AS6" s="752"/>
    </x:row>
    <x:row r="7" s="36" customFormat="1" ht="30" customHeight="1">
      <x:c r="A7" s="751" t="str">
        <x:v>PA005</x:v>
      </x:c>
      <x:c r="B7" s="751" t="str">
        <x:v>PA005-001</x:v>
      </x:c>
      <x:c r="C7" s="751" t="str">
        <x:v>PA005-001_Animal_Welfare_Act.html</x:v>
      </x:c>
      <x:c r="D7" s="751" t="str">
        <x:v>STORED</x:v>
      </x:c>
      <x:c r="E7" s="751" t="str">
        <x:f>IF(A7="","",IF(OR(AJ7="EXCLUDE",COUNTIF(AD7:AH7,"LOW")&gt;0),"EXCLUDE",IF(OR(AJ7&lt;&gt;"INCLUDE",F7&lt;&gt;"SUCCESS",D7&lt;&gt;"STORED",U7="",AP7="",AQ7="",AQ7="UNVERIFIED",AND(AP7="OFFICIAL_WEBSITE",Q7=""),AND(OR(AA7="Equipment manual / OEM instruction",AB7="Asset-specific normative"),OR(Z7&lt;&gt;"Manufacturer / supplier",AS7="",AC7=""))),"PENDING",IF(COUNTIF(AD7:AH7,"HIGH")=5,"INCLUDE","PENDING"))))</x:f>
        <x:v>INCLUDE</x:v>
      </x:c>
      <x:c r="F7" s="751" t="str">
        <x:v>SUCCESS</x:v>
      </x:c>
      <x:c r="G7" s="755" t="n">
        <x:v>46262.53070601852</x:v>
      </x:c>
      <x:c r="H7" s="755" t="n">
        <x:v>46262.53070601852</x:v>
      </x:c>
      <x:c r="I7" s="751" t="str">
        <x:v>INITIAL</x:v>
      </x:c>
      <x:c r="J7" s="751" t="str">
        <x:v>AUTO</x:v>
      </x:c>
      <x:c r="K7" s="757" t="n">
        <x:f>IF(A7="","",IF(J7="AUTO",H7,IF(J7="MANUAL",AK7,"")))</x:f>
        <x:v>46262.53070601852</x:v>
      </x:c>
      <x:c r="L7" s="751" t="str">
        <x:v>NONE</x:v>
      </x:c>
      <x:c r="M7" s="751"/>
      <x:c r="N7" s="751" t="str">
        <x:f>IF(OR(AM7&lt;&gt;"CURRENT",E7="EXCLUDE"),"NO",IF(A7="","",IF(OR(F7="FAIL",F7="PAYWALL_BLOCKED"),IF(AND(AK7&lt;&gt;"",AK7&gt;=INT(G7),D7="STORED",J7="MANUAL",AL7&lt;&gt;""),"NO","YES"),IF(AND(AR7="ROLLING",I7="CHANGED"),IF(AND(AK7&lt;&gt;"",AK7&gt;=INT(IF(H7&lt;&gt;"",H7,G7)),AL7&lt;&gt;""),"NO","YES"),"NO"))))</x:f>
        <x:v>NO</x:v>
      </x:c>
      <x:c r="O7" s="751" t="str">
        <x:v>121dce4cf5263302d47a467a612b437ffb1a6c660fb7454b6698101f16ea3808</x:v>
      </x:c>
      <x:c r="P7" s="752" t="str">
        <x:v>Animal Welfare Act</x:v>
      </x:c>
      <x:c r="Q7" s="752" t="str">
        <x:v>https://lovdata.no/dokument/NL/lov/2009-06-19-97</x:v>
      </x:c>
      <x:c r="R7" s="752" t="str">
        <x:v>https://lovdata.no/dokument/NL/lov/2009-06-19-97</x:v>
      </x:c>
      <x:c r="S7" s="752" t="str">
        <x:v>A_Public_Authority</x:v>
      </x:c>
      <x:c r="T7" s="752" t="str">
        <x:v>html</x:v>
      </x:c>
      <x:c r="U7" s="752" t="str">
        <x:v>Norwegian Ministry of Agriculture and Food</x:v>
      </x:c>
      <x:c r="V7" s="752" t="str">
        <x:v>Norway</x:v>
      </x:c>
      <x:c r="W7" s="752" t="str">
        <x:v>Norwegian</x:v>
      </x:c>
      <x:c r="X7" s="752"/>
      <x:c r="Y7" s="752"/>
      <x:c r="Z7" s="752" t="str">
        <x:v>Public authority</x:v>
      </x:c>
      <x:c r="AA7" s="752" t="str">
        <x:v>Law</x:v>
      </x:c>
      <x:c r="AB7" s="752" t="str">
        <x:v>Primary normative</x:v>
      </x:c>
      <x:c r="AC7" s="752" t="str">
        <x:v>Official law issued by Norwegian Ministry of Agriculture and Food; included because it may impose binding requirements on an in-scope aquaculture asset, activity, permit or certification.</x:v>
      </x:c>
      <x:c r="AD7" s="752" t="str">
        <x:v>HIGH</x:v>
      </x:c>
      <x:c r="AE7" s="752" t="str">
        <x:v>HIGH</x:v>
      </x:c>
      <x:c r="AF7" s="752" t="str">
        <x:v>HIGH</x:v>
      </x:c>
      <x:c r="AG7" s="752" t="str">
        <x:v>HIGH</x:v>
      </x:c>
      <x:c r="AH7" s="752" t="str">
        <x:v>HIGH</x:v>
      </x:c>
      <x:c r="AI7" s="752" t="str">
        <x:v>HIGH</x:v>
      </x:c>
      <x:c r="AJ7" s="752" t="str">
        <x:v>INCLUDE</x:v>
      </x:c>
      <x:c r="AK7" s="759"/>
      <x:c r="AL7" s="752"/>
      <x:c r="AM7" s="752" t="str">
        <x:v>CURRENT</x:v>
      </x:c>
      <x:c r="AN7" s="752"/>
      <x:c r="AO7" s="752" t="str">
        <x:v>Project-mentioned candidate covering fish and other aquatic animals.</x:v>
      </x:c>
      <x:c r="AP7" s="752" t="str">
        <x:v>OFFICIAL_WEBSITE</x:v>
      </x:c>
      <x:c r="AQ7" s="752" t="str">
        <x:v>OFFICIAL_ORIGINAL</x:v>
      </x:c>
      <x:c r="AR7" s="752" t="str">
        <x:v>ROLLING</x:v>
      </x:c>
      <x:c r="AS7" s="752"/>
    </x:row>
    <x:row r="8" s="36" customFormat="1" ht="30" customHeight="1">
      <x:c r="A8" s="751" t="str">
        <x:v>PA006</x:v>
      </x:c>
      <x:c r="B8" s="751" t="str">
        <x:v>PA006-001</x:v>
      </x:c>
      <x:c r="C8" s="751" t="str">
        <x:v>PA006-001_Organic_Production_and_Labelling_Regulations.html</x:v>
      </x:c>
      <x:c r="D8" s="751" t="str">
        <x:v>STORED</x:v>
      </x:c>
      <x:c r="E8" s="751" t="str">
        <x:f>IF(A8="","",IF(OR(AJ8="EXCLUDE",COUNTIF(AD8:AH8,"LOW")&gt;0),"EXCLUDE",IF(OR(AJ8&lt;&gt;"INCLUDE",F8&lt;&gt;"SUCCESS",D8&lt;&gt;"STORED",U8="",AP8="",AQ8="",AQ8="UNVERIFIED",AND(AP8="OFFICIAL_WEBSITE",Q8=""),AND(OR(AA8="Equipment manual / OEM instruction",AB8="Asset-specific normative"),OR(Z8&lt;&gt;"Manufacturer / supplier",AS8="",AC8=""))),"PENDING",IF(COUNTIF(AD8:AH8,"HIGH")=5,"INCLUDE","PENDING"))))</x:f>
        <x:v>PENDING</x:v>
      </x:c>
      <x:c r="F8" s="751" t="str">
        <x:v>SUCCESS</x:v>
      </x:c>
      <x:c r="G8" s="755" t="n">
        <x:v>46262.53070601852</x:v>
      </x:c>
      <x:c r="H8" s="755" t="n">
        <x:v>46262.53081018518</x:v>
      </x:c>
      <x:c r="I8" s="751" t="str">
        <x:v>INITIAL</x:v>
      </x:c>
      <x:c r="J8" s="751" t="str">
        <x:v>AUTO</x:v>
      </x:c>
      <x:c r="K8" s="757" t="n">
        <x:f>IF(A8="","",IF(J8="AUTO",H8,IF(J8="MANUAL",AK8,"")))</x:f>
        <x:v>46262.53081018518</x:v>
      </x:c>
      <x:c r="L8" s="751" t="str">
        <x:v>NONE</x:v>
      </x:c>
      <x:c r="M8" s="751"/>
      <x:c r="N8" s="751" t="str">
        <x:f>IF(OR(AM8&lt;&gt;"CURRENT",E8="EXCLUDE"),"NO",IF(A8="","",IF(OR(F8="FAIL",F8="PAYWALL_BLOCKED"),IF(AND(AK8&lt;&gt;"",AK8&gt;=INT(G8),D8="STORED",J8="MANUAL",AL8&lt;&gt;""),"NO","YES"),IF(AND(AR8="ROLLING",I8="CHANGED"),IF(AND(AK8&lt;&gt;"",AK8&gt;=INT(IF(H8&lt;&gt;"",H8,G8)),AL8&lt;&gt;""),"NO","YES"),"NO"))))</x:f>
        <x:v>NO</x:v>
      </x:c>
      <x:c r="O8" s="751" t="str">
        <x:v>18009ae503b2261b56c5c11ddde0a8a7400915f2d1b93894f3ea66085b7ec642</x:v>
      </x:c>
      <x:c r="P8" s="752" t="str">
        <x:v>Organic Production and Labelling Regulations</x:v>
      </x:c>
      <x:c r="Q8" s="752" t="str">
        <x:v>https://lovdata.no/dokument/SF/forskrift/2022-06-11-1171</x:v>
      </x:c>
      <x:c r="R8" s="752" t="str">
        <x:v>https://lovdata.no/dokument/SF/forskrift/2022-06-11-1171</x:v>
      </x:c>
      <x:c r="S8" s="752" t="str">
        <x:v>A_Public_Authority</x:v>
      </x:c>
      <x:c r="T8" s="752" t="str">
        <x:v>html</x:v>
      </x:c>
      <x:c r="U8" s="752" t="str">
        <x:v>Norwegian Government</x:v>
      </x:c>
      <x:c r="V8" s="752" t="str">
        <x:v>Norway</x:v>
      </x:c>
      <x:c r="W8" s="752" t="str">
        <x:v>Norwegian</x:v>
      </x:c>
      <x:c r="X8" s="752"/>
      <x:c r="Y8" s="752"/>
      <x:c r="Z8" s="752" t="str">
        <x:v>Public authority</x:v>
      </x:c>
      <x:c r="AA8" s="752" t="str">
        <x:v>Regulation</x:v>
      </x:c>
      <x:c r="AB8" s="752" t="str">
        <x:v>Primary normative</x:v>
      </x:c>
      <x:c r="AC8" s="752" t="str">
        <x:v>Official regulation issued by Norwegian Government; included because it may impose binding requirements on an in-scope aquaculture asset, activity, permit or certification.</x:v>
      </x:c>
      <x:c r="AD8" s="752" t="str">
        <x:v>HIGH</x:v>
      </x:c>
      <x:c r="AE8" s="752" t="str">
        <x:v>MEDIUM</x:v>
      </x:c>
      <x:c r="AF8" s="752" t="str">
        <x:v>HIGH</x:v>
      </x:c>
      <x:c r="AG8" s="752" t="str">
        <x:v>HIGH</x:v>
      </x:c>
      <x:c r="AH8" s="752" t="str">
        <x:v>HIGH</x:v>
      </x:c>
      <x:c r="AI8" s="752" t="str">
        <x:v>HIGH</x:v>
      </x:c>
      <x:c r="AJ8" s="752" t="str">
        <x:v>PENDING</x:v>
      </x:c>
      <x:c r="AK8" s="759"/>
      <x:c r="AL8" s="752"/>
      <x:c r="AM8" s="752" t="str">
        <x:v>CURRENT</x:v>
      </x:c>
      <x:c r="AN8" s="752"/>
      <x:c r="AO8" s="752" t="str">
        <x:v>Project-mentioned candidate. Include only for organic production or labelling scope.</x:v>
      </x:c>
      <x:c r="AP8" s="752" t="str">
        <x:v>OFFICIAL_WEBSITE</x:v>
      </x:c>
      <x:c r="AQ8" s="752" t="str">
        <x:v>OFFICIAL_ORIGINAL</x:v>
      </x:c>
      <x:c r="AR8" s="752" t="str">
        <x:v>ROLLING</x:v>
      </x:c>
      <x:c r="AS8" s="752"/>
    </x:row>
    <x:row r="9" s="36" customFormat="1" ht="30" customHeight="1">
      <x:c r="A9" s="751" t="str">
        <x:v>PA007</x:v>
      </x:c>
      <x:c r="B9" s="751" t="str">
        <x:v>PA007-001</x:v>
      </x:c>
      <x:c r="C9" s="751" t="str">
        <x:v>PA007-001_Pollution_Control_Act.html</x:v>
      </x:c>
      <x:c r="D9" s="751" t="str">
        <x:v>STORED</x:v>
      </x:c>
      <x:c r="E9" s="751" t="str">
        <x:f>IF(A9="","",IF(OR(AJ9="EXCLUDE",COUNTIF(AD9:AH9,"LOW")&gt;0),"EXCLUDE",IF(OR(AJ9&lt;&gt;"INCLUDE",F9&lt;&gt;"SUCCESS",D9&lt;&gt;"STORED",U9="",AP9="",AQ9="",AQ9="UNVERIFIED",AND(AP9="OFFICIAL_WEBSITE",Q9=""),AND(OR(AA9="Equipment manual / OEM instruction",AB9="Asset-specific normative"),OR(Z9&lt;&gt;"Manufacturer / supplier",AS9="",AC9=""))),"PENDING",IF(COUNTIF(AD9:AH9,"HIGH")=5,"INCLUDE","PENDING"))))</x:f>
        <x:v>INCLUDE</x:v>
      </x:c>
      <x:c r="F9" s="751" t="str">
        <x:v>SUCCESS</x:v>
      </x:c>
      <x:c r="G9" s="755" t="n">
        <x:v>46262.53081018518</x:v>
      </x:c>
      <x:c r="H9" s="755" t="n">
        <x:v>46262.53081018518</x:v>
      </x:c>
      <x:c r="I9" s="751" t="str">
        <x:v>INITIAL</x:v>
      </x:c>
      <x:c r="J9" s="751" t="str">
        <x:v>AUTO</x:v>
      </x:c>
      <x:c r="K9" s="757" t="n">
        <x:f>IF(A9="","",IF(J9="AUTO",H9,IF(J9="MANUAL",AK9,"")))</x:f>
        <x:v>46262.53081018518</x:v>
      </x:c>
      <x:c r="L9" s="751" t="str">
        <x:v>NONE</x:v>
      </x:c>
      <x:c r="M9" s="751"/>
      <x:c r="N9" s="751" t="str">
        <x:f>IF(OR(AM9&lt;&gt;"CURRENT",E9="EXCLUDE"),"NO",IF(A9="","",IF(OR(F9="FAIL",F9="PAYWALL_BLOCKED"),IF(AND(AK9&lt;&gt;"",AK9&gt;=INT(G9),D9="STORED",J9="MANUAL",AL9&lt;&gt;""),"NO","YES"),IF(AND(AR9="ROLLING",I9="CHANGED"),IF(AND(AK9&lt;&gt;"",AK9&gt;=INT(IF(H9&lt;&gt;"",H9,G9)),AL9&lt;&gt;""),"NO","YES"),"NO"))))</x:f>
        <x:v>NO</x:v>
      </x:c>
      <x:c r="O9" s="751" t="str">
        <x:v>6dbac9891bf38811447ed04c583140063ff23e0e1494e59f5ca0aa485b1e5901</x:v>
      </x:c>
      <x:c r="P9" s="752" t="str">
        <x:v>Pollution Control Act</x:v>
      </x:c>
      <x:c r="Q9" s="752" t="str">
        <x:v>https://lovdata.no/dokument/NL/lov/1981-03-13-6</x:v>
      </x:c>
      <x:c r="R9" s="752" t="str">
        <x:v>https://lovdata.no/dokument/NL/lov/1981-03-13-6</x:v>
      </x:c>
      <x:c r="S9" s="752" t="str">
        <x:v>A_Public_Authority</x:v>
      </x:c>
      <x:c r="T9" s="752" t="str">
        <x:v>html</x:v>
      </x:c>
      <x:c r="U9" s="752" t="str">
        <x:v>Norwegian Ministry of Climate and Environment</x:v>
      </x:c>
      <x:c r="V9" s="752" t="str">
        <x:v>Norway</x:v>
      </x:c>
      <x:c r="W9" s="752" t="str">
        <x:v>Norwegian</x:v>
      </x:c>
      <x:c r="X9" s="752"/>
      <x:c r="Y9" s="752"/>
      <x:c r="Z9" s="752" t="str">
        <x:v>Public authority</x:v>
      </x:c>
      <x:c r="AA9" s="752" t="str">
        <x:v>Law</x:v>
      </x:c>
      <x:c r="AB9" s="752" t="str">
        <x:v>Primary normative</x:v>
      </x:c>
      <x:c r="AC9" s="752" t="str">
        <x:v>Official law issued by Norwegian Ministry of Climate and Environment; included because it may impose binding requirements on an in-scope aquaculture asset, activity, permit or certification.</x:v>
      </x:c>
      <x:c r="AD9" s="752" t="str">
        <x:v>HIGH</x:v>
      </x:c>
      <x:c r="AE9" s="752" t="str">
        <x:v>HIGH</x:v>
      </x:c>
      <x:c r="AF9" s="752" t="str">
        <x:v>HIGH</x:v>
      </x:c>
      <x:c r="AG9" s="752" t="str">
        <x:v>HIGH</x:v>
      </x:c>
      <x:c r="AH9" s="752" t="str">
        <x:v>HIGH</x:v>
      </x:c>
      <x:c r="AI9" s="752" t="str">
        <x:v>HIGH</x:v>
      </x:c>
      <x:c r="AJ9" s="752" t="str">
        <x:v>INCLUDE</x:v>
      </x:c>
      <x:c r="AK9" s="759"/>
      <x:c r="AL9" s="752"/>
      <x:c r="AM9" s="752" t="str">
        <x:v>CURRENT</x:v>
      </x:c>
      <x:c r="AN9" s="752"/>
      <x:c r="AO9" s="752" t="str">
        <x:v>Project-mentioned candidate for emissions, waste and pollution permits.</x:v>
      </x:c>
      <x:c r="AP9" s="752" t="str">
        <x:v>OFFICIAL_WEBSITE</x:v>
      </x:c>
      <x:c r="AQ9" s="752" t="str">
        <x:v>OFFICIAL_ORIGINAL</x:v>
      </x:c>
      <x:c r="AR9" s="752" t="str">
        <x:v>ROLLING</x:v>
      </x:c>
      <x:c r="AS9" s="752"/>
    </x:row>
    <x:row r="10" s="36" customFormat="1" ht="30" customHeight="1">
      <x:c r="A10" s="751" t="str">
        <x:v>PA008</x:v>
      </x:c>
      <x:c r="B10" s="751" t="str">
        <x:v>PA008-001</x:v>
      </x:c>
      <x:c r="C10" s="751" t="str">
        <x:v>PA008-001_Water_Framework_Regulations.html</x:v>
      </x:c>
      <x:c r="D10" s="751" t="str">
        <x:v>STORED</x:v>
      </x:c>
      <x:c r="E10" s="751" t="str">
        <x:f>IF(A10="","",IF(OR(AJ10="EXCLUDE",COUNTIF(AD10:AH10,"LOW")&gt;0),"EXCLUDE",IF(OR(AJ10&lt;&gt;"INCLUDE",F10&lt;&gt;"SUCCESS",D10&lt;&gt;"STORED",U10="",AP10="",AQ10="",AQ10="UNVERIFIED",AND(AP10="OFFICIAL_WEBSITE",Q10=""),AND(OR(AA10="Equipment manual / OEM instruction",AB10="Asset-specific normative"),OR(Z10&lt;&gt;"Manufacturer / supplier",AS10="",AC10=""))),"PENDING",IF(COUNTIF(AD10:AH10,"HIGH")=5,"INCLUDE","PENDING"))))</x:f>
        <x:v>PENDING</x:v>
      </x:c>
      <x:c r="F10" s="751" t="str">
        <x:v>SUCCESS</x:v>
      </x:c>
      <x:c r="G10" s="755" t="n">
        <x:v>46262.53081018518</x:v>
      </x:c>
      <x:c r="H10" s="755" t="n">
        <x:v>46262.53081018518</x:v>
      </x:c>
      <x:c r="I10" s="751" t="str">
        <x:v>INITIAL</x:v>
      </x:c>
      <x:c r="J10" s="751" t="str">
        <x:v>AUTO</x:v>
      </x:c>
      <x:c r="K10" s="757" t="n">
        <x:f>IF(A10="","",IF(J10="AUTO",H10,IF(J10="MANUAL",AK10,"")))</x:f>
        <x:v>46262.53081018518</x:v>
      </x:c>
      <x:c r="L10" s="751" t="str">
        <x:v>NONE</x:v>
      </x:c>
      <x:c r="M10" s="751"/>
      <x:c r="N10" s="751" t="str">
        <x:f>IF(OR(AM10&lt;&gt;"CURRENT",E10="EXCLUDE"),"NO",IF(A10="","",IF(OR(F10="FAIL",F10="PAYWALL_BLOCKED"),IF(AND(AK10&lt;&gt;"",AK10&gt;=INT(G10),D10="STORED",J10="MANUAL",AL10&lt;&gt;""),"NO","YES"),IF(AND(AR10="ROLLING",I10="CHANGED"),IF(AND(AK10&lt;&gt;"",AK10&gt;=INT(IF(H10&lt;&gt;"",H10,G10)),AL10&lt;&gt;""),"NO","YES"),"NO"))))</x:f>
        <x:v>NO</x:v>
      </x:c>
      <x:c r="O10" s="751" t="str">
        <x:v>bc9d9f926fe9f5ba2ee6df81938c45b7f4a20579ab7f7a149a5e9d1432169da2</x:v>
      </x:c>
      <x:c r="P10" s="752" t="str">
        <x:v>Water Framework Regulations</x:v>
      </x:c>
      <x:c r="Q10" s="752" t="str">
        <x:v>https://lovdata.no/dokument/SF/forskrift/2006-12-15-1446</x:v>
      </x:c>
      <x:c r="R10" s="752" t="str">
        <x:v>https://lovdata.no/dokument/SF/forskrift/2006-12-15-1446</x:v>
      </x:c>
      <x:c r="S10" s="752" t="str">
        <x:v>A_Public_Authority</x:v>
      </x:c>
      <x:c r="T10" s="752" t="str">
        <x:v>html</x:v>
      </x:c>
      <x:c r="U10" s="752" t="str">
        <x:v>Norwegian Government</x:v>
      </x:c>
      <x:c r="V10" s="752" t="str">
        <x:v>Norway</x:v>
      </x:c>
      <x:c r="W10" s="752" t="str">
        <x:v>Norwegian</x:v>
      </x:c>
      <x:c r="X10" s="752"/>
      <x:c r="Y10" s="752"/>
      <x:c r="Z10" s="752" t="str">
        <x:v>Public authority</x:v>
      </x:c>
      <x:c r="AA10" s="752" t="str">
        <x:v>Regulation</x:v>
      </x:c>
      <x:c r="AB10" s="752" t="str">
        <x:v>Referenced normative</x:v>
      </x:c>
      <x:c r="AC10" s="752" t="str">
        <x:v>Official referenced source from Norwegian Government; included because an applicable law, permit or certification scheme may make its provisions binding within the approved scope.</x:v>
      </x:c>
      <x:c r="AD10" s="752" t="str">
        <x:v>HIGH</x:v>
      </x:c>
      <x:c r="AE10" s="752" t="str">
        <x:v>MEDIUM</x:v>
      </x:c>
      <x:c r="AF10" s="752" t="str">
        <x:v>HIGH</x:v>
      </x:c>
      <x:c r="AG10" s="752" t="str">
        <x:v>HIGH</x:v>
      </x:c>
      <x:c r="AH10" s="752" t="str">
        <x:v>HIGH</x:v>
      </x:c>
      <x:c r="AI10" s="752" t="str">
        <x:v>HIGH</x:v>
      </x:c>
      <x:c r="AJ10" s="752" t="str">
        <x:v>PENDING</x:v>
      </x:c>
      <x:c r="AK10" s="759"/>
      <x:c r="AL10" s="752"/>
      <x:c r="AM10" s="752" t="str">
        <x:v>CURRENT</x:v>
      </x:c>
      <x:c r="AN10" s="752"/>
      <x:c r="AO10" s="752" t="str">
        <x:v>Project-mentioned candidate. Relevance depends on recipient and water-body assessment.</x:v>
      </x:c>
      <x:c r="AP10" s="752" t="str">
        <x:v>OFFICIAL_WEBSITE</x:v>
      </x:c>
      <x:c r="AQ10" s="752" t="str">
        <x:v>OFFICIAL_ORIGINAL</x:v>
      </x:c>
      <x:c r="AR10" s="752" t="str">
        <x:v>ROLLING</x:v>
      </x:c>
      <x:c r="AS10" s="752"/>
    </x:row>
    <x:row r="11" s="36" customFormat="1" ht="30" customHeight="1">
      <x:c r="A11" s="751" t="str">
        <x:v>PA009</x:v>
      </x:c>
      <x:c r="B11" s="751" t="str">
        <x:v>PA009-001</x:v>
      </x:c>
      <x:c r="C11" s="751" t="str">
        <x:v>PA009-001_Product_Control_Act.html</x:v>
      </x:c>
      <x:c r="D11" s="751" t="str">
        <x:v>STORED</x:v>
      </x:c>
      <x:c r="E11" s="751" t="str">
        <x:f>IF(A11="","",IF(OR(AJ11="EXCLUDE",COUNTIF(AD11:AH11,"LOW")&gt;0),"EXCLUDE",IF(OR(AJ11&lt;&gt;"INCLUDE",F11&lt;&gt;"SUCCESS",D11&lt;&gt;"STORED",U11="",AP11="",AQ11="",AQ11="UNVERIFIED",AND(AP11="OFFICIAL_WEBSITE",Q11=""),AND(OR(AA11="Equipment manual / OEM instruction",AB11="Asset-specific normative"),OR(Z11&lt;&gt;"Manufacturer / supplier",AS11="",AC11=""))),"PENDING",IF(COUNTIF(AD11:AH11,"HIGH")=5,"INCLUDE","PENDING"))))</x:f>
        <x:v>INCLUDE</x:v>
      </x:c>
      <x:c r="F11" s="751" t="str">
        <x:v>SUCCESS</x:v>
      </x:c>
      <x:c r="G11" s="755" t="n">
        <x:v>46262.53082175926</x:v>
      </x:c>
      <x:c r="H11" s="755" t="n">
        <x:v>46262.53082175926</x:v>
      </x:c>
      <x:c r="I11" s="751" t="str">
        <x:v>INITIAL</x:v>
      </x:c>
      <x:c r="J11" s="751" t="str">
        <x:v>AUTO</x:v>
      </x:c>
      <x:c r="K11" s="757" t="n">
        <x:f>IF(A11="","",IF(J11="AUTO",H11,IF(J11="MANUAL",AK11,"")))</x:f>
        <x:v>46262.53082175926</x:v>
      </x:c>
      <x:c r="L11" s="751" t="str">
        <x:v>NONE</x:v>
      </x:c>
      <x:c r="M11" s="751"/>
      <x:c r="N11" s="751" t="str">
        <x:f>IF(OR(AM11&lt;&gt;"CURRENT",E11="EXCLUDE"),"NO",IF(A11="","",IF(OR(F11="FAIL",F11="PAYWALL_BLOCKED"),IF(AND(AK11&lt;&gt;"",AK11&gt;=INT(G11),D11="STORED",J11="MANUAL",AL11&lt;&gt;""),"NO","YES"),IF(AND(AR11="ROLLING",I11="CHANGED"),IF(AND(AK11&lt;&gt;"",AK11&gt;=INT(IF(H11&lt;&gt;"",H11,G11)),AL11&lt;&gt;""),"NO","YES"),"NO"))))</x:f>
        <x:v>NO</x:v>
      </x:c>
      <x:c r="O11" s="751" t="str">
        <x:v>3805399145febb193e5e92fe37c364f9d2e0c87c260acc495f284639e92641a2</x:v>
      </x:c>
      <x:c r="P11" s="752" t="str">
        <x:v>Product Control Act</x:v>
      </x:c>
      <x:c r="Q11" s="752" t="str">
        <x:v>https://lovdata.no/dokument/NL/lov/1976-06-11-79</x:v>
      </x:c>
      <x:c r="R11" s="752" t="str">
        <x:v>https://lovdata.no/dokument/NL/lov/1976-06-11-79</x:v>
      </x:c>
      <x:c r="S11" s="752" t="str">
        <x:v>A_Public_Authority</x:v>
      </x:c>
      <x:c r="T11" s="752" t="str">
        <x:v>html</x:v>
      </x:c>
      <x:c r="U11" s="752" t="str">
        <x:v>Norwegian Ministry of Climate and Environment</x:v>
      </x:c>
      <x:c r="V11" s="752" t="str">
        <x:v>Norway</x:v>
      </x:c>
      <x:c r="W11" s="752" t="str">
        <x:v>Norwegian</x:v>
      </x:c>
      <x:c r="X11" s="752"/>
      <x:c r="Y11" s="752"/>
      <x:c r="Z11" s="752" t="str">
        <x:v>Public authority</x:v>
      </x:c>
      <x:c r="AA11" s="752" t="str">
        <x:v>Law</x:v>
      </x:c>
      <x:c r="AB11" s="752" t="str">
        <x:v>Primary normative</x:v>
      </x:c>
      <x:c r="AC11" s="752" t="str">
        <x:v>Official law issued by Norwegian Ministry of Climate and Environment; included because it may impose binding requirements on an in-scope aquaculture asset, activity, permit or certification.</x:v>
      </x:c>
      <x:c r="AD11" s="752" t="str">
        <x:v>HIGH</x:v>
      </x:c>
      <x:c r="AE11" s="752" t="str">
        <x:v>HIGH</x:v>
      </x:c>
      <x:c r="AF11" s="752" t="str">
        <x:v>HIGH</x:v>
      </x:c>
      <x:c r="AG11" s="752" t="str">
        <x:v>HIGH</x:v>
      </x:c>
      <x:c r="AH11" s="752" t="str">
        <x:v>HIGH</x:v>
      </x:c>
      <x:c r="AI11" s="752" t="str">
        <x:v>HIGH</x:v>
      </x:c>
      <x:c r="AJ11" s="752" t="str">
        <x:v>INCLUDE</x:v>
      </x:c>
      <x:c r="AK11" s="759"/>
      <x:c r="AL11" s="752"/>
      <x:c r="AM11" s="752" t="str">
        <x:v>CURRENT</x:v>
      </x:c>
      <x:c r="AN11" s="752"/>
      <x:c r="AO11" s="752" t="str">
        <x:v>Project-mentioned candidate, including substitution duties for harmful products.</x:v>
      </x:c>
      <x:c r="AP11" s="752" t="str">
        <x:v>OFFICIAL_WEBSITE</x:v>
      </x:c>
      <x:c r="AQ11" s="752" t="str">
        <x:v>OFFICIAL_ORIGINAL</x:v>
      </x:c>
      <x:c r="AR11" s="752" t="str">
        <x:v>ROLLING</x:v>
      </x:c>
      <x:c r="AS11" s="752"/>
    </x:row>
    <x:row r="12" s="36" customFormat="1" ht="30" customHeight="1">
      <x:c r="A12" s="751" t="str">
        <x:v>PA010</x:v>
      </x:c>
      <x:c r="B12" s="751" t="str">
        <x:v>PA010-001</x:v>
      </x:c>
      <x:c r="C12" s="751" t="str">
        <x:v>PA010-001_Regulation_EU_2016_429_on_transmissible_animal_diseases_Animal_Health_Law.html</x:v>
      </x:c>
      <x:c r="D12" s="751" t="str">
        <x:v>STORED</x:v>
      </x:c>
      <x:c r="E12" s="751" t="str">
        <x:f>IF(A12="","",IF(OR(AJ12="EXCLUDE",COUNTIF(AD12:AH12,"LOW")&gt;0),"EXCLUDE",IF(OR(AJ12&lt;&gt;"INCLUDE",F12&lt;&gt;"SUCCESS",D12&lt;&gt;"STORED",U12="",AP12="",AQ12="",AQ12="UNVERIFIED",AND(AP12="OFFICIAL_WEBSITE",Q12=""),AND(OR(AA12="Equipment manual / OEM instruction",AB12="Asset-specific normative"),OR(Z12&lt;&gt;"Manufacturer / supplier",AS12="",AC12=""))),"PENDING",IF(COUNTIF(AD12:AH12,"HIGH")=5,"INCLUDE","PENDING"))))</x:f>
        <x:v>PENDING</x:v>
      </x:c>
      <x:c r="F12" s="751" t="str">
        <x:v>SUCCESS</x:v>
      </x:c>
      <x:c r="G12" s="755" t="n">
        <x:v>46265.4465625</x:v>
      </x:c>
      <x:c r="H12" s="755" t="n">
        <x:v>46265.44657407407</x:v>
      </x:c>
      <x:c r="I12" s="751" t="str">
        <x:v>INITIAL</x:v>
      </x:c>
      <x:c r="J12" s="751" t="str">
        <x:v>AUTO</x:v>
      </x:c>
      <x:c r="K12" s="757" t="n">
        <x:f>IF(A12="","",IF(J12="AUTO",H12,IF(J12="MANUAL",AK12,"")))</x:f>
        <x:v>46265.44657407407</x:v>
      </x:c>
      <x:c r="L12" s="751" t="str">
        <x:v>NONE</x:v>
      </x:c>
      <x:c r="M12" s="751"/>
      <x:c r="N12" s="751" t="str">
        <x:f>IF(OR(AM12&lt;&gt;"CURRENT",E12="EXCLUDE"),"NO",IF(A12="","",IF(OR(F12="FAIL",F12="PAYWALL_BLOCKED"),IF(AND(AK12&lt;&gt;"",AK12&gt;=INT(G12),D12="STORED",J12="MANUAL",AL12&lt;&gt;""),"NO","YES"),IF(AND(AR12="ROLLING",I12="CHANGED"),IF(AND(AK12&lt;&gt;"",AK12&gt;=INT(IF(H12&lt;&gt;"",H12,G12)),AL12&lt;&gt;""),"NO","YES"),"NO"))))</x:f>
        <x:v>NO</x:v>
      </x:c>
      <x:c r="O12" s="751" t="str">
        <x:v>3ac51613dbdfb998b2d2c68e2df564b8a19c7d398d34d52f0228e6c10c30f8ed</x:v>
      </x:c>
      <x:c r="P12" s="752" t="str">
        <x:v>Regulation (EU) 2016/429 on transmissible animal diseases (Animal Health Law)</x:v>
      </x:c>
      <x:c r="Q12" s="752" t="str">
        <x:v>https://eur-lex.europa.eu/legal-content/EN/TXT/?uri=CELEX:32016R0429</x:v>
      </x:c>
      <x:c r="R12" s="752" t="str">
        <x:v>https://publications.europa.eu/resource/oj/JOL_2016_084_R_0001.ENG</x:v>
      </x:c>
      <x:c r="S12" s="752" t="str">
        <x:v>A_Public_Authority</x:v>
      </x:c>
      <x:c r="T12" s="752" t="str">
        <x:v>html</x:v>
      </x:c>
      <x:c r="U12" s="752" t="str">
        <x:v>European Parliament and Council of the European Union</x:v>
      </x:c>
      <x:c r="V12" s="752" t="str">
        <x:v>EU / EEA</x:v>
      </x:c>
      <x:c r="W12" s="752" t="str">
        <x:v>English</x:v>
      </x:c>
      <x:c r="X12" s="752"/>
      <x:c r="Y12" s="752"/>
      <x:c r="Z12" s="752" t="str">
        <x:v>Public authority</x:v>
      </x:c>
      <x:c r="AA12" s="752" t="str">
        <x:v>Regulation</x:v>
      </x:c>
      <x:c r="AB12" s="752" t="str">
        <x:v>Referenced normative</x:v>
      </x:c>
      <x:c r="AC12" s="752" t="str">
        <x:v>Official referenced source from European Parliament and Council of the European Union; included because an applicable law, permit or certification scheme may make its provisions binding within the approved scope.</x:v>
      </x:c>
      <x:c r="AD12" s="752" t="str">
        <x:v>HIGH</x:v>
      </x:c>
      <x:c r="AE12" s="752" t="str">
        <x:v>MEDIUM</x:v>
      </x:c>
      <x:c r="AF12" s="752" t="str">
        <x:v>HIGH</x:v>
      </x:c>
      <x:c r="AG12" s="752" t="str">
        <x:v>HIGH</x:v>
      </x:c>
      <x:c r="AH12" s="752" t="str">
        <x:v>HIGH</x:v>
      </x:c>
      <x:c r="AI12" s="752" t="str">
        <x:v>HIGH</x:v>
      </x:c>
      <x:c r="AJ12" s="752" t="str">
        <x:v>PENDING</x:v>
      </x:c>
      <x:c r="AK12" s="759" t="n">
        <x:v>46265</x:v>
      </x:c>
      <x:c r="AL12" s="752" t="str">
        <x:v>Jay</x:v>
      </x:c>
      <x:c r="AM12" s="752" t="str">
        <x:v>CURRENT</x:v>
      </x:c>
      <x:c r="AN12" s="752"/>
      <x:c r="AO12" s="752" t="str">
        <x:v>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x:v>
      </x:c>
      <x:c r="AP12" s="752" t="str">
        <x:v>OFFICIAL_WEBSITE</x:v>
      </x:c>
      <x:c r="AQ12" s="752" t="str">
        <x:v>OFFICIAL_ORIGINAL</x:v>
      </x:c>
      <x:c r="AR12" s="752" t="str">
        <x:v>ROLLING</x:v>
      </x:c>
      <x:c r="AS12" s="752"/>
    </x:row>
    <x:row r="13" s="36" customFormat="1" ht="30" customHeight="1">
      <x:c r="A13" s="751" t="str">
        <x:v>PA011</x:v>
      </x:c>
      <x:c r="B13" s="751" t="str">
        <x:v>PA011-001</x:v>
      </x:c>
      <x:c r="C13" s="751" t="str">
        <x:v>PA011-001_Working_Environment_Act.html</x:v>
      </x:c>
      <x:c r="D13" s="751" t="str">
        <x:v>STORED</x:v>
      </x:c>
      <x:c r="E13" s="751" t="str">
        <x:f>IF(A13="","",IF(OR(AJ13="EXCLUDE",COUNTIF(AD13:AH13,"LOW")&gt;0),"EXCLUDE",IF(OR(AJ13&lt;&gt;"INCLUDE",F13&lt;&gt;"SUCCESS",D13&lt;&gt;"STORED",U13="",AP13="",AQ13="",AQ13="UNVERIFIED",AND(AP13="OFFICIAL_WEBSITE",Q13=""),AND(OR(AA13="Equipment manual / OEM instruction",AB13="Asset-specific normative"),OR(Z13&lt;&gt;"Manufacturer / supplier",AS13="",AC13=""))),"PENDING",IF(COUNTIF(AD13:AH13,"HIGH")=5,"INCLUDE","PENDING"))))</x:f>
        <x:v>INCLUDE</x:v>
      </x:c>
      <x:c r="F13" s="751" t="str">
        <x:v>SUCCESS</x:v>
      </x:c>
      <x:c r="G13" s="755" t="n">
        <x:v>46262.53082175926</x:v>
      </x:c>
      <x:c r="H13" s="755" t="n">
        <x:v>46262.53082175926</x:v>
      </x:c>
      <x:c r="I13" s="751" t="str">
        <x:v>INITIAL</x:v>
      </x:c>
      <x:c r="J13" s="751" t="str">
        <x:v>AUTO</x:v>
      </x:c>
      <x:c r="K13" s="757" t="n">
        <x:f>IF(A13="","",IF(J13="AUTO",H13,IF(J13="MANUAL",AK13,"")))</x:f>
        <x:v>46262.53082175926</x:v>
      </x:c>
      <x:c r="L13" s="751" t="str">
        <x:v>NONE</x:v>
      </x:c>
      <x:c r="M13" s="751"/>
      <x:c r="N13" s="751" t="str">
        <x:f>IF(OR(AM13&lt;&gt;"CURRENT",E13="EXCLUDE"),"NO",IF(A13="","",IF(OR(F13="FAIL",F13="PAYWALL_BLOCKED"),IF(AND(AK13&lt;&gt;"",AK13&gt;=INT(G13),D13="STORED",J13="MANUAL",AL13&lt;&gt;""),"NO","YES"),IF(AND(AR13="ROLLING",I13="CHANGED"),IF(AND(AK13&lt;&gt;"",AK13&gt;=INT(IF(H13&lt;&gt;"",H13,G13)),AL13&lt;&gt;""),"NO","YES"),"NO"))))</x:f>
        <x:v>NO</x:v>
      </x:c>
      <x:c r="O13" s="751" t="str">
        <x:v>96cec52793e643ff1daf51254216f36e1ac4b2216e80dea9f09161708d0a9170</x:v>
      </x:c>
      <x:c r="P13" s="752" t="str">
        <x:v>Working Environment Act</x:v>
      </x:c>
      <x:c r="Q13" s="752" t="str">
        <x:v>https://lovdata.no/dokument/NL/lov/2005-06-17-62</x:v>
      </x:c>
      <x:c r="R13" s="752" t="str">
        <x:v>https://lovdata.no/dokument/NL/lov/2005-06-17-62</x:v>
      </x:c>
      <x:c r="S13" s="752" t="str">
        <x:v>A_Public_Authority</x:v>
      </x:c>
      <x:c r="T13" s="752" t="str">
        <x:v>html</x:v>
      </x:c>
      <x:c r="U13" s="752" t="str">
        <x:v>Norwegian Ministry of Labour and Social Inclusion</x:v>
      </x:c>
      <x:c r="V13" s="752" t="str">
        <x:v>Norway</x:v>
      </x:c>
      <x:c r="W13" s="752" t="str">
        <x:v>Norwegian</x:v>
      </x:c>
      <x:c r="X13" s="752"/>
      <x:c r="Y13" s="752"/>
      <x:c r="Z13" s="752" t="str">
        <x:v>Public authority</x:v>
      </x:c>
      <x:c r="AA13" s="752" t="str">
        <x:v>Law</x:v>
      </x:c>
      <x:c r="AB13" s="752" t="str">
        <x:v>Primary normative</x:v>
      </x:c>
      <x:c r="AC13" s="752" t="str">
        <x:v>Official law issued by Norwegian Ministry of Labour and Social Inclusion; included because it may impose binding requirements on an in-scope aquaculture asset, activity, permit or certification.</x:v>
      </x:c>
      <x:c r="AD13" s="752" t="str">
        <x:v>HIGH</x:v>
      </x:c>
      <x:c r="AE13" s="752" t="str">
        <x:v>HIGH</x:v>
      </x:c>
      <x:c r="AF13" s="752" t="str">
        <x:v>HIGH</x:v>
      </x:c>
      <x:c r="AG13" s="752" t="str">
        <x:v>HIGH</x:v>
      </x:c>
      <x:c r="AH13" s="752" t="str">
        <x:v>HIGH</x:v>
      </x:c>
      <x:c r="AI13" s="752" t="str">
        <x:v>HIGH</x:v>
      </x:c>
      <x:c r="AJ13" s="752" t="str">
        <x:v>INCLUDE</x:v>
      </x:c>
      <x:c r="AK13" s="759"/>
      <x:c r="AL13" s="752"/>
      <x:c r="AM13" s="752" t="str">
        <x:v>CURRENT</x:v>
      </x:c>
      <x:c r="AN13" s="752"/>
      <x:c r="AO13" s="752" t="str">
        <x:v>Project-mentioned candidate for worker health, safety and training.</x:v>
      </x:c>
      <x:c r="AP13" s="752" t="str">
        <x:v>OFFICIAL_WEBSITE</x:v>
      </x:c>
      <x:c r="AQ13" s="752" t="str">
        <x:v>OFFICIAL_ORIGINAL</x:v>
      </x:c>
      <x:c r="AR13" s="752" t="str">
        <x:v>ROLLING</x:v>
      </x:c>
      <x:c r="AS13" s="752"/>
    </x:row>
    <x:row r="14" s="36" customFormat="1" ht="30" customHeight="1">
      <x:c r="A14" s="751" t="str">
        <x:v>PA012</x:v>
      </x:c>
      <x:c r="B14" s="751" t="str">
        <x:v>PA012-001</x:v>
      </x:c>
      <x:c r="C14" s="751" t="str">
        <x:v>PA012-001_Regulations_concerning_the_performance_of_work_psychosocial_working_environment_use_of_work_equipment_and_related_techni.html</x:v>
      </x:c>
      <x:c r="D14" s="751" t="str">
        <x:v>STORED</x:v>
      </x:c>
      <x:c r="E14" s="751" t="str">
        <x:f>IF(A14="","",IF(OR(AJ14="EXCLUDE",COUNTIF(AD14:AH14,"LOW")&gt;0),"EXCLUDE",IF(OR(AJ14&lt;&gt;"INCLUDE",F14&lt;&gt;"SUCCESS",D14&lt;&gt;"STORED",U14="",AP14="",AQ14="",AQ14="UNVERIFIED",AND(AP14="OFFICIAL_WEBSITE",Q14=""),AND(OR(AA14="Equipment manual / OEM instruction",AB14="Asset-specific normative"),OR(Z14&lt;&gt;"Manufacturer / supplier",AS14="",AC14=""))),"PENDING",IF(COUNTIF(AD14:AH14,"HIGH")=5,"INCLUDE","PENDING"))))</x:f>
        <x:v>INCLUDE</x:v>
      </x:c>
      <x:c r="F14" s="751" t="str">
        <x:v>SUCCESS</x:v>
      </x:c>
      <x:c r="G14" s="755" t="n">
        <x:v>46262.53083333333</x:v>
      </x:c>
      <x:c r="H14" s="755" t="n">
        <x:v>46262.53083333333</x:v>
      </x:c>
      <x:c r="I14" s="751" t="str">
        <x:v>INITIAL</x:v>
      </x:c>
      <x:c r="J14" s="751" t="str">
        <x:v>AUTO</x:v>
      </x:c>
      <x:c r="K14" s="757" t="n">
        <x:f>IF(A14="","",IF(J14="AUTO",H14,IF(J14="MANUAL",AK14,"")))</x:f>
        <x:v>46262.53083333333</x:v>
      </x:c>
      <x:c r="L14" s="751" t="str">
        <x:v>NONE</x:v>
      </x:c>
      <x:c r="M14" s="751"/>
      <x:c r="N14" s="751" t="str">
        <x:f>IF(OR(AM14&lt;&gt;"CURRENT",E14="EXCLUDE"),"NO",IF(A14="","",IF(OR(F14="FAIL",F14="PAYWALL_BLOCKED"),IF(AND(AK14&lt;&gt;"",AK14&gt;=INT(G14),D14="STORED",J14="MANUAL",AL14&lt;&gt;""),"NO","YES"),IF(AND(AR14="ROLLING",I14="CHANGED"),IF(AND(AK14&lt;&gt;"",AK14&gt;=INT(IF(H14&lt;&gt;"",H14,G14)),AL14&lt;&gt;""),"NO","YES"),"NO"))))</x:f>
        <x:v>NO</x:v>
      </x:c>
      <x:c r="O14" s="751" t="str">
        <x:v>15cc7d1de65ea3277121031dd0c7e4d7b44ea7950fdfbd38df7d402255860e68</x:v>
      </x:c>
      <x:c r="P14" s="752" t="str">
        <x:v>Regulations concerning the performance of work, psychosocial working environment, use of work equipment and related technical requirements</x:v>
      </x:c>
      <x:c r="Q14" s="752" t="str">
        <x:v>https://lovdata.no/dokument/SF/forskrift/2011-12-06-1357</x:v>
      </x:c>
      <x:c r="R14" s="752" t="str">
        <x:v>https://lovdata.no/dokument/SF/forskrift/2011-12-06-1357</x:v>
      </x:c>
      <x:c r="S14" s="752" t="str">
        <x:v>A_Public_Authority</x:v>
      </x:c>
      <x:c r="T14" s="752" t="str">
        <x:v>html</x:v>
      </x:c>
      <x:c r="U14" s="752" t="str">
        <x:v>Norwegian Ministry of Labour and Social Inclusion</x:v>
      </x:c>
      <x:c r="V14" s="752" t="str">
        <x:v>Norway</x:v>
      </x:c>
      <x:c r="W14" s="752" t="str">
        <x:v>Norwegian</x:v>
      </x:c>
      <x:c r="X14" s="752"/>
      <x:c r="Y14" s="752"/>
      <x:c r="Z14" s="752" t="str">
        <x:v>Public authority</x:v>
      </x:c>
      <x:c r="AA14" s="752" t="str">
        <x:v>Regulation</x:v>
      </x:c>
      <x:c r="AB14" s="752" t="str">
        <x:v>Primary normative</x:v>
      </x:c>
      <x:c r="AC14" s="752" t="str">
        <x:v>Official regulation issued by Norwegian Ministry of Labour and Social Inclusion; included because it may impose binding requirements on an in-scope aquaculture asset, activity, permit or certification.</x:v>
      </x:c>
      <x:c r="AD14" s="752" t="str">
        <x:v>HIGH</x:v>
      </x:c>
      <x:c r="AE14" s="752" t="str">
        <x:v>HIGH</x:v>
      </x:c>
      <x:c r="AF14" s="752" t="str">
        <x:v>HIGH</x:v>
      </x:c>
      <x:c r="AG14" s="752" t="str">
        <x:v>HIGH</x:v>
      </x:c>
      <x:c r="AH14" s="752" t="str">
        <x:v>HIGH</x:v>
      </x:c>
      <x:c r="AI14" s="752" t="str">
        <x:v>HIGH</x:v>
      </x:c>
      <x:c r="AJ14" s="752" t="str">
        <x:v>INCLUDE</x:v>
      </x:c>
      <x:c r="AK14" s="759"/>
      <x:c r="AL14" s="752"/>
      <x:c r="AM14" s="752" t="str">
        <x:v>CURRENT</x:v>
      </x:c>
      <x:c r="AN14" s="752"/>
      <x:c r="AO14" s="752" t="str">
        <x:v>Project-mentioned candidate. Applicability depends on work activities and equipment.</x:v>
      </x:c>
      <x:c r="AP14" s="752" t="str">
        <x:v>OFFICIAL_WEBSITE</x:v>
      </x:c>
      <x:c r="AQ14" s="752" t="str">
        <x:v>OFFICIAL_ORIGINAL</x:v>
      </x:c>
      <x:c r="AR14" s="752" t="str">
        <x:v>ROLLING</x:v>
      </x:c>
      <x:c r="AS14" s="752"/>
    </x:row>
    <x:row r="15" s="36" customFormat="1" ht="30" customHeight="1">
      <x:c r="A15" s="751" t="str">
        <x:v>PA013</x:v>
      </x:c>
      <x:c r="B15" s="751" t="str">
        <x:v>PA013-001</x:v>
      </x:c>
      <x:c r="C15" s="751" t="str">
        <x:v>PA013-001_Food_Act.html</x:v>
      </x:c>
      <x:c r="D15" s="751" t="str">
        <x:v>STORED</x:v>
      </x:c>
      <x:c r="E15" s="751" t="str">
        <x:f>IF(A15="","",IF(OR(AJ15="EXCLUDE",COUNTIF(AD15:AH15,"LOW")&gt;0),"EXCLUDE",IF(OR(AJ15&lt;&gt;"INCLUDE",F15&lt;&gt;"SUCCESS",D15&lt;&gt;"STORED",U15="",AP15="",AQ15="",AQ15="UNVERIFIED",AND(AP15="OFFICIAL_WEBSITE",Q15=""),AND(OR(AA15="Equipment manual / OEM instruction",AB15="Asset-specific normative"),OR(Z15&lt;&gt;"Manufacturer / supplier",AS15="",AC15=""))),"PENDING",IF(COUNTIF(AD15:AH15,"HIGH")=5,"INCLUDE","PENDING"))))</x:f>
        <x:v>INCLUDE</x:v>
      </x:c>
      <x:c r="F15" s="751" t="str">
        <x:v>SUCCESS</x:v>
      </x:c>
      <x:c r="G15" s="755" t="n">
        <x:v>46262.53083333333</x:v>
      </x:c>
      <x:c r="H15" s="755" t="n">
        <x:v>46262.53083333333</x:v>
      </x:c>
      <x:c r="I15" s="751" t="str">
        <x:v>INITIAL</x:v>
      </x:c>
      <x:c r="J15" s="751" t="str">
        <x:v>AUTO</x:v>
      </x:c>
      <x:c r="K15" s="757" t="n">
        <x:f>IF(A15="","",IF(J15="AUTO",H15,IF(J15="MANUAL",AK15,"")))</x:f>
        <x:v>46262.53083333333</x:v>
      </x:c>
      <x:c r="L15" s="751" t="str">
        <x:v>NONE</x:v>
      </x:c>
      <x:c r="M15" s="751"/>
      <x:c r="N15" s="751" t="str">
        <x:f>IF(OR(AM15&lt;&gt;"CURRENT",E15="EXCLUDE"),"NO",IF(A15="","",IF(OR(F15="FAIL",F15="PAYWALL_BLOCKED"),IF(AND(AK15&lt;&gt;"",AK15&gt;=INT(G15),D15="STORED",J15="MANUAL",AL15&lt;&gt;""),"NO","YES"),IF(AND(AR15="ROLLING",I15="CHANGED"),IF(AND(AK15&lt;&gt;"",AK15&gt;=INT(IF(H15&lt;&gt;"",H15,G15)),AL15&lt;&gt;""),"NO","YES"),"NO"))))</x:f>
        <x:v>NO</x:v>
      </x:c>
      <x:c r="O15" s="751" t="str">
        <x:v>fffe78cee31f4f34218728d0e8d8919b5fe5ccae40e8f41a067757370372d8db</x:v>
      </x:c>
      <x:c r="P15" s="752" t="str">
        <x:v>Food Act</x:v>
      </x:c>
      <x:c r="Q15" s="752" t="str">
        <x:v>https://lovdata.no/dokument/NL/lov/2003-12-19-124</x:v>
      </x:c>
      <x:c r="R15" s="752" t="str">
        <x:v>https://lovdata.no/dokument/NL/lov/2003-12-19-124</x:v>
      </x:c>
      <x:c r="S15" s="752" t="str">
        <x:v>A_Public_Authority</x:v>
      </x:c>
      <x:c r="T15" s="752" t="str">
        <x:v>html</x:v>
      </x:c>
      <x:c r="U15" s="752" t="str">
        <x:v>Norwegian Government</x:v>
      </x:c>
      <x:c r="V15" s="752" t="str">
        <x:v>Norway</x:v>
      </x:c>
      <x:c r="W15" s="752" t="str">
        <x:v>Norwegian</x:v>
      </x:c>
      <x:c r="X15" s="752"/>
      <x:c r="Y15" s="752"/>
      <x:c r="Z15" s="752" t="str">
        <x:v>Public authority</x:v>
      </x:c>
      <x:c r="AA15" s="752" t="str">
        <x:v>Law</x:v>
      </x:c>
      <x:c r="AB15" s="752" t="str">
        <x:v>Primary normative</x:v>
      </x:c>
      <x:c r="AC15" s="752" t="str">
        <x:v>Official law issued by Norwegian Government; included because it may impose binding requirements on an in-scope aquaculture asset, activity, permit or certification.</x:v>
      </x:c>
      <x:c r="AD15" s="752" t="str">
        <x:v>HIGH</x:v>
      </x:c>
      <x:c r="AE15" s="752" t="str">
        <x:v>HIGH</x:v>
      </x:c>
      <x:c r="AF15" s="752" t="str">
        <x:v>HIGH</x:v>
      </x:c>
      <x:c r="AG15" s="752" t="str">
        <x:v>HIGH</x:v>
      </x:c>
      <x:c r="AH15" s="752" t="str">
        <x:v>HIGH</x:v>
      </x:c>
      <x:c r="AI15" s="752" t="str">
        <x:v>HIGH</x:v>
      </x:c>
      <x:c r="AJ15" s="752" t="str">
        <x:v>INCLUDE</x:v>
      </x:c>
      <x:c r="AK15" s="759"/>
      <x:c r="AL15" s="752"/>
      <x:c r="AM15" s="752" t="str">
        <x:v>CURRENT</x:v>
      </x:c>
      <x:c r="AN15" s="752"/>
      <x:c r="AO15" s="752" t="str">
        <x:v>Official expansion from Fiskeridirektoratet risk-management sources; scope confirmation required.</x:v>
      </x:c>
      <x:c r="AP15" s="752" t="str">
        <x:v>OFFICIAL_WEBSITE</x:v>
      </x:c>
      <x:c r="AQ15" s="752" t="str">
        <x:v>OFFICIAL_ORIGINAL</x:v>
      </x:c>
      <x:c r="AR15" s="752" t="str">
        <x:v>ROLLING</x:v>
      </x:c>
      <x:c r="AS15" s="752"/>
    </x:row>
    <x:row r="16" s="36" customFormat="1" ht="30" customHeight="1">
      <x:c r="A16" s="751" t="str">
        <x:v>PA014</x:v>
      </x:c>
      <x:c r="B16" s="751" t="str">
        <x:v>PA014-001</x:v>
      </x:c>
      <x:c r="C16" s="751" t="str">
        <x:v>PA014-001_Animal_Health_Personnel_Act.html</x:v>
      </x:c>
      <x:c r="D16" s="751" t="str">
        <x:v>STORED</x:v>
      </x:c>
      <x:c r="E16" s="751" t="str">
        <x:f>IF(A16="","",IF(OR(AJ16="EXCLUDE",COUNTIF(AD16:AH16,"LOW")&gt;0),"EXCLUDE",IF(OR(AJ16&lt;&gt;"INCLUDE",F16&lt;&gt;"SUCCESS",D16&lt;&gt;"STORED",U16="",AP16="",AQ16="",AQ16="UNVERIFIED",AND(AP16="OFFICIAL_WEBSITE",Q16=""),AND(OR(AA16="Equipment manual / OEM instruction",AB16="Asset-specific normative"),OR(Z16&lt;&gt;"Manufacturer / supplier",AS16="",AC16=""))),"PENDING",IF(COUNTIF(AD16:AH16,"HIGH")=5,"INCLUDE","PENDING"))))</x:f>
        <x:v>PENDING</x:v>
      </x:c>
      <x:c r="F16" s="751" t="str">
        <x:v>SUCCESS</x:v>
      </x:c>
      <x:c r="G16" s="755" t="n">
        <x:v>46262.53083333333</x:v>
      </x:c>
      <x:c r="H16" s="755" t="n">
        <x:v>46262.53084490741</x:v>
      </x:c>
      <x:c r="I16" s="751" t="str">
        <x:v>INITIAL</x:v>
      </x:c>
      <x:c r="J16" s="751" t="str">
        <x:v>AUTO</x:v>
      </x:c>
      <x:c r="K16" s="757" t="n">
        <x:f>IF(A16="","",IF(J16="AUTO",H16,IF(J16="MANUAL",AK16,"")))</x:f>
        <x:v>46262.53084490741</x:v>
      </x:c>
      <x:c r="L16" s="751" t="str">
        <x:v>NONE</x:v>
      </x:c>
      <x:c r="M16" s="751"/>
      <x:c r="N16" s="751" t="str">
        <x:f>IF(OR(AM16&lt;&gt;"CURRENT",E16="EXCLUDE"),"NO",IF(A16="","",IF(OR(F16="FAIL",F16="PAYWALL_BLOCKED"),IF(AND(AK16&lt;&gt;"",AK16&gt;=INT(G16),D16="STORED",J16="MANUAL",AL16&lt;&gt;""),"NO","YES"),IF(AND(AR16="ROLLING",I16="CHANGED"),IF(AND(AK16&lt;&gt;"",AK16&gt;=INT(IF(H16&lt;&gt;"",H16,G16)),AL16&lt;&gt;""),"NO","YES"),"NO"))))</x:f>
        <x:v>NO</x:v>
      </x:c>
      <x:c r="O16" s="751" t="str">
        <x:v>d1f92d2c418243c85675fe93401a76b489b88306833b3478073fa844aa83b30b</x:v>
      </x:c>
      <x:c r="P16" s="752" t="str">
        <x:v>Animal Health Personnel Act</x:v>
      </x:c>
      <x:c r="Q16" s="752" t="str">
        <x:v>https://lovdata.no/dokument/NL/lov/2001-06-15-75</x:v>
      </x:c>
      <x:c r="R16" s="752" t="str">
        <x:v>https://lovdata.no/dokument/NL/lov/2001-06-15-75</x:v>
      </x:c>
      <x:c r="S16" s="752" t="str">
        <x:v>A_Public_Authority</x:v>
      </x:c>
      <x:c r="T16" s="752" t="str">
        <x:v>html</x:v>
      </x:c>
      <x:c r="U16" s="752" t="str">
        <x:v>Norwegian Ministry of Agriculture and Food</x:v>
      </x:c>
      <x:c r="V16" s="752" t="str">
        <x:v>Norway</x:v>
      </x:c>
      <x:c r="W16" s="752" t="str">
        <x:v>Norwegian</x:v>
      </x:c>
      <x:c r="X16" s="752"/>
      <x:c r="Y16" s="752"/>
      <x:c r="Z16" s="752" t="str">
        <x:v>Public authority</x:v>
      </x:c>
      <x:c r="AA16" s="752" t="str">
        <x:v>Law</x:v>
      </x:c>
      <x:c r="AB16" s="752" t="str">
        <x:v>Primary normative</x:v>
      </x:c>
      <x:c r="AC16" s="752" t="str">
        <x:v>Official law issued by Norwegian Ministry of Agriculture and Food; included because it may impose binding requirements on an in-scope aquaculture asset, activity, permit or certification.</x:v>
      </x:c>
      <x:c r="AD16" s="752" t="str">
        <x:v>HIGH</x:v>
      </x:c>
      <x:c r="AE16" s="752" t="str">
        <x:v>MEDIUM</x:v>
      </x:c>
      <x:c r="AF16" s="752" t="str">
        <x:v>HIGH</x:v>
      </x:c>
      <x:c r="AG16" s="752" t="str">
        <x:v>HIGH</x:v>
      </x:c>
      <x:c r="AH16" s="752" t="str">
        <x:v>HIGH</x:v>
      </x:c>
      <x:c r="AI16" s="752" t="str">
        <x:v>HIGH</x:v>
      </x:c>
      <x:c r="AJ16" s="752" t="str">
        <x:v>PENDING</x:v>
      </x:c>
      <x:c r="AK16" s="759"/>
      <x:c r="AL16" s="752"/>
      <x:c r="AM16" s="752" t="str">
        <x:v>CURRENT</x:v>
      </x:c>
      <x:c r="AN16" s="752"/>
      <x:c r="AO16" s="752" t="str">
        <x:v>Official expansion. Relevant where veterinarians or aquatic animal health personnel perform regulated tasks.</x:v>
      </x:c>
      <x:c r="AP16" s="752" t="str">
        <x:v>OFFICIAL_WEBSITE</x:v>
      </x:c>
      <x:c r="AQ16" s="752" t="str">
        <x:v>OFFICIAL_ORIGINAL</x:v>
      </x:c>
      <x:c r="AR16" s="752" t="str">
        <x:v>ROLLING</x:v>
      </x:c>
      <x:c r="AS16" s="752"/>
    </x:row>
    <x:row r="17" s="36" customFormat="1" ht="30" customHeight="1">
      <x:c r="A17" s="751" t="str">
        <x:v>PA015</x:v>
      </x:c>
      <x:c r="B17" s="751" t="str">
        <x:v>PA015-001</x:v>
      </x:c>
      <x:c r="C17" s="751" t="str">
        <x:v>PA015-001_Regulation_on_control_of_salmon_lice_in_aquaculture_facilities.html</x:v>
      </x:c>
      <x:c r="D17" s="751" t="str">
        <x:v>STORED</x:v>
      </x:c>
      <x:c r="E17" s="751" t="str">
        <x:f>IF(A17="","",IF(OR(AJ17="EXCLUDE",COUNTIF(AD17:AH17,"LOW")&gt;0),"EXCLUDE",IF(OR(AJ17&lt;&gt;"INCLUDE",F17&lt;&gt;"SUCCESS",D17&lt;&gt;"STORED",U17="",AP17="",AQ17="",AQ17="UNVERIFIED",AND(AP17="OFFICIAL_WEBSITE",Q17=""),AND(OR(AA17="Equipment manual / OEM instruction",AB17="Asset-specific normative"),OR(Z17&lt;&gt;"Manufacturer / supplier",AS17="",AC17=""))),"PENDING",IF(COUNTIF(AD17:AH17,"HIGH")=5,"INCLUDE","PENDING"))))</x:f>
        <x:v>INCLUDE</x:v>
      </x:c>
      <x:c r="F17" s="751" t="str">
        <x:v>SUCCESS</x:v>
      </x:c>
      <x:c r="G17" s="755" t="n">
        <x:v>46262.53084490741</x:v>
      </x:c>
      <x:c r="H17" s="755" t="n">
        <x:v>46262.53084490741</x:v>
      </x:c>
      <x:c r="I17" s="751" t="str">
        <x:v>INITIAL</x:v>
      </x:c>
      <x:c r="J17" s="751" t="str">
        <x:v>AUTO</x:v>
      </x:c>
      <x:c r="K17" s="757" t="n">
        <x:f>IF(A17="","",IF(J17="AUTO",H17,IF(J17="MANUAL",AK17,"")))</x:f>
        <x:v>46262.53084490741</x:v>
      </x:c>
      <x:c r="L17" s="751" t="str">
        <x:v>NONE</x:v>
      </x:c>
      <x:c r="M17" s="751"/>
      <x:c r="N17" s="751" t="str">
        <x:f>IF(OR(AM17&lt;&gt;"CURRENT",E17="EXCLUDE"),"NO",IF(A17="","",IF(OR(F17="FAIL",F17="PAYWALL_BLOCKED"),IF(AND(AK17&lt;&gt;"",AK17&gt;=INT(G17),D17="STORED",J17="MANUAL",AL17&lt;&gt;""),"NO","YES"),IF(AND(AR17="ROLLING",I17="CHANGED"),IF(AND(AK17&lt;&gt;"",AK17&gt;=INT(IF(H17&lt;&gt;"",H17,G17)),AL17&lt;&gt;""),"NO","YES"),"NO"))))</x:f>
        <x:v>NO</x:v>
      </x:c>
      <x:c r="O17" s="751" t="str">
        <x:v>9334a78a021971411e5c8826a2bb16aab1db707d778f6249c9a36b0afc90a4a1</x:v>
      </x:c>
      <x:c r="P17" s="752" t="str">
        <x:v>Regulation on control of salmon lice in aquaculture facilities</x:v>
      </x:c>
      <x:c r="Q17" s="752" t="str">
        <x:v>https://lovdata.no/dokument/SF/forskrift/2012-12-05-1140</x:v>
      </x:c>
      <x:c r="R17" s="752" t="str">
        <x:v>https://lovdata.no/dokument/SF/forskrift/2012-12-05-1140</x:v>
      </x:c>
      <x:c r="S17" s="752" t="str">
        <x:v>A_Public_Authority</x:v>
      </x:c>
      <x:c r="T17" s="752" t="str">
        <x:v>html</x:v>
      </x:c>
      <x:c r="U17" s="752" t="str">
        <x:v>Norwegian Ministry of Trade, Industry and Fisheries</x:v>
      </x:c>
      <x:c r="V17" s="752" t="str">
        <x:v>Norway</x:v>
      </x:c>
      <x:c r="W17" s="752" t="str">
        <x:v>Norwegian</x:v>
      </x:c>
      <x:c r="X17" s="752"/>
      <x:c r="Y17" s="752"/>
      <x:c r="Z17" s="752" t="str">
        <x:v>Public authority</x:v>
      </x:c>
      <x:c r="AA17" s="752" t="str">
        <x:v>Regulation</x:v>
      </x:c>
      <x:c r="AB17" s="752" t="str">
        <x:v>Primary normative</x:v>
      </x:c>
      <x:c r="AC17" s="752" t="str">
        <x:v>Official regulation issued by Norwegian Ministry of Trade, Industry and Fisheries; included because it may impose binding requirements on an in-scope aquaculture asset, activity, permit or certification.</x:v>
      </x:c>
      <x:c r="AD17" s="752" t="str">
        <x:v>HIGH</x:v>
      </x:c>
      <x:c r="AE17" s="752" t="str">
        <x:v>HIGH</x:v>
      </x:c>
      <x:c r="AF17" s="752" t="str">
        <x:v>HIGH</x:v>
      </x:c>
      <x:c r="AG17" s="752" t="str">
        <x:v>HIGH</x:v>
      </x:c>
      <x:c r="AH17" s="752" t="str">
        <x:v>HIGH</x:v>
      </x:c>
      <x:c r="AI17" s="752" t="str">
        <x:v>HIGH</x:v>
      </x:c>
      <x:c r="AJ17" s="752" t="str">
        <x:v>INCLUDE</x:v>
      </x:c>
      <x:c r="AK17" s="759"/>
      <x:c r="AL17" s="752"/>
      <x:c r="AM17" s="752" t="str">
        <x:v>CURRENT</x:v>
      </x:c>
      <x:c r="AN17" s="752"/>
      <x:c r="AO17" s="752" t="str">
        <x:v>Official expansion from Fiskeridirektoratet risk-management sources; species and operation scope must be confirmed.</x:v>
      </x:c>
      <x:c r="AP17" s="752" t="str">
        <x:v>OFFICIAL_WEBSITE</x:v>
      </x:c>
      <x:c r="AQ17" s="752" t="str">
        <x:v>OFFICIAL_ORIGINAL</x:v>
      </x:c>
      <x:c r="AR17" s="752" t="str">
        <x:v>ROLLING</x:v>
      </x:c>
      <x:c r="AS17" s="752"/>
    </x:row>
    <x:row r="18" s="36" customFormat="1" ht="30" customHeight="1">
      <x:c r="A18" s="751" t="str">
        <x:v>PA016</x:v>
      </x:c>
      <x:c r="B18" s="751" t="str">
        <x:v>PA016-001</x:v>
      </x:c>
      <x:c r="C18" s="751" t="str">
        <x:v>PA016-001_Regulation_on_internal_control_to_comply_with_aquaculture_legislation_IK-Aquaculture.html</x:v>
      </x:c>
      <x:c r="D18" s="751" t="str">
        <x:v>STORED</x:v>
      </x:c>
      <x:c r="E18" s="751" t="str">
        <x:f>IF(A18="","",IF(OR(AJ18="EXCLUDE",COUNTIF(AD18:AH18,"LOW")&gt;0),"EXCLUDE",IF(OR(AJ18&lt;&gt;"INCLUDE",F18&lt;&gt;"SUCCESS",D18&lt;&gt;"STORED",U18="",AP18="",AQ18="",AQ18="UNVERIFIED",AND(AP18="OFFICIAL_WEBSITE",Q18=""),AND(OR(AA18="Equipment manual / OEM instruction",AB18="Asset-specific normative"),OR(Z18&lt;&gt;"Manufacturer / supplier",AS18="",AC18=""))),"PENDING",IF(COUNTIF(AD18:AH18,"HIGH")=5,"INCLUDE","PENDING"))))</x:f>
        <x:v>INCLUDE</x:v>
      </x:c>
      <x:c r="F18" s="751" t="str">
        <x:v>SUCCESS</x:v>
      </x:c>
      <x:c r="G18" s="755" t="n">
        <x:v>46262.53084490741</x:v>
      </x:c>
      <x:c r="H18" s="755" t="n">
        <x:v>46262.53085648148</x:v>
      </x:c>
      <x:c r="I18" s="751" t="str">
        <x:v>INITIAL</x:v>
      </x:c>
      <x:c r="J18" s="751" t="str">
        <x:v>AUTO</x:v>
      </x:c>
      <x:c r="K18" s="757" t="n">
        <x:f>IF(A18="","",IF(J18="AUTO",H18,IF(J18="MANUAL",AK18,"")))</x:f>
        <x:v>46262.53085648148</x:v>
      </x:c>
      <x:c r="L18" s="751" t="str">
        <x:v>NONE</x:v>
      </x:c>
      <x:c r="M18" s="751"/>
      <x:c r="N18" s="751" t="str">
        <x:f>IF(OR(AM18&lt;&gt;"CURRENT",E18="EXCLUDE"),"NO",IF(A18="","",IF(OR(F18="FAIL",F18="PAYWALL_BLOCKED"),IF(AND(AK18&lt;&gt;"",AK18&gt;=INT(G18),D18="STORED",J18="MANUAL",AL18&lt;&gt;""),"NO","YES"),IF(AND(AR18="ROLLING",I18="CHANGED"),IF(AND(AK18&lt;&gt;"",AK18&gt;=INT(IF(H18&lt;&gt;"",H18,G18)),AL18&lt;&gt;""),"NO","YES"),"NO"))))</x:f>
        <x:v>NO</x:v>
      </x:c>
      <x:c r="O18" s="751" t="str">
        <x:v>a8a24e5e32dfc061868654b4e1fa2c6925b6333aa34a41c952cc66de9710977b</x:v>
      </x:c>
      <x:c r="P18" s="752" t="str">
        <x:v>Regulation on internal control to comply with aquaculture legislation (IK-Aquaculture)</x:v>
      </x:c>
      <x:c r="Q18" s="752" t="str">
        <x:v>https://lovdata.no/dokument/SF/forskrift/2004-03-19-537</x:v>
      </x:c>
      <x:c r="R18" s="752" t="str">
        <x:v>https://lovdata.no/dokument/SF/forskrift/2004-03-19-537</x:v>
      </x:c>
      <x:c r="S18" s="752" t="str">
        <x:v>A_Public_Authority</x:v>
      </x:c>
      <x:c r="T18" s="752" t="str">
        <x:v>html</x:v>
      </x:c>
      <x:c r="U18" s="752" t="str">
        <x:v>Norwegian Government</x:v>
      </x:c>
      <x:c r="V18" s="752" t="str">
        <x:v>Norway</x:v>
      </x:c>
      <x:c r="W18" s="752" t="str">
        <x:v>Norwegian</x:v>
      </x:c>
      <x:c r="X18" s="752"/>
      <x:c r="Y18" s="752"/>
      <x:c r="Z18" s="752" t="str">
        <x:v>Public authority</x:v>
      </x:c>
      <x:c r="AA18" s="752" t="str">
        <x:v>Regulation</x:v>
      </x:c>
      <x:c r="AB18" s="752" t="str">
        <x:v>Primary normative</x:v>
      </x:c>
      <x:c r="AC18" s="752" t="str">
        <x:v>Official regulation issued by Norwegian Government; included because it may impose binding requirements on an in-scope aquaculture asset, activity, permit or certification.</x:v>
      </x:c>
      <x:c r="AD18" s="752" t="str">
        <x:v>HIGH</x:v>
      </x:c>
      <x:c r="AE18" s="752" t="str">
        <x:v>HIGH</x:v>
      </x:c>
      <x:c r="AF18" s="752" t="str">
        <x:v>HIGH</x:v>
      </x:c>
      <x:c r="AG18" s="752" t="str">
        <x:v>HIGH</x:v>
      </x:c>
      <x:c r="AH18" s="752" t="str">
        <x:v>HIGH</x:v>
      </x:c>
      <x:c r="AI18" s="752" t="str">
        <x:v>HIGH</x:v>
      </x:c>
      <x:c r="AJ18" s="752" t="str">
        <x:v>INCLUDE</x:v>
      </x:c>
      <x:c r="AK18" s="759"/>
      <x:c r="AL18" s="752"/>
      <x:c r="AM18" s="752" t="str">
        <x:v>CURRENT</x:v>
      </x:c>
      <x:c r="AN18" s="752"/>
      <x:c r="AO18" s="752" t="str">
        <x:v>Official expansion. Core management-system candidate for Norwegian aquaculture operations.</x:v>
      </x:c>
      <x:c r="AP18" s="752" t="str">
        <x:v>OFFICIAL_WEBSITE</x:v>
      </x:c>
      <x:c r="AQ18" s="752" t="str">
        <x:v>OFFICIAL_ORIGINAL</x:v>
      </x:c>
      <x:c r="AR18" s="752" t="str">
        <x:v>ROLLING</x:v>
      </x:c>
      <x:c r="AS18" s="752"/>
    </x:row>
    <x:row r="19" s="36" customFormat="1" ht="30" customHeight="1">
      <x:c r="A19" s="751" t="str">
        <x:v>PA017</x:v>
      </x:c>
      <x:c r="B19" s="751" t="str">
        <x:v>PA017-001</x:v>
      </x:c>
      <x:c r="C19" s="751" t="str">
        <x:v>PA017-001_Internal_Control_Regulations.html</x:v>
      </x:c>
      <x:c r="D19" s="751" t="str">
        <x:v>STORED</x:v>
      </x:c>
      <x:c r="E19" s="751" t="str">
        <x:f>IF(A19="","",IF(OR(AJ19="EXCLUDE",COUNTIF(AD19:AH19,"LOW")&gt;0),"EXCLUDE",IF(OR(AJ19&lt;&gt;"INCLUDE",F19&lt;&gt;"SUCCESS",D19&lt;&gt;"STORED",U19="",AP19="",AQ19="",AQ19="UNVERIFIED",AND(AP19="OFFICIAL_WEBSITE",Q19=""),AND(OR(AA19="Equipment manual / OEM instruction",AB19="Asset-specific normative"),OR(Z19&lt;&gt;"Manufacturer / supplier",AS19="",AC19=""))),"PENDING",IF(COUNTIF(AD19:AH19,"HIGH")=5,"INCLUDE","PENDING"))))</x:f>
        <x:v>INCLUDE</x:v>
      </x:c>
      <x:c r="F19" s="751" t="str">
        <x:v>SUCCESS</x:v>
      </x:c>
      <x:c r="G19" s="755" t="n">
        <x:v>46262.53085648148</x:v>
      </x:c>
      <x:c r="H19" s="755" t="n">
        <x:v>46262.53085648148</x:v>
      </x:c>
      <x:c r="I19" s="751" t="str">
        <x:v>INITIAL</x:v>
      </x:c>
      <x:c r="J19" s="751" t="str">
        <x:v>AUTO</x:v>
      </x:c>
      <x:c r="K19" s="757" t="n">
        <x:f>IF(A19="","",IF(J19="AUTO",H19,IF(J19="MANUAL",AK19,"")))</x:f>
        <x:v>46262.53085648148</x:v>
      </x:c>
      <x:c r="L19" s="751" t="str">
        <x:v>NONE</x:v>
      </x:c>
      <x:c r="M19" s="751"/>
      <x:c r="N19" s="751" t="str">
        <x:f>IF(OR(AM19&lt;&gt;"CURRENT",E19="EXCLUDE"),"NO",IF(A19="","",IF(OR(F19="FAIL",F19="PAYWALL_BLOCKED"),IF(AND(AK19&lt;&gt;"",AK19&gt;=INT(G19),D19="STORED",J19="MANUAL",AL19&lt;&gt;""),"NO","YES"),IF(AND(AR19="ROLLING",I19="CHANGED"),IF(AND(AK19&lt;&gt;"",AK19&gt;=INT(IF(H19&lt;&gt;"",H19,G19)),AL19&lt;&gt;""),"NO","YES"),"NO"))))</x:f>
        <x:v>NO</x:v>
      </x:c>
      <x:c r="O19" s="751" t="str">
        <x:v>7f640e3626fbd2d3aa9e6f8f0fad328170f26e4a73a9f59fd20ffe74f400b546</x:v>
      </x:c>
      <x:c r="P19" s="752" t="str">
        <x:v>Internal Control Regulations</x:v>
      </x:c>
      <x:c r="Q19" s="752" t="str">
        <x:v>https://lovdata.no/dokument/SF/forskrift/1996-12-06-1127</x:v>
      </x:c>
      <x:c r="R19" s="752" t="str">
        <x:v>https://lovdata.no/dokument/SF/forskrift/1996-12-06-1127</x:v>
      </x:c>
      <x:c r="S19" s="752" t="str">
        <x:v>A_Public_Authority</x:v>
      </x:c>
      <x:c r="T19" s="752" t="str">
        <x:v>html</x:v>
      </x:c>
      <x:c r="U19" s="752" t="str">
        <x:v>Norwegian Government</x:v>
      </x:c>
      <x:c r="V19" s="752" t="str">
        <x:v>Norway</x:v>
      </x:c>
      <x:c r="W19" s="752" t="str">
        <x:v>Norwegian</x:v>
      </x:c>
      <x:c r="X19" s="752"/>
      <x:c r="Y19" s="752"/>
      <x:c r="Z19" s="752" t="str">
        <x:v>Public authority</x:v>
      </x:c>
      <x:c r="AA19" s="752" t="str">
        <x:v>Regulation</x:v>
      </x:c>
      <x:c r="AB19" s="752" t="str">
        <x:v>Primary normative</x:v>
      </x:c>
      <x:c r="AC19" s="752" t="str">
        <x:v>Official regulation issued by Norwegian Government; included because it may impose binding requirements on an in-scope aquaculture asset, activity, permit or certification.</x:v>
      </x:c>
      <x:c r="AD19" s="752" t="str">
        <x:v>HIGH</x:v>
      </x:c>
      <x:c r="AE19" s="752" t="str">
        <x:v>HIGH</x:v>
      </x:c>
      <x:c r="AF19" s="752" t="str">
        <x:v>HIGH</x:v>
      </x:c>
      <x:c r="AG19" s="752" t="str">
        <x:v>HIGH</x:v>
      </x:c>
      <x:c r="AH19" s="752" t="str">
        <x:v>HIGH</x:v>
      </x:c>
      <x:c r="AI19" s="752" t="str">
        <x:v>HIGH</x:v>
      </x:c>
      <x:c r="AJ19" s="752" t="str">
        <x:v>INCLUDE</x:v>
      </x:c>
      <x:c r="AK19" s="759"/>
      <x:c r="AL19" s="752"/>
      <x:c r="AM19" s="752" t="str">
        <x:v>CURRENT</x:v>
      </x:c>
      <x:c r="AN19" s="752"/>
      <x:c r="AO19" s="752" t="str">
        <x:v>Official expansion. Cross-sector HSE internal-control source; overlap with IK-Aquaculture requires later mapping.</x:v>
      </x:c>
      <x:c r="AP19" s="752" t="str">
        <x:v>OFFICIAL_WEBSITE</x:v>
      </x:c>
      <x:c r="AQ19" s="752" t="str">
        <x:v>OFFICIAL_ORIGINAL</x:v>
      </x:c>
      <x:c r="AR19" s="752" t="str">
        <x:v>ROLLING</x:v>
      </x:c>
      <x:c r="AS19" s="752"/>
    </x:row>
    <x:row r="20" s="36" customFormat="1" ht="30" customHeight="1">
      <x:c r="A20" s="751" t="str">
        <x:v>PA018</x:v>
      </x:c>
      <x:c r="B20" s="751" t="str">
        <x:v>PA018-001</x:v>
      </x:c>
      <x:c r="C20" s="751" t="str">
        <x:v>PA018-001_Ship_Safety_and_Security_Act.html</x:v>
      </x:c>
      <x:c r="D20" s="751" t="str">
        <x:v>STORED</x:v>
      </x:c>
      <x:c r="E20" s="751" t="str">
        <x:f>IF(A20="","",IF(OR(AJ20="EXCLUDE",COUNTIF(AD20:AH20,"LOW")&gt;0),"EXCLUDE",IF(OR(AJ20&lt;&gt;"INCLUDE",F20&lt;&gt;"SUCCESS",D20&lt;&gt;"STORED",U20="",AP20="",AQ20="",AQ20="UNVERIFIED",AND(AP20="OFFICIAL_WEBSITE",Q20=""),AND(OR(AA20="Equipment manual / OEM instruction",AB20="Asset-specific normative"),OR(Z20&lt;&gt;"Manufacturer / supplier",AS20="",AC20=""))),"PENDING",IF(COUNTIF(AD20:AH20,"HIGH")=5,"INCLUDE","PENDING"))))</x:f>
        <x:v>PENDING</x:v>
      </x:c>
      <x:c r="F20" s="751" t="str">
        <x:v>SUCCESS</x:v>
      </x:c>
      <x:c r="G20" s="755" t="n">
        <x:v>46262.53085648148</x:v>
      </x:c>
      <x:c r="H20" s="755" t="n">
        <x:v>46262.53086805555</x:v>
      </x:c>
      <x:c r="I20" s="751" t="str">
        <x:v>INITIAL</x:v>
      </x:c>
      <x:c r="J20" s="751" t="str">
        <x:v>AUTO</x:v>
      </x:c>
      <x:c r="K20" s="757" t="n">
        <x:f>IF(A20="","",IF(J20="AUTO",H20,IF(J20="MANUAL",AK20,"")))</x:f>
        <x:v>46262.53086805555</x:v>
      </x:c>
      <x:c r="L20" s="751" t="str">
        <x:v>NONE</x:v>
      </x:c>
      <x:c r="M20" s="751"/>
      <x:c r="N20" s="751" t="str">
        <x:f>IF(OR(AM20&lt;&gt;"CURRENT",E20="EXCLUDE"),"NO",IF(A20="","",IF(OR(F20="FAIL",F20="PAYWALL_BLOCKED"),IF(AND(AK20&lt;&gt;"",AK20&gt;=INT(G20),D20="STORED",J20="MANUAL",AL20&lt;&gt;""),"NO","YES"),IF(AND(AR20="ROLLING",I20="CHANGED"),IF(AND(AK20&lt;&gt;"",AK20&gt;=INT(IF(H20&lt;&gt;"",H20,G20)),AL20&lt;&gt;""),"NO","YES"),"NO"))))</x:f>
        <x:v>NO</x:v>
      </x:c>
      <x:c r="O20" s="751" t="str">
        <x:v>535ce0ef3c8d36ecc15baf5c64f069fdb5f62dd72579d24e1c6157acc8cdf009</x:v>
      </x:c>
      <x:c r="P20" s="752" t="str">
        <x:v>Ship Safety and Security Act</x:v>
      </x:c>
      <x:c r="Q20" s="752" t="str">
        <x:v>https://lovdata.no/dokument/NL/lov/2007-02-16-9</x:v>
      </x:c>
      <x:c r="R20" s="752" t="str">
        <x:v>https://lovdata.no/dokument/NL/lov/2007-02-16-9</x:v>
      </x:c>
      <x:c r="S20" s="752" t="str">
        <x:v>A_Public_Authority</x:v>
      </x:c>
      <x:c r="T20" s="752" t="str">
        <x:v>html</x:v>
      </x:c>
      <x:c r="U20" s="752" t="str">
        <x:v>Norwegian Government</x:v>
      </x:c>
      <x:c r="V20" s="752" t="str">
        <x:v>Norway</x:v>
      </x:c>
      <x:c r="W20" s="752" t="str">
        <x:v>Norwegian</x:v>
      </x:c>
      <x:c r="X20" s="752"/>
      <x:c r="Y20" s="752"/>
      <x:c r="Z20" s="752" t="str">
        <x:v>Public authority</x:v>
      </x:c>
      <x:c r="AA20" s="752" t="str">
        <x:v>Law</x:v>
      </x:c>
      <x:c r="AB20" s="752" t="str">
        <x:v>Primary normative</x:v>
      </x:c>
      <x:c r="AC20" s="752" t="str">
        <x:v>Official law issued by Norwegian Government; included because it may impose binding requirements on an in-scope aquaculture asset, activity, permit or certification.</x:v>
      </x:c>
      <x:c r="AD20" s="752" t="str">
        <x:v>HIGH</x:v>
      </x:c>
      <x:c r="AE20" s="752" t="str">
        <x:v>MEDIUM</x:v>
      </x:c>
      <x:c r="AF20" s="752" t="str">
        <x:v>HIGH</x:v>
      </x:c>
      <x:c r="AG20" s="752" t="str">
        <x:v>HIGH</x:v>
      </x:c>
      <x:c r="AH20" s="752" t="str">
        <x:v>HIGH</x:v>
      </x:c>
      <x:c r="AI20" s="752" t="str">
        <x:v>HIGH</x:v>
      </x:c>
      <x:c r="AJ20" s="752" t="str">
        <x:v>PENDING</x:v>
      </x:c>
      <x:c r="AK20" s="759"/>
      <x:c r="AL20" s="752"/>
      <x:c r="AM20" s="752" t="str">
        <x:v>CURRENT</x:v>
      </x:c>
      <x:c r="AN20" s="752"/>
      <x:c r="AO20" s="752" t="str">
        <x:v>Official expansion. Conditional on vessels and maritime operations within client scope.</x:v>
      </x:c>
      <x:c r="AP20" s="752" t="str">
        <x:v>OFFICIAL_WEBSITE</x:v>
      </x:c>
      <x:c r="AQ20" s="752" t="str">
        <x:v>OFFICIAL_ORIGINAL</x:v>
      </x:c>
      <x:c r="AR20" s="752" t="str">
        <x:v>ROLLING</x:v>
      </x:c>
      <x:c r="AS20" s="752"/>
    </x:row>
    <x:row r="21" s="36" customFormat="1" ht="30" customHeight="1">
      <x:c r="A21" s="751" t="str">
        <x:v>PA019</x:v>
      </x:c>
      <x:c r="B21" s="751" t="str">
        <x:v>PA019-001</x:v>
      </x:c>
      <x:c r="C21" s="751" t="str">
        <x:v>PA019-001_Regulation_on_transport_of_aquaculture_animals.html</x:v>
      </x:c>
      <x:c r="D21" s="751" t="str">
        <x:v>STORED</x:v>
      </x:c>
      <x:c r="E21" s="751" t="str">
        <x:f>IF(A21="","",IF(OR(AJ21="EXCLUDE",COUNTIF(AD21:AH21,"LOW")&gt;0),"EXCLUDE",IF(OR(AJ21&lt;&gt;"INCLUDE",F21&lt;&gt;"SUCCESS",D21&lt;&gt;"STORED",U21="",AP21="",AQ21="",AQ21="UNVERIFIED",AND(AP21="OFFICIAL_WEBSITE",Q21=""),AND(OR(AA21="Equipment manual / OEM instruction",AB21="Asset-specific normative"),OR(Z21&lt;&gt;"Manufacturer / supplier",AS21="",AC21=""))),"PENDING",IF(COUNTIF(AD21:AH21,"HIGH")=5,"INCLUDE","PENDING"))))</x:f>
        <x:v>PENDING</x:v>
      </x:c>
      <x:c r="F21" s="751" t="str">
        <x:v>SUCCESS</x:v>
      </x:c>
      <x:c r="G21" s="755" t="n">
        <x:v>46262.53086805555</x:v>
      </x:c>
      <x:c r="H21" s="755" t="n">
        <x:v>46262.53086805555</x:v>
      </x:c>
      <x:c r="I21" s="751" t="str">
        <x:v>INITIAL</x:v>
      </x:c>
      <x:c r="J21" s="751" t="str">
        <x:v>AUTO</x:v>
      </x:c>
      <x:c r="K21" s="757" t="n">
        <x:f>IF(A21="","",IF(J21="AUTO",H21,IF(J21="MANUAL",AK21,"")))</x:f>
        <x:v>46262.53086805555</x:v>
      </x:c>
      <x:c r="L21" s="751" t="str">
        <x:v>NONE</x:v>
      </x:c>
      <x:c r="M21" s="751"/>
      <x:c r="N21" s="751" t="str">
        <x:f>IF(OR(AM21&lt;&gt;"CURRENT",E21="EXCLUDE"),"NO",IF(A21="","",IF(OR(F21="FAIL",F21="PAYWALL_BLOCKED"),IF(AND(AK21&lt;&gt;"",AK21&gt;=INT(G21),D21="STORED",J21="MANUAL",AL21&lt;&gt;""),"NO","YES"),IF(AND(AR21="ROLLING",I21="CHANGED"),IF(AND(AK21&lt;&gt;"",AK21&gt;=INT(IF(H21&lt;&gt;"",H21,G21)),AL21&lt;&gt;""),"NO","YES"),"NO"))))</x:f>
        <x:v>NO</x:v>
      </x:c>
      <x:c r="O21" s="751" t="str">
        <x:v>c3a1a1d71bad6255d833abf37550f8ef1d79c996a82468a85fccbb7a474e6ded</x:v>
      </x:c>
      <x:c r="P21" s="752" t="str">
        <x:v>Regulation on transport of aquaculture animals</x:v>
      </x:c>
      <x:c r="Q21" s="752" t="str">
        <x:v>https://lovdata.no/dokument/SF/forskrift/2008-06-17-820</x:v>
      </x:c>
      <x:c r="R21" s="752" t="str">
        <x:v>https://lovdata.no/dokument/SF/forskrift/2008-06-17-820</x:v>
      </x:c>
      <x:c r="S21" s="752" t="str">
        <x:v>A_Public_Authority</x:v>
      </x:c>
      <x:c r="T21" s="752" t="str">
        <x:v>html</x:v>
      </x:c>
      <x:c r="U21" s="752" t="str">
        <x:v>Norwegian Government</x:v>
      </x:c>
      <x:c r="V21" s="752" t="str">
        <x:v>Norway</x:v>
      </x:c>
      <x:c r="W21" s="752" t="str">
        <x:v>Norwegian</x:v>
      </x:c>
      <x:c r="X21" s="752"/>
      <x:c r="Y21" s="752"/>
      <x:c r="Z21" s="752" t="str">
        <x:v>Public authority</x:v>
      </x:c>
      <x:c r="AA21" s="752" t="str">
        <x:v>Regulation</x:v>
      </x:c>
      <x:c r="AB21" s="752" t="str">
        <x:v>Primary normative</x:v>
      </x:c>
      <x:c r="AC21" s="752" t="str">
        <x:v>Official regulation issued by Norwegian Government; included because it may impose binding requirements on an in-scope aquaculture asset, activity, permit or certification.</x:v>
      </x:c>
      <x:c r="AD21" s="752" t="str">
        <x:v>HIGH</x:v>
      </x:c>
      <x:c r="AE21" s="752" t="str">
        <x:v>MEDIUM</x:v>
      </x:c>
      <x:c r="AF21" s="752" t="str">
        <x:v>HIGH</x:v>
      </x:c>
      <x:c r="AG21" s="752" t="str">
        <x:v>HIGH</x:v>
      </x:c>
      <x:c r="AH21" s="752" t="str">
        <x:v>HIGH</x:v>
      </x:c>
      <x:c r="AI21" s="752" t="str">
        <x:v>HIGH</x:v>
      </x:c>
      <x:c r="AJ21" s="752" t="str">
        <x:v>PENDING</x:v>
      </x:c>
      <x:c r="AK21" s="759"/>
      <x:c r="AL21" s="752"/>
      <x:c r="AM21" s="752" t="str">
        <x:v>CURRENT</x:v>
      </x:c>
      <x:c r="AN21" s="752"/>
      <x:c r="AO21" s="752" t="str">
        <x:v>Official expansion from Mattilsynet. Conditional on live-animal transport activities.</x:v>
      </x:c>
      <x:c r="AP21" s="752" t="str">
        <x:v>OFFICIAL_WEBSITE</x:v>
      </x:c>
      <x:c r="AQ21" s="752" t="str">
        <x:v>OFFICIAL_ORIGINAL</x:v>
      </x:c>
      <x:c r="AR21" s="752" t="str">
        <x:v>ROLLING</x:v>
      </x:c>
      <x:c r="AS21" s="752"/>
    </x:row>
    <x:row r="22" s="36" customFormat="1" ht="30" customHeight="1">
      <x:c r="A22" s="751" t="str">
        <x:v>PA020</x:v>
      </x:c>
      <x:c r="B22" s="751" t="str">
        <x:v>PA020-001</x:v>
      </x:c>
      <x:c r="C22" s="751" t="str">
        <x:v>PA020-001_Regulation_on_slaughterhouses_and_processing_facilities_for_aquaculture_animals.html</x:v>
      </x:c>
      <x:c r="D22" s="751" t="str">
        <x:v>STORED</x:v>
      </x:c>
      <x:c r="E22" s="751" t="str">
        <x:f>IF(A22="","",IF(OR(AJ22="EXCLUDE",COUNTIF(AD22:AH22,"LOW")&gt;0),"EXCLUDE",IF(OR(AJ22&lt;&gt;"INCLUDE",F22&lt;&gt;"SUCCESS",D22&lt;&gt;"STORED",U22="",AP22="",AQ22="",AQ22="UNVERIFIED",AND(AP22="OFFICIAL_WEBSITE",Q22=""),AND(OR(AA22="Equipment manual / OEM instruction",AB22="Asset-specific normative"),OR(Z22&lt;&gt;"Manufacturer / supplier",AS22="",AC22=""))),"PENDING",IF(COUNTIF(AD22:AH22,"HIGH")=5,"INCLUDE","PENDING"))))</x:f>
        <x:v>PENDING</x:v>
      </x:c>
      <x:c r="F22" s="751" t="str">
        <x:v>SUCCESS</x:v>
      </x:c>
      <x:c r="G22" s="755" t="n">
        <x:v>46262.53086805555</x:v>
      </x:c>
      <x:c r="H22" s="755" t="n">
        <x:v>46262.53086805555</x:v>
      </x:c>
      <x:c r="I22" s="751" t="str">
        <x:v>INITIAL</x:v>
      </x:c>
      <x:c r="J22" s="751" t="str">
        <x:v>AUTO</x:v>
      </x:c>
      <x:c r="K22" s="757" t="n">
        <x:f>IF(A22="","",IF(J22="AUTO",H22,IF(J22="MANUAL",AK22,"")))</x:f>
        <x:v>46262.53086805555</x:v>
      </x:c>
      <x:c r="L22" s="751" t="str">
        <x:v>NONE</x:v>
      </x:c>
      <x:c r="M22" s="751"/>
      <x:c r="N22" s="751" t="str">
        <x:f>IF(OR(AM22&lt;&gt;"CURRENT",E22="EXCLUDE"),"NO",IF(A22="","",IF(OR(F22="FAIL",F22="PAYWALL_BLOCKED"),IF(AND(AK22&lt;&gt;"",AK22&gt;=INT(G22),D22="STORED",J22="MANUAL",AL22&lt;&gt;""),"NO","YES"),IF(AND(AR22="ROLLING",I22="CHANGED"),IF(AND(AK22&lt;&gt;"",AK22&gt;=INT(IF(H22&lt;&gt;"",H22,G22)),AL22&lt;&gt;""),"NO","YES"),"NO"))))</x:f>
        <x:v>NO</x:v>
      </x:c>
      <x:c r="O22" s="751" t="str">
        <x:v>660825e1fb0f6b15f9e8501319e334d7b67de1790c34645715f5b184d3d397cc</x:v>
      </x:c>
      <x:c r="P22" s="752" t="str">
        <x:v>Regulation on slaughterhouses and processing facilities for aquaculture animals</x:v>
      </x:c>
      <x:c r="Q22" s="752" t="str">
        <x:v>https://lovdata.no/dokument/SF/forskrift/2006-10-30-1250</x:v>
      </x:c>
      <x:c r="R22" s="752" t="str">
        <x:v>https://lovdata.no/dokument/SF/forskrift/2006-10-30-1250</x:v>
      </x:c>
      <x:c r="S22" s="752" t="str">
        <x:v>A_Public_Authority</x:v>
      </x:c>
      <x:c r="T22" s="752" t="str">
        <x:v>html</x:v>
      </x:c>
      <x:c r="U22" s="752" t="str">
        <x:v>Norwegian Ministry of Trade, Industry and Fisheries</x:v>
      </x:c>
      <x:c r="V22" s="752" t="str">
        <x:v>Norway</x:v>
      </x:c>
      <x:c r="W22" s="752" t="str">
        <x:v>Norwegian</x:v>
      </x:c>
      <x:c r="X22" s="752"/>
      <x:c r="Y22" s="752"/>
      <x:c r="Z22" s="752" t="str">
        <x:v>Public authority</x:v>
      </x:c>
      <x:c r="AA22" s="752" t="str">
        <x:v>Regulation</x:v>
      </x:c>
      <x:c r="AB22" s="752" t="str">
        <x:v>Primary normative</x:v>
      </x:c>
      <x:c r="AC22" s="752" t="str">
        <x:v>Official regulation issued by Norwegian Ministry of Trade, Industry and Fisheries; included because it may impose binding requirements on an in-scope aquaculture asset, activity, permit or certification.</x:v>
      </x:c>
      <x:c r="AD22" s="752" t="str">
        <x:v>HIGH</x:v>
      </x:c>
      <x:c r="AE22" s="752" t="str">
        <x:v>MEDIUM</x:v>
      </x:c>
      <x:c r="AF22" s="752" t="str">
        <x:v>HIGH</x:v>
      </x:c>
      <x:c r="AG22" s="752" t="str">
        <x:v>HIGH</x:v>
      </x:c>
      <x:c r="AH22" s="752" t="str">
        <x:v>HIGH</x:v>
      </x:c>
      <x:c r="AI22" s="752" t="str">
        <x:v>HIGH</x:v>
      </x:c>
      <x:c r="AJ22" s="752" t="str">
        <x:v>PENDING</x:v>
      </x:c>
      <x:c r="AK22" s="759"/>
      <x:c r="AL22" s="752"/>
      <x:c r="AM22" s="752" t="str">
        <x:v>CURRENT</x:v>
      </x:c>
      <x:c r="AN22" s="752"/>
      <x:c r="AO22" s="752" t="str">
        <x:v>Official expansion from Mattilsynet. Include only when slaughter or processing is in scope.</x:v>
      </x:c>
      <x:c r="AP22" s="752" t="str">
        <x:v>OFFICIAL_WEBSITE</x:v>
      </x:c>
      <x:c r="AQ22" s="752" t="str">
        <x:v>OFFICIAL_ORIGINAL</x:v>
      </x:c>
      <x:c r="AR22" s="752" t="str">
        <x:v>ROLLING</x:v>
      </x:c>
      <x:c r="AS22" s="752"/>
    </x:row>
    <x:row r="23" s="36" customFormat="1" ht="30" customHeight="1">
      <x:c r="A23" s="751" t="str">
        <x:v>PA021</x:v>
      </x:c>
      <x:c r="B23" s="751" t="str">
        <x:v>PA021-001</x:v>
      </x:c>
      <x:c r="C23" s="751" t="str">
        <x:v>PA021-001_Regulation_on_permits_for_aquaculture_of_salmon_trout_and_rainbow_trout_Salmon_Allocation_Regulations.html</x:v>
      </x:c>
      <x:c r="D23" s="751" t="str">
        <x:v>STORED</x:v>
      </x:c>
      <x:c r="E23" s="751" t="str">
        <x:f>IF(A23="","",IF(OR(AJ23="EXCLUDE",COUNTIF(AD23:AH23,"LOW")&gt;0),"EXCLUDE",IF(OR(AJ23&lt;&gt;"INCLUDE",F23&lt;&gt;"SUCCESS",D23&lt;&gt;"STORED",U23="",AP23="",AQ23="",AQ23="UNVERIFIED",AND(AP23="OFFICIAL_WEBSITE",Q23=""),AND(OR(AA23="Equipment manual / OEM instruction",AB23="Asset-specific normative"),OR(Z23&lt;&gt;"Manufacturer / supplier",AS23="",AC23=""))),"PENDING",IF(COUNTIF(AD23:AH23,"HIGH")=5,"INCLUDE","PENDING"))))</x:f>
        <x:v>PENDING</x:v>
      </x:c>
      <x:c r="F23" s="751" t="str">
        <x:v>SUCCESS</x:v>
      </x:c>
      <x:c r="G23" s="755" t="n">
        <x:v>46262.53087962963</x:v>
      </x:c>
      <x:c r="H23" s="755" t="n">
        <x:v>46262.53087962963</x:v>
      </x:c>
      <x:c r="I23" s="751" t="str">
        <x:v>INITIAL</x:v>
      </x:c>
      <x:c r="J23" s="751" t="str">
        <x:v>AUTO</x:v>
      </x:c>
      <x:c r="K23" s="757" t="n">
        <x:f>IF(A23="","",IF(J23="AUTO",H23,IF(J23="MANUAL",AK23,"")))</x:f>
        <x:v>46262.53087962963</x:v>
      </x:c>
      <x:c r="L23" s="751" t="str">
        <x:v>NONE</x:v>
      </x:c>
      <x:c r="M23" s="751"/>
      <x:c r="N23" s="751" t="str">
        <x:f>IF(OR(AM23&lt;&gt;"CURRENT",E23="EXCLUDE"),"NO",IF(A23="","",IF(OR(F23="FAIL",F23="PAYWALL_BLOCKED"),IF(AND(AK23&lt;&gt;"",AK23&gt;=INT(G23),D23="STORED",J23="MANUAL",AL23&lt;&gt;""),"NO","YES"),IF(AND(AR23="ROLLING",I23="CHANGED"),IF(AND(AK23&lt;&gt;"",AK23&gt;=INT(IF(H23&lt;&gt;"",H23,G23)),AL23&lt;&gt;""),"NO","YES"),"NO"))))</x:f>
        <x:v>NO</x:v>
      </x:c>
      <x:c r="O23" s="751" t="str">
        <x:v>7ad31127a98909210f86c2df281141adc3218206d348c07c01be4a00c540964d</x:v>
      </x:c>
      <x:c r="P23" s="752" t="str">
        <x:v>Regulation on permits for aquaculture of salmon, trout and rainbow trout (Salmon Allocation Regulations)</x:v>
      </x:c>
      <x:c r="Q23" s="752" t="str">
        <x:v>https://lovdata.no/dokument/SF/forskrift/2022-11-07-1929</x:v>
      </x:c>
      <x:c r="R23" s="752" t="str">
        <x:v>https://lovdata.no/dokument/SF/forskrift/2022-11-07-1929</x:v>
      </x:c>
      <x:c r="S23" s="752" t="str">
        <x:v>A_Public_Authority</x:v>
      </x:c>
      <x:c r="T23" s="752" t="str">
        <x:v>html</x:v>
      </x:c>
      <x:c r="U23" s="752" t="str">
        <x:v>Norwegian Ministry of Trade, Industry and Fisheries</x:v>
      </x:c>
      <x:c r="V23" s="752" t="str">
        <x:v>Norway</x:v>
      </x:c>
      <x:c r="W23" s="752" t="str">
        <x:v>Norwegian</x:v>
      </x:c>
      <x:c r="X23" s="752"/>
      <x:c r="Y23" s="752"/>
      <x:c r="Z23" s="752" t="str">
        <x:v>Public authority</x:v>
      </x:c>
      <x:c r="AA23" s="752" t="str">
        <x:v>Regulation</x:v>
      </x:c>
      <x:c r="AB23" s="752" t="str">
        <x:v>Primary normative</x:v>
      </x:c>
      <x:c r="AC23" s="752" t="str">
        <x:v>Official regulation issued by Norwegian Ministry of Trade, Industry and Fisheries; included because it may impose binding requirements on an in-scope aquaculture asset, activity, permit or certification.</x:v>
      </x:c>
      <x:c r="AD23" s="752" t="str">
        <x:v>HIGH</x:v>
      </x:c>
      <x:c r="AE23" s="752" t="str">
        <x:v>MEDIUM</x:v>
      </x:c>
      <x:c r="AF23" s="752" t="str">
        <x:v>HIGH</x:v>
      </x:c>
      <x:c r="AG23" s="752" t="str">
        <x:v>HIGH</x:v>
      </x:c>
      <x:c r="AH23" s="752" t="str">
        <x:v>HIGH</x:v>
      </x:c>
      <x:c r="AI23" s="752" t="str">
        <x:v>HIGH</x:v>
      </x:c>
      <x:c r="AJ23" s="752" t="str">
        <x:v>PENDING</x:v>
      </x:c>
      <x:c r="AK23" s="759"/>
      <x:c r="AL23" s="752"/>
      <x:c r="AM23" s="752" t="str">
        <x:v>CURRENT</x:v>
      </x:c>
      <x:c r="AN23" s="752"/>
      <x:c r="AO23" s="752" t="str">
        <x:v>Official expansion from Fiskeridirektoratet's aquaculture regulation index; conditional on species and permit type.</x:v>
      </x:c>
      <x:c r="AP23" s="752" t="str">
        <x:v>OFFICIAL_WEBSITE</x:v>
      </x:c>
      <x:c r="AQ23" s="752" t="str">
        <x:v>OFFICIAL_ORIGINAL</x:v>
      </x:c>
      <x:c r="AR23" s="752" t="str">
        <x:v>ROLLING</x:v>
      </x:c>
      <x:c r="AS23" s="752"/>
    </x:row>
    <x:row r="24" s="36" customFormat="1" ht="30" customHeight="1">
      <x:c r="A24" s="751" t="str">
        <x:v>PA022</x:v>
      </x:c>
      <x:c r="B24" s="751" t="str">
        <x:v>PA022-001</x:v>
      </x:c>
      <x:c r="C24" s="751" t="str">
        <x:v>PA022-001_Regulation_on_technical_standards_for_land-based_aquaculture_facilities_for_fish.html</x:v>
      </x:c>
      <x:c r="D24" s="751" t="str">
        <x:v>STORED</x:v>
      </x:c>
      <x:c r="E24" s="751" t="str">
        <x:f>IF(A24="","",IF(OR(AJ24="EXCLUDE",COUNTIF(AD24:AH24,"LOW")&gt;0),"EXCLUDE",IF(OR(AJ24&lt;&gt;"INCLUDE",F24&lt;&gt;"SUCCESS",D24&lt;&gt;"STORED",U24="",AP24="",AQ24="",AQ24="UNVERIFIED",AND(AP24="OFFICIAL_WEBSITE",Q24=""),AND(OR(AA24="Equipment manual / OEM instruction",AB24="Asset-specific normative"),OR(Z24&lt;&gt;"Manufacturer / supplier",AS24="",AC24=""))),"PENDING",IF(COUNTIF(AD24:AH24,"HIGH")=5,"INCLUDE","PENDING"))))</x:f>
        <x:v>PENDING</x:v>
      </x:c>
      <x:c r="F24" s="751" t="str">
        <x:v>SUCCESS</x:v>
      </x:c>
      <x:c r="G24" s="755" t="n">
        <x:v>46262.53087962963</x:v>
      </x:c>
      <x:c r="H24" s="755" t="n">
        <x:v>46262.53087962963</x:v>
      </x:c>
      <x:c r="I24" s="751" t="str">
        <x:v>INITIAL</x:v>
      </x:c>
      <x:c r="J24" s="751" t="str">
        <x:v>AUTO</x:v>
      </x:c>
      <x:c r="K24" s="757" t="n">
        <x:f>IF(A24="","",IF(J24="AUTO",H24,IF(J24="MANUAL",AK24,"")))</x:f>
        <x:v>46262.53087962963</x:v>
      </x:c>
      <x:c r="L24" s="751" t="str">
        <x:v>NONE</x:v>
      </x:c>
      <x:c r="M24" s="751"/>
      <x:c r="N24" s="751" t="str">
        <x:f>IF(OR(AM24&lt;&gt;"CURRENT",E24="EXCLUDE"),"NO",IF(A24="","",IF(OR(F24="FAIL",F24="PAYWALL_BLOCKED"),IF(AND(AK24&lt;&gt;"",AK24&gt;=INT(G24),D24="STORED",J24="MANUAL",AL24&lt;&gt;""),"NO","YES"),IF(AND(AR24="ROLLING",I24="CHANGED"),IF(AND(AK24&lt;&gt;"",AK24&gt;=INT(IF(H24&lt;&gt;"",H24,G24)),AL24&lt;&gt;""),"NO","YES"),"NO"))))</x:f>
        <x:v>NO</x:v>
      </x:c>
      <x:c r="O24" s="751" t="str">
        <x:v>2ab1905061a870af1b05ec9e1c8536e90157d00d70217305629365e4986c1918</x:v>
      </x:c>
      <x:c r="P24" s="752" t="str">
        <x:v>Regulation on technical standards for land-based aquaculture facilities for fish</x:v>
      </x:c>
      <x:c r="Q24" s="752" t="str">
        <x:v>https://lovdata.no/dokument/SF/forskrift/2017-06-19-941</x:v>
      </x:c>
      <x:c r="R24" s="752" t="str">
        <x:v>https://lovdata.no/dokument/SF/forskrift/2017-06-19-941</x:v>
      </x:c>
      <x:c r="S24" s="752" t="str">
        <x:v>A_Public_Authority</x:v>
      </x:c>
      <x:c r="T24" s="752" t="str">
        <x:v>html</x:v>
      </x:c>
      <x:c r="U24" s="752" t="str">
        <x:v>Norwegian Ministry of Trade, Industry and Fisheries</x:v>
      </x:c>
      <x:c r="V24" s="752" t="str">
        <x:v>Norway</x:v>
      </x:c>
      <x:c r="W24" s="752" t="str">
        <x:v>Norwegian</x:v>
      </x:c>
      <x:c r="X24" s="752"/>
      <x:c r="Y24" s="752"/>
      <x:c r="Z24" s="752" t="str">
        <x:v>Public authority</x:v>
      </x:c>
      <x:c r="AA24" s="752" t="str">
        <x:v>Regulation</x:v>
      </x:c>
      <x:c r="AB24" s="752" t="str">
        <x:v>Primary normative</x:v>
      </x:c>
      <x:c r="AC24" s="752" t="str">
        <x:v>Official regulation issued by Norwegian Ministry of Trade, Industry and Fisheries; included because it may impose binding requirements on an in-scope aquaculture asset, activity, permit or certification.</x:v>
      </x:c>
      <x:c r="AD24" s="752" t="str">
        <x:v>HIGH</x:v>
      </x:c>
      <x:c r="AE24" s="752" t="str">
        <x:v>MEDIUM</x:v>
      </x:c>
      <x:c r="AF24" s="752" t="str">
        <x:v>HIGH</x:v>
      </x:c>
      <x:c r="AG24" s="752" t="str">
        <x:v>HIGH</x:v>
      </x:c>
      <x:c r="AH24" s="752" t="str">
        <x:v>HIGH</x:v>
      </x:c>
      <x:c r="AI24" s="752" t="str">
        <x:v>HIGH</x:v>
      </x:c>
      <x:c r="AJ24" s="752" t="str">
        <x:v>PENDING</x:v>
      </x:c>
      <x:c r="AK24" s="759"/>
      <x:c r="AL24" s="752"/>
      <x:c r="AM24" s="752" t="str">
        <x:v>CURRENT</x:v>
      </x:c>
      <x:c r="AN24" s="752"/>
      <x:c r="AO24" s="752" t="str">
        <x:v>Official expansion. Include only for land-based facilities.</x:v>
      </x:c>
      <x:c r="AP24" s="752" t="str">
        <x:v>OFFICIAL_WEBSITE</x:v>
      </x:c>
      <x:c r="AQ24" s="752" t="str">
        <x:v>OFFICIAL_ORIGINAL</x:v>
      </x:c>
      <x:c r="AR24" s="752" t="str">
        <x:v>ROLLING</x:v>
      </x:c>
      <x:c r="AS24" s="752"/>
    </x:row>
    <x:row r="25" s="36" customFormat="1" ht="30" customHeight="1">
      <x:c r="A25" s="751" t="str">
        <x:v>PA023</x:v>
      </x:c>
      <x:c r="B25" s="751" t="str">
        <x:v>PA023-001</x:v>
      </x:c>
      <x:c r="C25" s="751" t="str">
        <x:v>PA023-001_Nature_Diversity_Act.html</x:v>
      </x:c>
      <x:c r="D25" s="751" t="str">
        <x:v>STORED</x:v>
      </x:c>
      <x:c r="E25" s="751" t="str">
        <x:f>IF(A25="","",IF(OR(AJ25="EXCLUDE",COUNTIF(AD25:AH25,"LOW")&gt;0),"EXCLUDE",IF(OR(AJ25&lt;&gt;"INCLUDE",F25&lt;&gt;"SUCCESS",D25&lt;&gt;"STORED",U25="",AP25="",AQ25="",AQ25="UNVERIFIED",AND(AP25="OFFICIAL_WEBSITE",Q25=""),AND(OR(AA25="Equipment manual / OEM instruction",AB25="Asset-specific normative"),OR(Z25&lt;&gt;"Manufacturer / supplier",AS25="",AC25=""))),"PENDING",IF(COUNTIF(AD25:AH25,"HIGH")=5,"INCLUDE","PENDING"))))</x:f>
        <x:v>INCLUDE</x:v>
      </x:c>
      <x:c r="F25" s="751" t="str">
        <x:v>SUCCESS</x:v>
      </x:c>
      <x:c r="G25" s="755" t="n">
        <x:v>46262.53087962963</x:v>
      </x:c>
      <x:c r="H25" s="755" t="n">
        <x:v>46262.53087962963</x:v>
      </x:c>
      <x:c r="I25" s="751" t="str">
        <x:v>INITIAL</x:v>
      </x:c>
      <x:c r="J25" s="751" t="str">
        <x:v>AUTO</x:v>
      </x:c>
      <x:c r="K25" s="757" t="n">
        <x:f>IF(A25="","",IF(J25="AUTO",H25,IF(J25="MANUAL",AK25,"")))</x:f>
        <x:v>46262.53087962963</x:v>
      </x:c>
      <x:c r="L25" s="751" t="str">
        <x:v>NONE</x:v>
      </x:c>
      <x:c r="M25" s="751"/>
      <x:c r="N25" s="751" t="str">
        <x:f>IF(OR(AM25&lt;&gt;"CURRENT",E25="EXCLUDE"),"NO",IF(A25="","",IF(OR(F25="FAIL",F25="PAYWALL_BLOCKED"),IF(AND(AK25&lt;&gt;"",AK25&gt;=INT(G25),D25="STORED",J25="MANUAL",AL25&lt;&gt;""),"NO","YES"),IF(AND(AR25="ROLLING",I25="CHANGED"),IF(AND(AK25&lt;&gt;"",AK25&gt;=INT(IF(H25&lt;&gt;"",H25,G25)),AL25&lt;&gt;""),"NO","YES"),"NO"))))</x:f>
        <x:v>NO</x:v>
      </x:c>
      <x:c r="O25" s="751" t="str">
        <x:v>3eb19d6be728a20e51a80ac13993de88c500c707580fa4b5eed19495d4871042</x:v>
      </x:c>
      <x:c r="P25" s="752" t="str">
        <x:v>Nature Diversity Act</x:v>
      </x:c>
      <x:c r="Q25" s="752" t="str">
        <x:v>https://lovdata.no/dokument/NL/lov/2009-06-19-100</x:v>
      </x:c>
      <x:c r="R25" s="752" t="str">
        <x:v>https://lovdata.no/dokument/NL/lov/2009-06-19-100</x:v>
      </x:c>
      <x:c r="S25" s="752" t="str">
        <x:v>A_Public_Authority</x:v>
      </x:c>
      <x:c r="T25" s="752" t="str">
        <x:v>html</x:v>
      </x:c>
      <x:c r="U25" s="752" t="str">
        <x:v>Norwegian Ministry of Climate and Environment</x:v>
      </x:c>
      <x:c r="V25" s="752" t="str">
        <x:v>Norway</x:v>
      </x:c>
      <x:c r="W25" s="752" t="str">
        <x:v>Norwegian</x:v>
      </x:c>
      <x:c r="X25" s="752"/>
      <x:c r="Y25" s="752"/>
      <x:c r="Z25" s="752" t="str">
        <x:v>Public authority</x:v>
      </x:c>
      <x:c r="AA25" s="752" t="str">
        <x:v>Law</x:v>
      </x:c>
      <x:c r="AB25" s="752" t="str">
        <x:v>Referenced normative</x:v>
      </x:c>
      <x:c r="AC25" s="752" t="str">
        <x:v>Official referenced source from Norwegian Ministry of Climate and Environment; included because an applicable law, permit or certification scheme may make its provisions binding within the approved scope.</x:v>
      </x:c>
      <x:c r="AD25" s="752" t="str">
        <x:v>HIGH</x:v>
      </x:c>
      <x:c r="AE25" s="752" t="str">
        <x:v>HIGH</x:v>
      </x:c>
      <x:c r="AF25" s="752" t="str">
        <x:v>HIGH</x:v>
      </x:c>
      <x:c r="AG25" s="752" t="str">
        <x:v>HIGH</x:v>
      </x:c>
      <x:c r="AH25" s="752" t="str">
        <x:v>HIGH</x:v>
      </x:c>
      <x:c r="AI25" s="752" t="str">
        <x:v>HIGH</x:v>
      </x:c>
      <x:c r="AJ25" s="752" t="str">
        <x:v>INCLUDE</x:v>
      </x:c>
      <x:c r="AK25" s="759"/>
      <x:c r="AL25" s="752"/>
      <x:c r="AM25" s="752" t="str">
        <x:v>CURRENT</x:v>
      </x:c>
      <x:c r="AN25" s="752"/>
      <x:c r="AO25" s="752" t="str">
        <x:v>Official expansion from environmental authority guidance; often relevant to permitting decisions and environmental assessment.</x:v>
      </x:c>
      <x:c r="AP25" s="752" t="str">
        <x:v>OFFICIAL_WEBSITE</x:v>
      </x:c>
      <x:c r="AQ25" s="752" t="str">
        <x:v>OFFICIAL_ORIGINAL</x:v>
      </x:c>
      <x:c r="AR25" s="752" t="str">
        <x:v>ROLLING</x:v>
      </x:c>
      <x:c r="AS25" s="752"/>
    </x:row>
    <x:row r="26" s="36" customFormat="1" ht="30" customHeight="1">
      <x:c r="A26" s="751" t="str">
        <x:v>PA024</x:v>
      </x:c>
      <x:c r="B26" s="751" t="str">
        <x:v>PA024-001</x:v>
      </x:c>
      <x:c r="C26" s="751" t="str">
        <x:v>PA024-001_Fiskeridirektoratet_guidance_to_NYTEK23.html</x:v>
      </x:c>
      <x:c r="D26" s="751" t="str">
        <x:v>STORED</x:v>
      </x:c>
      <x:c r="E26" s="751" t="str">
        <x:f>IF(A26="","",IF(OR(AJ26="EXCLUDE",COUNTIF(AD26:AH26,"LOW")&gt;0),"EXCLUDE",IF(OR(AJ26&lt;&gt;"INCLUDE",F26&lt;&gt;"SUCCESS",D26&lt;&gt;"STORED",U26="",AP26="",AQ26="",AQ26="UNVERIFIED",AND(AP26="OFFICIAL_WEBSITE",Q26=""),AND(OR(AA26="Equipment manual / OEM instruction",AB26="Asset-specific normative"),OR(Z26&lt;&gt;"Manufacturer / supplier",AS26="",AC26=""))),"PENDING",IF(COUNTIF(AD26:AH26,"HIGH")=5,"INCLUDE","PENDING"))))</x:f>
        <x:v>INCLUDE</x:v>
      </x:c>
      <x:c r="F26" s="751" t="str">
        <x:v>SUCCESS</x:v>
      </x:c>
      <x:c r="G26" s="755" t="n">
        <x:v>46262.53087962963</x:v>
      </x:c>
      <x:c r="H26" s="755" t="n">
        <x:v>46262.53089120371</x:v>
      </x:c>
      <x:c r="I26" s="751" t="str">
        <x:v>INITIAL</x:v>
      </x:c>
      <x:c r="J26" s="751" t="str">
        <x:v>AUTO</x:v>
      </x:c>
      <x:c r="K26" s="757" t="n">
        <x:f>IF(A26="","",IF(J26="AUTO",H26,IF(J26="MANUAL",AK26,"")))</x:f>
        <x:v>46262.53089120371</x:v>
      </x:c>
      <x:c r="L26" s="751" t="str">
        <x:v>NONE</x:v>
      </x:c>
      <x:c r="M26" s="751"/>
      <x:c r="N26" s="751" t="str">
        <x:f>IF(OR(AM26&lt;&gt;"CURRENT",E26="EXCLUDE"),"NO",IF(A26="","",IF(OR(F26="FAIL",F26="PAYWALL_BLOCKED"),IF(AND(AK26&lt;&gt;"",AK26&gt;=INT(G26),D26="STORED",J26="MANUAL",AL26&lt;&gt;""),"NO","YES"),IF(AND(AR26="ROLLING",I26="CHANGED"),IF(AND(AK26&lt;&gt;"",AK26&gt;=INT(IF(H26&lt;&gt;"",H26,G26)),AL26&lt;&gt;""),"NO","YES"),"NO"))))</x:f>
        <x:v>NO</x:v>
      </x:c>
      <x:c r="O26" s="751" t="str">
        <x:v>e331c25d9cf82bf550a1e76076c3ad72ef36a37c8f04ca6b17d52d556753c375</x:v>
      </x:c>
      <x:c r="P26" s="752" t="str">
        <x:v>Fiskeridirektoratet guidance to NYTEK23</x:v>
      </x:c>
      <x:c r="Q26" s="752" t="str">
        <x:v>https://www.fiskeridir.no/akvakultur/veiledere/veileder-til-nytek23</x:v>
      </x:c>
      <x:c r="R26" s="752" t="str">
        <x:v>https://www.fiskeridir.no/akvakultur/veiledere/veileder-til-nytek23</x:v>
      </x:c>
      <x:c r="S26" s="752" t="str">
        <x:v>A_Public_Authority</x:v>
      </x:c>
      <x:c r="T26" s="752" t="str">
        <x:v>html</x:v>
      </x:c>
      <x:c r="U26" s="752" t="str">
        <x:v>Norwegian Directorate of Fisheries</x:v>
      </x:c>
      <x:c r="V26" s="752" t="str">
        <x:v>Norway</x:v>
      </x:c>
      <x:c r="W26" s="752" t="str">
        <x:v>Norwegian</x:v>
      </x:c>
      <x:c r="X26" s="752"/>
      <x:c r="Y26" s="752"/>
      <x:c r="Z26" s="752" t="str">
        <x:v>Public authority</x:v>
      </x:c>
      <x:c r="AA26" s="752" t="str">
        <x:v>Interpretation document</x:v>
      </x:c>
      <x:c r="AB26" s="752" t="str">
        <x:v>Guidance / interpretation</x:v>
      </x:c>
      <x:c r="AC26" s="752" t="str">
        <x:v>Official guidance from Norwegian Directorate of Fisheries; included to interpret and operationalise linked normative requirements, not as independent legal or certification authority.</x:v>
      </x:c>
      <x:c r="AD26" s="752" t="str">
        <x:v>HIGH</x:v>
      </x:c>
      <x:c r="AE26" s="752" t="str">
        <x:v>HIGH</x:v>
      </x:c>
      <x:c r="AF26" s="752" t="str">
        <x:v>HIGH</x:v>
      </x:c>
      <x:c r="AG26" s="752" t="str">
        <x:v>HIGH</x:v>
      </x:c>
      <x:c r="AH26" s="752" t="str">
        <x:v>HIGH</x:v>
      </x:c>
      <x:c r="AI26" s="752" t="str">
        <x:v>HIGH</x:v>
      </x:c>
      <x:c r="AJ26" s="752" t="str">
        <x:v>INCLUDE</x:v>
      </x:c>
      <x:c r="AK26" s="759"/>
      <x:c r="AL26" s="752"/>
      <x:c r="AM26" s="752" t="str">
        <x:v>CURRENT</x:v>
      </x:c>
      <x:c r="AN26" s="752" t="str">
        <x:v>PA004</x:v>
      </x:c>
      <x:c r="AO26" s="752" t="str">
        <x:v>Official guidance. It supports interpretation but does not replace PA004 or referenced standards.</x:v>
      </x:c>
      <x:c r="AP26" s="752" t="str">
        <x:v>OFFICIAL_WEBSITE</x:v>
      </x:c>
      <x:c r="AQ26" s="752" t="str">
        <x:v>OFFICIAL_ORIGINAL</x:v>
      </x:c>
      <x:c r="AR26" s="752" t="str">
        <x:v>ROLLING</x:v>
      </x:c>
      <x:c r="AS26" s="752"/>
    </x:row>
    <x:row r="27" s="36" customFormat="1" ht="30" customHeight="1">
      <x:c r="A27" s="751" t="str">
        <x:v>PA025</x:v>
      </x:c>
      <x:c r="B27" s="751" t="str">
        <x:v>PA025-001</x:v>
      </x:c>
      <x:c r="C27" s="751" t="str">
        <x:v>PA025-001_Guidance_on_holistic_risk_management_in_aquaculture.html</x:v>
      </x:c>
      <x:c r="D27" s="751" t="str">
        <x:v>STORED</x:v>
      </x:c>
      <x:c r="E27" s="751" t="str">
        <x:f>IF(A27="","",IF(OR(AJ27="EXCLUDE",COUNTIF(AD27:AH27,"LOW")&gt;0),"EXCLUDE",IF(OR(AJ27&lt;&gt;"INCLUDE",F27&lt;&gt;"SUCCESS",D27&lt;&gt;"STORED",U27="",AP27="",AQ27="",AQ27="UNVERIFIED",AND(AP27="OFFICIAL_WEBSITE",Q27=""),AND(OR(AA27="Equipment manual / OEM instruction",AB27="Asset-specific normative"),OR(Z27&lt;&gt;"Manufacturer / supplier",AS27="",AC27=""))),"PENDING",IF(COUNTIF(AD27:AH27,"HIGH")=5,"INCLUDE","PENDING"))))</x:f>
        <x:v>INCLUDE</x:v>
      </x:c>
      <x:c r="F27" s="751" t="str">
        <x:v>SUCCESS</x:v>
      </x:c>
      <x:c r="G27" s="755" t="n">
        <x:v>46262.53090277778</x:v>
      </x:c>
      <x:c r="H27" s="755" t="n">
        <x:v>46262.53090277778</x:v>
      </x:c>
      <x:c r="I27" s="751" t="str">
        <x:v>INITIAL</x:v>
      </x:c>
      <x:c r="J27" s="751" t="str">
        <x:v>AUTO</x:v>
      </x:c>
      <x:c r="K27" s="757" t="n">
        <x:f>IF(A27="","",IF(J27="AUTO",H27,IF(J27="MANUAL",AK27,"")))</x:f>
        <x:v>46262.53090277778</x:v>
      </x:c>
      <x:c r="L27" s="751" t="str">
        <x:v>NONE</x:v>
      </x:c>
      <x:c r="M27" s="751"/>
      <x:c r="N27" s="751" t="str">
        <x:f>IF(OR(AM27&lt;&gt;"CURRENT",E27="EXCLUDE"),"NO",IF(A27="","",IF(OR(F27="FAIL",F27="PAYWALL_BLOCKED"),IF(AND(AK27&lt;&gt;"",AK27&gt;=INT(G27),D27="STORED",J27="MANUAL",AL27&lt;&gt;""),"NO","YES"),IF(AND(AR27="ROLLING",I27="CHANGED"),IF(AND(AK27&lt;&gt;"",AK27&gt;=INT(IF(H27&lt;&gt;"",H27,G27)),AL27&lt;&gt;""),"NO","YES"),"NO"))))</x:f>
        <x:v>NO</x:v>
      </x:c>
      <x:c r="O27" s="751" t="str">
        <x:v>6b02f98209cd66f8d09b279dd0ba86c8cf84324e5d65599ca0c476490d10c801</x:v>
      </x:c>
      <x:c r="P27" s="752" t="str">
        <x:v>Guidance on holistic risk management in aquaculture</x:v>
      </x:c>
      <x:c r="Q27" s="752" t="str">
        <x:v>https://www.fiskeridir.no/akvakultur/veiledere/veileder-helhetlig-risikostyring-innen-akvakultur</x:v>
      </x:c>
      <x:c r="R27" s="752" t="str">
        <x:v>https://www.fiskeridir.no/akvakultur/veiledere/veileder-helhetlig-risikostyring-innen-akvakultur</x:v>
      </x:c>
      <x:c r="S27" s="752" t="str">
        <x:v>A_Public_Authority</x:v>
      </x:c>
      <x:c r="T27" s="752" t="str">
        <x:v>html</x:v>
      </x:c>
      <x:c r="U27" s="752" t="str">
        <x:v>Norwegian Directorate of Fisheries</x:v>
      </x:c>
      <x:c r="V27" s="752" t="str">
        <x:v>Norway</x:v>
      </x:c>
      <x:c r="W27" s="752" t="str">
        <x:v>Norwegian</x:v>
      </x:c>
      <x:c r="X27" s="752"/>
      <x:c r="Y27" s="752"/>
      <x:c r="Z27" s="752" t="str">
        <x:v>Public authority</x:v>
      </x:c>
      <x:c r="AA27" s="752" t="str">
        <x:v>Interpretation document</x:v>
      </x:c>
      <x:c r="AB27" s="752" t="str">
        <x:v>Guidance / interpretation</x:v>
      </x:c>
      <x:c r="AC27" s="752" t="str">
        <x:v>Official guidance from Norwegian Directorate of Fisheries; included to interpret and operationalise linked normative requirements, not as independent legal or certification authority.</x:v>
      </x:c>
      <x:c r="AD27" s="752" t="str">
        <x:v>HIGH</x:v>
      </x:c>
      <x:c r="AE27" s="752" t="str">
        <x:v>HIGH</x:v>
      </x:c>
      <x:c r="AF27" s="752" t="str">
        <x:v>HIGH</x:v>
      </x:c>
      <x:c r="AG27" s="752" t="str">
        <x:v>HIGH</x:v>
      </x:c>
      <x:c r="AH27" s="752" t="str">
        <x:v>HIGH</x:v>
      </x:c>
      <x:c r="AI27" s="752" t="str">
        <x:v>HIGH</x:v>
      </x:c>
      <x:c r="AJ27" s="752" t="str">
        <x:v>INCLUDE</x:v>
      </x:c>
      <x:c r="AK27" s="759"/>
      <x:c r="AL27" s="752"/>
      <x:c r="AM27" s="752" t="str">
        <x:v>CURRENT</x:v>
      </x:c>
      <x:c r="AN27" s="752" t="str">
        <x:v>PA016</x:v>
      </x:c>
      <x:c r="AO27" s="752" t="str">
        <x:v>Official expansion source map. Useful for discovery and interpretation; not independently normative.</x:v>
      </x:c>
      <x:c r="AP27" s="752" t="str">
        <x:v>OFFICIAL_WEBSITE</x:v>
      </x:c>
      <x:c r="AQ27" s="752" t="str">
        <x:v>OFFICIAL_ORIGINAL</x:v>
      </x:c>
      <x:c r="AR27" s="752" t="str">
        <x:v>ROLLING</x:v>
      </x:c>
      <x:c r="AS27" s="752"/>
    </x:row>
    <x:row r="28" s="36" customFormat="1" ht="30" customHeight="1">
      <x:c r="A28" s="751" t="str">
        <x:v>PA026</x:v>
      </x:c>
      <x:c r="B28" s="751" t="str">
        <x:v>PA026-001</x:v>
      </x:c>
      <x:c r="C28" s="751" t="str">
        <x:v>PA026-001_Environmental_authority_guidance_on_aquaculture_pollution_management.html</x:v>
      </x:c>
      <x:c r="D28" s="751" t="str">
        <x:v>STORED</x:v>
      </x:c>
      <x:c r="E28" s="751" t="str">
        <x:f>IF(A28="","",IF(OR(AJ28="EXCLUDE",COUNTIF(AD28:AH28,"LOW")&gt;0),"EXCLUDE",IF(OR(AJ28&lt;&gt;"INCLUDE",F28&lt;&gt;"SUCCESS",D28&lt;&gt;"STORED",U28="",AP28="",AQ28="",AQ28="UNVERIFIED",AND(AP28="OFFICIAL_WEBSITE",Q28=""),AND(OR(AA28="Equipment manual / OEM instruction",AB28="Asset-specific normative"),OR(Z28&lt;&gt;"Manufacturer / supplier",AS28="",AC28=""))),"PENDING",IF(COUNTIF(AD28:AH28,"HIGH")=5,"INCLUDE","PENDING"))))</x:f>
        <x:v>INCLUDE</x:v>
      </x:c>
      <x:c r="F28" s="751" t="str">
        <x:v>SUCCESS</x:v>
      </x:c>
      <x:c r="G28" s="755" t="n">
        <x:v>46262.53090277778</x:v>
      </x:c>
      <x:c r="H28" s="755" t="n">
        <x:v>46262.53090277778</x:v>
      </x:c>
      <x:c r="I28" s="751" t="str">
        <x:v>INITIAL</x:v>
      </x:c>
      <x:c r="J28" s="751" t="str">
        <x:v>AUTO</x:v>
      </x:c>
      <x:c r="K28" s="757" t="n">
        <x:f>IF(A28="","",IF(J28="AUTO",H28,IF(J28="MANUAL",AK28,"")))</x:f>
        <x:v>46262.53090277778</x:v>
      </x:c>
      <x:c r="L28" s="751" t="str">
        <x:v>NONE</x:v>
      </x:c>
      <x:c r="M28" s="751"/>
      <x:c r="N28" s="751" t="str">
        <x:f>IF(OR(AM28&lt;&gt;"CURRENT",E28="EXCLUDE"),"NO",IF(A28="","",IF(OR(F28="FAIL",F28="PAYWALL_BLOCKED"),IF(AND(AK28&lt;&gt;"",AK28&gt;=INT(G28),D28="STORED",J28="MANUAL",AL28&lt;&gt;""),"NO","YES"),IF(AND(AR28="ROLLING",I28="CHANGED"),IF(AND(AK28&lt;&gt;"",AK28&gt;=INT(IF(H28&lt;&gt;"",H28,G28)),AL28&lt;&gt;""),"NO","YES"),"NO"))))</x:f>
        <x:v>NO</x:v>
      </x:c>
      <x:c r="O28" s="751" t="str">
        <x:v>b21a5486fb976b28eaab6a693a453e5e39ccf551e5b0fe3dbfc376f923b028a1</x:v>
      </x:c>
      <x:c r="P28" s="752" t="str">
        <x:v>Environmental authority guidance on aquaculture pollution management</x:v>
      </x:c>
      <x:c r="Q28" s="752" t="str">
        <x:v>https://www.miljodirektoratet.no/ansvarsomrader/forurensning/akvakultur/akvakultur-forvaltning/</x:v>
      </x:c>
      <x:c r="R28" s="752" t="str">
        <x:v>https://www.miljodirektoratet.no/ansvarsomrader/forurensning/akvakultur/akvakultur-forvaltning/</x:v>
      </x:c>
      <x:c r="S28" s="752" t="str">
        <x:v>A_Public_Authority</x:v>
      </x:c>
      <x:c r="T28" s="752" t="str">
        <x:v>html</x:v>
      </x:c>
      <x:c r="U28" s="752" t="str">
        <x:v>Norwegian Environment Agency</x:v>
      </x:c>
      <x:c r="V28" s="752" t="str">
        <x:v>Norway</x:v>
      </x:c>
      <x:c r="W28" s="752" t="str">
        <x:v>Norwegian</x:v>
      </x:c>
      <x:c r="X28" s="752"/>
      <x:c r="Y28" s="752"/>
      <x:c r="Z28" s="752" t="str">
        <x:v>Public authority</x:v>
      </x:c>
      <x:c r="AA28" s="752" t="str">
        <x:v>Interpretation document</x:v>
      </x:c>
      <x:c r="AB28" s="752" t="str">
        <x:v>Guidance / interpretation</x:v>
      </x:c>
      <x:c r="AC28" s="752" t="str">
        <x:v>Official guidance from Norwegian Environment Agency; included to interpret and operationalise linked normative requirements, not as independent legal or certification authority.</x:v>
      </x:c>
      <x:c r="AD28" s="752" t="str">
        <x:v>HIGH</x:v>
      </x:c>
      <x:c r="AE28" s="752" t="str">
        <x:v>HIGH</x:v>
      </x:c>
      <x:c r="AF28" s="752" t="str">
        <x:v>HIGH</x:v>
      </x:c>
      <x:c r="AG28" s="752" t="str">
        <x:v>HIGH</x:v>
      </x:c>
      <x:c r="AH28" s="752" t="str">
        <x:v>HIGH</x:v>
      </x:c>
      <x:c r="AI28" s="752" t="str">
        <x:v>HIGH</x:v>
      </x:c>
      <x:c r="AJ28" s="752" t="str">
        <x:v>INCLUDE</x:v>
      </x:c>
      <x:c r="AK28" s="759"/>
      <x:c r="AL28" s="752"/>
      <x:c r="AM28" s="752" t="str">
        <x:v>CURRENT</x:v>
      </x:c>
      <x:c r="AN28" s="752" t="str">
        <x:v>PA007</x:v>
      </x:c>
      <x:c r="AO28" s="752" t="str">
        <x:v>Official expansion. Identifies pollution-law, permit and monitoring relationships.</x:v>
      </x:c>
      <x:c r="AP28" s="752" t="str">
        <x:v>OFFICIAL_WEBSITE</x:v>
      </x:c>
      <x:c r="AQ28" s="752" t="str">
        <x:v>OFFICIAL_ORIGINAL</x:v>
      </x:c>
      <x:c r="AR28" s="752" t="str">
        <x:v>ROLLING</x:v>
      </x:c>
      <x:c r="AS28" s="752"/>
    </x:row>
    <x:row r="29" s="36" customFormat="1" ht="30" customHeight="1">
      <x:c r="A29" s="751" t="str">
        <x:v>PA027</x:v>
      </x:c>
      <x:c r="B29" s="751" t="str">
        <x:v>PA027-001</x:v>
      </x:c>
      <x:c r="C29" s="751" t="str">
        <x:v>PA027-001_Mattilsynet_fish_welfare_guidance_hub.html</x:v>
      </x:c>
      <x:c r="D29" s="751" t="str">
        <x:v>STORED</x:v>
      </x:c>
      <x:c r="E29" s="751" t="str">
        <x:f>IF(A29="","",IF(OR(AJ29="EXCLUDE",COUNTIF(AD29:AH29,"LOW")&gt;0),"EXCLUDE",IF(OR(AJ29&lt;&gt;"INCLUDE",F29&lt;&gt;"SUCCESS",D29&lt;&gt;"STORED",U29="",AP29="",AQ29="",AQ29="UNVERIFIED",AND(AP29="OFFICIAL_WEBSITE",Q29=""),AND(OR(AA29="Equipment manual / OEM instruction",AB29="Asset-specific normative"),OR(Z29&lt;&gt;"Manufacturer / supplier",AS29="",AC29=""))),"PENDING",IF(COUNTIF(AD29:AH29,"HIGH")=5,"INCLUDE","PENDING"))))</x:f>
        <x:v>INCLUDE</x:v>
      </x:c>
      <x:c r="F29" s="751" t="str">
        <x:v>SUCCESS</x:v>
      </x:c>
      <x:c r="G29" s="755" t="n">
        <x:v>46262.53090277778</x:v>
      </x:c>
      <x:c r="H29" s="755" t="n">
        <x:v>46262.53091435185</x:v>
      </x:c>
      <x:c r="I29" s="751" t="str">
        <x:v>INITIAL</x:v>
      </x:c>
      <x:c r="J29" s="751" t="str">
        <x:v>AUTO</x:v>
      </x:c>
      <x:c r="K29" s="757" t="n">
        <x:f>IF(A29="","",IF(J29="AUTO",H29,IF(J29="MANUAL",AK29,"")))</x:f>
        <x:v>46262.53091435185</x:v>
      </x:c>
      <x:c r="L29" s="751" t="str">
        <x:v>NONE</x:v>
      </x:c>
      <x:c r="M29" s="751"/>
      <x:c r="N29" s="751" t="str">
        <x:f>IF(OR(AM29&lt;&gt;"CURRENT",E29="EXCLUDE"),"NO",IF(A29="","",IF(OR(F29="FAIL",F29="PAYWALL_BLOCKED"),IF(AND(AK29&lt;&gt;"",AK29&gt;=INT(G29),D29="STORED",J29="MANUAL",AL29&lt;&gt;""),"NO","YES"),IF(AND(AR29="ROLLING",I29="CHANGED"),IF(AND(AK29&lt;&gt;"",AK29&gt;=INT(IF(H29&lt;&gt;"",H29,G29)),AL29&lt;&gt;""),"NO","YES"),"NO"))))</x:f>
        <x:v>NO</x:v>
      </x:c>
      <x:c r="O29" s="751" t="str">
        <x:v>32a13fc92400f9d3afede91b9772367087a32fcd4bb72541cf576b4f2367e4dd</x:v>
      </x:c>
      <x:c r="P29" s="752" t="str">
        <x:v>Mattilsynet fish welfare guidance hub</x:v>
      </x:c>
      <x:c r="Q29" s="752" t="str">
        <x:v>https://www.mattilsynet.no/fisk-og-akvakultur/fiskevelferd</x:v>
      </x:c>
      <x:c r="R29" s="752" t="str">
        <x:v>https://www.mattilsynet.no/fisk-og-akvakultur/fiskevelferd</x:v>
      </x:c>
      <x:c r="S29" s="752" t="str">
        <x:v>A_Public_Authority</x:v>
      </x:c>
      <x:c r="T29" s="752" t="str">
        <x:v>html</x:v>
      </x:c>
      <x:c r="U29" s="752" t="str">
        <x:v>Norwegian Food Safety Authority</x:v>
      </x:c>
      <x:c r="V29" s="752" t="str">
        <x:v>Norway</x:v>
      </x:c>
      <x:c r="W29" s="752" t="str">
        <x:v>Norwegian</x:v>
      </x:c>
      <x:c r="X29" s="752"/>
      <x:c r="Y29" s="752"/>
      <x:c r="Z29" s="752" t="str">
        <x:v>Public authority</x:v>
      </x:c>
      <x:c r="AA29" s="752" t="str">
        <x:v>Interpretation document</x:v>
      </x:c>
      <x:c r="AB29" s="752" t="str">
        <x:v>Guidance / interpretation</x:v>
      </x:c>
      <x:c r="AC29" s="752" t="str">
        <x:v>Official guidance from Norwegian Food Safety Authority; included to interpret and operationalise linked normative requirements, not as independent legal or certification authority.</x:v>
      </x:c>
      <x:c r="AD29" s="752" t="str">
        <x:v>HIGH</x:v>
      </x:c>
      <x:c r="AE29" s="752" t="str">
        <x:v>HIGH</x:v>
      </x:c>
      <x:c r="AF29" s="752" t="str">
        <x:v>HIGH</x:v>
      </x:c>
      <x:c r="AG29" s="752" t="str">
        <x:v>HIGH</x:v>
      </x:c>
      <x:c r="AH29" s="752" t="str">
        <x:v>HIGH</x:v>
      </x:c>
      <x:c r="AI29" s="752" t="str">
        <x:v>HIGH</x:v>
      </x:c>
      <x:c r="AJ29" s="752" t="str">
        <x:v>INCLUDE</x:v>
      </x:c>
      <x:c r="AK29" s="759"/>
      <x:c r="AL29" s="752"/>
      <x:c r="AM29" s="752" t="str">
        <x:v>CURRENT</x:v>
      </x:c>
      <x:c r="AN29" s="752" t="str">
        <x:v>PA005</x:v>
      </x:c>
      <x:c r="AO29" s="752" t="str">
        <x:v>Official expansion hub. Child guidance pages may later become separate sources when directly applicable.</x:v>
      </x:c>
      <x:c r="AP29" s="752" t="str">
        <x:v>OFFICIAL_WEBSITE</x:v>
      </x:c>
      <x:c r="AQ29" s="752" t="str">
        <x:v>OFFICIAL_ORIGINAL</x:v>
      </x:c>
      <x:c r="AR29" s="752" t="str">
        <x:v>ROLLING</x:v>
      </x:c>
      <x:c r="AS29" s="752"/>
    </x:row>
    <x:row r="30" s="36" customFormat="1" ht="30" customHeight="1">
      <x:c r="A30" s="751" t="str">
        <x:v>PA028</x:v>
      </x:c>
      <x:c r="B30" s="751" t="str">
        <x:v>PA028-001</x:v>
      </x:c>
      <x:c r="C30" s="751" t="str">
        <x:v>PA028-001_Norwegian_Aquaculture_Register.html</x:v>
      </x:c>
      <x:c r="D30" s="751" t="str">
        <x:v>STORED</x:v>
      </x:c>
      <x:c r="E30" s="751" t="str">
        <x:f>IF(A30="","",IF(OR(AJ30="EXCLUDE",COUNTIF(AD30:AH30,"LOW")&gt;0),"EXCLUDE",IF(OR(AJ30&lt;&gt;"INCLUDE",F30&lt;&gt;"SUCCESS",D30&lt;&gt;"STORED",U30="",AP30="",AQ30="",AQ30="UNVERIFIED",AND(AP30="OFFICIAL_WEBSITE",Q30=""),AND(OR(AA30="Equipment manual / OEM instruction",AB30="Asset-specific normative"),OR(Z30&lt;&gt;"Manufacturer / supplier",AS30="",AC30=""))),"PENDING",IF(COUNTIF(AD30:AH30,"HIGH")=5,"INCLUDE","PENDING"))))</x:f>
        <x:v>PENDING</x:v>
      </x:c>
      <x:c r="F30" s="751" t="str">
        <x:v>SUCCESS</x:v>
      </x:c>
      <x:c r="G30" s="755" t="n">
        <x:v>46262.53091435185</x:v>
      </x:c>
      <x:c r="H30" s="755" t="n">
        <x:v>46262.53092592592</x:v>
      </x:c>
      <x:c r="I30" s="751" t="str">
        <x:v>INITIAL</x:v>
      </x:c>
      <x:c r="J30" s="751" t="str">
        <x:v>AUTO</x:v>
      </x:c>
      <x:c r="K30" s="757" t="n">
        <x:f>IF(A30="","",IF(J30="AUTO",H30,IF(J30="MANUAL",AK30,"")))</x:f>
        <x:v>46262.53092592592</x:v>
      </x:c>
      <x:c r="L30" s="751" t="str">
        <x:v>NONE</x:v>
      </x:c>
      <x:c r="M30" s="751"/>
      <x:c r="N30" s="751" t="str">
        <x:f>IF(OR(AM30&lt;&gt;"CURRENT",E30="EXCLUDE"),"NO",IF(A30="","",IF(OR(F30="FAIL",F30="PAYWALL_BLOCKED"),IF(AND(AK30&lt;&gt;"",AK30&gt;=INT(G30),D30="STORED",J30="MANUAL",AL30&lt;&gt;""),"NO","YES"),IF(AND(AR30="ROLLING",I30="CHANGED"),IF(AND(AK30&lt;&gt;"",AK30&gt;=INT(IF(H30&lt;&gt;"",H30,G30)),AL30&lt;&gt;""),"NO","YES"),"NO"))))</x:f>
        <x:v>NO</x:v>
      </x:c>
      <x:c r="O30" s="751" t="str">
        <x:v>e4b0fe39d80e5dff689ac77b143523e86d5c40228f73405a6c9171ee40462790</x:v>
      </x:c>
      <x:c r="P30" s="752" t="str">
        <x:v>Norwegian Aquaculture Register</x:v>
      </x:c>
      <x:c r="Q30" s="752" t="str">
        <x:v>https://www.fiskeridir.no/registre/akvakulturregisteret</x:v>
      </x:c>
      <x:c r="R30" s="752" t="str">
        <x:v>https://www.fiskeridir.no/registre/akvakulturregisteret</x:v>
      </x:c>
      <x:c r="S30" s="752" t="str">
        <x:v>A_Public_Authority</x:v>
      </x:c>
      <x:c r="T30" s="752" t="str">
        <x:v>html</x:v>
      </x:c>
      <x:c r="U30" s="752" t="str">
        <x:v>Norwegian Directorate of Fisheries</x:v>
      </x:c>
      <x:c r="V30" s="752" t="str">
        <x:v>Norway</x:v>
      </x:c>
      <x:c r="W30" s="752" t="str">
        <x:v>Norwegian</x:v>
      </x:c>
      <x:c r="X30" s="752"/>
      <x:c r="Y30" s="752"/>
      <x:c r="Z30" s="752" t="str">
        <x:v>Public authority</x:v>
      </x:c>
      <x:c r="AA30" s="752" t="str">
        <x:v>Other</x:v>
      </x:c>
      <x:c r="AB30" s="752" t="str">
        <x:v>Context / evidence</x:v>
      </x:c>
      <x:c r="AC30" s="752" t="str">
        <x:v>Official context source from Norwegian Directorate of Fisheries; included for applicability, site identity or source discovery, not for generating standalone requirements.</x:v>
      </x:c>
      <x:c r="AD30" s="752" t="str">
        <x:v>HIGH</x:v>
      </x:c>
      <x:c r="AE30" s="752" t="str">
        <x:v>MEDIUM</x:v>
      </x:c>
      <x:c r="AF30" s="752" t="str">
        <x:v>HIGH</x:v>
      </x:c>
      <x:c r="AG30" s="752" t="str">
        <x:v>HIGH</x:v>
      </x:c>
      <x:c r="AH30" s="752" t="str">
        <x:v>HIGH</x:v>
      </x:c>
      <x:c r="AI30" s="752" t="str">
        <x:v>HIGH</x:v>
      </x:c>
      <x:c r="AJ30" s="752" t="str">
        <x:v>PENDING</x:v>
      </x:c>
      <x:c r="AK30" s="759"/>
      <x:c r="AL30" s="752"/>
      <x:c r="AM30" s="752" t="str">
        <x:v>CURRENT</x:v>
      </x:c>
      <x:c r="AN30" s="752" t="str">
        <x:v>PA032</x:v>
      </x:c>
      <x:c r="AO30" s="752" t="str">
        <x:v>Official expansion. Applicability and site identity source, not a primary source of normative text.</x:v>
      </x:c>
      <x:c r="AP30" s="752" t="str">
        <x:v>OFFICIAL_WEBSITE</x:v>
      </x:c>
      <x:c r="AQ30" s="752" t="str">
        <x:v>OFFICIAL_ORIGINAL</x:v>
      </x:c>
      <x:c r="AR30" s="752" t="str">
        <x:v>ROLLING</x:v>
      </x:c>
      <x:c r="AS30" s="752"/>
    </x:row>
    <x:row r="31" s="36" customFormat="1" ht="30" customHeight="1">
      <x:c r="A31" s="751" t="str">
        <x:v>PA029</x:v>
      </x:c>
      <x:c r="B31" s="751" t="str">
        <x:v>PA029-001</x:v>
      </x:c>
      <x:c r="C31" s="751" t="str">
        <x:v>PA029-001_Yggdrasil_map_of_Norwegian_aquaculture_localities.html</x:v>
      </x:c>
      <x:c r="D31" s="751" t="str">
        <x:v>NOT_COLLECTED</x:v>
      </x:c>
      <x:c r="E31" s="751" t="str">
        <x:f>IF(A31="","",IF(OR(AJ31="EXCLUDE",COUNTIF(AD31:AH31,"LOW")&gt;0),"EXCLUDE",IF(OR(AJ31&lt;&gt;"INCLUDE",F31&lt;&gt;"SUCCESS",D31&lt;&gt;"STORED",U31="",AP31="",AQ31="",AQ31="UNVERIFIED",AND(AP31="OFFICIAL_WEBSITE",Q31=""),AND(OR(AA31="Equipment manual / OEM instruction",AB31="Asset-specific normative"),OR(Z31&lt;&gt;"Manufacturer / supplier",AS31="",AC31=""))),"PENDING",IF(COUNTIF(AD31:AH31,"HIGH")=5,"INCLUDE","PENDING"))))</x:f>
        <x:v>EXCLUDE</x:v>
      </x:c>
      <x:c r="F31" s="751" t="str">
        <x:v>FAIL</x:v>
      </x:c>
      <x:c r="G31" s="755" t="n">
        <x:v>46262.53092592592</x:v>
      </x:c>
      <x:c r="H31" s="755"/>
      <x:c r="I31" s="751" t="str">
        <x:v>UNKNOWN</x:v>
      </x:c>
      <x:c r="J31" s="751" t="str">
        <x:v>NONE</x:v>
      </x:c>
      <x:c r="K31" s="757" t="str">
        <x:f>IF(A31="","",IF(J31="AUTO",H31,IF(J31="MANUAL",AK31,"")))</x:f>
      </x:c>
      <x:c r="L31" s="751" t="str">
        <x:v>CONTENT</x:v>
      </x:c>
      <x:c r="M31" s="751" t="str">
        <x:v>HTML readable body text is too short; the response may be a redirect or error page.</x:v>
      </x:c>
      <x:c r="N31" s="751" t="str">
        <x:f>IF(OR(AM31&lt;&gt;"CURRENT",E31="EXCLUDE"),"NO",IF(A31="","",IF(OR(F31="FAIL",F31="PAYWALL_BLOCKED"),IF(AND(AK31&lt;&gt;"",AK31&gt;=INT(G31),D31="STORED",J31="MANUAL",AL31&lt;&gt;""),"NO","YES"),IF(AND(AR31="ROLLING",I31="CHANGED"),IF(AND(AK31&lt;&gt;"",AK31&gt;=INT(IF(H31&lt;&gt;"",H31,G31)),AL31&lt;&gt;""),"NO","YES"),"NO"))))</x:f>
        <x:v>NO</x:v>
      </x:c>
      <x:c r="O31" s="751"/>
      <x:c r="P31" s="752" t="str">
        <x:v>Yggdrasil map of Norwegian aquaculture localities</x:v>
      </x:c>
      <x:c r="Q31" s="752" t="str">
        <x:v>https://portal.fiskeridir.no/akva</x:v>
      </x:c>
      <x:c r="R31" s="752" t="str">
        <x:v>https://portal.fiskeridir.no/akva</x:v>
      </x:c>
      <x:c r="S31" s="752" t="str">
        <x:v>A_Public_Authority</x:v>
      </x:c>
      <x:c r="T31" s="752" t="str">
        <x:v>html</x:v>
      </x:c>
      <x:c r="U31" s="752" t="str">
        <x:v>Norwegian Directorate of Fisheries</x:v>
      </x:c>
      <x:c r="V31" s="752" t="str">
        <x:v>Norway</x:v>
      </x:c>
      <x:c r="W31" s="752" t="str">
        <x:v>Norwegian</x:v>
      </x:c>
      <x:c r="X31" s="752"/>
      <x:c r="Y31" s="752"/>
      <x:c r="Z31" s="752" t="str">
        <x:v>Public authority</x:v>
      </x:c>
      <x:c r="AA31" s="752" t="str">
        <x:v>Other</x:v>
      </x:c>
      <x:c r="AB31" s="752" t="str">
        <x:v>Context / evidence</x:v>
      </x:c>
      <x:c r="AC31" s="752" t="str">
        <x:v>Official context source from Norwegian Directorate of Fisheries; included for applicability, site identity or source discovery, not for generating standalone requirements.</x:v>
      </x:c>
      <x:c r="AD31" s="752" t="str">
        <x:v>HIGH</x:v>
      </x:c>
      <x:c r="AE31" s="752" t="str">
        <x:v>LOW</x:v>
      </x:c>
      <x:c r="AF31" s="752" t="str">
        <x:v>HIGH</x:v>
      </x:c>
      <x:c r="AG31" s="752" t="str">
        <x:v>HIGH</x:v>
      </x:c>
      <x:c r="AH31" s="752" t="str">
        <x:v>HIGH</x:v>
      </x:c>
      <x:c r="AI31" s="752" t="str">
        <x:v>HIGH</x:v>
      </x:c>
      <x:c r="AJ31" s="752" t="str">
        <x:v>EXCLUDE</x:v>
      </x:c>
      <x:c r="AK31" s="759" t="n">
        <x:v>46265</x:v>
      </x:c>
      <x:c r="AL31" s="752" t="str">
        <x:v>Jay</x:v>
      </x:c>
      <x:c r="AM31" s="752" t="str">
        <x:v>WITHDRAWN</x:v>
      </x:c>
      <x:c r="AN31" s="752" t="str">
        <x:v>PA001</x:v>
      </x:c>
      <x:c r="AO31" s="752" t="str">
        <x:v>Human review 2026-08-31: Yggdrasil is an interactive aquaculture map and geospatial context source, not a legal, regulatory, standards or guidance source from which Requirements should be derived. Withdrawn from the active Requirement source set. It may be managed later in a separate site/context evidence registry.</x:v>
      </x:c>
      <x:c r="AP31" s="752" t="str">
        <x:v>OFFICIAL_WEBSITE</x:v>
      </x:c>
      <x:c r="AQ31" s="752" t="str">
        <x:v>OFFICIAL_ORIGINAL</x:v>
      </x:c>
      <x:c r="AR31" s="752" t="str">
        <x:v>ROLLING</x:v>
      </x:c>
      <x:c r="AS31" s="752"/>
    </x:row>
    <x:row r="32" s="36" customFormat="1" ht="30" customHeight="1">
      <x:c r="A32" s="751" t="str">
        <x:v>PA030</x:v>
      </x:c>
      <x:c r="B32" s="751" t="str">
        <x:v>PA030-001</x:v>
      </x:c>
      <x:c r="C32" s="751" t="str">
        <x:v>PA030-001_Regulation_on_special_requirements_for_aquaculture-related_activities_in_or_near_national_salmon_rivers_and_fjords.html</x:v>
      </x:c>
      <x:c r="D32" s="751" t="str">
        <x:v>STORED</x:v>
      </x:c>
      <x:c r="E32" s="751" t="str">
        <x:f>IF(A32="","",IF(OR(AJ32="EXCLUDE",COUNTIF(AD32:AH32,"LOW")&gt;0),"EXCLUDE",IF(OR(AJ32&lt;&gt;"INCLUDE",F32&lt;&gt;"SUCCESS",D32&lt;&gt;"STORED",U32="",AP32="",AQ32="",AQ32="UNVERIFIED",AND(AP32="OFFICIAL_WEBSITE",Q32=""),AND(OR(AA32="Equipment manual / OEM instruction",AB32="Asset-specific normative"),OR(Z32&lt;&gt;"Manufacturer / supplier",AS32="",AC32=""))),"PENDING",IF(COUNTIF(AD32:AH32,"HIGH")=5,"INCLUDE","PENDING"))))</x:f>
        <x:v>PENDING</x:v>
      </x:c>
      <x:c r="F32" s="751" t="str">
        <x:v>SUCCESS</x:v>
      </x:c>
      <x:c r="G32" s="755" t="n">
        <x:v>46262.5309375</x:v>
      </x:c>
      <x:c r="H32" s="755" t="n">
        <x:v>46262.5309375</x:v>
      </x:c>
      <x:c r="I32" s="751" t="str">
        <x:v>INITIAL</x:v>
      </x:c>
      <x:c r="J32" s="751" t="str">
        <x:v>AUTO</x:v>
      </x:c>
      <x:c r="K32" s="757" t="n">
        <x:f>IF(A32="","",IF(J32="AUTO",H32,IF(J32="MANUAL",AK32,"")))</x:f>
        <x:v>46262.5309375</x:v>
      </x:c>
      <x:c r="L32" s="751" t="str">
        <x:v>NONE</x:v>
      </x:c>
      <x:c r="M32" s="751"/>
      <x:c r="N32" s="751" t="str">
        <x:f>IF(OR(AM32&lt;&gt;"CURRENT",E32="EXCLUDE"),"NO",IF(A32="","",IF(OR(F32="FAIL",F32="PAYWALL_BLOCKED"),IF(AND(AK32&lt;&gt;"",AK32&gt;=INT(G32),D32="STORED",J32="MANUAL",AL32&lt;&gt;""),"NO","YES"),IF(AND(AR32="ROLLING",I32="CHANGED"),IF(AND(AK32&lt;&gt;"",AK32&gt;=INT(IF(H32&lt;&gt;"",H32,G32)),AL32&lt;&gt;""),"NO","YES"),"NO"))))</x:f>
        <x:v>NO</x:v>
      </x:c>
      <x:c r="O32" s="751" t="str">
        <x:v>f3e632fdd118f679d3cba93120bdcaf4ab74fef6abca29992ae4b808287ec422</x:v>
      </x:c>
      <x:c r="P32" s="752" t="str">
        <x:v>Regulation on special requirements for aquaculture-related activities in or near national salmon rivers and fjords</x:v>
      </x:c>
      <x:c r="Q32" s="752" t="str">
        <x:v>https://lovdata.no/dokument/SF/forskrift/2009-06-22-961</x:v>
      </x:c>
      <x:c r="R32" s="752" t="str">
        <x:v>https://lovdata.no/dokument/SF/forskrift/2009-06-22-961</x:v>
      </x:c>
      <x:c r="S32" s="752" t="str">
        <x:v>A_Public_Authority</x:v>
      </x:c>
      <x:c r="T32" s="752" t="str">
        <x:v>html</x:v>
      </x:c>
      <x:c r="U32" s="752" t="str">
        <x:v>Norwegian Ministry of Trade, Industry and Fisheries</x:v>
      </x:c>
      <x:c r="V32" s="752" t="str">
        <x:v>Norway</x:v>
      </x:c>
      <x:c r="W32" s="752" t="str">
        <x:v>Norwegian</x:v>
      </x:c>
      <x:c r="X32" s="752"/>
      <x:c r="Y32" s="752"/>
      <x:c r="Z32" s="752" t="str">
        <x:v>Public authority</x:v>
      </x:c>
      <x:c r="AA32" s="752" t="str">
        <x:v>Regulation</x:v>
      </x:c>
      <x:c r="AB32" s="752" t="str">
        <x:v>Primary normative</x:v>
      </x:c>
      <x:c r="AC32" s="752" t="str">
        <x:v>Official regulation issued by Norwegian Ministry of Trade, Industry and Fisheries; included because it may impose binding requirements on an in-scope aquaculture asset, activity, permit or certification.</x:v>
      </x:c>
      <x:c r="AD32" s="752" t="str">
        <x:v>HIGH</x:v>
      </x:c>
      <x:c r="AE32" s="752" t="str">
        <x:v>MEDIUM</x:v>
      </x:c>
      <x:c r="AF32" s="752" t="str">
        <x:v>HIGH</x:v>
      </x:c>
      <x:c r="AG32" s="752" t="str">
        <x:v>HIGH</x:v>
      </x:c>
      <x:c r="AH32" s="752" t="str">
        <x:v>HIGH</x:v>
      </x:c>
      <x:c r="AI32" s="752" t="str">
        <x:v>HIGH</x:v>
      </x:c>
      <x:c r="AJ32" s="752" t="str">
        <x:v>PENDING</x:v>
      </x:c>
      <x:c r="AK32" s="759"/>
      <x:c r="AL32" s="752"/>
      <x:c r="AM32" s="752" t="str">
        <x:v>CURRENT</x:v>
      </x:c>
      <x:c r="AN32" s="752"/>
      <x:c r="AO32" s="752" t="str">
        <x:v>Official expansion from the aquaculture regulation index. Site-specific applicability must be established.</x:v>
      </x:c>
      <x:c r="AP32" s="752" t="str">
        <x:v>OFFICIAL_WEBSITE</x:v>
      </x:c>
      <x:c r="AQ32" s="752" t="str">
        <x:v>OFFICIAL_ORIGINAL</x:v>
      </x:c>
      <x:c r="AR32" s="752" t="str">
        <x:v>ROLLING</x:v>
      </x:c>
      <x:c r="AS32" s="752"/>
    </x:row>
    <x:row r="33" s="36" customFormat="1" ht="30" customHeight="1">
      <x:c r="A33" s="751" t="str">
        <x:v>PA031</x:v>
      </x:c>
      <x:c r="B33" s="751" t="str">
        <x:v>PA031-001</x:v>
      </x:c>
      <x:c r="C33" s="751" t="str">
        <x:v>PA031-001_Regulation_on_joint_responsibility_for_removal_of_escaped_farmed_fish.html</x:v>
      </x:c>
      <x:c r="D33" s="751" t="str">
        <x:v>STORED</x:v>
      </x:c>
      <x:c r="E33" s="751" t="str">
        <x:f>IF(A33="","",IF(OR(AJ33="EXCLUDE",COUNTIF(AD33:AH33,"LOW")&gt;0),"EXCLUDE",IF(OR(AJ33&lt;&gt;"INCLUDE",F33&lt;&gt;"SUCCESS",D33&lt;&gt;"STORED",U33="",AP33="",AQ33="",AQ33="UNVERIFIED",AND(AP33="OFFICIAL_WEBSITE",Q33=""),AND(OR(AA33="Equipment manual / OEM instruction",AB33="Asset-specific normative"),OR(Z33&lt;&gt;"Manufacturer / supplier",AS33="",AC33=""))),"PENDING",IF(COUNTIF(AD33:AH33,"HIGH")=5,"INCLUDE","PENDING"))))</x:f>
        <x:v>INCLUDE</x:v>
      </x:c>
      <x:c r="F33" s="751" t="str">
        <x:v>SUCCESS</x:v>
      </x:c>
      <x:c r="G33" s="755" t="n">
        <x:v>46262.5309375</x:v>
      </x:c>
      <x:c r="H33" s="755" t="n">
        <x:v>46262.5309375</x:v>
      </x:c>
      <x:c r="I33" s="751" t="str">
        <x:v>INITIAL</x:v>
      </x:c>
      <x:c r="J33" s="751" t="str">
        <x:v>AUTO</x:v>
      </x:c>
      <x:c r="K33" s="757" t="n">
        <x:f>IF(A33="","",IF(J33="AUTO",H33,IF(J33="MANUAL",AK33,"")))</x:f>
        <x:v>46262.5309375</x:v>
      </x:c>
      <x:c r="L33" s="751" t="str">
        <x:v>NONE</x:v>
      </x:c>
      <x:c r="M33" s="751"/>
      <x:c r="N33" s="751" t="str">
        <x:f>IF(OR(AM33&lt;&gt;"CURRENT",E33="EXCLUDE"),"NO",IF(A33="","",IF(OR(F33="FAIL",F33="PAYWALL_BLOCKED"),IF(AND(AK33&lt;&gt;"",AK33&gt;=INT(G33),D33="STORED",J33="MANUAL",AL33&lt;&gt;""),"NO","YES"),IF(AND(AR33="ROLLING",I33="CHANGED"),IF(AND(AK33&lt;&gt;"",AK33&gt;=INT(IF(H33&lt;&gt;"",H33,G33)),AL33&lt;&gt;""),"NO","YES"),"NO"))))</x:f>
        <x:v>NO</x:v>
      </x:c>
      <x:c r="O33" s="751" t="str">
        <x:v>e792a6f90a4e6601a323dcde19ea09b0af31c58b7a4e42c6eaff75dfa5e79e95</x:v>
      </x:c>
      <x:c r="P33" s="752" t="str">
        <x:v>Regulation on joint responsibility for removal of escaped farmed fish</x:v>
      </x:c>
      <x:c r="Q33" s="752" t="str">
        <x:v>https://lovdata.no/dokument/SF/forskrift/2015-02-05-89</x:v>
      </x:c>
      <x:c r="R33" s="752" t="str">
        <x:v>https://lovdata.no/dokument/SF/forskrift/2015-02-05-89</x:v>
      </x:c>
      <x:c r="S33" s="752" t="str">
        <x:v>A_Public_Authority</x:v>
      </x:c>
      <x:c r="T33" s="752" t="str">
        <x:v>html</x:v>
      </x:c>
      <x:c r="U33" s="752" t="str">
        <x:v>Norwegian Ministry of Trade, Industry and Fisheries</x:v>
      </x:c>
      <x:c r="V33" s="752" t="str">
        <x:v>Norway</x:v>
      </x:c>
      <x:c r="W33" s="752" t="str">
        <x:v>Norwegian</x:v>
      </x:c>
      <x:c r="X33" s="752"/>
      <x:c r="Y33" s="752"/>
      <x:c r="Z33" s="752" t="str">
        <x:v>Public authority</x:v>
      </x:c>
      <x:c r="AA33" s="752" t="str">
        <x:v>Regulation</x:v>
      </x:c>
      <x:c r="AB33" s="752" t="str">
        <x:v>Primary normative</x:v>
      </x:c>
      <x:c r="AC33" s="752" t="str">
        <x:v>Official regulation issued by Norwegian Ministry of Trade, Industry and Fisheries; included because it may impose binding requirements on an in-scope aquaculture asset, activity, permit or certification.</x:v>
      </x:c>
      <x:c r="AD33" s="752" t="str">
        <x:v>HIGH</x:v>
      </x:c>
      <x:c r="AE33" s="752" t="str">
        <x:v>HIGH</x:v>
      </x:c>
      <x:c r="AF33" s="752" t="str">
        <x:v>HIGH</x:v>
      </x:c>
      <x:c r="AG33" s="752" t="str">
        <x:v>HIGH</x:v>
      </x:c>
      <x:c r="AH33" s="752" t="str">
        <x:v>HIGH</x:v>
      </x:c>
      <x:c r="AI33" s="752" t="str">
        <x:v>HIGH</x:v>
      </x:c>
      <x:c r="AJ33" s="752" t="str">
        <x:v>INCLUDE</x:v>
      </x:c>
      <x:c r="AK33" s="759"/>
      <x:c r="AL33" s="752"/>
      <x:c r="AM33" s="752" t="str">
        <x:v>CURRENT</x:v>
      </x:c>
      <x:c r="AN33" s="752"/>
      <x:c r="AO33" s="752" t="str">
        <x:v>Official expansion. Applies to holders of relevant salmon, trout and rainbow-trout permits.</x:v>
      </x:c>
      <x:c r="AP33" s="752" t="str">
        <x:v>OFFICIAL_WEBSITE</x:v>
      </x:c>
      <x:c r="AQ33" s="752" t="str">
        <x:v>OFFICIAL_ORIGINAL</x:v>
      </x:c>
      <x:c r="AR33" s="752" t="str">
        <x:v>ROLLING</x:v>
      </x:c>
      <x:c r="AS33" s="752"/>
    </x:row>
    <x:row r="34" s="36" customFormat="1" ht="30" customHeight="1">
      <x:c r="A34" s="751" t="str">
        <x:v>PA032</x:v>
      </x:c>
      <x:c r="B34" s="751" t="str">
        <x:v>PA032-001</x:v>
      </x:c>
      <x:c r="C34" s="751" t="str">
        <x:v>PA032-001_Regulation_on_the_Aquaculture_Register.html</x:v>
      </x:c>
      <x:c r="D34" s="751" t="str">
        <x:v>STORED</x:v>
      </x:c>
      <x:c r="E34" s="751" t="str">
        <x:f>IF(A34="","",IF(OR(AJ34="EXCLUDE",COUNTIF(AD34:AH34,"LOW")&gt;0),"EXCLUDE",IF(OR(AJ34&lt;&gt;"INCLUDE",F34&lt;&gt;"SUCCESS",D34&lt;&gt;"STORED",U34="",AP34="",AQ34="",AQ34="UNVERIFIED",AND(AP34="OFFICIAL_WEBSITE",Q34=""),AND(OR(AA34="Equipment manual / OEM instruction",AB34="Asset-specific normative"),OR(Z34&lt;&gt;"Manufacturer / supplier",AS34="",AC34=""))),"PENDING",IF(COUNTIF(AD34:AH34,"HIGH")=5,"INCLUDE","PENDING"))))</x:f>
        <x:v>INCLUDE</x:v>
      </x:c>
      <x:c r="F34" s="751" t="str">
        <x:v>SUCCESS</x:v>
      </x:c>
      <x:c r="G34" s="755" t="n">
        <x:v>46262.5309375</x:v>
      </x:c>
      <x:c r="H34" s="755" t="n">
        <x:v>46262.53094907408</x:v>
      </x:c>
      <x:c r="I34" s="751" t="str">
        <x:v>INITIAL</x:v>
      </x:c>
      <x:c r="J34" s="751" t="str">
        <x:v>AUTO</x:v>
      </x:c>
      <x:c r="K34" s="757" t="n">
        <x:f>IF(A34="","",IF(J34="AUTO",H34,IF(J34="MANUAL",AK34,"")))</x:f>
        <x:v>46262.53094907408</x:v>
      </x:c>
      <x:c r="L34" s="751" t="str">
        <x:v>NONE</x:v>
      </x:c>
      <x:c r="M34" s="751"/>
      <x:c r="N34" s="751" t="str">
        <x:f>IF(OR(AM34&lt;&gt;"CURRENT",E34="EXCLUDE"),"NO",IF(A34="","",IF(OR(F34="FAIL",F34="PAYWALL_BLOCKED"),IF(AND(AK34&lt;&gt;"",AK34&gt;=INT(G34),D34="STORED",J34="MANUAL",AL34&lt;&gt;""),"NO","YES"),IF(AND(AR34="ROLLING",I34="CHANGED"),IF(AND(AK34&lt;&gt;"",AK34&gt;=INT(IF(H34&lt;&gt;"",H34,G34)),AL34&lt;&gt;""),"NO","YES"),"NO"))))</x:f>
        <x:v>NO</x:v>
      </x:c>
      <x:c r="O34" s="751" t="str">
        <x:v>29b6b73125d703fc809475418ceff449203a6f024d8d91709c2cd32c3aba6e37</x:v>
      </x:c>
      <x:c r="P34" s="752" t="str">
        <x:v>Regulation on the Aquaculture Register</x:v>
      </x:c>
      <x:c r="Q34" s="752" t="str">
        <x:v>https://lovdata.no/dokument/SF/forskrift/2005-12-28-1706</x:v>
      </x:c>
      <x:c r="R34" s="752" t="str">
        <x:v>https://lovdata.no/dokument/SF/forskrift/2005-12-28-1706</x:v>
      </x:c>
      <x:c r="S34" s="752" t="str">
        <x:v>A_Public_Authority</x:v>
      </x:c>
      <x:c r="T34" s="752" t="str">
        <x:v>html</x:v>
      </x:c>
      <x:c r="U34" s="752" t="str">
        <x:v>Norwegian Ministry of Trade, Industry and Fisheries</x:v>
      </x:c>
      <x:c r="V34" s="752" t="str">
        <x:v>Norway</x:v>
      </x:c>
      <x:c r="W34" s="752" t="str">
        <x:v>Norwegian</x:v>
      </x:c>
      <x:c r="X34" s="752"/>
      <x:c r="Y34" s="752"/>
      <x:c r="Z34" s="752" t="str">
        <x:v>Public authority</x:v>
      </x:c>
      <x:c r="AA34" s="752" t="str">
        <x:v>Regulation</x:v>
      </x:c>
      <x:c r="AB34" s="752" t="str">
        <x:v>Referenced normative</x:v>
      </x:c>
      <x:c r="AC34" s="752" t="str">
        <x:v>Official referenced source from Norwegian Ministry of Trade, Industry and Fisheries; included because an applicable law, permit or certification scheme may make its provisions binding within the approved scope.</x:v>
      </x:c>
      <x:c r="AD34" s="752" t="str">
        <x:v>HIGH</x:v>
      </x:c>
      <x:c r="AE34" s="752" t="str">
        <x:v>HIGH</x:v>
      </x:c>
      <x:c r="AF34" s="752" t="str">
        <x:v>HIGH</x:v>
      </x:c>
      <x:c r="AG34" s="752" t="str">
        <x:v>HIGH</x:v>
      </x:c>
      <x:c r="AH34" s="752" t="str">
        <x:v>HIGH</x:v>
      </x:c>
      <x:c r="AI34" s="752" t="str">
        <x:v>HIGH</x:v>
      </x:c>
      <x:c r="AJ34" s="752" t="str">
        <x:v>INCLUDE</x:v>
      </x:c>
      <x:c r="AK34" s="759"/>
      <x:c r="AL34" s="752"/>
      <x:c r="AM34" s="752" t="str">
        <x:v>CURRENT</x:v>
      </x:c>
      <x:c r="AN34" s="752"/>
      <x:c r="AO34" s="752" t="str">
        <x:v>Official expansion. Relevant to registration and traceability; operational applicability requires review.</x:v>
      </x:c>
      <x:c r="AP34" s="752" t="str">
        <x:v>OFFICIAL_WEBSITE</x:v>
      </x:c>
      <x:c r="AQ34" s="752" t="str">
        <x:v>OFFICIAL_ORIGINAL</x:v>
      </x:c>
      <x:c r="AR34" s="752" t="str">
        <x:v>ROLLING</x:v>
      </x:c>
      <x:c r="AS34" s="752"/>
    </x:row>
    <x:row r="35" s="36" customFormat="1" ht="30" customHeight="1">
      <x:c r="A35" s="751" t="str">
        <x:v>PA033</x:v>
      </x:c>
      <x:c r="B35" s="751" t="str">
        <x:v>PA033-001</x:v>
      </x:c>
      <x:c r="C35" s="751" t="str">
        <x:v>PA033-001_Regulation_on_catch-based_aquaculture.html</x:v>
      </x:c>
      <x:c r="D35" s="751" t="str">
        <x:v>STORED</x:v>
      </x:c>
      <x:c r="E35" s="751" t="str">
        <x:f>IF(A35="","",IF(OR(AJ35="EXCLUDE",COUNTIF(AD35:AH35,"LOW")&gt;0),"EXCLUDE",IF(OR(AJ35&lt;&gt;"INCLUDE",F35&lt;&gt;"SUCCESS",D35&lt;&gt;"STORED",U35="",AP35="",AQ35="",AQ35="UNVERIFIED",AND(AP35="OFFICIAL_WEBSITE",Q35=""),AND(OR(AA35="Equipment manual / OEM instruction",AB35="Asset-specific normative"),OR(Z35&lt;&gt;"Manufacturer / supplier",AS35="",AC35=""))),"PENDING",IF(COUNTIF(AD35:AH35,"HIGH")=5,"INCLUDE","PENDING"))))</x:f>
        <x:v>PENDING</x:v>
      </x:c>
      <x:c r="F35" s="751" t="str">
        <x:v>SUCCESS</x:v>
      </x:c>
      <x:c r="G35" s="755" t="n">
        <x:v>46262.53094907408</x:v>
      </x:c>
      <x:c r="H35" s="755" t="n">
        <x:v>46262.53094907408</x:v>
      </x:c>
      <x:c r="I35" s="751" t="str">
        <x:v>INITIAL</x:v>
      </x:c>
      <x:c r="J35" s="751" t="str">
        <x:v>AUTO</x:v>
      </x:c>
      <x:c r="K35" s="757" t="n">
        <x:f>IF(A35="","",IF(J35="AUTO",H35,IF(J35="MANUAL",AK35,"")))</x:f>
        <x:v>46262.53094907408</x:v>
      </x:c>
      <x:c r="L35" s="751" t="str">
        <x:v>NONE</x:v>
      </x:c>
      <x:c r="M35" s="751"/>
      <x:c r="N35" s="751" t="str">
        <x:f>IF(OR(AM35&lt;&gt;"CURRENT",E35="EXCLUDE"),"NO",IF(A35="","",IF(OR(F35="FAIL",F35="PAYWALL_BLOCKED"),IF(AND(AK35&lt;&gt;"",AK35&gt;=INT(G35),D35="STORED",J35="MANUAL",AL35&lt;&gt;""),"NO","YES"),IF(AND(AR35="ROLLING",I35="CHANGED"),IF(AND(AK35&lt;&gt;"",AK35&gt;=INT(IF(H35&lt;&gt;"",H35,G35)),AL35&lt;&gt;""),"NO","YES"),"NO"))))</x:f>
        <x:v>NO</x:v>
      </x:c>
      <x:c r="O35" s="751" t="str">
        <x:v>8e117c5d5d5017180a13f307c48ebc4833af52f1359012d6a4f7c713c2e5ef56</x:v>
      </x:c>
      <x:c r="P35" s="752" t="str">
        <x:v>Regulation on catch-based aquaculture</x:v>
      </x:c>
      <x:c r="Q35" s="752" t="str">
        <x:v>https://lovdata.no/dokument/SF/forskrift/2014-12-15-1831</x:v>
      </x:c>
      <x:c r="R35" s="752" t="str">
        <x:v>https://lovdata.no/dokument/SF/forskrift/2014-12-15-1831</x:v>
      </x:c>
      <x:c r="S35" s="752" t="str">
        <x:v>A_Public_Authority</x:v>
      </x:c>
      <x:c r="T35" s="752" t="str">
        <x:v>html</x:v>
      </x:c>
      <x:c r="U35" s="752" t="str">
        <x:v>Norwegian Ministry of Trade, Industry and Fisheries</x:v>
      </x:c>
      <x:c r="V35" s="752" t="str">
        <x:v>Norway</x:v>
      </x:c>
      <x:c r="W35" s="752" t="str">
        <x:v>Norwegian</x:v>
      </x:c>
      <x:c r="X35" s="752"/>
      <x:c r="Y35" s="752"/>
      <x:c r="Z35" s="752" t="str">
        <x:v>Public authority</x:v>
      </x:c>
      <x:c r="AA35" s="752" t="str">
        <x:v>Regulation</x:v>
      </x:c>
      <x:c r="AB35" s="752" t="str">
        <x:v>Primary normative</x:v>
      </x:c>
      <x:c r="AC35" s="752" t="str">
        <x:v>Official regulation issued by Norwegian Ministry of Trade, Industry and Fisheries; included because it may impose binding requirements on an in-scope aquaculture asset, activity, permit or certification.</x:v>
      </x:c>
      <x:c r="AD35" s="752" t="str">
        <x:v>HIGH</x:v>
      </x:c>
      <x:c r="AE35" s="752" t="str">
        <x:v>MEDIUM</x:v>
      </x:c>
      <x:c r="AF35" s="752" t="str">
        <x:v>HIGH</x:v>
      </x:c>
      <x:c r="AG35" s="752" t="str">
        <x:v>HIGH</x:v>
      </x:c>
      <x:c r="AH35" s="752" t="str">
        <x:v>HIGH</x:v>
      </x:c>
      <x:c r="AI35" s="752" t="str">
        <x:v>HIGH</x:v>
      </x:c>
      <x:c r="AJ35" s="752" t="str">
        <x:v>PENDING</x:v>
      </x:c>
      <x:c r="AK35" s="759"/>
      <x:c r="AL35" s="752"/>
      <x:c r="AM35" s="752" t="str">
        <x:v>CURRENT</x:v>
      </x:c>
      <x:c r="AN35" s="752"/>
      <x:c r="AO35" s="752" t="str">
        <x:v>Official coverage expansion from the aquaculture regulation index. Include only for catch-based aquaculture activities.</x:v>
      </x:c>
      <x:c r="AP35" s="752" t="str">
        <x:v>OFFICIAL_WEBSITE</x:v>
      </x:c>
      <x:c r="AQ35" s="752" t="str">
        <x:v>OFFICIAL_ORIGINAL</x:v>
      </x:c>
      <x:c r="AR35" s="752" t="str">
        <x:v>ROLLING</x:v>
      </x:c>
      <x:c r="AS35" s="752"/>
    </x:row>
    <x:row r="36" s="36" customFormat="1" ht="30" customHeight="1">
      <x:c r="A36" s="751" t="str">
        <x:v>PA034</x:v>
      </x:c>
      <x:c r="B36" s="751" t="str">
        <x:v>PA034-001</x:v>
      </x:c>
      <x:c r="C36" s="751" t="str">
        <x:v>PA034-001_Regulation_on_coordination_and_time_limits_for_processing_aquaculture_applications.html</x:v>
      </x:c>
      <x:c r="D36" s="751" t="str">
        <x:v>STORED</x:v>
      </x:c>
      <x:c r="E36" s="751" t="str">
        <x:f>IF(A36="","",IF(OR(AJ36="EXCLUDE",COUNTIF(AD36:AH36,"LOW")&gt;0),"EXCLUDE",IF(OR(AJ36&lt;&gt;"INCLUDE",F36&lt;&gt;"SUCCESS",D36&lt;&gt;"STORED",U36="",AP36="",AQ36="",AQ36="UNVERIFIED",AND(AP36="OFFICIAL_WEBSITE",Q36=""),AND(OR(AA36="Equipment manual / OEM instruction",AB36="Asset-specific normative"),OR(Z36&lt;&gt;"Manufacturer / supplier",AS36="",AC36=""))),"PENDING",IF(COUNTIF(AD36:AH36,"HIGH")=5,"INCLUDE","PENDING"))))</x:f>
        <x:v>PENDING</x:v>
      </x:c>
      <x:c r="F36" s="751" t="str">
        <x:v>SUCCESS</x:v>
      </x:c>
      <x:c r="G36" s="755" t="n">
        <x:v>46262.53094907408</x:v>
      </x:c>
      <x:c r="H36" s="755" t="n">
        <x:v>46262.53096064815</x:v>
      </x:c>
      <x:c r="I36" s="751" t="str">
        <x:v>INITIAL</x:v>
      </x:c>
      <x:c r="J36" s="751" t="str">
        <x:v>AUTO</x:v>
      </x:c>
      <x:c r="K36" s="757" t="n">
        <x:f>IF(A36="","",IF(J36="AUTO",H36,IF(J36="MANUAL",AK36,"")))</x:f>
        <x:v>46262.53096064815</x:v>
      </x:c>
      <x:c r="L36" s="751" t="str">
        <x:v>NONE</x:v>
      </x:c>
      <x:c r="M36" s="751"/>
      <x:c r="N36" s="751" t="str">
        <x:f>IF(OR(AM36&lt;&gt;"CURRENT",E36="EXCLUDE"),"NO",IF(A36="","",IF(OR(F36="FAIL",F36="PAYWALL_BLOCKED"),IF(AND(AK36&lt;&gt;"",AK36&gt;=INT(G36),D36="STORED",J36="MANUAL",AL36&lt;&gt;""),"NO","YES"),IF(AND(AR36="ROLLING",I36="CHANGED"),IF(AND(AK36&lt;&gt;"",AK36&gt;=INT(IF(H36&lt;&gt;"",H36,G36)),AL36&lt;&gt;""),"NO","YES"),"NO"))))</x:f>
        <x:v>NO</x:v>
      </x:c>
      <x:c r="O36" s="751" t="str">
        <x:v>70eee18edb0de84ba14e2896f95f987b4e9954af8d586f574bff4f4b255a5e15</x:v>
      </x:c>
      <x:c r="P36" s="752" t="str">
        <x:v>Regulation on coordination and time limits for processing aquaculture applications</x:v>
      </x:c>
      <x:c r="Q36" s="752" t="str">
        <x:v>https://lovdata.no/dokument/SF/forskrift/2010-05-18-708</x:v>
      </x:c>
      <x:c r="R36" s="752" t="str">
        <x:v>https://lovdata.no/dokument/SF/forskrift/2010-05-18-708</x:v>
      </x:c>
      <x:c r="S36" s="752" t="str">
        <x:v>A_Public_Authority</x:v>
      </x:c>
      <x:c r="T36" s="752" t="str">
        <x:v>html</x:v>
      </x:c>
      <x:c r="U36" s="752" t="str">
        <x:v>Norwegian Ministry of Trade, Industry and Fisheries</x:v>
      </x:c>
      <x:c r="V36" s="752" t="str">
        <x:v>Norway</x:v>
      </x:c>
      <x:c r="W36" s="752" t="str">
        <x:v>Norwegian</x:v>
      </x:c>
      <x:c r="X36" s="752"/>
      <x:c r="Y36" s="752"/>
      <x:c r="Z36" s="752" t="str">
        <x:v>Public authority</x:v>
      </x:c>
      <x:c r="AA36" s="752" t="str">
        <x:v>Regulation</x:v>
      </x:c>
      <x:c r="AB36" s="752" t="str">
        <x:v>Referenced normative</x:v>
      </x:c>
      <x:c r="AC36" s="752" t="str">
        <x:v>Official referenced source from Norwegian Ministry of Trade, Industry and Fisheries; included because an applicable law, permit or certification scheme may make its provisions binding within the approved scope.</x:v>
      </x:c>
      <x:c r="AD36" s="752" t="str">
        <x:v>HIGH</x:v>
      </x:c>
      <x:c r="AE36" s="752" t="str">
        <x:v>MEDIUM</x:v>
      </x:c>
      <x:c r="AF36" s="752" t="str">
        <x:v>HIGH</x:v>
      </x:c>
      <x:c r="AG36" s="752" t="str">
        <x:v>HIGH</x:v>
      </x:c>
      <x:c r="AH36" s="752" t="str">
        <x:v>HIGH</x:v>
      </x:c>
      <x:c r="AI36" s="752" t="str">
        <x:v>HIGH</x:v>
      </x:c>
      <x:c r="AJ36" s="752" t="str">
        <x:v>PENDING</x:v>
      </x:c>
      <x:c r="AK36" s="759"/>
      <x:c r="AL36" s="752"/>
      <x:c r="AM36" s="752" t="str">
        <x:v>CURRENT</x:v>
      </x:c>
      <x:c r="AN36" s="752"/>
      <x:c r="AO36" s="752" t="str">
        <x:v>Official coverage expansion. Relevant to permitting workflow rather than routine operational controls.</x:v>
      </x:c>
      <x:c r="AP36" s="752" t="str">
        <x:v>OFFICIAL_WEBSITE</x:v>
      </x:c>
      <x:c r="AQ36" s="752" t="str">
        <x:v>OFFICIAL_ORIGINAL</x:v>
      </x:c>
      <x:c r="AR36" s="752" t="str">
        <x:v>ROLLING</x:v>
      </x:c>
      <x:c r="AS36" s="752"/>
    </x:row>
    <x:row r="37" s="36" customFormat="1" ht="30" customHeight="1">
      <x:c r="A37" s="751" t="str">
        <x:v>PA035</x:v>
      </x:c>
      <x:c r="B37" s="751" t="str">
        <x:v>PA035-001</x:v>
      </x:c>
      <x:c r="C37" s="751" t="str">
        <x:v>PA035-001_Regulation_on_reactions_for_violations_of_the_Aquaculture_Act.html</x:v>
      </x:c>
      <x:c r="D37" s="751" t="str">
        <x:v>STORED</x:v>
      </x:c>
      <x:c r="E37" s="751" t="str">
        <x:f>IF(A37="","",IF(OR(AJ37="EXCLUDE",COUNTIF(AD37:AH37,"LOW")&gt;0),"EXCLUDE",IF(OR(AJ37&lt;&gt;"INCLUDE",F37&lt;&gt;"SUCCESS",D37&lt;&gt;"STORED",U37="",AP37="",AQ37="",AQ37="UNVERIFIED",AND(AP37="OFFICIAL_WEBSITE",Q37=""),AND(OR(AA37="Equipment manual / OEM instruction",AB37="Asset-specific normative"),OR(Z37&lt;&gt;"Manufacturer / supplier",AS37="",AC37=""))),"PENDING",IF(COUNTIF(AD37:AH37,"HIGH")=5,"INCLUDE","PENDING"))))</x:f>
        <x:v>PENDING</x:v>
      </x:c>
      <x:c r="F37" s="751" t="str">
        <x:v>SUCCESS</x:v>
      </x:c>
      <x:c r="G37" s="755" t="n">
        <x:v>46262.53096064815</x:v>
      </x:c>
      <x:c r="H37" s="755" t="n">
        <x:v>46262.53097222222</x:v>
      </x:c>
      <x:c r="I37" s="751" t="str">
        <x:v>INITIAL</x:v>
      </x:c>
      <x:c r="J37" s="751" t="str">
        <x:v>AUTO</x:v>
      </x:c>
      <x:c r="K37" s="757" t="n">
        <x:f>IF(A37="","",IF(J37="AUTO",H37,IF(J37="MANUAL",AK37,"")))</x:f>
        <x:v>46262.53097222222</x:v>
      </x:c>
      <x:c r="L37" s="751" t="str">
        <x:v>NONE</x:v>
      </x:c>
      <x:c r="M37" s="751"/>
      <x:c r="N37" s="751" t="str">
        <x:f>IF(OR(AM37&lt;&gt;"CURRENT",E37="EXCLUDE"),"NO",IF(A37="","",IF(OR(F37="FAIL",F37="PAYWALL_BLOCKED"),IF(AND(AK37&lt;&gt;"",AK37&gt;=INT(G37),D37="STORED",J37="MANUAL",AL37&lt;&gt;""),"NO","YES"),IF(AND(AR37="ROLLING",I37="CHANGED"),IF(AND(AK37&lt;&gt;"",AK37&gt;=INT(IF(H37&lt;&gt;"",H37,G37)),AL37&lt;&gt;""),"NO","YES"),"NO"))))</x:f>
        <x:v>NO</x:v>
      </x:c>
      <x:c r="O37" s="751" t="str">
        <x:v>9352c1d1b3caebc263c4086816b4f894e69d3aa424bbf97b364e14838ed589b6</x:v>
      </x:c>
      <x:c r="P37" s="752" t="str">
        <x:v>Regulation on reactions for violations of the Aquaculture Act</x:v>
      </x:c>
      <x:c r="Q37" s="752" t="str">
        <x:v>https://lovdata.no/dokument/SF/forskrift/2013-12-20-1675</x:v>
      </x:c>
      <x:c r="R37" s="752" t="str">
        <x:v>https://lovdata.no/dokument/SF/forskrift/2013-12-20-1675</x:v>
      </x:c>
      <x:c r="S37" s="752" t="str">
        <x:v>A_Public_Authority</x:v>
      </x:c>
      <x:c r="T37" s="752" t="str">
        <x:v>html</x:v>
      </x:c>
      <x:c r="U37" s="752" t="str">
        <x:v>Norwegian Ministry of Trade, Industry and Fisheries</x:v>
      </x:c>
      <x:c r="V37" s="752" t="str">
        <x:v>Norway</x:v>
      </x:c>
      <x:c r="W37" s="752" t="str">
        <x:v>Norwegian</x:v>
      </x:c>
      <x:c r="X37" s="752"/>
      <x:c r="Y37" s="752"/>
      <x:c r="Z37" s="752" t="str">
        <x:v>Public authority</x:v>
      </x:c>
      <x:c r="AA37" s="752" t="str">
        <x:v>Regulation</x:v>
      </x:c>
      <x:c r="AB37" s="752" t="str">
        <x:v>Referenced normative</x:v>
      </x:c>
      <x:c r="AC37" s="752" t="str">
        <x:v>Official referenced source from Norwegian Ministry of Trade, Industry and Fisheries; included because an applicable law, permit or certification scheme may make its provisions binding within the approved scope.</x:v>
      </x:c>
      <x:c r="AD37" s="752" t="str">
        <x:v>HIGH</x:v>
      </x:c>
      <x:c r="AE37" s="752" t="str">
        <x:v>MEDIUM</x:v>
      </x:c>
      <x:c r="AF37" s="752" t="str">
        <x:v>HIGH</x:v>
      </x:c>
      <x:c r="AG37" s="752" t="str">
        <x:v>HIGH</x:v>
      </x:c>
      <x:c r="AH37" s="752" t="str">
        <x:v>HIGH</x:v>
      </x:c>
      <x:c r="AI37" s="752" t="str">
        <x:v>HIGH</x:v>
      </x:c>
      <x:c r="AJ37" s="752" t="str">
        <x:v>PENDING</x:v>
      </x:c>
      <x:c r="AK37" s="759"/>
      <x:c r="AL37" s="752"/>
      <x:c r="AM37" s="752" t="str">
        <x:v>CURRENT</x:v>
      </x:c>
      <x:c r="AN37" s="752"/>
      <x:c r="AO37" s="752" t="str">
        <x:v>Official coverage expansion. Supports enforcement and consequence mapping; it is not normally the source of the underlying operational duty.</x:v>
      </x:c>
      <x:c r="AP37" s="752" t="str">
        <x:v>OFFICIAL_WEBSITE</x:v>
      </x:c>
      <x:c r="AQ37" s="752" t="str">
        <x:v>OFFICIAL_ORIGINAL</x:v>
      </x:c>
      <x:c r="AR37" s="752" t="str">
        <x:v>ROLLING</x:v>
      </x:c>
      <x:c r="AS37" s="752"/>
    </x:row>
    <x:row r="38" s="36" customFormat="1" ht="30" customHeight="1">
      <x:c r="A38" s="751" t="str">
        <x:v>PA036</x:v>
      </x:c>
      <x:c r="B38" s="751" t="str">
        <x:v>PA036-001</x:v>
      </x:c>
      <x:c r="C38" s="751" t="str">
        <x:v>PA036-001_Regulation_on_permits_for_aquaculture_of_species_other_than_salmon_trout_and_rainbow_trout.html</x:v>
      </x:c>
      <x:c r="D38" s="751" t="str">
        <x:v>STORED</x:v>
      </x:c>
      <x:c r="E38" s="751" t="str">
        <x:f>IF(A38="","",IF(OR(AJ38="EXCLUDE",COUNTIF(AD38:AH38,"LOW")&gt;0),"EXCLUDE",IF(OR(AJ38&lt;&gt;"INCLUDE",F38&lt;&gt;"SUCCESS",D38&lt;&gt;"STORED",U38="",AP38="",AQ38="",AQ38="UNVERIFIED",AND(AP38="OFFICIAL_WEBSITE",Q38=""),AND(OR(AA38="Equipment manual / OEM instruction",AB38="Asset-specific normative"),OR(Z38&lt;&gt;"Manufacturer / supplier",AS38="",AC38=""))),"PENDING",IF(COUNTIF(AD38:AH38,"HIGH")=5,"INCLUDE","PENDING"))))</x:f>
        <x:v>PENDING</x:v>
      </x:c>
      <x:c r="F38" s="751" t="str">
        <x:v>SUCCESS</x:v>
      </x:c>
      <x:c r="G38" s="755" t="n">
        <x:v>46262.53097222222</x:v>
      </x:c>
      <x:c r="H38" s="755" t="n">
        <x:v>46262.53097222222</x:v>
      </x:c>
      <x:c r="I38" s="751" t="str">
        <x:v>INITIAL</x:v>
      </x:c>
      <x:c r="J38" s="751" t="str">
        <x:v>AUTO</x:v>
      </x:c>
      <x:c r="K38" s="757" t="n">
        <x:f>IF(A38="","",IF(J38="AUTO",H38,IF(J38="MANUAL",AK38,"")))</x:f>
        <x:v>46262.53097222222</x:v>
      </x:c>
      <x:c r="L38" s="751" t="str">
        <x:v>NONE</x:v>
      </x:c>
      <x:c r="M38" s="751"/>
      <x:c r="N38" s="751" t="str">
        <x:f>IF(OR(AM38&lt;&gt;"CURRENT",E38="EXCLUDE"),"NO",IF(A38="","",IF(OR(F38="FAIL",F38="PAYWALL_BLOCKED"),IF(AND(AK38&lt;&gt;"",AK38&gt;=INT(G38),D38="STORED",J38="MANUAL",AL38&lt;&gt;""),"NO","YES"),IF(AND(AR38="ROLLING",I38="CHANGED"),IF(AND(AK38&lt;&gt;"",AK38&gt;=INT(IF(H38&lt;&gt;"",H38,G38)),AL38&lt;&gt;""),"NO","YES"),"NO"))))</x:f>
        <x:v>NO</x:v>
      </x:c>
      <x:c r="O38" s="751" t="str">
        <x:v>18985a26548697f2ebe542f42a5ef6469c6f9c99a8dc35dedaa8d171c4d2b027</x:v>
      </x:c>
      <x:c r="P38" s="752" t="str">
        <x:v>Regulation on permits for aquaculture of species other than salmon, trout and rainbow trout</x:v>
      </x:c>
      <x:c r="Q38" s="752" t="str">
        <x:v>https://lovdata.no/dokument/SF/forskrift/2004-12-22-1799</x:v>
      </x:c>
      <x:c r="R38" s="752" t="str">
        <x:v>https://lovdata.no/dokument/SF/forskrift/2004-12-22-1799</x:v>
      </x:c>
      <x:c r="S38" s="752" t="str">
        <x:v>A_Public_Authority</x:v>
      </x:c>
      <x:c r="T38" s="752" t="str">
        <x:v>html</x:v>
      </x:c>
      <x:c r="U38" s="752" t="str">
        <x:v>Norwegian Ministry of Trade, Industry and Fisheries</x:v>
      </x:c>
      <x:c r="V38" s="752" t="str">
        <x:v>Norway</x:v>
      </x:c>
      <x:c r="W38" s="752" t="str">
        <x:v>Norwegian</x:v>
      </x:c>
      <x:c r="X38" s="752"/>
      <x:c r="Y38" s="752"/>
      <x:c r="Z38" s="752" t="str">
        <x:v>Public authority</x:v>
      </x:c>
      <x:c r="AA38" s="752" t="str">
        <x:v>Regulation</x:v>
      </x:c>
      <x:c r="AB38" s="752" t="str">
        <x:v>Primary normative</x:v>
      </x:c>
      <x:c r="AC38" s="752" t="str">
        <x:v>Official regulation issued by Norwegian Ministry of Trade, Industry and Fisheries; included because it may impose binding requirements on an in-scope aquaculture asset, activity, permit or certification.</x:v>
      </x:c>
      <x:c r="AD38" s="752" t="str">
        <x:v>HIGH</x:v>
      </x:c>
      <x:c r="AE38" s="752" t="str">
        <x:v>MEDIUM</x:v>
      </x:c>
      <x:c r="AF38" s="752" t="str">
        <x:v>HIGH</x:v>
      </x:c>
      <x:c r="AG38" s="752" t="str">
        <x:v>HIGH</x:v>
      </x:c>
      <x:c r="AH38" s="752" t="str">
        <x:v>HIGH</x:v>
      </x:c>
      <x:c r="AI38" s="752" t="str">
        <x:v>HIGH</x:v>
      </x:c>
      <x:c r="AJ38" s="752" t="str">
        <x:v>PENDING</x:v>
      </x:c>
      <x:c r="AK38" s="759"/>
      <x:c r="AL38" s="752"/>
      <x:c r="AM38" s="752" t="str">
        <x:v>CURRENT</x:v>
      </x:c>
      <x:c r="AN38" s="752"/>
      <x:c r="AO38" s="752" t="str">
        <x:v>Official coverage expansion. Include only when other species are within the approved scope.</x:v>
      </x:c>
      <x:c r="AP38" s="752" t="str">
        <x:v>OFFICIAL_WEBSITE</x:v>
      </x:c>
      <x:c r="AQ38" s="752" t="str">
        <x:v>OFFICIAL_ORIGINAL</x:v>
      </x:c>
      <x:c r="AR38" s="752" t="str">
        <x:v>ROLLING</x:v>
      </x:c>
      <x:c r="AS38" s="752"/>
    </x:row>
    <x:row r="39" s="36" customFormat="1" ht="30" customHeight="1">
      <x:c r="A39" s="751" t="str">
        <x:v>PA037</x:v>
      </x:c>
      <x:c r="B39" s="751" t="str">
        <x:v>PA037-001</x:v>
      </x:c>
      <x:c r="C39" s="751" t="str">
        <x:v>PA037-001_Regulation_on_fees_and_charges_relating_to_aquaculture_activities.html</x:v>
      </x:c>
      <x:c r="D39" s="751" t="str">
        <x:v>STORED</x:v>
      </x:c>
      <x:c r="E39" s="751" t="str">
        <x:f>IF(A39="","",IF(OR(AJ39="EXCLUDE",COUNTIF(AD39:AH39,"LOW")&gt;0),"EXCLUDE",IF(OR(AJ39&lt;&gt;"INCLUDE",F39&lt;&gt;"SUCCESS",D39&lt;&gt;"STORED",U39="",AP39="",AQ39="",AQ39="UNVERIFIED",AND(AP39="OFFICIAL_WEBSITE",Q39=""),AND(OR(AA39="Equipment manual / OEM instruction",AB39="Asset-specific normative"),OR(Z39&lt;&gt;"Manufacturer / supplier",AS39="",AC39=""))),"PENDING",IF(COUNTIF(AD39:AH39,"HIGH")=5,"INCLUDE","PENDING"))))</x:f>
        <x:v>PENDING</x:v>
      </x:c>
      <x:c r="F39" s="751" t="str">
        <x:v>SUCCESS</x:v>
      </x:c>
      <x:c r="G39" s="755" t="n">
        <x:v>46262.53097222222</x:v>
      </x:c>
      <x:c r="H39" s="755" t="n">
        <x:v>46262.5309837963</x:v>
      </x:c>
      <x:c r="I39" s="751" t="str">
        <x:v>INITIAL</x:v>
      </x:c>
      <x:c r="J39" s="751" t="str">
        <x:v>AUTO</x:v>
      </x:c>
      <x:c r="K39" s="757" t="n">
        <x:f>IF(A39="","",IF(J39="AUTO",H39,IF(J39="MANUAL",AK39,"")))</x:f>
        <x:v>46262.5309837963</x:v>
      </x:c>
      <x:c r="L39" s="751" t="str">
        <x:v>NONE</x:v>
      </x:c>
      <x:c r="M39" s="751"/>
      <x:c r="N39" s="751" t="str">
        <x:f>IF(OR(AM39&lt;&gt;"CURRENT",E39="EXCLUDE"),"NO",IF(A39="","",IF(OR(F39="FAIL",F39="PAYWALL_BLOCKED"),IF(AND(AK39&lt;&gt;"",AK39&gt;=INT(G39),D39="STORED",J39="MANUAL",AL39&lt;&gt;""),"NO","YES"),IF(AND(AR39="ROLLING",I39="CHANGED"),IF(AND(AK39&lt;&gt;"",AK39&gt;=INT(IF(H39&lt;&gt;"",H39,G39)),AL39&lt;&gt;""),"NO","YES"),"NO"))))</x:f>
        <x:v>NO</x:v>
      </x:c>
      <x:c r="O39" s="751" t="str">
        <x:v>cf7e9767f070aa451123bb7477591661c984e767d32002ad03db21e2534d7e45</x:v>
      </x:c>
      <x:c r="P39" s="752" t="str">
        <x:v>Regulation on fees and charges relating to aquaculture activities</x:v>
      </x:c>
      <x:c r="Q39" s="752" t="str">
        <x:v>https://lovdata.no/dokument/SF/forskrift/2001-12-21-1597</x:v>
      </x:c>
      <x:c r="R39" s="752" t="str">
        <x:v>https://lovdata.no/dokument/SF/forskrift/2001-12-21-1597</x:v>
      </x:c>
      <x:c r="S39" s="752" t="str">
        <x:v>A_Public_Authority</x:v>
      </x:c>
      <x:c r="T39" s="752" t="str">
        <x:v>html</x:v>
      </x:c>
      <x:c r="U39" s="752" t="str">
        <x:v>Norwegian Ministry of Trade, Industry and Fisheries</x:v>
      </x:c>
      <x:c r="V39" s="752" t="str">
        <x:v>Norway</x:v>
      </x:c>
      <x:c r="W39" s="752" t="str">
        <x:v>Norwegian</x:v>
      </x:c>
      <x:c r="X39" s="752"/>
      <x:c r="Y39" s="752"/>
      <x:c r="Z39" s="752" t="str">
        <x:v>Public authority</x:v>
      </x:c>
      <x:c r="AA39" s="752" t="str">
        <x:v>Regulation</x:v>
      </x:c>
      <x:c r="AB39" s="752" t="str">
        <x:v>Referenced normative</x:v>
      </x:c>
      <x:c r="AC39" s="752" t="str">
        <x:v>Official referenced source from Norwegian Ministry of Trade, Industry and Fisheries; included because an applicable law, permit or certification scheme may make its provisions binding within the approved scope.</x:v>
      </x:c>
      <x:c r="AD39" s="752" t="str">
        <x:v>HIGH</x:v>
      </x:c>
      <x:c r="AE39" s="752" t="str">
        <x:v>MEDIUM</x:v>
      </x:c>
      <x:c r="AF39" s="752" t="str">
        <x:v>HIGH</x:v>
      </x:c>
      <x:c r="AG39" s="752" t="str">
        <x:v>HIGH</x:v>
      </x:c>
      <x:c r="AH39" s="752" t="str">
        <x:v>HIGH</x:v>
      </x:c>
      <x:c r="AI39" s="752" t="str">
        <x:v>HIGH</x:v>
      </x:c>
      <x:c r="AJ39" s="752" t="str">
        <x:v>PENDING</x:v>
      </x:c>
      <x:c r="AK39" s="759"/>
      <x:c r="AL39" s="752"/>
      <x:c r="AM39" s="752" t="str">
        <x:v>CURRENT</x:v>
      </x:c>
      <x:c r="AN39" s="752"/>
      <x:c r="AO39" s="752" t="str">
        <x:v>Official coverage expansion. Administrative and financial relevance depends on the permit or application process.</x:v>
      </x:c>
      <x:c r="AP39" s="752" t="str">
        <x:v>OFFICIAL_WEBSITE</x:v>
      </x:c>
      <x:c r="AQ39" s="752" t="str">
        <x:v>OFFICIAL_ORIGINAL</x:v>
      </x:c>
      <x:c r="AR39" s="752" t="str">
        <x:v>ROLLING</x:v>
      </x:c>
      <x:c r="AS39" s="752"/>
    </x:row>
    <x:row r="40" s="36" customFormat="1" ht="30" customHeight="1">
      <x:c r="A40" s="751" t="str">
        <x:v>PA038</x:v>
      </x:c>
      <x:c r="B40" s="751" t="str">
        <x:v>PA038-001</x:v>
      </x:c>
      <x:c r="C40" s="751" t="str">
        <x:v>PA038-001_Regulation_on_sea_ranching.html</x:v>
      </x:c>
      <x:c r="D40" s="751" t="str">
        <x:v>STORED</x:v>
      </x:c>
      <x:c r="E40" s="751" t="str">
        <x:f>IF(A40="","",IF(OR(AJ40="EXCLUDE",COUNTIF(AD40:AH40,"LOW")&gt;0),"EXCLUDE",IF(OR(AJ40&lt;&gt;"INCLUDE",F40&lt;&gt;"SUCCESS",D40&lt;&gt;"STORED",U40="",AP40="",AQ40="",AQ40="UNVERIFIED",AND(AP40="OFFICIAL_WEBSITE",Q40=""),AND(OR(AA40="Equipment manual / OEM instruction",AB40="Asset-specific normative"),OR(Z40&lt;&gt;"Manufacturer / supplier",AS40="",AC40=""))),"PENDING",IF(COUNTIF(AD40:AH40,"HIGH")=5,"INCLUDE","PENDING"))))</x:f>
        <x:v>PENDING</x:v>
      </x:c>
      <x:c r="F40" s="751" t="str">
        <x:v>SUCCESS</x:v>
      </x:c>
      <x:c r="G40" s="755" t="n">
        <x:v>46262.5309837963</x:v>
      </x:c>
      <x:c r="H40" s="755" t="n">
        <x:v>46262.53099537037</x:v>
      </x:c>
      <x:c r="I40" s="751" t="str">
        <x:v>INITIAL</x:v>
      </x:c>
      <x:c r="J40" s="751" t="str">
        <x:v>AUTO</x:v>
      </x:c>
      <x:c r="K40" s="757" t="n">
        <x:f>IF(A40="","",IF(J40="AUTO",H40,IF(J40="MANUAL",AK40,"")))</x:f>
        <x:v>46262.53099537037</x:v>
      </x:c>
      <x:c r="L40" s="751" t="str">
        <x:v>NONE</x:v>
      </x:c>
      <x:c r="M40" s="751"/>
      <x:c r="N40" s="751" t="str">
        <x:f>IF(OR(AM40&lt;&gt;"CURRENT",E40="EXCLUDE"),"NO",IF(A40="","",IF(OR(F40="FAIL",F40="PAYWALL_BLOCKED"),IF(AND(AK40&lt;&gt;"",AK40&gt;=INT(G40),D40="STORED",J40="MANUAL",AL40&lt;&gt;""),"NO","YES"),IF(AND(AR40="ROLLING",I40="CHANGED"),IF(AND(AK40&lt;&gt;"",AK40&gt;=INT(IF(H40&lt;&gt;"",H40,G40)),AL40&lt;&gt;""),"NO","YES"),"NO"))))</x:f>
        <x:v>NO</x:v>
      </x:c>
      <x:c r="O40" s="751" t="str">
        <x:v>94210cefeb809c7317a22a0b026762a996ea8a0fa4981cd5fd9d2966e3f39ae7</x:v>
      </x:c>
      <x:c r="P40" s="752" t="str">
        <x:v>Regulation on sea ranching</x:v>
      </x:c>
      <x:c r="Q40" s="752" t="str">
        <x:v>https://lovdata.no/dokument/SF/forskrift/2003-08-28-1110</x:v>
      </x:c>
      <x:c r="R40" s="752" t="str">
        <x:v>https://lovdata.no/dokument/SF/forskrift/2003-08-28-1110</x:v>
      </x:c>
      <x:c r="S40" s="752" t="str">
        <x:v>A_Public_Authority</x:v>
      </x:c>
      <x:c r="T40" s="752" t="str">
        <x:v>html</x:v>
      </x:c>
      <x:c r="U40" s="752" t="str">
        <x:v>Norwegian Ministry of Trade, Industry and Fisheries</x:v>
      </x:c>
      <x:c r="V40" s="752" t="str">
        <x:v>Norway</x:v>
      </x:c>
      <x:c r="W40" s="752" t="str">
        <x:v>Norwegian</x:v>
      </x:c>
      <x:c r="X40" s="752"/>
      <x:c r="Y40" s="752"/>
      <x:c r="Z40" s="752" t="str">
        <x:v>Public authority</x:v>
      </x:c>
      <x:c r="AA40" s="752" t="str">
        <x:v>Regulation</x:v>
      </x:c>
      <x:c r="AB40" s="752" t="str">
        <x:v>Primary normative</x:v>
      </x:c>
      <x:c r="AC40" s="752" t="str">
        <x:v>Official regulation issued by Norwegian Ministry of Trade, Industry and Fisheries; included because it may impose binding requirements on an in-scope aquaculture asset, activity, permit or certification.</x:v>
      </x:c>
      <x:c r="AD40" s="752" t="str">
        <x:v>HIGH</x:v>
      </x:c>
      <x:c r="AE40" s="752" t="str">
        <x:v>MEDIUM</x:v>
      </x:c>
      <x:c r="AF40" s="752" t="str">
        <x:v>HIGH</x:v>
      </x:c>
      <x:c r="AG40" s="752" t="str">
        <x:v>HIGH</x:v>
      </x:c>
      <x:c r="AH40" s="752" t="str">
        <x:v>HIGH</x:v>
      </x:c>
      <x:c r="AI40" s="752" t="str">
        <x:v>HIGH</x:v>
      </x:c>
      <x:c r="AJ40" s="752" t="str">
        <x:v>PENDING</x:v>
      </x:c>
      <x:c r="AK40" s="759"/>
      <x:c r="AL40" s="752"/>
      <x:c r="AM40" s="752" t="str">
        <x:v>CURRENT</x:v>
      </x:c>
      <x:c r="AN40" s="752"/>
      <x:c r="AO40" s="752" t="str">
        <x:v>Official coverage expansion. Include only for sea-ranching operations.</x:v>
      </x:c>
      <x:c r="AP40" s="752" t="str">
        <x:v>OFFICIAL_WEBSITE</x:v>
      </x:c>
      <x:c r="AQ40" s="752" t="str">
        <x:v>OFFICIAL_ORIGINAL</x:v>
      </x:c>
      <x:c r="AR40" s="752" t="str">
        <x:v>ROLLING</x:v>
      </x:c>
      <x:c r="AS40" s="752"/>
    </x:row>
    <x:row r="41" s="36" customFormat="1" ht="30" customHeight="1">
      <x:c r="A41" s="751" t="str">
        <x:v>PA039</x:v>
      </x:c>
      <x:c r="B41" s="751" t="str">
        <x:v>PA039-001</x:v>
      </x:c>
      <x:c r="C41" s="751" t="str">
        <x:v>PA039-001_Animal_Health_Regulation.html</x:v>
      </x:c>
      <x:c r="D41" s="751" t="str">
        <x:v>STORED</x:v>
      </x:c>
      <x:c r="E41" s="751" t="str">
        <x:f>IF(A41="","",IF(OR(AJ41="EXCLUDE",COUNTIF(AD41:AH41,"LOW")&gt;0),"EXCLUDE",IF(OR(AJ41&lt;&gt;"INCLUDE",F41&lt;&gt;"SUCCESS",D41&lt;&gt;"STORED",U41="",AP41="",AQ41="",AQ41="UNVERIFIED",AND(AP41="OFFICIAL_WEBSITE",Q41=""),AND(OR(AA41="Equipment manual / OEM instruction",AB41="Asset-specific normative"),OR(Z41&lt;&gt;"Manufacturer / supplier",AS41="",AC41=""))),"PENDING",IF(COUNTIF(AD41:AH41,"HIGH")=5,"INCLUDE","PENDING"))))</x:f>
        <x:v>INCLUDE</x:v>
      </x:c>
      <x:c r="F41" s="751" t="str">
        <x:v>SUCCESS</x:v>
      </x:c>
      <x:c r="G41" s="755" t="n">
        <x:v>46262.53099537037</x:v>
      </x:c>
      <x:c r="H41" s="755" t="n">
        <x:v>46262.53099537037</x:v>
      </x:c>
      <x:c r="I41" s="751" t="str">
        <x:v>INITIAL</x:v>
      </x:c>
      <x:c r="J41" s="751" t="str">
        <x:v>AUTO</x:v>
      </x:c>
      <x:c r="K41" s="757" t="n">
        <x:f>IF(A41="","",IF(J41="AUTO",H41,IF(J41="MANUAL",AK41,"")))</x:f>
        <x:v>46262.53099537037</x:v>
      </x:c>
      <x:c r="L41" s="751" t="str">
        <x:v>NONE</x:v>
      </x:c>
      <x:c r="M41" s="751"/>
      <x:c r="N41" s="751" t="str">
        <x:f>IF(OR(AM41&lt;&gt;"CURRENT",E41="EXCLUDE"),"NO",IF(A41="","",IF(OR(F41="FAIL",F41="PAYWALL_BLOCKED"),IF(AND(AK41&lt;&gt;"",AK41&gt;=INT(G41),D41="STORED",J41="MANUAL",AL41&lt;&gt;""),"NO","YES"),IF(AND(AR41="ROLLING",I41="CHANGED"),IF(AND(AK41&lt;&gt;"",AK41&gt;=INT(IF(H41&lt;&gt;"",H41,G41)),AL41&lt;&gt;""),"NO","YES"),"NO"))))</x:f>
        <x:v>NO</x:v>
      </x:c>
      <x:c r="O41" s="751" t="str">
        <x:v>9c505be3af04d8879ed1361628aaa96d5a45cacf20987849139a7636c1d97343</x:v>
      </x:c>
      <x:c r="P41" s="752" t="str">
        <x:v>Animal Health Regulation</x:v>
      </x:c>
      <x:c r="Q41" s="752" t="str">
        <x:v>https://lovdata.no/dokument/SF/forskrift/2022-04-06-631</x:v>
      </x:c>
      <x:c r="R41" s="752" t="str">
        <x:v>https://lovdata.no/dokument/SF/forskrift/2022-04-06-631</x:v>
      </x:c>
      <x:c r="S41" s="752" t="str">
        <x:v>A_Public_Authority</x:v>
      </x:c>
      <x:c r="T41" s="752" t="str">
        <x:v>html</x:v>
      </x:c>
      <x:c r="U41" s="752" t="str">
        <x:v>Norwegian Ministry of Agriculture and Food</x:v>
      </x:c>
      <x:c r="V41" s="752" t="str">
        <x:v>Norway</x:v>
      </x:c>
      <x:c r="W41" s="752" t="str">
        <x:v>Norwegian</x:v>
      </x:c>
      <x:c r="X41" s="752"/>
      <x:c r="Y41" s="752"/>
      <x:c r="Z41" s="752" t="str">
        <x:v>Public authority</x:v>
      </x:c>
      <x:c r="AA41" s="752" t="str">
        <x:v>Regulation</x:v>
      </x:c>
      <x:c r="AB41" s="752" t="str">
        <x:v>Primary normative</x:v>
      </x:c>
      <x:c r="AC41" s="752" t="str">
        <x:v>Official regulation issued by Norwegian Ministry of Agriculture and Food; included because it may impose binding requirements on an in-scope aquaculture asset, activity, permit or certification.</x:v>
      </x:c>
      <x:c r="AD41" s="752" t="str">
        <x:v>HIGH</x:v>
      </x:c>
      <x:c r="AE41" s="752" t="str">
        <x:v>HIGH</x:v>
      </x:c>
      <x:c r="AF41" s="752" t="str">
        <x:v>HIGH</x:v>
      </x:c>
      <x:c r="AG41" s="752" t="str">
        <x:v>HIGH</x:v>
      </x:c>
      <x:c r="AH41" s="752" t="str">
        <x:v>HIGH</x:v>
      </x:c>
      <x:c r="AI41" s="752" t="str">
        <x:v>HIGH</x:v>
      </x:c>
      <x:c r="AJ41" s="752" t="str">
        <x:v>INCLUDE</x:v>
      </x:c>
      <x:c r="AK41" s="759"/>
      <x:c r="AL41" s="752"/>
      <x:c r="AM41" s="752" t="str">
        <x:v>CURRENT</x:v>
      </x:c>
      <x:c r="AN41" s="752" t="str">
        <x:v>PA010</x:v>
      </x:c>
      <x:c r="AO41" s="752" t="str">
        <x:v>Official Norwegian implementation package for the EU Animal Health Law. Confirm species and activity-specific provisions.</x:v>
      </x:c>
      <x:c r="AP41" s="752" t="str">
        <x:v>OFFICIAL_WEBSITE</x:v>
      </x:c>
      <x:c r="AQ41" s="752" t="str">
        <x:v>OFFICIAL_ORIGINAL</x:v>
      </x:c>
      <x:c r="AR41" s="752" t="str">
        <x:v>ROLLING</x:v>
      </x:c>
      <x:c r="AS41" s="752"/>
    </x:row>
    <x:row r="42" s="36" customFormat="1" ht="30" customHeight="1">
      <x:c r="A42" s="751" t="str">
        <x:v>PA040</x:v>
      </x:c>
      <x:c r="B42" s="751" t="str">
        <x:v>PA040-001</x:v>
      </x:c>
      <x:c r="C42" s="751" t="str">
        <x:v>PA040-001_Aquabiosafety_Regulation.html</x:v>
      </x:c>
      <x:c r="D42" s="751" t="str">
        <x:v>STORED</x:v>
      </x:c>
      <x:c r="E42" s="751" t="str">
        <x:f>IF(A42="","",IF(OR(AJ42="EXCLUDE",COUNTIF(AD42:AH42,"LOW")&gt;0),"EXCLUDE",IF(OR(AJ42&lt;&gt;"INCLUDE",F42&lt;&gt;"SUCCESS",D42&lt;&gt;"STORED",U42="",AP42="",AQ42="",AQ42="UNVERIFIED",AND(AP42="OFFICIAL_WEBSITE",Q42=""),AND(OR(AA42="Equipment manual / OEM instruction",AB42="Asset-specific normative"),OR(Z42&lt;&gt;"Manufacturer / supplier",AS42="",AC42=""))),"PENDING",IF(COUNTIF(AD42:AH42,"HIGH")=5,"INCLUDE","PENDING"))))</x:f>
        <x:v>INCLUDE</x:v>
      </x:c>
      <x:c r="F42" s="751" t="str">
        <x:v>SUCCESS</x:v>
      </x:c>
      <x:c r="G42" s="755" t="n">
        <x:v>46262.53099537037</x:v>
      </x:c>
      <x:c r="H42" s="755" t="n">
        <x:v>46262.53099537037</x:v>
      </x:c>
      <x:c r="I42" s="751" t="str">
        <x:v>INITIAL</x:v>
      </x:c>
      <x:c r="J42" s="751" t="str">
        <x:v>AUTO</x:v>
      </x:c>
      <x:c r="K42" s="757" t="n">
        <x:f>IF(A42="","",IF(J42="AUTO",H42,IF(J42="MANUAL",AK42,"")))</x:f>
        <x:v>46262.53099537037</x:v>
      </x:c>
      <x:c r="L42" s="751" t="str">
        <x:v>NONE</x:v>
      </x:c>
      <x:c r="M42" s="751"/>
      <x:c r="N42" s="751" t="str">
        <x:f>IF(OR(AM42&lt;&gt;"CURRENT",E42="EXCLUDE"),"NO",IF(A42="","",IF(OR(F42="FAIL",F42="PAYWALL_BLOCKED"),IF(AND(AK42&lt;&gt;"",AK42&gt;=INT(G42),D42="STORED",J42="MANUAL",AL42&lt;&gt;""),"NO","YES"),IF(AND(AR42="ROLLING",I42="CHANGED"),IF(AND(AK42&lt;&gt;"",AK42&gt;=INT(IF(H42&lt;&gt;"",H42,G42)),AL42&lt;&gt;""),"NO","YES"),"NO"))))</x:f>
        <x:v>NO</x:v>
      </x:c>
      <x:c r="O42" s="751" t="str">
        <x:v>ede876a30d12f3085e1e83584a4c2c3fd16c39afd42a1722c9c6ddd4bdca5bf9</x:v>
      </x:c>
      <x:c r="P42" s="752" t="str">
        <x:v>Aquabiosafety Regulation</x:v>
      </x:c>
      <x:c r="Q42" s="752" t="str">
        <x:v>https://lovdata.no/dokument/SF/forskrift/2022-04-05-624</x:v>
      </x:c>
      <x:c r="R42" s="752" t="str">
        <x:v>https://lovdata.no/dokument/SF/forskrift/2022-04-05-624</x:v>
      </x:c>
      <x:c r="S42" s="752" t="str">
        <x:v>A_Public_Authority</x:v>
      </x:c>
      <x:c r="T42" s="752" t="str">
        <x:v>html</x:v>
      </x:c>
      <x:c r="U42" s="752" t="str">
        <x:v>Norwegian Ministry of Trade, Industry and Fisheries</x:v>
      </x:c>
      <x:c r="V42" s="752" t="str">
        <x:v>Norway</x:v>
      </x:c>
      <x:c r="W42" s="752" t="str">
        <x:v>Norwegian</x:v>
      </x:c>
      <x:c r="X42" s="752"/>
      <x:c r="Y42" s="752"/>
      <x:c r="Z42" s="752" t="str">
        <x:v>Public authority</x:v>
      </x:c>
      <x:c r="AA42" s="752" t="str">
        <x:v>Regulation</x:v>
      </x:c>
      <x:c r="AB42" s="752" t="str">
        <x:v>Primary normative</x:v>
      </x:c>
      <x:c r="AC42" s="752" t="str">
        <x:v>Official regulation issued by Norwegian Ministry of Trade, Industry and Fisheries; included because it may impose binding requirements on an in-scope aquaculture asset, activity, permit or certification.</x:v>
      </x:c>
      <x:c r="AD42" s="752" t="str">
        <x:v>HIGH</x:v>
      </x:c>
      <x:c r="AE42" s="752" t="str">
        <x:v>HIGH</x:v>
      </x:c>
      <x:c r="AF42" s="752" t="str">
        <x:v>HIGH</x:v>
      </x:c>
      <x:c r="AG42" s="752" t="str">
        <x:v>HIGH</x:v>
      </x:c>
      <x:c r="AH42" s="752" t="str">
        <x:v>HIGH</x:v>
      </x:c>
      <x:c r="AI42" s="752" t="str">
        <x:v>HIGH</x:v>
      </x:c>
      <x:c r="AJ42" s="752" t="str">
        <x:v>INCLUDE</x:v>
      </x:c>
      <x:c r="AK42" s="759"/>
      <x:c r="AL42" s="752"/>
      <x:c r="AM42" s="752" t="str">
        <x:v>CURRENT</x:v>
      </x:c>
      <x:c r="AN42" s="752" t="str">
        <x:v>PA010</x:v>
      </x:c>
      <x:c r="AO42" s="752" t="str">
        <x:v>Official expansion from Mattilsynet's aquaculture biosafety guidance. Core candidate for biosecurity planning and operation.</x:v>
      </x:c>
      <x:c r="AP42" s="752" t="str">
        <x:v>OFFICIAL_WEBSITE</x:v>
      </x:c>
      <x:c r="AQ42" s="752" t="str">
        <x:v>OFFICIAL_ORIGINAL</x:v>
      </x:c>
      <x:c r="AR42" s="752" t="str">
        <x:v>ROLLING</x:v>
      </x:c>
      <x:c r="AS42" s="752"/>
    </x:row>
    <x:row r="43" s="36" customFormat="1" ht="30" customHeight="1">
      <x:c r="A43" s="751" t="str">
        <x:v>PA041</x:v>
      </x:c>
      <x:c r="B43" s="751" t="str">
        <x:v>PA041-001</x:v>
      </x:c>
      <x:c r="C43" s="751" t="str">
        <x:v>PA041-001_Animal_Health_Surveillance_Regulation.html</x:v>
      </x:c>
      <x:c r="D43" s="751" t="str">
        <x:v>STORED</x:v>
      </x:c>
      <x:c r="E43" s="751" t="str">
        <x:f>IF(A43="","",IF(OR(AJ43="EXCLUDE",COUNTIF(AD43:AH43,"LOW")&gt;0),"EXCLUDE",IF(OR(AJ43&lt;&gt;"INCLUDE",F43&lt;&gt;"SUCCESS",D43&lt;&gt;"STORED",U43="",AP43="",AQ43="",AQ43="UNVERIFIED",AND(AP43="OFFICIAL_WEBSITE",Q43=""),AND(OR(AA43="Equipment manual / OEM instruction",AB43="Asset-specific normative"),OR(Z43&lt;&gt;"Manufacturer / supplier",AS43="",AC43=""))),"PENDING",IF(COUNTIF(AD43:AH43,"HIGH")=5,"INCLUDE","PENDING"))))</x:f>
        <x:v>INCLUDE</x:v>
      </x:c>
      <x:c r="F43" s="751" t="str">
        <x:v>SUCCESS</x:v>
      </x:c>
      <x:c r="G43" s="755" t="n">
        <x:v>46262.53100694445</x:v>
      </x:c>
      <x:c r="H43" s="755" t="n">
        <x:v>46262.53100694445</x:v>
      </x:c>
      <x:c r="I43" s="751" t="str">
        <x:v>INITIAL</x:v>
      </x:c>
      <x:c r="J43" s="751" t="str">
        <x:v>AUTO</x:v>
      </x:c>
      <x:c r="K43" s="757" t="n">
        <x:f>IF(A43="","",IF(J43="AUTO",H43,IF(J43="MANUAL",AK43,"")))</x:f>
        <x:v>46262.53100694445</x:v>
      </x:c>
      <x:c r="L43" s="751" t="str">
        <x:v>NONE</x:v>
      </x:c>
      <x:c r="M43" s="751"/>
      <x:c r="N43" s="751" t="str">
        <x:f>IF(OR(AM43&lt;&gt;"CURRENT",E43="EXCLUDE"),"NO",IF(A43="","",IF(OR(F43="FAIL",F43="PAYWALL_BLOCKED"),IF(AND(AK43&lt;&gt;"",AK43&gt;=INT(G43),D43="STORED",J43="MANUAL",AL43&lt;&gt;""),"NO","YES"),IF(AND(AR43="ROLLING",I43="CHANGED"),IF(AND(AK43&lt;&gt;"",AK43&gt;=INT(IF(H43&lt;&gt;"",H43,G43)),AL43&lt;&gt;""),"NO","YES"),"NO"))))</x:f>
        <x:v>NO</x:v>
      </x:c>
      <x:c r="O43" s="751" t="str">
        <x:v>ac4adc7d9df4f75a93328f2fd196b1fb854fcc4696e26c150015ec3b30f6ff65</x:v>
      </x:c>
      <x:c r="P43" s="752" t="str">
        <x:v>Animal Health Surveillance Regulation</x:v>
      </x:c>
      <x:c r="Q43" s="752" t="str">
        <x:v>https://lovdata.no/dokument/SF/forskrift/2022-04-06-632</x:v>
      </x:c>
      <x:c r="R43" s="752" t="str">
        <x:v>https://lovdata.no/dokument/SF/forskrift/2022-04-06-632</x:v>
      </x:c>
      <x:c r="S43" s="752" t="str">
        <x:v>A_Public_Authority</x:v>
      </x:c>
      <x:c r="T43" s="752" t="str">
        <x:v>html</x:v>
      </x:c>
      <x:c r="U43" s="752" t="str">
        <x:v>Norwegian Ministry of Agriculture and Food</x:v>
      </x:c>
      <x:c r="V43" s="752" t="str">
        <x:v>Norway</x:v>
      </x:c>
      <x:c r="W43" s="752" t="str">
        <x:v>Norwegian</x:v>
      </x:c>
      <x:c r="X43" s="752"/>
      <x:c r="Y43" s="752"/>
      <x:c r="Z43" s="752" t="str">
        <x:v>Public authority</x:v>
      </x:c>
      <x:c r="AA43" s="752" t="str">
        <x:v>Regulation</x:v>
      </x:c>
      <x:c r="AB43" s="752" t="str">
        <x:v>Primary normative</x:v>
      </x:c>
      <x:c r="AC43" s="752" t="str">
        <x:v>Official regulation issued by Norwegian Ministry of Agriculture and Food; included because it may impose binding requirements on an in-scope aquaculture asset, activity, permit or certification.</x:v>
      </x:c>
      <x:c r="AD43" s="752" t="str">
        <x:v>HIGH</x:v>
      </x:c>
      <x:c r="AE43" s="752" t="str">
        <x:v>HIGH</x:v>
      </x:c>
      <x:c r="AF43" s="752" t="str">
        <x:v>HIGH</x:v>
      </x:c>
      <x:c r="AG43" s="752" t="str">
        <x:v>HIGH</x:v>
      </x:c>
      <x:c r="AH43" s="752" t="str">
        <x:v>HIGH</x:v>
      </x:c>
      <x:c r="AI43" s="752" t="str">
        <x:v>HIGH</x:v>
      </x:c>
      <x:c r="AJ43" s="752" t="str">
        <x:v>INCLUDE</x:v>
      </x:c>
      <x:c r="AK43" s="759"/>
      <x:c r="AL43" s="752"/>
      <x:c r="AM43" s="752" t="str">
        <x:v>CURRENT</x:v>
      </x:c>
      <x:c r="AN43" s="752" t="str">
        <x:v>PA010</x:v>
      </x:c>
      <x:c r="AO43" s="752" t="str">
        <x:v>Official Norwegian implementation package for animal-health surveillance. Applicability must be mapped to farm species and status.</x:v>
      </x:c>
      <x:c r="AP43" s="752" t="str">
        <x:v>OFFICIAL_WEBSITE</x:v>
      </x:c>
      <x:c r="AQ43" s="752" t="str">
        <x:v>OFFICIAL_ORIGINAL</x:v>
      </x:c>
      <x:c r="AR43" s="752" t="str">
        <x:v>ROLLING</x:v>
      </x:c>
      <x:c r="AS43" s="752"/>
    </x:row>
    <x:row r="44" s="36" customFormat="1" ht="30" customHeight="1">
      <x:c r="A44" s="751" t="str">
        <x:v>PA042</x:v>
      </x:c>
      <x:c r="B44" s="751" t="str">
        <x:v>PA042-001</x:v>
      </x:c>
      <x:c r="C44" s="751" t="str">
        <x:v>PA042-001_Animal_Disease_Control_Regulation.html</x:v>
      </x:c>
      <x:c r="D44" s="751" t="str">
        <x:v>STORED</x:v>
      </x:c>
      <x:c r="E44" s="751" t="str">
        <x:f>IF(A44="","",IF(OR(AJ44="EXCLUDE",COUNTIF(AD44:AH44,"LOW")&gt;0),"EXCLUDE",IF(OR(AJ44&lt;&gt;"INCLUDE",F44&lt;&gt;"SUCCESS",D44&lt;&gt;"STORED",U44="",AP44="",AQ44="",AQ44="UNVERIFIED",AND(AP44="OFFICIAL_WEBSITE",Q44=""),AND(OR(AA44="Equipment manual / OEM instruction",AB44="Asset-specific normative"),OR(Z44&lt;&gt;"Manufacturer / supplier",AS44="",AC44=""))),"PENDING",IF(COUNTIF(AD44:AH44,"HIGH")=5,"INCLUDE","PENDING"))))</x:f>
        <x:v>INCLUDE</x:v>
      </x:c>
      <x:c r="F44" s="751" t="str">
        <x:v>SUCCESS</x:v>
      </x:c>
      <x:c r="G44" s="755" t="n">
        <x:v>46262.53100694445</x:v>
      </x:c>
      <x:c r="H44" s="755" t="n">
        <x:v>46262.53100694445</x:v>
      </x:c>
      <x:c r="I44" s="751" t="str">
        <x:v>INITIAL</x:v>
      </x:c>
      <x:c r="J44" s="751" t="str">
        <x:v>AUTO</x:v>
      </x:c>
      <x:c r="K44" s="757" t="n">
        <x:f>IF(A44="","",IF(J44="AUTO",H44,IF(J44="MANUAL",AK44,"")))</x:f>
        <x:v>46262.53100694445</x:v>
      </x:c>
      <x:c r="L44" s="751" t="str">
        <x:v>NONE</x:v>
      </x:c>
      <x:c r="M44" s="751"/>
      <x:c r="N44" s="751" t="str">
        <x:f>IF(OR(AM44&lt;&gt;"CURRENT",E44="EXCLUDE"),"NO",IF(A44="","",IF(OR(F44="FAIL",F44="PAYWALL_BLOCKED"),IF(AND(AK44&lt;&gt;"",AK44&gt;=INT(G44),D44="STORED",J44="MANUAL",AL44&lt;&gt;""),"NO","YES"),IF(AND(AR44="ROLLING",I44="CHANGED"),IF(AND(AK44&lt;&gt;"",AK44&gt;=INT(IF(H44&lt;&gt;"",H44,G44)),AL44&lt;&gt;""),"NO","YES"),"NO"))))</x:f>
        <x:v>NO</x:v>
      </x:c>
      <x:c r="O44" s="751" t="str">
        <x:v>0c5693b8397db63986f66ac880a8fae1ba72a0f02771de366f103d3ee196e2e8</x:v>
      </x:c>
      <x:c r="P44" s="752" t="str">
        <x:v>Animal Disease Control Regulation</x:v>
      </x:c>
      <x:c r="Q44" s="752" t="str">
        <x:v>https://lovdata.no/dokument/SF/forskrift/2022-04-06-634</x:v>
      </x:c>
      <x:c r="R44" s="752" t="str">
        <x:v>https://lovdata.no/dokument/SF/forskrift/2022-04-06-634</x:v>
      </x:c>
      <x:c r="S44" s="752" t="str">
        <x:v>A_Public_Authority</x:v>
      </x:c>
      <x:c r="T44" s="752" t="str">
        <x:v>html</x:v>
      </x:c>
      <x:c r="U44" s="752" t="str">
        <x:v>Norwegian Ministry of Agriculture and Food</x:v>
      </x:c>
      <x:c r="V44" s="752" t="str">
        <x:v>Norway</x:v>
      </x:c>
      <x:c r="W44" s="752" t="str">
        <x:v>Norwegian</x:v>
      </x:c>
      <x:c r="X44" s="752"/>
      <x:c r="Y44" s="752"/>
      <x:c r="Z44" s="752" t="str">
        <x:v>Public authority</x:v>
      </x:c>
      <x:c r="AA44" s="752" t="str">
        <x:v>Regulation</x:v>
      </x:c>
      <x:c r="AB44" s="752" t="str">
        <x:v>Primary normative</x:v>
      </x:c>
      <x:c r="AC44" s="752" t="str">
        <x:v>Official regulation issued by Norwegian Ministry of Agriculture and Food; included because it may impose binding requirements on an in-scope aquaculture asset, activity, permit or certification.</x:v>
      </x:c>
      <x:c r="AD44" s="752" t="str">
        <x:v>HIGH</x:v>
      </x:c>
      <x:c r="AE44" s="752" t="str">
        <x:v>HIGH</x:v>
      </x:c>
      <x:c r="AF44" s="752" t="str">
        <x:v>HIGH</x:v>
      </x:c>
      <x:c r="AG44" s="752" t="str">
        <x:v>HIGH</x:v>
      </x:c>
      <x:c r="AH44" s="752" t="str">
        <x:v>HIGH</x:v>
      </x:c>
      <x:c r="AI44" s="752" t="str">
        <x:v>HIGH</x:v>
      </x:c>
      <x:c r="AJ44" s="752" t="str">
        <x:v>INCLUDE</x:v>
      </x:c>
      <x:c r="AK44" s="759"/>
      <x:c r="AL44" s="752"/>
      <x:c r="AM44" s="752" t="str">
        <x:v>CURRENT</x:v>
      </x:c>
      <x:c r="AN44" s="752" t="str">
        <x:v>PA010</x:v>
      </x:c>
      <x:c r="AO44" s="752" t="str">
        <x:v>Official Norwegian implementation package for disease control. Requirements are condition-dependent and may be triggered by disease status.</x:v>
      </x:c>
      <x:c r="AP44" s="752" t="str">
        <x:v>OFFICIAL_WEBSITE</x:v>
      </x:c>
      <x:c r="AQ44" s="752" t="str">
        <x:v>OFFICIAL_ORIGINAL</x:v>
      </x:c>
      <x:c r="AR44" s="752" t="str">
        <x:v>ROLLING</x:v>
      </x:c>
      <x:c r="AS44" s="752"/>
    </x:row>
    <x:row r="45" s="36" customFormat="1" ht="30" customHeight="1">
      <x:c r="A45" s="751" t="str">
        <x:v>PA043</x:v>
      </x:c>
      <x:c r="B45" s="751" t="str">
        <x:v>PA043-001</x:v>
      </x:c>
      <x:c r="C45" s="751" t="str">
        <x:v>PA043-001_Mattilsynet_guidance_on_biosafety_plans_in_aquaculture_facilities.html</x:v>
      </x:c>
      <x:c r="D45" s="751" t="str">
        <x:v>STORED</x:v>
      </x:c>
      <x:c r="E45" s="751" t="str">
        <x:f>IF(A45="","",IF(OR(AJ45="EXCLUDE",COUNTIF(AD45:AH45,"LOW")&gt;0),"EXCLUDE",IF(OR(AJ45&lt;&gt;"INCLUDE",F45&lt;&gt;"SUCCESS",D45&lt;&gt;"STORED",U45="",AP45="",AQ45="",AQ45="UNVERIFIED",AND(AP45="OFFICIAL_WEBSITE",Q45=""),AND(OR(AA45="Equipment manual / OEM instruction",AB45="Asset-specific normative"),OR(Z45&lt;&gt;"Manufacturer / supplier",AS45="",AC45=""))),"PENDING",IF(COUNTIF(AD45:AH45,"HIGH")=5,"INCLUDE","PENDING"))))</x:f>
        <x:v>INCLUDE</x:v>
      </x:c>
      <x:c r="F45" s="751" t="str">
        <x:v>SUCCESS</x:v>
      </x:c>
      <x:c r="G45" s="755" t="n">
        <x:v>46262.53100694445</x:v>
      </x:c>
      <x:c r="H45" s="755" t="n">
        <x:v>46262.53104166667</x:v>
      </x:c>
      <x:c r="I45" s="751" t="str">
        <x:v>INITIAL</x:v>
      </x:c>
      <x:c r="J45" s="751" t="str">
        <x:v>AUTO</x:v>
      </x:c>
      <x:c r="K45" s="757" t="n">
        <x:f>IF(A45="","",IF(J45="AUTO",H45,IF(J45="MANUAL",AK45,"")))</x:f>
        <x:v>46262.53104166667</x:v>
      </x:c>
      <x:c r="L45" s="751" t="str">
        <x:v>NONE</x:v>
      </x:c>
      <x:c r="M45" s="751"/>
      <x:c r="N45" s="751" t="str">
        <x:f>IF(OR(AM45&lt;&gt;"CURRENT",E45="EXCLUDE"),"NO",IF(A45="","",IF(OR(F45="FAIL",F45="PAYWALL_BLOCKED"),IF(AND(AK45&lt;&gt;"",AK45&gt;=INT(G45),D45="STORED",J45="MANUAL",AL45&lt;&gt;""),"NO","YES"),IF(AND(AR45="ROLLING",I45="CHANGED"),IF(AND(AK45&lt;&gt;"",AK45&gt;=INT(IF(H45&lt;&gt;"",H45,G45)),AL45&lt;&gt;""),"NO","YES"),"NO"))))</x:f>
        <x:v>NO</x:v>
      </x:c>
      <x:c r="O45" s="751" t="str">
        <x:v>56101f0aa402aaec3c59774403a0047534b1c05a5cd4541a00e64f5fb52970ad</x:v>
      </x:c>
      <x:c r="P45" s="752" t="str">
        <x:v>Mattilsynet guidance on biosafety plans in aquaculture facilities</x:v>
      </x:c>
      <x:c r="Q45" s="752" t="str">
        <x:v>https://mattilsynet.no/fisk-og-akvakultur/biosikkerhetsplan-i-akvakulturanlegg</x:v>
      </x:c>
      <x:c r="R45" s="752" t="str">
        <x:v>https://mattilsynet.no/fisk-og-akvakultur/biosikkerhetsplan-i-akvakulturanlegg</x:v>
      </x:c>
      <x:c r="S45" s="752" t="str">
        <x:v>A_Public_Authority</x:v>
      </x:c>
      <x:c r="T45" s="752" t="str">
        <x:v>html</x:v>
      </x:c>
      <x:c r="U45" s="752" t="str">
        <x:v>Norwegian Food Safety Authority</x:v>
      </x:c>
      <x:c r="V45" s="752" t="str">
        <x:v>Norway</x:v>
      </x:c>
      <x:c r="W45" s="752" t="str">
        <x:v>Norwegian</x:v>
      </x:c>
      <x:c r="X45" s="752"/>
      <x:c r="Y45" s="752"/>
      <x:c r="Z45" s="752" t="str">
        <x:v>Public authority</x:v>
      </x:c>
      <x:c r="AA45" s="752" t="str">
        <x:v>Interpretation document</x:v>
      </x:c>
      <x:c r="AB45" s="752" t="str">
        <x:v>Guidance / interpretation</x:v>
      </x:c>
      <x:c r="AC45" s="752" t="str">
        <x:v>Official guidance from Norwegian Food Safety Authority; included to interpret and operationalise linked normative requirements, not as independent legal or certification authority.</x:v>
      </x:c>
      <x:c r="AD45" s="752" t="str">
        <x:v>HIGH</x:v>
      </x:c>
      <x:c r="AE45" s="752" t="str">
        <x:v>HIGH</x:v>
      </x:c>
      <x:c r="AF45" s="752" t="str">
        <x:v>HIGH</x:v>
      </x:c>
      <x:c r="AG45" s="752" t="str">
        <x:v>HIGH</x:v>
      </x:c>
      <x:c r="AH45" s="752" t="str">
        <x:v>HIGH</x:v>
      </x:c>
      <x:c r="AI45" s="752" t="str">
        <x:v>HIGH</x:v>
      </x:c>
      <x:c r="AJ45" s="752" t="str">
        <x:v>INCLUDE</x:v>
      </x:c>
      <x:c r="AK45" s="759"/>
      <x:c r="AL45" s="752"/>
      <x:c r="AM45" s="752" t="str">
        <x:v>CURRENT</x:v>
      </x:c>
      <x:c r="AN45" s="752" t="str">
        <x:v>PA040</x:v>
      </x:c>
      <x:c r="AO45" s="752" t="str">
        <x:v>Official guidance connecting the animal-health implementation package to a practical biosafety plan. It does not replace PA039 to PA042.</x:v>
      </x:c>
      <x:c r="AP45" s="752" t="str">
        <x:v>OFFICIAL_WEBSITE</x:v>
      </x:c>
      <x:c r="AQ45" s="752" t="str">
        <x:v>OFFICIAL_ORIGINAL</x:v>
      </x:c>
      <x:c r="AR45" s="752" t="str">
        <x:v>ROLLING</x:v>
      </x:c>
      <x:c r="AS45" s="752"/>
    </x:row>
    <x:row r="46" s="36" customFormat="1" ht="30" customHeight="1">
      <x:c r="A46" s="751" t="str">
        <x:v>PA044</x:v>
      </x:c>
      <x:c r="B46" s="751" t="str">
        <x:v>PA044-001</x:v>
      </x:c>
      <x:c r="C46" s="751" t="str">
        <x:v>PA044-001_Pollution_Regulations_including_Chapter_34_on_pollution_from_aquaculture.html</x:v>
      </x:c>
      <x:c r="D46" s="751" t="str">
        <x:v>STORED</x:v>
      </x:c>
      <x:c r="E46" s="751" t="str">
        <x:f>IF(A46="","",IF(OR(AJ46="EXCLUDE",COUNTIF(AD46:AH46,"LOW")&gt;0),"EXCLUDE",IF(OR(AJ46&lt;&gt;"INCLUDE",F46&lt;&gt;"SUCCESS",D46&lt;&gt;"STORED",U46="",AP46="",AQ46="",AQ46="UNVERIFIED",AND(AP46="OFFICIAL_WEBSITE",Q46=""),AND(OR(AA46="Equipment manual / OEM instruction",AB46="Asset-specific normative"),OR(Z46&lt;&gt;"Manufacturer / supplier",AS46="",AC46=""))),"PENDING",IF(COUNTIF(AD46:AH46,"HIGH")=5,"INCLUDE","PENDING"))))</x:f>
        <x:v>INCLUDE</x:v>
      </x:c>
      <x:c r="F46" s="751" t="str">
        <x:v>SUCCESS</x:v>
      </x:c>
      <x:c r="G46" s="755" t="n">
        <x:v>46262.53104166667</x:v>
      </x:c>
      <x:c r="H46" s="755" t="n">
        <x:v>46262.53104166667</x:v>
      </x:c>
      <x:c r="I46" s="751" t="str">
        <x:v>INITIAL</x:v>
      </x:c>
      <x:c r="J46" s="751" t="str">
        <x:v>AUTO</x:v>
      </x:c>
      <x:c r="K46" s="757" t="n">
        <x:f>IF(A46="","",IF(J46="AUTO",H46,IF(J46="MANUAL",AK46,"")))</x:f>
        <x:v>46262.53104166667</x:v>
      </x:c>
      <x:c r="L46" s="751" t="str">
        <x:v>NONE</x:v>
      </x:c>
      <x:c r="M46" s="751"/>
      <x:c r="N46" s="751" t="str">
        <x:f>IF(OR(AM46&lt;&gt;"CURRENT",E46="EXCLUDE"),"NO",IF(A46="","",IF(OR(F46="FAIL",F46="PAYWALL_BLOCKED"),IF(AND(AK46&lt;&gt;"",AK46&gt;=INT(G46),D46="STORED",J46="MANUAL",AL46&lt;&gt;""),"NO","YES"),IF(AND(AR46="ROLLING",I46="CHANGED"),IF(AND(AK46&lt;&gt;"",AK46&gt;=INT(IF(H46&lt;&gt;"",H46,G46)),AL46&lt;&gt;""),"NO","YES"),"NO"))))</x:f>
        <x:v>NO</x:v>
      </x:c>
      <x:c r="O46" s="751" t="str">
        <x:v>64436e3a3f3ade668fd3eaa53ce867914caf1d3a2f972c3bfd8d034b37641848</x:v>
      </x:c>
      <x:c r="P46" s="752" t="str">
        <x:v>Pollution Regulations, including Chapter 34 on pollution from aquaculture</x:v>
      </x:c>
      <x:c r="Q46" s="752" t="str">
        <x:v>https://lovdata.no/dokument/SF/forskrift/2004-06-01-931</x:v>
      </x:c>
      <x:c r="R46" s="752" t="str">
        <x:v>https://lovdata.no/dokument/SF/forskrift/2004-06-01-931</x:v>
      </x:c>
      <x:c r="S46" s="752" t="str">
        <x:v>A_Public_Authority</x:v>
      </x:c>
      <x:c r="T46" s="752" t="str">
        <x:v>html</x:v>
      </x:c>
      <x:c r="U46" s="752" t="str">
        <x:v>Norwegian Ministry of Climate and Environment</x:v>
      </x:c>
      <x:c r="V46" s="752" t="str">
        <x:v>Norway</x:v>
      </x:c>
      <x:c r="W46" s="752" t="str">
        <x:v>Norwegian</x:v>
      </x:c>
      <x:c r="X46" s="752"/>
      <x:c r="Y46" s="752"/>
      <x:c r="Z46" s="752" t="str">
        <x:v>Public authority</x:v>
      </x:c>
      <x:c r="AA46" s="752" t="str">
        <x:v>Regulation</x:v>
      </x:c>
      <x:c r="AB46" s="752" t="str">
        <x:v>Primary normative</x:v>
      </x:c>
      <x:c r="AC46" s="752" t="str">
        <x:v>Official regulation issued by Norwegian Ministry of Climate and Environment; included because it may impose binding requirements on an in-scope aquaculture asset, activity, permit or certification.</x:v>
      </x:c>
      <x:c r="AD46" s="752" t="str">
        <x:v>HIGH</x:v>
      </x:c>
      <x:c r="AE46" s="752" t="str">
        <x:v>HIGH</x:v>
      </x:c>
      <x:c r="AF46" s="752" t="str">
        <x:v>HIGH</x:v>
      </x:c>
      <x:c r="AG46" s="752" t="str">
        <x:v>HIGH</x:v>
      </x:c>
      <x:c r="AH46" s="752" t="str">
        <x:v>HIGH</x:v>
      </x:c>
      <x:c r="AI46" s="752" t="str">
        <x:v>HIGH</x:v>
      </x:c>
      <x:c r="AJ46" s="752" t="str">
        <x:v>INCLUDE</x:v>
      </x:c>
      <x:c r="AK46" s="759"/>
      <x:c r="AL46" s="752"/>
      <x:c r="AM46" s="752" t="str">
        <x:v>CURRENT</x:v>
      </x:c>
      <x:c r="AN46" s="752" t="str">
        <x:v>PA007</x:v>
      </x:c>
      <x:c r="AO46" s="752" t="str">
        <x:v>Official environmental coverage expansion. Chapter-level and permit-specific applicability must be confirmed.</x:v>
      </x:c>
      <x:c r="AP46" s="752" t="str">
        <x:v>OFFICIAL_WEBSITE</x:v>
      </x:c>
      <x:c r="AQ46" s="752" t="str">
        <x:v>OFFICIAL_ORIGINAL</x:v>
      </x:c>
      <x:c r="AR46" s="752" t="str">
        <x:v>ROLLING</x:v>
      </x:c>
      <x:c r="AS46" s="752"/>
    </x:row>
    <x:row r="47" s="36" customFormat="1" ht="30" customHeight="1">
      <x:c r="A47" s="751" t="str">
        <x:v>PA045</x:v>
      </x:c>
      <x:c r="B47" s="751" t="str">
        <x:v>PA045-001</x:v>
      </x:c>
      <x:c r="C47" s="751" t="str">
        <x:v>PA045-001_Regulations_concerning_organisation_management_and_employee_participation.html</x:v>
      </x:c>
      <x:c r="D47" s="751" t="str">
        <x:v>STORED</x:v>
      </x:c>
      <x:c r="E47" s="751" t="str">
        <x:f>IF(A47="","",IF(OR(AJ47="EXCLUDE",COUNTIF(AD47:AH47,"LOW")&gt;0),"EXCLUDE",IF(OR(AJ47&lt;&gt;"INCLUDE",F47&lt;&gt;"SUCCESS",D47&lt;&gt;"STORED",U47="",AP47="",AQ47="",AQ47="UNVERIFIED",AND(AP47="OFFICIAL_WEBSITE",Q47=""),AND(OR(AA47="Equipment manual / OEM instruction",AB47="Asset-specific normative"),OR(Z47&lt;&gt;"Manufacturer / supplier",AS47="",AC47=""))),"PENDING",IF(COUNTIF(AD47:AH47,"HIGH")=5,"INCLUDE","PENDING"))))</x:f>
        <x:v>INCLUDE</x:v>
      </x:c>
      <x:c r="F47" s="751" t="str">
        <x:v>SUCCESS</x:v>
      </x:c>
      <x:c r="G47" s="755" t="n">
        <x:v>46262.53104166667</x:v>
      </x:c>
      <x:c r="H47" s="755" t="n">
        <x:v>46262.53104166667</x:v>
      </x:c>
      <x:c r="I47" s="751" t="str">
        <x:v>INITIAL</x:v>
      </x:c>
      <x:c r="J47" s="751" t="str">
        <x:v>AUTO</x:v>
      </x:c>
      <x:c r="K47" s="757" t="n">
        <x:f>IF(A47="","",IF(J47="AUTO",H47,IF(J47="MANUAL",AK47,"")))</x:f>
        <x:v>46262.53104166667</x:v>
      </x:c>
      <x:c r="L47" s="751" t="str">
        <x:v>NONE</x:v>
      </x:c>
      <x:c r="M47" s="751"/>
      <x:c r="N47" s="751" t="str">
        <x:f>IF(OR(AM47&lt;&gt;"CURRENT",E47="EXCLUDE"),"NO",IF(A47="","",IF(OR(F47="FAIL",F47="PAYWALL_BLOCKED"),IF(AND(AK47&lt;&gt;"",AK47&gt;=INT(G47),D47="STORED",J47="MANUAL",AL47&lt;&gt;""),"NO","YES"),IF(AND(AR47="ROLLING",I47="CHANGED"),IF(AND(AK47&lt;&gt;"",AK47&gt;=INT(IF(H47&lt;&gt;"",H47,G47)),AL47&lt;&gt;""),"NO","YES"),"NO"))))</x:f>
        <x:v>NO</x:v>
      </x:c>
      <x:c r="O47" s="751" t="str">
        <x:v>e43d868a759780431d3e95d2b6e6910c66ca52fe42f12adc15e0380a3a81e1e2</x:v>
      </x:c>
      <x:c r="P47" s="752" t="str">
        <x:v>Regulations concerning organisation, management and employee participation</x:v>
      </x:c>
      <x:c r="Q47" s="752" t="str">
        <x:v>https://lovdata.no/dokument/SF/forskrift/2011-12-06-1355</x:v>
      </x:c>
      <x:c r="R47" s="752" t="str">
        <x:v>https://lovdata.no/dokument/SF/forskrift/2011-12-06-1355</x:v>
      </x:c>
      <x:c r="S47" s="752" t="str">
        <x:v>A_Public_Authority</x:v>
      </x:c>
      <x:c r="T47" s="752" t="str">
        <x:v>html</x:v>
      </x:c>
      <x:c r="U47" s="752" t="str">
        <x:v>Norwegian Ministry of Labour and Social Inclusion</x:v>
      </x:c>
      <x:c r="V47" s="752" t="str">
        <x:v>Norway</x:v>
      </x:c>
      <x:c r="W47" s="752" t="str">
        <x:v>Norwegian</x:v>
      </x:c>
      <x:c r="X47" s="752"/>
      <x:c r="Y47" s="752"/>
      <x:c r="Z47" s="752" t="str">
        <x:v>Public authority</x:v>
      </x:c>
      <x:c r="AA47" s="752" t="str">
        <x:v>Regulation</x:v>
      </x:c>
      <x:c r="AB47" s="752" t="str">
        <x:v>Primary normative</x:v>
      </x:c>
      <x:c r="AC47" s="752" t="str">
        <x:v>Official regulation issued by Norwegian Ministry of Labour and Social Inclusion; included because it may impose binding requirements on an in-scope aquaculture asset, activity, permit or certification.</x:v>
      </x:c>
      <x:c r="AD47" s="752" t="str">
        <x:v>HIGH</x:v>
      </x:c>
      <x:c r="AE47" s="752" t="str">
        <x:v>HIGH</x:v>
      </x:c>
      <x:c r="AF47" s="752" t="str">
        <x:v>HIGH</x:v>
      </x:c>
      <x:c r="AG47" s="752" t="str">
        <x:v>HIGH</x:v>
      </x:c>
      <x:c r="AH47" s="752" t="str">
        <x:v>HIGH</x:v>
      </x:c>
      <x:c r="AI47" s="752" t="str">
        <x:v>HIGH</x:v>
      </x:c>
      <x:c r="AJ47" s="752" t="str">
        <x:v>INCLUDE</x:v>
      </x:c>
      <x:c r="AK47" s="759"/>
      <x:c r="AL47" s="752"/>
      <x:c r="AM47" s="752" t="str">
        <x:v>CURRENT</x:v>
      </x:c>
      <x:c r="AN47" s="752" t="str">
        <x:v>PA011</x:v>
      </x:c>
      <x:c r="AO47" s="752" t="str">
        <x:v>Official HSE framework expansion. Applies according to work organisation, competence and participation arrangements.</x:v>
      </x:c>
      <x:c r="AP47" s="752" t="str">
        <x:v>OFFICIAL_WEBSITE</x:v>
      </x:c>
      <x:c r="AQ47" s="752" t="str">
        <x:v>OFFICIAL_ORIGINAL</x:v>
      </x:c>
      <x:c r="AR47" s="752" t="str">
        <x:v>ROLLING</x:v>
      </x:c>
      <x:c r="AS47" s="752"/>
    </x:row>
    <x:row r="48" s="36" customFormat="1" ht="30" customHeight="1">
      <x:c r="A48" s="751" t="str">
        <x:v>PA046</x:v>
      </x:c>
      <x:c r="B48" s="751" t="str">
        <x:v>PA046-001</x:v>
      </x:c>
      <x:c r="C48" s="751" t="str">
        <x:v>PA046-001_Workplace_Regulations.html</x:v>
      </x:c>
      <x:c r="D48" s="751" t="str">
        <x:v>STORED</x:v>
      </x:c>
      <x:c r="E48" s="751" t="str">
        <x:f>IF(A48="","",IF(OR(AJ48="EXCLUDE",COUNTIF(AD48:AH48,"LOW")&gt;0),"EXCLUDE",IF(OR(AJ48&lt;&gt;"INCLUDE",F48&lt;&gt;"SUCCESS",D48&lt;&gt;"STORED",U48="",AP48="",AQ48="",AQ48="UNVERIFIED",AND(AP48="OFFICIAL_WEBSITE",Q48=""),AND(OR(AA48="Equipment manual / OEM instruction",AB48="Asset-specific normative"),OR(Z48&lt;&gt;"Manufacturer / supplier",AS48="",AC48=""))),"PENDING",IF(COUNTIF(AD48:AH48,"HIGH")=5,"INCLUDE","PENDING"))))</x:f>
        <x:v>INCLUDE</x:v>
      </x:c>
      <x:c r="F48" s="751" t="str">
        <x:v>SUCCESS</x:v>
      </x:c>
      <x:c r="G48" s="755" t="n">
        <x:v>46262.53104166667</x:v>
      </x:c>
      <x:c r="H48" s="755" t="n">
        <x:v>46262.53105324074</x:v>
      </x:c>
      <x:c r="I48" s="751" t="str">
        <x:v>INITIAL</x:v>
      </x:c>
      <x:c r="J48" s="751" t="str">
        <x:v>AUTO</x:v>
      </x:c>
      <x:c r="K48" s="757" t="n">
        <x:f>IF(A48="","",IF(J48="AUTO",H48,IF(J48="MANUAL",AK48,"")))</x:f>
        <x:v>46262.53105324074</x:v>
      </x:c>
      <x:c r="L48" s="751" t="str">
        <x:v>NONE</x:v>
      </x:c>
      <x:c r="M48" s="751"/>
      <x:c r="N48" s="751" t="str">
        <x:f>IF(OR(AM48&lt;&gt;"CURRENT",E48="EXCLUDE"),"NO",IF(A48="","",IF(OR(F48="FAIL",F48="PAYWALL_BLOCKED"),IF(AND(AK48&lt;&gt;"",AK48&gt;=INT(G48),D48="STORED",J48="MANUAL",AL48&lt;&gt;""),"NO","YES"),IF(AND(AR48="ROLLING",I48="CHANGED"),IF(AND(AK48&lt;&gt;"",AK48&gt;=INT(IF(H48&lt;&gt;"",H48,G48)),AL48&lt;&gt;""),"NO","YES"),"NO"))))</x:f>
        <x:v>NO</x:v>
      </x:c>
      <x:c r="O48" s="751" t="str">
        <x:v>3f3b6a9810b38e87332d03d59568a8724e83682d4ab914996dbf9b4d160dd951</x:v>
      </x:c>
      <x:c r="P48" s="752" t="str">
        <x:v>Workplace Regulations</x:v>
      </x:c>
      <x:c r="Q48" s="752" t="str">
        <x:v>https://lovdata.no/dokument/SF/forskrift/2011-12-06-1356</x:v>
      </x:c>
      <x:c r="R48" s="752" t="str">
        <x:v>https://lovdata.no/dokument/SF/forskrift/2011-12-06-1356</x:v>
      </x:c>
      <x:c r="S48" s="752" t="str">
        <x:v>A_Public_Authority</x:v>
      </x:c>
      <x:c r="T48" s="752" t="str">
        <x:v>html</x:v>
      </x:c>
      <x:c r="U48" s="752" t="str">
        <x:v>Norwegian Ministry of Labour and Social Inclusion</x:v>
      </x:c>
      <x:c r="V48" s="752" t="str">
        <x:v>Norway</x:v>
      </x:c>
      <x:c r="W48" s="752" t="str">
        <x:v>Norwegian</x:v>
      </x:c>
      <x:c r="X48" s="752"/>
      <x:c r="Y48" s="752"/>
      <x:c r="Z48" s="752" t="str">
        <x:v>Public authority</x:v>
      </x:c>
      <x:c r="AA48" s="752" t="str">
        <x:v>Regulation</x:v>
      </x:c>
      <x:c r="AB48" s="752" t="str">
        <x:v>Primary normative</x:v>
      </x:c>
      <x:c r="AC48" s="752" t="str">
        <x:v>Official regulation issued by Norwegian Ministry of Labour and Social Inclusion; included because it may impose binding requirements on an in-scope aquaculture asset, activity, permit or certification.</x:v>
      </x:c>
      <x:c r="AD48" s="752" t="str">
        <x:v>HIGH</x:v>
      </x:c>
      <x:c r="AE48" s="752" t="str">
        <x:v>HIGH</x:v>
      </x:c>
      <x:c r="AF48" s="752" t="str">
        <x:v>HIGH</x:v>
      </x:c>
      <x:c r="AG48" s="752" t="str">
        <x:v>HIGH</x:v>
      </x:c>
      <x:c r="AH48" s="752" t="str">
        <x:v>HIGH</x:v>
      </x:c>
      <x:c r="AI48" s="752" t="str">
        <x:v>HIGH</x:v>
      </x:c>
      <x:c r="AJ48" s="752" t="str">
        <x:v>INCLUDE</x:v>
      </x:c>
      <x:c r="AK48" s="759"/>
      <x:c r="AL48" s="752"/>
      <x:c r="AM48" s="752" t="str">
        <x:v>CURRENT</x:v>
      </x:c>
      <x:c r="AN48" s="752" t="str">
        <x:v>PA011</x:v>
      </x:c>
      <x:c r="AO48" s="752" t="str">
        <x:v>Official HSE framework expansion. Site and facility applicability must be mapped to actual workplaces.</x:v>
      </x:c>
      <x:c r="AP48" s="752" t="str">
        <x:v>OFFICIAL_WEBSITE</x:v>
      </x:c>
      <x:c r="AQ48" s="752" t="str">
        <x:v>OFFICIAL_ORIGINAL</x:v>
      </x:c>
      <x:c r="AR48" s="752" t="str">
        <x:v>ROLLING</x:v>
      </x:c>
      <x:c r="AS48" s="752"/>
    </x:row>
    <x:row r="49" s="36" customFormat="1" ht="30" customHeight="1">
      <x:c r="A49" s="751" t="str">
        <x:v>PA047</x:v>
      </x:c>
      <x:c r="B49" s="751" t="str">
        <x:v>PA047-001</x:v>
      </x:c>
      <x:c r="C49" s="751" t="str">
        <x:v>PA047-001_Regulations_concerning_action_and_limit_values.html</x:v>
      </x:c>
      <x:c r="D49" s="751" t="str">
        <x:v>STORED</x:v>
      </x:c>
      <x:c r="E49" s="751" t="str">
        <x:f>IF(A49="","",IF(OR(AJ49="EXCLUDE",COUNTIF(AD49:AH49,"LOW")&gt;0),"EXCLUDE",IF(OR(AJ49&lt;&gt;"INCLUDE",F49&lt;&gt;"SUCCESS",D49&lt;&gt;"STORED",U49="",AP49="",AQ49="",AQ49="UNVERIFIED",AND(AP49="OFFICIAL_WEBSITE",Q49=""),AND(OR(AA49="Equipment manual / OEM instruction",AB49="Asset-specific normative"),OR(Z49&lt;&gt;"Manufacturer / supplier",AS49="",AC49=""))),"PENDING",IF(COUNTIF(AD49:AH49,"HIGH")=5,"INCLUDE","PENDING"))))</x:f>
        <x:v>INCLUDE</x:v>
      </x:c>
      <x:c r="F49" s="751" t="str">
        <x:v>SUCCESS</x:v>
      </x:c>
      <x:c r="G49" s="755" t="n">
        <x:v>46262.53105324074</x:v>
      </x:c>
      <x:c r="H49" s="755" t="n">
        <x:v>46262.53105324074</x:v>
      </x:c>
      <x:c r="I49" s="751" t="str">
        <x:v>INITIAL</x:v>
      </x:c>
      <x:c r="J49" s="751" t="str">
        <x:v>AUTO</x:v>
      </x:c>
      <x:c r="K49" s="757" t="n">
        <x:f>IF(A49="","",IF(J49="AUTO",H49,IF(J49="MANUAL",AK49,"")))</x:f>
        <x:v>46262.53105324074</x:v>
      </x:c>
      <x:c r="L49" s="751" t="str">
        <x:v>NONE</x:v>
      </x:c>
      <x:c r="M49" s="751"/>
      <x:c r="N49" s="751" t="str">
        <x:f>IF(OR(AM49&lt;&gt;"CURRENT",E49="EXCLUDE"),"NO",IF(A49="","",IF(OR(F49="FAIL",F49="PAYWALL_BLOCKED"),IF(AND(AK49&lt;&gt;"",AK49&gt;=INT(G49),D49="STORED",J49="MANUAL",AL49&lt;&gt;""),"NO","YES"),IF(AND(AR49="ROLLING",I49="CHANGED"),IF(AND(AK49&lt;&gt;"",AK49&gt;=INT(IF(H49&lt;&gt;"",H49,G49)),AL49&lt;&gt;""),"NO","YES"),"NO"))))</x:f>
        <x:v>NO</x:v>
      </x:c>
      <x:c r="O49" s="751" t="str">
        <x:v>c30790d1b5cdb2e3fc192d1e2141a7996f5e3a3d42983671189edd232c7cbd14</x:v>
      </x:c>
      <x:c r="P49" s="752" t="str">
        <x:v>Regulations concerning action and limit values</x:v>
      </x:c>
      <x:c r="Q49" s="752" t="str">
        <x:v>https://lovdata.no/dokument/SF/forskrift/2011-12-06-1358</x:v>
      </x:c>
      <x:c r="R49" s="752" t="str">
        <x:v>https://lovdata.no/dokument/SF/forskrift/2011-12-06-1358</x:v>
      </x:c>
      <x:c r="S49" s="752" t="str">
        <x:v>A_Public_Authority</x:v>
      </x:c>
      <x:c r="T49" s="752" t="str">
        <x:v>html</x:v>
      </x:c>
      <x:c r="U49" s="752" t="str">
        <x:v>Norwegian Ministry of Labour and Social Inclusion</x:v>
      </x:c>
      <x:c r="V49" s="752" t="str">
        <x:v>Norway</x:v>
      </x:c>
      <x:c r="W49" s="752" t="str">
        <x:v>Norwegian</x:v>
      </x:c>
      <x:c r="X49" s="752"/>
      <x:c r="Y49" s="752"/>
      <x:c r="Z49" s="752" t="str">
        <x:v>Public authority</x:v>
      </x:c>
      <x:c r="AA49" s="752" t="str">
        <x:v>Regulation</x:v>
      </x:c>
      <x:c r="AB49" s="752" t="str">
        <x:v>Primary normative</x:v>
      </x:c>
      <x:c r="AC49" s="752" t="str">
        <x:v>Official regulation issued by Norwegian Ministry of Labour and Social Inclusion; included because it may impose binding requirements on an in-scope aquaculture asset, activity, permit or certification.</x:v>
      </x:c>
      <x:c r="AD49" s="752" t="str">
        <x:v>HIGH</x:v>
      </x:c>
      <x:c r="AE49" s="752" t="str">
        <x:v>HIGH</x:v>
      </x:c>
      <x:c r="AF49" s="752" t="str">
        <x:v>HIGH</x:v>
      </x:c>
      <x:c r="AG49" s="752" t="str">
        <x:v>HIGH</x:v>
      </x:c>
      <x:c r="AH49" s="752" t="str">
        <x:v>HIGH</x:v>
      </x:c>
      <x:c r="AI49" s="752" t="str">
        <x:v>HIGH</x:v>
      </x:c>
      <x:c r="AJ49" s="752" t="str">
        <x:v>INCLUDE</x:v>
      </x:c>
      <x:c r="AK49" s="759"/>
      <x:c r="AL49" s="752"/>
      <x:c r="AM49" s="752" t="str">
        <x:v>CURRENT</x:v>
      </x:c>
      <x:c r="AN49" s="752" t="str">
        <x:v>PA011</x:v>
      </x:c>
      <x:c r="AO49" s="752" t="str">
        <x:v>Official HSE framework expansion. Include applicable exposure limits after activity and hazard mapping.</x:v>
      </x:c>
      <x:c r="AP49" s="752" t="str">
        <x:v>OFFICIAL_WEBSITE</x:v>
      </x:c>
      <x:c r="AQ49" s="752" t="str">
        <x:v>OFFICIAL_ORIGINAL</x:v>
      </x:c>
      <x:c r="AR49" s="752" t="str">
        <x:v>ROLLING</x:v>
      </x:c>
      <x:c r="AS49" s="752"/>
    </x:row>
    <x:row r="50" s="36" customFormat="1" ht="30" customHeight="1">
      <x:c r="A50" s="751" t="str">
        <x:v>PA048</x:v>
      </x:c>
      <x:c r="B50" s="751" t="str">
        <x:v>PA048-001</x:v>
      </x:c>
      <x:c r="C50" s="751" t="str">
        <x:v>PA048-001_Regulations_concerning_administrative_arrangements_in_the_area_of_the_Working_Environment_Act.html</x:v>
      </x:c>
      <x:c r="D50" s="751" t="str">
        <x:v>STORED</x:v>
      </x:c>
      <x:c r="E50" s="751" t="str">
        <x:f>IF(A50="","",IF(OR(AJ50="EXCLUDE",COUNTIF(AD50:AH50,"LOW")&gt;0),"EXCLUDE",IF(OR(AJ50&lt;&gt;"INCLUDE",F50&lt;&gt;"SUCCESS",D50&lt;&gt;"STORED",U50="",AP50="",AQ50="",AQ50="UNVERIFIED",AND(AP50="OFFICIAL_WEBSITE",Q50=""),AND(OR(AA50="Equipment manual / OEM instruction",AB50="Asset-specific normative"),OR(Z50&lt;&gt;"Manufacturer / supplier",AS50="",AC50=""))),"PENDING",IF(COUNTIF(AD50:AH50,"HIGH")=5,"INCLUDE","PENDING"))))</x:f>
        <x:v>INCLUDE</x:v>
      </x:c>
      <x:c r="F50" s="751" t="str">
        <x:v>SUCCESS</x:v>
      </x:c>
      <x:c r="G50" s="755" t="n">
        <x:v>46262.53105324074</x:v>
      </x:c>
      <x:c r="H50" s="755" t="n">
        <x:v>46262.53105324074</x:v>
      </x:c>
      <x:c r="I50" s="751" t="str">
        <x:v>INITIAL</x:v>
      </x:c>
      <x:c r="J50" s="751" t="str">
        <x:v>AUTO</x:v>
      </x:c>
      <x:c r="K50" s="757" t="n">
        <x:f>IF(A50="","",IF(J50="AUTO",H50,IF(J50="MANUAL",AK50,"")))</x:f>
        <x:v>46262.53105324074</x:v>
      </x:c>
      <x:c r="L50" s="751" t="str">
        <x:v>NONE</x:v>
      </x:c>
      <x:c r="M50" s="751"/>
      <x:c r="N50" s="751" t="str">
        <x:f>IF(OR(AM50&lt;&gt;"CURRENT",E50="EXCLUDE"),"NO",IF(A50="","",IF(OR(F50="FAIL",F50="PAYWALL_BLOCKED"),IF(AND(AK50&lt;&gt;"",AK50&gt;=INT(G50),D50="STORED",J50="MANUAL",AL50&lt;&gt;""),"NO","YES"),IF(AND(AR50="ROLLING",I50="CHANGED"),IF(AND(AK50&lt;&gt;"",AK50&gt;=INT(IF(H50&lt;&gt;"",H50,G50)),AL50&lt;&gt;""),"NO","YES"),"NO"))))</x:f>
        <x:v>NO</x:v>
      </x:c>
      <x:c r="O50" s="751" t="str">
        <x:v>a1d40a88d0a41bd2a9b66a59e0f3e46a4769483174bae327b4ca5fc43e07b6be</x:v>
      </x:c>
      <x:c r="P50" s="752" t="str">
        <x:v>Regulations concerning administrative arrangements in the area of the Working Environment Act</x:v>
      </x:c>
      <x:c r="Q50" s="752" t="str">
        <x:v>https://lovdata.no/dokument/SF/forskrift/2011-12-06-1360</x:v>
      </x:c>
      <x:c r="R50" s="752" t="str">
        <x:v>https://lovdata.no/dokument/SF/forskrift/2011-12-06-1360</x:v>
      </x:c>
      <x:c r="S50" s="752" t="str">
        <x:v>A_Public_Authority</x:v>
      </x:c>
      <x:c r="T50" s="752" t="str">
        <x:v>html</x:v>
      </x:c>
      <x:c r="U50" s="752" t="str">
        <x:v>Norwegian Ministry of Labour and Social Inclusion</x:v>
      </x:c>
      <x:c r="V50" s="752" t="str">
        <x:v>Norway</x:v>
      </x:c>
      <x:c r="W50" s="752" t="str">
        <x:v>Norwegian</x:v>
      </x:c>
      <x:c r="X50" s="752"/>
      <x:c r="Y50" s="752"/>
      <x:c r="Z50" s="752" t="str">
        <x:v>Public authority</x:v>
      </x:c>
      <x:c r="AA50" s="752" t="str">
        <x:v>Regulation</x:v>
      </x:c>
      <x:c r="AB50" s="752" t="str">
        <x:v>Referenced normative</x:v>
      </x:c>
      <x:c r="AC50" s="752" t="str">
        <x:v>Official referenced source from Norwegian Ministry of Labour and Social Inclusion; included because an applicable law, permit or certification scheme may make its provisions binding within the approved scope.</x:v>
      </x:c>
      <x:c r="AD50" s="752" t="str">
        <x:v>HIGH</x:v>
      </x:c>
      <x:c r="AE50" s="752" t="str">
        <x:v>HIGH</x:v>
      </x:c>
      <x:c r="AF50" s="752" t="str">
        <x:v>HIGH</x:v>
      </x:c>
      <x:c r="AG50" s="752" t="str">
        <x:v>HIGH</x:v>
      </x:c>
      <x:c r="AH50" s="752" t="str">
        <x:v>HIGH</x:v>
      </x:c>
      <x:c r="AI50" s="752" t="str">
        <x:v>HIGH</x:v>
      </x:c>
      <x:c r="AJ50" s="752" t="str">
        <x:v>INCLUDE</x:v>
      </x:c>
      <x:c r="AK50" s="759"/>
      <x:c r="AL50" s="752"/>
      <x:c r="AM50" s="752" t="str">
        <x:v>CURRENT</x:v>
      </x:c>
      <x:c r="AN50" s="752" t="str">
        <x:v>PA011</x:v>
      </x:c>
      <x:c r="AO50" s="752" t="str">
        <x:v>Official HSE framework expansion. Relevant to designated roles, approvals and administrative arrangements.</x:v>
      </x:c>
      <x:c r="AP50" s="752" t="str">
        <x:v>OFFICIAL_WEBSITE</x:v>
      </x:c>
      <x:c r="AQ50" s="752" t="str">
        <x:v>OFFICIAL_ORIGINAL</x:v>
      </x:c>
      <x:c r="AR50" s="752" t="str">
        <x:v>ROLLING</x:v>
      </x:c>
      <x:c r="AS50" s="752"/>
    </x:row>
    <x:row r="51" s="36" customFormat="1" ht="30" customHeight="1">
      <x:c r="A51" s="751" t="str">
        <x:v>PA049</x:v>
      </x:c>
      <x:c r="B51" s="751" t="str">
        <x:v>PA049-001</x:v>
      </x:c>
      <x:c r="C51" s="751" t="str">
        <x:v>PA049-001_Regulation_on_working_environment_safety_and_health_for_persons_working_on_board_ships.html</x:v>
      </x:c>
      <x:c r="D51" s="751" t="str">
        <x:v>STORED</x:v>
      </x:c>
      <x:c r="E51" s="751" t="str">
        <x:f>IF(A51="","",IF(OR(AJ51="EXCLUDE",COUNTIF(AD51:AH51,"LOW")&gt;0),"EXCLUDE",IF(OR(AJ51&lt;&gt;"INCLUDE",F51&lt;&gt;"SUCCESS",D51&lt;&gt;"STORED",U51="",AP51="",AQ51="",AQ51="UNVERIFIED",AND(AP51="OFFICIAL_WEBSITE",Q51=""),AND(OR(AA51="Equipment manual / OEM instruction",AB51="Asset-specific normative"),OR(Z51&lt;&gt;"Manufacturer / supplier",AS51="",AC51=""))),"PENDING",IF(COUNTIF(AD51:AH51,"HIGH")=5,"INCLUDE","PENDING"))))</x:f>
        <x:v>PENDING</x:v>
      </x:c>
      <x:c r="F51" s="751" t="str">
        <x:v>SUCCESS</x:v>
      </x:c>
      <x:c r="G51" s="755" t="n">
        <x:v>46262.53106481482</x:v>
      </x:c>
      <x:c r="H51" s="755" t="n">
        <x:v>46262.53106481482</x:v>
      </x:c>
      <x:c r="I51" s="751" t="str">
        <x:v>INITIAL</x:v>
      </x:c>
      <x:c r="J51" s="751" t="str">
        <x:v>AUTO</x:v>
      </x:c>
      <x:c r="K51" s="757" t="n">
        <x:f>IF(A51="","",IF(J51="AUTO",H51,IF(J51="MANUAL",AK51,"")))</x:f>
        <x:v>46262.53106481482</x:v>
      </x:c>
      <x:c r="L51" s="751" t="str">
        <x:v>NONE</x:v>
      </x:c>
      <x:c r="M51" s="751"/>
      <x:c r="N51" s="751" t="str">
        <x:f>IF(OR(AM51&lt;&gt;"CURRENT",E51="EXCLUDE"),"NO",IF(A51="","",IF(OR(F51="FAIL",F51="PAYWALL_BLOCKED"),IF(AND(AK51&lt;&gt;"",AK51&gt;=INT(G51),D51="STORED",J51="MANUAL",AL51&lt;&gt;""),"NO","YES"),IF(AND(AR51="ROLLING",I51="CHANGED"),IF(AND(AK51&lt;&gt;"",AK51&gt;=INT(IF(H51&lt;&gt;"",H51,G51)),AL51&lt;&gt;""),"NO","YES"),"NO"))))</x:f>
        <x:v>NO</x:v>
      </x:c>
      <x:c r="O51" s="751" t="str">
        <x:v>669c8fb7232983d365c22bc01253bfe1b6d121397439e31345698e43fa3fcba1</x:v>
      </x:c>
      <x:c r="P51" s="752" t="str">
        <x:v>Regulation on working environment, safety and health for persons working on board ships</x:v>
      </x:c>
      <x:c r="Q51" s="752" t="str">
        <x:v>https://lovdata.no/dokument/SF/forskrift/2005-01-01-8</x:v>
      </x:c>
      <x:c r="R51" s="752" t="str">
        <x:v>https://lovdata.no/dokument/SF/forskrift/2005-01-01-8</x:v>
      </x:c>
      <x:c r="S51" s="752" t="str">
        <x:v>A_Public_Authority</x:v>
      </x:c>
      <x:c r="T51" s="752" t="str">
        <x:v>html</x:v>
      </x:c>
      <x:c r="U51" s="752" t="str">
        <x:v>Norwegian Ministry of Trade, Industry and Fisheries</x:v>
      </x:c>
      <x:c r="V51" s="752" t="str">
        <x:v>Norway</x:v>
      </x:c>
      <x:c r="W51" s="752" t="str">
        <x:v>Norwegian</x:v>
      </x:c>
      <x:c r="X51" s="752"/>
      <x:c r="Y51" s="752"/>
      <x:c r="Z51" s="752" t="str">
        <x:v>Public authority</x:v>
      </x:c>
      <x:c r="AA51" s="752" t="str">
        <x:v>Regulation</x:v>
      </x:c>
      <x:c r="AB51" s="752" t="str">
        <x:v>Primary normative</x:v>
      </x:c>
      <x:c r="AC51" s="752" t="str">
        <x:v>Official regulation issued by Norwegian Ministry of Trade, Industry and Fisheries; included because it may impose binding requirements on an in-scope aquaculture asset, activity, permit or certification.</x:v>
      </x:c>
      <x:c r="AD51" s="752" t="str">
        <x:v>HIGH</x:v>
      </x:c>
      <x:c r="AE51" s="752" t="str">
        <x:v>MEDIUM</x:v>
      </x:c>
      <x:c r="AF51" s="752" t="str">
        <x:v>HIGH</x:v>
      </x:c>
      <x:c r="AG51" s="752" t="str">
        <x:v>HIGH</x:v>
      </x:c>
      <x:c r="AH51" s="752" t="str">
        <x:v>HIGH</x:v>
      </x:c>
      <x:c r="AI51" s="752" t="str">
        <x:v>HIGH</x:v>
      </x:c>
      <x:c r="AJ51" s="752" t="str">
        <x:v>PENDING</x:v>
      </x:c>
      <x:c r="AK51" s="759"/>
      <x:c r="AL51" s="752"/>
      <x:c r="AM51" s="752" t="str">
        <x:v>CURRENT</x:v>
      </x:c>
      <x:c r="AN51" s="752" t="str">
        <x:v>PA018</x:v>
      </x:c>
      <x:c r="AO51" s="752" t="str">
        <x:v>Official maritime HSE expansion. Include only for personnel and vessels falling within maritime scope.</x:v>
      </x:c>
      <x:c r="AP51" s="752" t="str">
        <x:v>OFFICIAL_WEBSITE</x:v>
      </x:c>
      <x:c r="AQ51" s="752" t="str">
        <x:v>OFFICIAL_ORIGINAL</x:v>
      </x:c>
      <x:c r="AR51" s="752" t="str">
        <x:v>ROLLING</x:v>
      </x:c>
      <x:c r="AS51" s="752"/>
    </x:row>
    <x:row r="52" s="36" customFormat="1" ht="30" customHeight="1">
      <x:c r="A52" s="751" t="str">
        <x:v>PA050</x:v>
      </x:c>
      <x:c r="B52" s="751" t="str">
        <x:v>PA050-001</x:v>
      </x:c>
      <x:c r="C52" s="751" t="str">
        <x:v>PA050-001_Harbours_and_Fairways_Act.html</x:v>
      </x:c>
      <x:c r="D52" s="751" t="str">
        <x:v>STORED</x:v>
      </x:c>
      <x:c r="E52" s="751" t="str">
        <x:f>IF(A52="","",IF(OR(AJ52="EXCLUDE",COUNTIF(AD52:AH52,"LOW")&gt;0),"EXCLUDE",IF(OR(AJ52&lt;&gt;"INCLUDE",F52&lt;&gt;"SUCCESS",D52&lt;&gt;"STORED",U52="",AP52="",AQ52="",AQ52="UNVERIFIED",AND(AP52="OFFICIAL_WEBSITE",Q52=""),AND(OR(AA52="Equipment manual / OEM instruction",AB52="Asset-specific normative"),OR(Z52&lt;&gt;"Manufacturer / supplier",AS52="",AC52=""))),"PENDING",IF(COUNTIF(AD52:AH52,"HIGH")=5,"INCLUDE","PENDING"))))</x:f>
        <x:v>INCLUDE</x:v>
      </x:c>
      <x:c r="F52" s="751" t="str">
        <x:v>SUCCESS</x:v>
      </x:c>
      <x:c r="G52" s="755" t="n">
        <x:v>46262.53106481482</x:v>
      </x:c>
      <x:c r="H52" s="755" t="n">
        <x:v>46262.53106481482</x:v>
      </x:c>
      <x:c r="I52" s="751" t="str">
        <x:v>INITIAL</x:v>
      </x:c>
      <x:c r="J52" s="751" t="str">
        <x:v>AUTO</x:v>
      </x:c>
      <x:c r="K52" s="757" t="n">
        <x:f>IF(A52="","",IF(J52="AUTO",H52,IF(J52="MANUAL",AK52,"")))</x:f>
        <x:v>46262.53106481482</x:v>
      </x:c>
      <x:c r="L52" s="751" t="str">
        <x:v>NONE</x:v>
      </x:c>
      <x:c r="M52" s="751"/>
      <x:c r="N52" s="751" t="str">
        <x:f>IF(OR(AM52&lt;&gt;"CURRENT",E52="EXCLUDE"),"NO",IF(A52="","",IF(OR(F52="FAIL",F52="PAYWALL_BLOCKED"),IF(AND(AK52&lt;&gt;"",AK52&gt;=INT(G52),D52="STORED",J52="MANUAL",AL52&lt;&gt;""),"NO","YES"),IF(AND(AR52="ROLLING",I52="CHANGED"),IF(AND(AK52&lt;&gt;"",AK52&gt;=INT(IF(H52&lt;&gt;"",H52,G52)),AL52&lt;&gt;""),"NO","YES"),"NO"))))</x:f>
        <x:v>NO</x:v>
      </x:c>
      <x:c r="O52" s="751" t="str">
        <x:v>b3340595ebd0e5912f032c385ccebc254cd79b719a1f625d87b4a340b66df3d7</x:v>
      </x:c>
      <x:c r="P52" s="752" t="str">
        <x:v>Harbours and Fairways Act</x:v>
      </x:c>
      <x:c r="Q52" s="752" t="str">
        <x:v>https://lovdata.no/dokument/NL/lov/2019-06-21-70</x:v>
      </x:c>
      <x:c r="R52" s="752" t="str">
        <x:v>https://lovdata.no/dokument/NL/lov/2019-06-21-70</x:v>
      </x:c>
      <x:c r="S52" s="752" t="str">
        <x:v>A_Public_Authority</x:v>
      </x:c>
      <x:c r="T52" s="752" t="str">
        <x:v>html</x:v>
      </x:c>
      <x:c r="U52" s="752" t="str">
        <x:v>Norwegian Ministry of Trade, Industry and Fisheries</x:v>
      </x:c>
      <x:c r="V52" s="752" t="str">
        <x:v>Norway</x:v>
      </x:c>
      <x:c r="W52" s="752" t="str">
        <x:v>Norwegian</x:v>
      </x:c>
      <x:c r="X52" s="752"/>
      <x:c r="Y52" s="752"/>
      <x:c r="Z52" s="752" t="str">
        <x:v>Public authority</x:v>
      </x:c>
      <x:c r="AA52" s="752" t="str">
        <x:v>Law</x:v>
      </x:c>
      <x:c r="AB52" s="752" t="str">
        <x:v>Primary normative</x:v>
      </x:c>
      <x:c r="AC52" s="752" t="str">
        <x:v>Official law issued by Norwegian Ministry of Trade, Industry and Fisheries; included because it may impose binding requirements on an in-scope aquaculture asset, activity, permit or certification.</x:v>
      </x:c>
      <x:c r="AD52" s="752" t="str">
        <x:v>HIGH</x:v>
      </x:c>
      <x:c r="AE52" s="752" t="str">
        <x:v>HIGH</x:v>
      </x:c>
      <x:c r="AF52" s="752" t="str">
        <x:v>HIGH</x:v>
      </x:c>
      <x:c r="AG52" s="752" t="str">
        <x:v>HIGH</x:v>
      </x:c>
      <x:c r="AH52" s="752" t="str">
        <x:v>HIGH</x:v>
      </x:c>
      <x:c r="AI52" s="752" t="str">
        <x:v>HIGH</x:v>
      </x:c>
      <x:c r="AJ52" s="752" t="str">
        <x:v>INCLUDE</x:v>
      </x:c>
      <x:c r="AK52" s="759"/>
      <x:c r="AL52" s="752"/>
      <x:c r="AM52" s="752" t="str">
        <x:v>CURRENT</x:v>
      </x:c>
      <x:c r="AN52" s="752"/>
      <x:c r="AO52" s="752" t="str">
        <x:v>Official permitting expansion. Relevant to sea-based site placement, navigation and measures in fairways.</x:v>
      </x:c>
      <x:c r="AP52" s="752" t="str">
        <x:v>OFFICIAL_WEBSITE</x:v>
      </x:c>
      <x:c r="AQ52" s="752" t="str">
        <x:v>OFFICIAL_ORIGINAL</x:v>
      </x:c>
      <x:c r="AR52" s="752" t="str">
        <x:v>ROLLING</x:v>
      </x:c>
      <x:c r="AS52" s="752"/>
    </x:row>
    <x:row r="53" s="36" customFormat="1" ht="30" customHeight="1">
      <x:c r="A53" s="751" t="str">
        <x:v>PA051</x:v>
      </x:c>
      <x:c r="B53" s="751" t="str">
        <x:v>PA051-001</x:v>
      </x:c>
      <x:c r="C53" s="751" t="str">
        <x:v>PA051-001_Planning_and_Building_Act.html</x:v>
      </x:c>
      <x:c r="D53" s="751" t="str">
        <x:v>STORED</x:v>
      </x:c>
      <x:c r="E53" s="751" t="str">
        <x:f>IF(A53="","",IF(OR(AJ53="EXCLUDE",COUNTIF(AD53:AH53,"LOW")&gt;0),"EXCLUDE",IF(OR(AJ53&lt;&gt;"INCLUDE",F53&lt;&gt;"SUCCESS",D53&lt;&gt;"STORED",U53="",AP53="",AQ53="",AQ53="UNVERIFIED",AND(AP53="OFFICIAL_WEBSITE",Q53=""),AND(OR(AA53="Equipment manual / OEM instruction",AB53="Asset-specific normative"),OR(Z53&lt;&gt;"Manufacturer / supplier",AS53="",AC53=""))),"PENDING",IF(COUNTIF(AD53:AH53,"HIGH")=5,"INCLUDE","PENDING"))))</x:f>
        <x:v>PENDING</x:v>
      </x:c>
      <x:c r="F53" s="751" t="str">
        <x:v>SUCCESS</x:v>
      </x:c>
      <x:c r="G53" s="755" t="n">
        <x:v>46262.53106481482</x:v>
      </x:c>
      <x:c r="H53" s="755" t="n">
        <x:v>46262.53106481482</x:v>
      </x:c>
      <x:c r="I53" s="751" t="str">
        <x:v>INITIAL</x:v>
      </x:c>
      <x:c r="J53" s="751" t="str">
        <x:v>AUTO</x:v>
      </x:c>
      <x:c r="K53" s="757" t="n">
        <x:f>IF(A53="","",IF(J53="AUTO",H53,IF(J53="MANUAL",AK53,"")))</x:f>
        <x:v>46262.53106481482</x:v>
      </x:c>
      <x:c r="L53" s="751" t="str">
        <x:v>NONE</x:v>
      </x:c>
      <x:c r="M53" s="751"/>
      <x:c r="N53" s="751" t="str">
        <x:f>IF(OR(AM53&lt;&gt;"CURRENT",E53="EXCLUDE"),"NO",IF(A53="","",IF(OR(F53="FAIL",F53="PAYWALL_BLOCKED"),IF(AND(AK53&lt;&gt;"",AK53&gt;=INT(G53),D53="STORED",J53="MANUAL",AL53&lt;&gt;""),"NO","YES"),IF(AND(AR53="ROLLING",I53="CHANGED"),IF(AND(AK53&lt;&gt;"",AK53&gt;=INT(IF(H53&lt;&gt;"",H53,G53)),AL53&lt;&gt;""),"NO","YES"),"NO"))))</x:f>
        <x:v>NO</x:v>
      </x:c>
      <x:c r="O53" s="751" t="str">
        <x:v>f2cb33416ae233a0616722ffb0ebf377bf1eea2da309fbee385495f01062c5d2</x:v>
      </x:c>
      <x:c r="P53" s="752" t="str">
        <x:v>Planning and Building Act</x:v>
      </x:c>
      <x:c r="Q53" s="752" t="str">
        <x:v>https://lovdata.no/dokument/NL/lov/2008-06-27-71</x:v>
      </x:c>
      <x:c r="R53" s="752" t="str">
        <x:v>https://lovdata.no/dokument/NL/lov/2008-06-27-71</x:v>
      </x:c>
      <x:c r="S53" s="752" t="str">
        <x:v>A_Public_Authority</x:v>
      </x:c>
      <x:c r="T53" s="752" t="str">
        <x:v>html</x:v>
      </x:c>
      <x:c r="U53" s="752" t="str">
        <x:v>Norwegian Ministry of Local Government and Regional Development</x:v>
      </x:c>
      <x:c r="V53" s="752" t="str">
        <x:v>Norway</x:v>
      </x:c>
      <x:c r="W53" s="752" t="str">
        <x:v>Norwegian</x:v>
      </x:c>
      <x:c r="X53" s="752"/>
      <x:c r="Y53" s="752"/>
      <x:c r="Z53" s="752" t="str">
        <x:v>Public authority</x:v>
      </x:c>
      <x:c r="AA53" s="752" t="str">
        <x:v>Law</x:v>
      </x:c>
      <x:c r="AB53" s="752" t="str">
        <x:v>Referenced normative</x:v>
      </x:c>
      <x:c r="AC53" s="752" t="str">
        <x:v>Official referenced source from Norwegian Ministry of Local Government and Regional Development; included because an applicable law, permit or certification scheme may make its provisions binding within the approved scope.</x:v>
      </x:c>
      <x:c r="AD53" s="752" t="str">
        <x:v>HIGH</x:v>
      </x:c>
      <x:c r="AE53" s="752" t="str">
        <x:v>MEDIUM</x:v>
      </x:c>
      <x:c r="AF53" s="752" t="str">
        <x:v>HIGH</x:v>
      </x:c>
      <x:c r="AG53" s="752" t="str">
        <x:v>HIGH</x:v>
      </x:c>
      <x:c r="AH53" s="752" t="str">
        <x:v>HIGH</x:v>
      </x:c>
      <x:c r="AI53" s="752" t="str">
        <x:v>HIGH</x:v>
      </x:c>
      <x:c r="AJ53" s="752" t="str">
        <x:v>PENDING</x:v>
      </x:c>
      <x:c r="AK53" s="759"/>
      <x:c r="AL53" s="752"/>
      <x:c r="AM53" s="752" t="str">
        <x:v>CURRENT</x:v>
      </x:c>
      <x:c r="AN53" s="752"/>
      <x:c r="AO53" s="752" t="str">
        <x:v>Official permitting expansion. Relevance depends on municipal plans, land-based works and the specific application.</x:v>
      </x:c>
      <x:c r="AP53" s="752" t="str">
        <x:v>OFFICIAL_WEBSITE</x:v>
      </x:c>
      <x:c r="AQ53" s="752" t="str">
        <x:v>OFFICIAL_ORIGINAL</x:v>
      </x:c>
      <x:c r="AR53" s="752" t="str">
        <x:v>ROLLING</x:v>
      </x:c>
      <x:c r="AS53" s="752"/>
    </x:row>
    <x:row r="54" s="36" customFormat="1" ht="30" customHeight="1">
      <x:c r="A54" s="751" t="str">
        <x:v>PA052</x:v>
      </x:c>
      <x:c r="B54" s="751" t="str">
        <x:v>PA052-001</x:v>
      </x:c>
      <x:c r="C54" s="751" t="str">
        <x:v>PA052-001_Cultural_Heritage_Act.html</x:v>
      </x:c>
      <x:c r="D54" s="751" t="str">
        <x:v>STORED</x:v>
      </x:c>
      <x:c r="E54" s="751" t="str">
        <x:f>IF(A54="","",IF(OR(AJ54="EXCLUDE",COUNTIF(AD54:AH54,"LOW")&gt;0),"EXCLUDE",IF(OR(AJ54&lt;&gt;"INCLUDE",F54&lt;&gt;"SUCCESS",D54&lt;&gt;"STORED",U54="",AP54="",AQ54="",AQ54="UNVERIFIED",AND(AP54="OFFICIAL_WEBSITE",Q54=""),AND(OR(AA54="Equipment manual / OEM instruction",AB54="Asset-specific normative"),OR(Z54&lt;&gt;"Manufacturer / supplier",AS54="",AC54=""))),"PENDING",IF(COUNTIF(AD54:AH54,"HIGH")=5,"INCLUDE","PENDING"))))</x:f>
        <x:v>PENDING</x:v>
      </x:c>
      <x:c r="F54" s="751" t="str">
        <x:v>SUCCESS</x:v>
      </x:c>
      <x:c r="G54" s="755" t="n">
        <x:v>46262.53106481482</x:v>
      </x:c>
      <x:c r="H54" s="755" t="n">
        <x:v>46262.53107638889</x:v>
      </x:c>
      <x:c r="I54" s="751" t="str">
        <x:v>INITIAL</x:v>
      </x:c>
      <x:c r="J54" s="751" t="str">
        <x:v>AUTO</x:v>
      </x:c>
      <x:c r="K54" s="757" t="n">
        <x:f>IF(A54="","",IF(J54="AUTO",H54,IF(J54="MANUAL",AK54,"")))</x:f>
        <x:v>46262.53107638889</x:v>
      </x:c>
      <x:c r="L54" s="751" t="str">
        <x:v>NONE</x:v>
      </x:c>
      <x:c r="M54" s="751"/>
      <x:c r="N54" s="751" t="str">
        <x:f>IF(OR(AM54&lt;&gt;"CURRENT",E54="EXCLUDE"),"NO",IF(A54="","",IF(OR(F54="FAIL",F54="PAYWALL_BLOCKED"),IF(AND(AK54&lt;&gt;"",AK54&gt;=INT(G54),D54="STORED",J54="MANUAL",AL54&lt;&gt;""),"NO","YES"),IF(AND(AR54="ROLLING",I54="CHANGED"),IF(AND(AK54&lt;&gt;"",AK54&gt;=INT(IF(H54&lt;&gt;"",H54,G54)),AL54&lt;&gt;""),"NO","YES"),"NO"))))</x:f>
        <x:v>NO</x:v>
      </x:c>
      <x:c r="O54" s="751" t="str">
        <x:v>70a7268b5afd45f369ef12f9d167fc6b9b87d65af7bbc46a28e19a40563b2bcb</x:v>
      </x:c>
      <x:c r="P54" s="752" t="str">
        <x:v>Cultural Heritage Act</x:v>
      </x:c>
      <x:c r="Q54" s="752" t="str">
        <x:v>https://lovdata.no/dokument/NL/lov/1978-06-09-50</x:v>
      </x:c>
      <x:c r="R54" s="752" t="str">
        <x:v>https://lovdata.no/dokument/NL/lov/1978-06-09-50</x:v>
      </x:c>
      <x:c r="S54" s="752" t="str">
        <x:v>A_Public_Authority</x:v>
      </x:c>
      <x:c r="T54" s="752" t="str">
        <x:v>html</x:v>
      </x:c>
      <x:c r="U54" s="752" t="str">
        <x:v>Norwegian Ministry of Climate and Environment</x:v>
      </x:c>
      <x:c r="V54" s="752" t="str">
        <x:v>Norway</x:v>
      </x:c>
      <x:c r="W54" s="752" t="str">
        <x:v>Norwegian</x:v>
      </x:c>
      <x:c r="X54" s="752"/>
      <x:c r="Y54" s="752"/>
      <x:c r="Z54" s="752" t="str">
        <x:v>Public authority</x:v>
      </x:c>
      <x:c r="AA54" s="752" t="str">
        <x:v>Law</x:v>
      </x:c>
      <x:c r="AB54" s="752" t="str">
        <x:v>Referenced normative</x:v>
      </x:c>
      <x:c r="AC54" s="752" t="str">
        <x:v>Official referenced source from Norwegian Ministry of Climate and Environment; included because an applicable law, permit or certification scheme may make its provisions binding within the approved scope.</x:v>
      </x:c>
      <x:c r="AD54" s="752" t="str">
        <x:v>HIGH</x:v>
      </x:c>
      <x:c r="AE54" s="752" t="str">
        <x:v>MEDIUM</x:v>
      </x:c>
      <x:c r="AF54" s="752" t="str">
        <x:v>HIGH</x:v>
      </x:c>
      <x:c r="AG54" s="752" t="str">
        <x:v>HIGH</x:v>
      </x:c>
      <x:c r="AH54" s="752" t="str">
        <x:v>HIGH</x:v>
      </x:c>
      <x:c r="AI54" s="752" t="str">
        <x:v>HIGH</x:v>
      </x:c>
      <x:c r="AJ54" s="752" t="str">
        <x:v>PENDING</x:v>
      </x:c>
      <x:c r="AK54" s="759"/>
      <x:c r="AL54" s="752"/>
      <x:c r="AM54" s="752" t="str">
        <x:v>CURRENT</x:v>
      </x:c>
      <x:c r="AN54" s="752"/>
      <x:c r="AO54" s="752" t="str">
        <x:v>Official permitting expansion. Site-specific relevance depends on registered or discovered cultural heritage.</x:v>
      </x:c>
      <x:c r="AP54" s="752" t="str">
        <x:v>OFFICIAL_WEBSITE</x:v>
      </x:c>
      <x:c r="AQ54" s="752" t="str">
        <x:v>OFFICIAL_ORIGINAL</x:v>
      </x:c>
      <x:c r="AR54" s="752" t="str">
        <x:v>ROLLING</x:v>
      </x:c>
      <x:c r="AS54" s="752"/>
    </x:row>
    <x:row r="55" s="36" customFormat="1" ht="30" customHeight="1">
      <x:c r="A55" s="751" t="str">
        <x:v>PA053</x:v>
      </x:c>
      <x:c r="B55" s="751" t="str">
        <x:v>PA053-001</x:v>
      </x:c>
      <x:c r="C55" s="751" t="str">
        <x:v>PA053-001_Water_Resources_Act.html</x:v>
      </x:c>
      <x:c r="D55" s="751" t="str">
        <x:v>STORED</x:v>
      </x:c>
      <x:c r="E55" s="751" t="str">
        <x:f>IF(A55="","",IF(OR(AJ55="EXCLUDE",COUNTIF(AD55:AH55,"LOW")&gt;0),"EXCLUDE",IF(OR(AJ55&lt;&gt;"INCLUDE",F55&lt;&gt;"SUCCESS",D55&lt;&gt;"STORED",U55="",AP55="",AQ55="",AQ55="UNVERIFIED",AND(AP55="OFFICIAL_WEBSITE",Q55=""),AND(OR(AA55="Equipment manual / OEM instruction",AB55="Asset-specific normative"),OR(Z55&lt;&gt;"Manufacturer / supplier",AS55="",AC55=""))),"PENDING",IF(COUNTIF(AD55:AH55,"HIGH")=5,"INCLUDE","PENDING"))))</x:f>
        <x:v>PENDING</x:v>
      </x:c>
      <x:c r="F55" s="751" t="str">
        <x:v>SUCCESS</x:v>
      </x:c>
      <x:c r="G55" s="755" t="n">
        <x:v>46262.53107638889</x:v>
      </x:c>
      <x:c r="H55" s="755" t="n">
        <x:v>46262.53107638889</x:v>
      </x:c>
      <x:c r="I55" s="751" t="str">
        <x:v>INITIAL</x:v>
      </x:c>
      <x:c r="J55" s="751" t="str">
        <x:v>AUTO</x:v>
      </x:c>
      <x:c r="K55" s="757" t="n">
        <x:f>IF(A55="","",IF(J55="AUTO",H55,IF(J55="MANUAL",AK55,"")))</x:f>
        <x:v>46262.53107638889</x:v>
      </x:c>
      <x:c r="L55" s="751" t="str">
        <x:v>NONE</x:v>
      </x:c>
      <x:c r="M55" s="751"/>
      <x:c r="N55" s="751" t="str">
        <x:f>IF(OR(AM55&lt;&gt;"CURRENT",E55="EXCLUDE"),"NO",IF(A55="","",IF(OR(F55="FAIL",F55="PAYWALL_BLOCKED"),IF(AND(AK55&lt;&gt;"",AK55&gt;=INT(G55),D55="STORED",J55="MANUAL",AL55&lt;&gt;""),"NO","YES"),IF(AND(AR55="ROLLING",I55="CHANGED"),IF(AND(AK55&lt;&gt;"",AK55&gt;=INT(IF(H55&lt;&gt;"",H55,G55)),AL55&lt;&gt;""),"NO","YES"),"NO"))))</x:f>
        <x:v>NO</x:v>
      </x:c>
      <x:c r="O55" s="751" t="str">
        <x:v>4f34d5e27c31a36b0d4578795a149e441341f41df43c89eb9aac6a5da9e075f8</x:v>
      </x:c>
      <x:c r="P55" s="752" t="str">
        <x:v>Water Resources Act</x:v>
      </x:c>
      <x:c r="Q55" s="752" t="str">
        <x:v>https://lovdata.no/dokument/NL/lov/2000-11-24-82</x:v>
      </x:c>
      <x:c r="R55" s="752" t="str">
        <x:v>https://lovdata.no/dokument/NL/lov/2000-11-24-82</x:v>
      </x:c>
      <x:c r="S55" s="752" t="str">
        <x:v>A_Public_Authority</x:v>
      </x:c>
      <x:c r="T55" s="752" t="str">
        <x:v>html</x:v>
      </x:c>
      <x:c r="U55" s="752" t="str">
        <x:v>Norwegian Ministry of Energy</x:v>
      </x:c>
      <x:c r="V55" s="752" t="str">
        <x:v>Norway</x:v>
      </x:c>
      <x:c r="W55" s="752" t="str">
        <x:v>Norwegian</x:v>
      </x:c>
      <x:c r="X55" s="752"/>
      <x:c r="Y55" s="752"/>
      <x:c r="Z55" s="752" t="str">
        <x:v>Public authority</x:v>
      </x:c>
      <x:c r="AA55" s="752" t="str">
        <x:v>Law</x:v>
      </x:c>
      <x:c r="AB55" s="752" t="str">
        <x:v>Referenced normative</x:v>
      </x:c>
      <x:c r="AC55" s="752" t="str">
        <x:v>Official referenced source from Norwegian Ministry of Energy; included because an applicable law, permit or certification scheme may make its provisions binding within the approved scope.</x:v>
      </x:c>
      <x:c r="AD55" s="752" t="str">
        <x:v>HIGH</x:v>
      </x:c>
      <x:c r="AE55" s="752" t="str">
        <x:v>MEDIUM</x:v>
      </x:c>
      <x:c r="AF55" s="752" t="str">
        <x:v>HIGH</x:v>
      </x:c>
      <x:c r="AG55" s="752" t="str">
        <x:v>HIGH</x:v>
      </x:c>
      <x:c r="AH55" s="752" t="str">
        <x:v>HIGH</x:v>
      </x:c>
      <x:c r="AI55" s="752" t="str">
        <x:v>HIGH</x:v>
      </x:c>
      <x:c r="AJ55" s="752" t="str">
        <x:v>PENDING</x:v>
      </x:c>
      <x:c r="AK55" s="759"/>
      <x:c r="AL55" s="752"/>
      <x:c r="AM55" s="752" t="str">
        <x:v>CURRENT</x:v>
      </x:c>
      <x:c r="AN55" s="752"/>
      <x:c r="AO55" s="752" t="str">
        <x:v>Official permitting expansion. Particularly relevant to freshwater or water-abstraction and discharge arrangements.</x:v>
      </x:c>
      <x:c r="AP55" s="752" t="str">
        <x:v>OFFICIAL_WEBSITE</x:v>
      </x:c>
      <x:c r="AQ55" s="752" t="str">
        <x:v>OFFICIAL_ORIGINAL</x:v>
      </x:c>
      <x:c r="AR55" s="752" t="str">
        <x:v>ROLLING</x:v>
      </x:c>
      <x:c r="AS55" s="752"/>
    </x:row>
    <x:row r="56" s="36" customFormat="1" ht="30" customHeight="1">
      <x:c r="A56" s="751" t="str">
        <x:v>PA054</x:v>
      </x:c>
      <x:c r="B56" s="751" t="str">
        <x:v>PA054-001</x:v>
      </x:c>
      <x:c r="C56" s="751" t="str">
        <x:v>PA054-001_Marine_Nature_Protection_Act.html</x:v>
      </x:c>
      <x:c r="D56" s="751" t="str">
        <x:v>STORED</x:v>
      </x:c>
      <x:c r="E56" s="751" t="str">
        <x:f>IF(A56="","",IF(OR(AJ56="EXCLUDE",COUNTIF(AD56:AH56,"LOW")&gt;0),"EXCLUDE",IF(OR(AJ56&lt;&gt;"INCLUDE",F56&lt;&gt;"SUCCESS",D56&lt;&gt;"STORED",U56="",AP56="",AQ56="",AQ56="UNVERIFIED",AND(AP56="OFFICIAL_WEBSITE",Q56=""),AND(OR(AA56="Equipment manual / OEM instruction",AB56="Asset-specific normative"),OR(Z56&lt;&gt;"Manufacturer / supplier",AS56="",AC56=""))),"PENDING",IF(COUNTIF(AD56:AH56,"HIGH")=5,"INCLUDE","PENDING"))))</x:f>
        <x:v>PENDING</x:v>
      </x:c>
      <x:c r="F56" s="751" t="str">
        <x:v>SUCCESS</x:v>
      </x:c>
      <x:c r="G56" s="755" t="n">
        <x:v>46262.53107638889</x:v>
      </x:c>
      <x:c r="H56" s="755" t="n">
        <x:v>46262.53107638889</x:v>
      </x:c>
      <x:c r="I56" s="751" t="str">
        <x:v>INITIAL</x:v>
      </x:c>
      <x:c r="J56" s="751" t="str">
        <x:v>AUTO</x:v>
      </x:c>
      <x:c r="K56" s="757" t="n">
        <x:f>IF(A56="","",IF(J56="AUTO",H56,IF(J56="MANUAL",AK56,"")))</x:f>
        <x:v>46262.53107638889</x:v>
      </x:c>
      <x:c r="L56" s="751" t="str">
        <x:v>NONE</x:v>
      </x:c>
      <x:c r="M56" s="751"/>
      <x:c r="N56" s="751" t="str">
        <x:f>IF(OR(AM56&lt;&gt;"CURRENT",E56="EXCLUDE"),"NO",IF(A56="","",IF(OR(F56="FAIL",F56="PAYWALL_BLOCKED"),IF(AND(AK56&lt;&gt;"",AK56&gt;=INT(G56),D56="STORED",J56="MANUAL",AL56&lt;&gt;""),"NO","YES"),IF(AND(AR56="ROLLING",I56="CHANGED"),IF(AND(AK56&lt;&gt;"",AK56&gt;=INT(IF(H56&lt;&gt;"",H56,G56)),AL56&lt;&gt;""),"NO","YES"),"NO"))))</x:f>
        <x:v>NO</x:v>
      </x:c>
      <x:c r="O56" s="751" t="str">
        <x:v>4dce1de2f48bf0d24398b17145c4c2286152eb61a354107445022488b2808c71</x:v>
      </x:c>
      <x:c r="P56" s="752" t="str">
        <x:v>Marine Nature Protection Act</x:v>
      </x:c>
      <x:c r="Q56" s="752" t="str">
        <x:v>https://lovdata.no/dokument/NL/lov/2025-06-10-33</x:v>
      </x:c>
      <x:c r="R56" s="752" t="str">
        <x:v>https://lovdata.no/dokument/NL/lov/2025-06-10-33</x:v>
      </x:c>
      <x:c r="S56" s="752" t="str">
        <x:v>A_Public_Authority</x:v>
      </x:c>
      <x:c r="T56" s="752" t="str">
        <x:v>html</x:v>
      </x:c>
      <x:c r="U56" s="752" t="str">
        <x:v>Norwegian Ministry of Climate and Environment</x:v>
      </x:c>
      <x:c r="V56" s="752" t="str">
        <x:v>Norway</x:v>
      </x:c>
      <x:c r="W56" s="752" t="str">
        <x:v>Norwegian</x:v>
      </x:c>
      <x:c r="X56" s="752"/>
      <x:c r="Y56" s="752" t="n">
        <x:v>46023</x:v>
      </x:c>
      <x:c r="Z56" s="752" t="str">
        <x:v>Public authority</x:v>
      </x:c>
      <x:c r="AA56" s="752" t="str">
        <x:v>Law</x:v>
      </x:c>
      <x:c r="AB56" s="752" t="str">
        <x:v>Referenced normative</x:v>
      </x:c>
      <x:c r="AC56" s="752" t="str">
        <x:v>Official referenced source from Norwegian Ministry of Climate and Environment; included because an applicable law, permit or certification scheme may make its provisions binding within the approved scope.</x:v>
      </x:c>
      <x:c r="AD56" s="752" t="str">
        <x:v>HIGH</x:v>
      </x:c>
      <x:c r="AE56" s="752" t="str">
        <x:v>MEDIUM</x:v>
      </x:c>
      <x:c r="AF56" s="752" t="str">
        <x:v>HIGH</x:v>
      </x:c>
      <x:c r="AG56" s="752" t="str">
        <x:v>HIGH</x:v>
      </x:c>
      <x:c r="AH56" s="752" t="str">
        <x:v>HIGH</x:v>
      </x:c>
      <x:c r="AI56" s="752" t="str">
        <x:v>HIGH</x:v>
      </x:c>
      <x:c r="AJ56" s="752" t="str">
        <x:v>PENDING</x:v>
      </x:c>
      <x:c r="AK56" s="759"/>
      <x:c r="AL56" s="752"/>
      <x:c r="AM56" s="752" t="str">
        <x:v>CURRENT</x:v>
      </x:c>
      <x:c r="AN56" s="752"/>
      <x:c r="AO56" s="752" t="str">
        <x:v>Official future-facing coverage expansion. Offshore and site-specific applicability must be confirmed before use.</x:v>
      </x:c>
      <x:c r="AP56" s="752" t="str">
        <x:v>OFFICIAL_WEBSITE</x:v>
      </x:c>
      <x:c r="AQ56" s="752" t="str">
        <x:v>OFFICIAL_ORIGINAL</x:v>
      </x:c>
      <x:c r="AR56" s="752" t="str">
        <x:v>ROLLING</x:v>
      </x:c>
      <x:c r="AS56" s="752"/>
    </x:row>
    <x:row r="57" s="36" customFormat="1" ht="30" customHeight="1">
      <x:c r="A57" s="751" t="str">
        <x:v>PA055</x:v>
      </x:c>
      <x:c r="B57" s="751" t="str">
        <x:v>PA055-001</x:v>
      </x:c>
      <x:c r="C57" s="751" t="str">
        <x:v>PA055-001_Regulation_on_fairway_signs_and_navigational_devices.html</x:v>
      </x:c>
      <x:c r="D57" s="751" t="str">
        <x:v>STORED</x:v>
      </x:c>
      <x:c r="E57" s="751" t="str">
        <x:f>IF(A57="","",IF(OR(AJ57="EXCLUDE",COUNTIF(AD57:AH57,"LOW")&gt;0),"EXCLUDE",IF(OR(AJ57&lt;&gt;"INCLUDE",F57&lt;&gt;"SUCCESS",D57&lt;&gt;"STORED",U57="",AP57="",AQ57="",AQ57="UNVERIFIED",AND(AP57="OFFICIAL_WEBSITE",Q57=""),AND(OR(AA57="Equipment manual / OEM instruction",AB57="Asset-specific normative"),OR(Z57&lt;&gt;"Manufacturer / supplier",AS57="",AC57=""))),"PENDING",IF(COUNTIF(AD57:AH57,"HIGH")=5,"INCLUDE","PENDING"))))</x:f>
        <x:v>INCLUDE</x:v>
      </x:c>
      <x:c r="F57" s="751" t="str">
        <x:v>SUCCESS</x:v>
      </x:c>
      <x:c r="G57" s="755" t="n">
        <x:v>46262.53107638889</x:v>
      </x:c>
      <x:c r="H57" s="755" t="n">
        <x:v>46262.53107638889</x:v>
      </x:c>
      <x:c r="I57" s="751" t="str">
        <x:v>INITIAL</x:v>
      </x:c>
      <x:c r="J57" s="751" t="str">
        <x:v>AUTO</x:v>
      </x:c>
      <x:c r="K57" s="757" t="n">
        <x:f>IF(A57="","",IF(J57="AUTO",H57,IF(J57="MANUAL",AK57,"")))</x:f>
        <x:v>46262.53107638889</x:v>
      </x:c>
      <x:c r="L57" s="751" t="str">
        <x:v>NONE</x:v>
      </x:c>
      <x:c r="M57" s="751"/>
      <x:c r="N57" s="751" t="str">
        <x:f>IF(OR(AM57&lt;&gt;"CURRENT",E57="EXCLUDE"),"NO",IF(A57="","",IF(OR(F57="FAIL",F57="PAYWALL_BLOCKED"),IF(AND(AK57&lt;&gt;"",AK57&gt;=INT(G57),D57="STORED",J57="MANUAL",AL57&lt;&gt;""),"NO","YES"),IF(AND(AR57="ROLLING",I57="CHANGED"),IF(AND(AK57&lt;&gt;"",AK57&gt;=INT(IF(H57&lt;&gt;"",H57,G57)),AL57&lt;&gt;""),"NO","YES"),"NO"))))</x:f>
        <x:v>NO</x:v>
      </x:c>
      <x:c r="O57" s="751" t="str">
        <x:v>c497ee186adeef3c2a97e4c9c9508a5b132a1e58eaf76ec1517408bd22fa25d9</x:v>
      </x:c>
      <x:c r="P57" s="752" t="str">
        <x:v>Regulation on fairway signs and navigational devices</x:v>
      </x:c>
      <x:c r="Q57" s="752" t="str">
        <x:v>https://lovdata.no/dokument/SF/forskrift/2012-12-19-1329</x:v>
      </x:c>
      <x:c r="R57" s="752" t="str">
        <x:v>https://lovdata.no/dokument/SF/forskrift/2012-12-19-1329</x:v>
      </x:c>
      <x:c r="S57" s="752" t="str">
        <x:v>A_Public_Authority</x:v>
      </x:c>
      <x:c r="T57" s="752" t="str">
        <x:v>html</x:v>
      </x:c>
      <x:c r="U57" s="752" t="str">
        <x:v>Norwegian Ministry of Trade, Industry and Fisheries</x:v>
      </x:c>
      <x:c r="V57" s="752" t="str">
        <x:v>Norway</x:v>
      </x:c>
      <x:c r="W57" s="752" t="str">
        <x:v>Norwegian</x:v>
      </x:c>
      <x:c r="X57" s="752"/>
      <x:c r="Y57" s="752"/>
      <x:c r="Z57" s="752" t="str">
        <x:v>Public authority</x:v>
      </x:c>
      <x:c r="AA57" s="752" t="str">
        <x:v>Regulation</x:v>
      </x:c>
      <x:c r="AB57" s="752" t="str">
        <x:v>Primary normative</x:v>
      </x:c>
      <x:c r="AC57" s="752" t="str">
        <x:v>Official regulation issued by Norwegian Ministry of Trade, Industry and Fisheries; included because it may impose binding requirements on an in-scope aquaculture asset, activity, permit or certification.</x:v>
      </x:c>
      <x:c r="AD57" s="752" t="str">
        <x:v>HIGH</x:v>
      </x:c>
      <x:c r="AE57" s="752" t="str">
        <x:v>HIGH</x:v>
      </x:c>
      <x:c r="AF57" s="752" t="str">
        <x:v>HIGH</x:v>
      </x:c>
      <x:c r="AG57" s="752" t="str">
        <x:v>HIGH</x:v>
      </x:c>
      <x:c r="AH57" s="752" t="str">
        <x:v>HIGH</x:v>
      </x:c>
      <x:c r="AI57" s="752" t="str">
        <x:v>HIGH</x:v>
      </x:c>
      <x:c r="AJ57" s="752" t="str">
        <x:v>INCLUDE</x:v>
      </x:c>
      <x:c r="AK57" s="759"/>
      <x:c r="AL57" s="752"/>
      <x:c r="AM57" s="752" t="str">
        <x:v>CURRENT</x:v>
      </x:c>
      <x:c r="AN57" s="752" t="str">
        <x:v>PA050</x:v>
      </x:c>
      <x:c r="AO57" s="752" t="str">
        <x:v>Official sea-site expansion. Includes marking and navigation-related provisions relevant to applicable aquaculture installations.</x:v>
      </x:c>
      <x:c r="AP57" s="752" t="str">
        <x:v>OFFICIAL_WEBSITE</x:v>
      </x:c>
      <x:c r="AQ57" s="752" t="str">
        <x:v>OFFICIAL_ORIGINAL</x:v>
      </x:c>
      <x:c r="AR57" s="752" t="str">
        <x:v>ROLLING</x:v>
      </x:c>
      <x:c r="AS57" s="752"/>
    </x:row>
    <x:row r="58" s="36" customFormat="1" ht="30" customHeight="1">
      <x:c r="A58" s="751" t="str">
        <x:v>PA056</x:v>
      </x:c>
      <x:c r="B58" s="751" t="str">
        <x:v>PA056-001</x:v>
      </x:c>
      <x:c r="C58" s="751" t="str">
        <x:v>PA056-001_Fiskeridirektoratet_guidance_for_land-based_aquaculture_facilities.html</x:v>
      </x:c>
      <x:c r="D58" s="751" t="str">
        <x:v>STORED</x:v>
      </x:c>
      <x:c r="E58" s="751" t="str">
        <x:f>IF(A58="","",IF(OR(AJ58="EXCLUDE",COUNTIF(AD58:AH58,"LOW")&gt;0),"EXCLUDE",IF(OR(AJ58&lt;&gt;"INCLUDE",F58&lt;&gt;"SUCCESS",D58&lt;&gt;"STORED",U58="",AP58="",AQ58="",AQ58="UNVERIFIED",AND(AP58="OFFICIAL_WEBSITE",Q58=""),AND(OR(AA58="Equipment manual / OEM instruction",AB58="Asset-specific normative"),OR(Z58&lt;&gt;"Manufacturer / supplier",AS58="",AC58=""))),"PENDING",IF(COUNTIF(AD58:AH58,"HIGH")=5,"INCLUDE","PENDING"))))</x:f>
        <x:v>PENDING</x:v>
      </x:c>
      <x:c r="F58" s="751" t="str">
        <x:v>SUCCESS</x:v>
      </x:c>
      <x:c r="G58" s="755" t="n">
        <x:v>46262.53108796296</x:v>
      </x:c>
      <x:c r="H58" s="755" t="n">
        <x:v>46262.53108796296</x:v>
      </x:c>
      <x:c r="I58" s="751" t="str">
        <x:v>INITIAL</x:v>
      </x:c>
      <x:c r="J58" s="751" t="str">
        <x:v>AUTO</x:v>
      </x:c>
      <x:c r="K58" s="757" t="n">
        <x:f>IF(A58="","",IF(J58="AUTO",H58,IF(J58="MANUAL",AK58,"")))</x:f>
        <x:v>46262.53108796296</x:v>
      </x:c>
      <x:c r="L58" s="751" t="str">
        <x:v>NONE</x:v>
      </x:c>
      <x:c r="M58" s="751"/>
      <x:c r="N58" s="751" t="str">
        <x:f>IF(OR(AM58&lt;&gt;"CURRENT",E58="EXCLUDE"),"NO",IF(A58="","",IF(OR(F58="FAIL",F58="PAYWALL_BLOCKED"),IF(AND(AK58&lt;&gt;"",AK58&gt;=INT(G58),D58="STORED",J58="MANUAL",AL58&lt;&gt;""),"NO","YES"),IF(AND(AR58="ROLLING",I58="CHANGED"),IF(AND(AK58&lt;&gt;"",AK58&gt;=INT(IF(H58&lt;&gt;"",H58,G58)),AL58&lt;&gt;""),"NO","YES"),"NO"))))</x:f>
        <x:v>NO</x:v>
      </x:c>
      <x:c r="O58" s="751" t="str">
        <x:v>73c197182a2280a093d6c7ec0a273ab6f46ad0e55edfddc0f31373937b21de93</x:v>
      </x:c>
      <x:c r="P58" s="752" t="str">
        <x:v>Fiskeridirektoratet guidance for land-based aquaculture facilities</x:v>
      </x:c>
      <x:c r="Q58" s="752" t="str">
        <x:v>https://www.fiskeridir.no/akvakultur/landbaserte-anlegg</x:v>
      </x:c>
      <x:c r="R58" s="752" t="str">
        <x:v>https://www.fiskeridir.no/akvakultur/landbaserte-anlegg</x:v>
      </x:c>
      <x:c r="S58" s="752" t="str">
        <x:v>A_Public_Authority</x:v>
      </x:c>
      <x:c r="T58" s="752" t="str">
        <x:v>html</x:v>
      </x:c>
      <x:c r="U58" s="752" t="str">
        <x:v>Norwegian Directorate of Fisheries</x:v>
      </x:c>
      <x:c r="V58" s="752" t="str">
        <x:v>Norway</x:v>
      </x:c>
      <x:c r="W58" s="752" t="str">
        <x:v>Norwegian</x:v>
      </x:c>
      <x:c r="X58" s="752"/>
      <x:c r="Y58" s="752"/>
      <x:c r="Z58" s="752" t="str">
        <x:v>Public authority</x:v>
      </x:c>
      <x:c r="AA58" s="752" t="str">
        <x:v>Interpretation document</x:v>
      </x:c>
      <x:c r="AB58" s="752" t="str">
        <x:v>Guidance / interpretation</x:v>
      </x:c>
      <x:c r="AC58" s="752" t="str">
        <x:v>Official guidance from Norwegian Directorate of Fisheries; included to interpret and operationalise linked normative requirements, not as independent legal or certification authority.</x:v>
      </x:c>
      <x:c r="AD58" s="752" t="str">
        <x:v>HIGH</x:v>
      </x:c>
      <x:c r="AE58" s="752" t="str">
        <x:v>MEDIUM</x:v>
      </x:c>
      <x:c r="AF58" s="752" t="str">
        <x:v>HIGH</x:v>
      </x:c>
      <x:c r="AG58" s="752" t="str">
        <x:v>HIGH</x:v>
      </x:c>
      <x:c r="AH58" s="752" t="str">
        <x:v>HIGH</x:v>
      </x:c>
      <x:c r="AI58" s="752" t="str">
        <x:v>HIGH</x:v>
      </x:c>
      <x:c r="AJ58" s="752" t="str">
        <x:v>PENDING</x:v>
      </x:c>
      <x:c r="AK58" s="759"/>
      <x:c r="AL58" s="752"/>
      <x:c r="AM58" s="752" t="str">
        <x:v>CURRENT</x:v>
      </x:c>
      <x:c r="AN58" s="752" t="str">
        <x:v>PA022</x:v>
      </x:c>
      <x:c r="AO58" s="752" t="str">
        <x:v>Official land-based facility guidance. Include only when land-based facilities are within scope.</x:v>
      </x:c>
      <x:c r="AP58" s="752" t="str">
        <x:v>OFFICIAL_WEBSITE</x:v>
      </x:c>
      <x:c r="AQ58" s="752" t="str">
        <x:v>OFFICIAL_ORIGINAL</x:v>
      </x:c>
      <x:c r="AR58" s="752" t="str">
        <x:v>ROLLING</x:v>
      </x:c>
      <x:c r="AS58" s="752"/>
    </x:row>
    <x:row r="59" s="36" customFormat="1" ht="30" customHeight="1">
      <x:c r="A59" s="751" t="str">
        <x:v>PA057</x:v>
      </x:c>
      <x:c r="B59" s="751" t="str">
        <x:v>PA057-001</x:v>
      </x:c>
      <x:c r="C59" s="751" t="str">
        <x:v>PA057-001_Guidance_for_condition_assessment_of_land-based_aquaculture_facilities.pdf</x:v>
      </x:c>
      <x:c r="D59" s="751" t="str">
        <x:v>STORED</x:v>
      </x:c>
      <x:c r="E59" s="751" t="str">
        <x:f>IF(A59="","",IF(OR(AJ59="EXCLUDE",COUNTIF(AD59:AH59,"LOW")&gt;0),"EXCLUDE",IF(OR(AJ59&lt;&gt;"INCLUDE",F59&lt;&gt;"SUCCESS",D59&lt;&gt;"STORED",U59="",AP59="",AQ59="",AQ59="UNVERIFIED",AND(AP59="OFFICIAL_WEBSITE",Q59=""),AND(OR(AA59="Equipment manual / OEM instruction",AB59="Asset-specific normative"),OR(Z59&lt;&gt;"Manufacturer / supplier",AS59="",AC59=""))),"PENDING",IF(COUNTIF(AD59:AH59,"HIGH")=5,"INCLUDE","PENDING"))))</x:f>
        <x:v>PENDING</x:v>
      </x:c>
      <x:c r="F59" s="751" t="str">
        <x:v>SUCCESS</x:v>
      </x:c>
      <x:c r="G59" s="755" t="n">
        <x:v>46262.53108796296</x:v>
      </x:c>
      <x:c r="H59" s="755" t="n">
        <x:v>46262.53109953704</x:v>
      </x:c>
      <x:c r="I59" s="751" t="str">
        <x:v>INITIAL</x:v>
      </x:c>
      <x:c r="J59" s="751" t="str">
        <x:v>AUTO</x:v>
      </x:c>
      <x:c r="K59" s="757" t="n">
        <x:f>IF(A59="","",IF(J59="AUTO",H59,IF(J59="MANUAL",AK59,"")))</x:f>
        <x:v>46262.53109953704</x:v>
      </x:c>
      <x:c r="L59" s="751" t="str">
        <x:v>NONE</x:v>
      </x:c>
      <x:c r="M59" s="751"/>
      <x:c r="N59" s="751" t="str">
        <x:f>IF(OR(AM59&lt;&gt;"CURRENT",E59="EXCLUDE"),"NO",IF(A59="","",IF(OR(F59="FAIL",F59="PAYWALL_BLOCKED"),IF(AND(AK59&lt;&gt;"",AK59&gt;=INT(G59),D59="STORED",J59="MANUAL",AL59&lt;&gt;""),"NO","YES"),IF(AND(AR59="ROLLING",I59="CHANGED"),IF(AND(AK59&lt;&gt;"",AK59&gt;=INT(IF(H59&lt;&gt;"",H59,G59)),AL59&lt;&gt;""),"NO","YES"),"NO"))))</x:f>
        <x:v>NO</x:v>
      </x:c>
      <x:c r="O59" s="751" t="str">
        <x:v>f9f6bd8531c2cd8a4cc7dd49e4035aaef6ff33cb2f7dbf93f0e340ca0b454778</x:v>
      </x:c>
      <x:c r="P59" s="752" t="str">
        <x:v>Guidance for condition assessment of land-based aquaculture facilities</x:v>
      </x:c>
      <x:c r="Q59" s="752" t="str">
        <x:v>https://www.fiskeridir.no/Akvakultur/Dokumenter/Veiledere/Tilstandsanalyse-av-landbaserte-anlegg</x:v>
      </x:c>
      <x:c r="R59" s="752" t="str">
        <x:v>https://www.fiskeridir.no/Akvakultur/Dokumenter/Veiledere/Tilstandsanalyse-av-landbaserte-anlegg/_/attachment/download/df2fc451-04b7-4984-8628-770e2cf13ac9%3Ad6ae5a53d45201b6bb2458a1e3506f3f9cd7e3fe/Veileder_tilstandsanalyse_20241011.pdf</x:v>
      </x:c>
      <x:c r="S59" s="752" t="str">
        <x:v>A_Public_Authority</x:v>
      </x:c>
      <x:c r="T59" s="752" t="str">
        <x:v>pdf</x:v>
      </x:c>
      <x:c r="U59" s="752" t="str">
        <x:v>Norwegian Directorate of Fisheries</x:v>
      </x:c>
      <x:c r="V59" s="752" t="str">
        <x:v>Norway</x:v>
      </x:c>
      <x:c r="W59" s="752" t="str">
        <x:v>Norwegian</x:v>
      </x:c>
      <x:c r="X59" s="752" t="str">
        <x:v>2024-10-11</x:v>
      </x:c>
      <x:c r="Y59" s="752"/>
      <x:c r="Z59" s="752" t="str">
        <x:v>Public authority</x:v>
      </x:c>
      <x:c r="AA59" s="752" t="str">
        <x:v>Interpretation document</x:v>
      </x:c>
      <x:c r="AB59" s="752" t="str">
        <x:v>Guidance / interpretation</x:v>
      </x:c>
      <x:c r="AC59" s="752" t="str">
        <x:v>Official guidance from Norwegian Directorate of Fisheries; included to interpret and operationalise linked normative requirements, not as independent legal or certification authority.</x:v>
      </x:c>
      <x:c r="AD59" s="752" t="str">
        <x:v>HIGH</x:v>
      </x:c>
      <x:c r="AE59" s="752" t="str">
        <x:v>MEDIUM</x:v>
      </x:c>
      <x:c r="AF59" s="752" t="str">
        <x:v>HIGH</x:v>
      </x:c>
      <x:c r="AG59" s="752" t="str">
        <x:v>HIGH</x:v>
      </x:c>
      <x:c r="AH59" s="752" t="str">
        <x:v>HIGH</x:v>
      </x:c>
      <x:c r="AI59" s="752" t="str">
        <x:v>HIGH</x:v>
      </x:c>
      <x:c r="AJ59" s="752" t="str">
        <x:v>PENDING</x:v>
      </x:c>
      <x:c r="AK59" s="759"/>
      <x:c r="AL59" s="752"/>
      <x:c r="AM59" s="752" t="str">
        <x:v>CURRENT</x:v>
      </x:c>
      <x:c r="AN59" s="752" t="str">
        <x:v>PA022</x:v>
      </x:c>
      <x:c r="AO59" s="752" t="str">
        <x:v>Official technical guidance linked to land-based facility regulation and NS 3424. Conditional on land-based scope.</x:v>
      </x:c>
      <x:c r="AP59" s="752" t="str">
        <x:v>OFFICIAL_WEBSITE</x:v>
      </x:c>
      <x:c r="AQ59" s="752" t="str">
        <x:v>OFFICIAL_ORIGINAL</x:v>
      </x:c>
      <x:c r="AR59" s="752" t="str">
        <x:v>VERSIONED</x:v>
      </x:c>
      <x:c r="AS59" s="752"/>
    </x:row>
    <x:row r="60" s="36" customFormat="1" ht="30" customHeight="1">
      <x:c r="A60" s="751" t="str">
        <x:v>PA058</x:v>
      </x:c>
      <x:c r="B60" s="751" t="str">
        <x:v>PA058-001</x:v>
      </x:c>
      <x:c r="C60" s="751" t="str">
        <x:v>PA058-001_Animal_By-Products_Regulations.html</x:v>
      </x:c>
      <x:c r="D60" s="751" t="str">
        <x:v>STORED</x:v>
      </x:c>
      <x:c r="E60" s="751" t="str">
        <x:f>IF(A60="","",IF(OR(AJ60="EXCLUDE",COUNTIF(AD60:AH60,"LOW")&gt;0),"EXCLUDE",IF(OR(AJ60&lt;&gt;"INCLUDE",F60&lt;&gt;"SUCCESS",D60&lt;&gt;"STORED",U60="",AP60="",AQ60="",AQ60="UNVERIFIED",AND(AP60="OFFICIAL_WEBSITE",Q60=""),AND(OR(AA60="Equipment manual / OEM instruction",AB60="Asset-specific normative"),OR(Z60&lt;&gt;"Manufacturer / supplier",AS60="",AC60=""))),"PENDING",IF(COUNTIF(AD60:AH60,"HIGH")=5,"INCLUDE","PENDING"))))</x:f>
        <x:v>INCLUDE</x:v>
      </x:c>
      <x:c r="F60" s="751" t="str">
        <x:v>SUCCESS</x:v>
      </x:c>
      <x:c r="G60" s="755" t="n">
        <x:v>46262.53109953704</x:v>
      </x:c>
      <x:c r="H60" s="755" t="n">
        <x:v>46262.53109953704</x:v>
      </x:c>
      <x:c r="I60" s="751" t="str">
        <x:v>INITIAL</x:v>
      </x:c>
      <x:c r="J60" s="751" t="str">
        <x:v>AUTO</x:v>
      </x:c>
      <x:c r="K60" s="757" t="n">
        <x:f>IF(A60="","",IF(J60="AUTO",H60,IF(J60="MANUAL",AK60,"")))</x:f>
        <x:v>46262.53109953704</x:v>
      </x:c>
      <x:c r="L60" s="751" t="str">
        <x:v>NONE</x:v>
      </x:c>
      <x:c r="M60" s="751"/>
      <x:c r="N60" s="751" t="str">
        <x:f>IF(OR(AM60&lt;&gt;"CURRENT",E60="EXCLUDE"),"NO",IF(A60="","",IF(OR(F60="FAIL",F60="PAYWALL_BLOCKED"),IF(AND(AK60&lt;&gt;"",AK60&gt;=INT(G60),D60="STORED",J60="MANUAL",AL60&lt;&gt;""),"NO","YES"),IF(AND(AR60="ROLLING",I60="CHANGED"),IF(AND(AK60&lt;&gt;"",AK60&gt;=INT(IF(H60&lt;&gt;"",H60,G60)),AL60&lt;&gt;""),"NO","YES"),"NO"))))</x:f>
        <x:v>NO</x:v>
      </x:c>
      <x:c r="O60" s="751" t="str">
        <x:v>fd75ab8dd58b68417b6da68c10c92a6952c7e7e2c8fdb7d48b02c8a46c6dee6a</x:v>
      </x:c>
      <x:c r="P60" s="752" t="str">
        <x:v>Animal By-Products Regulations</x:v>
      </x:c>
      <x:c r="Q60" s="752" t="str">
        <x:v>https://lovdata.no/dokument/SF/forskrift/2016-09-14-1064</x:v>
      </x:c>
      <x:c r="R60" s="752" t="str">
        <x:v>https://lovdata.no/dokument/SF/forskrift/2016-09-14-1064</x:v>
      </x:c>
      <x:c r="S60" s="752" t="str">
        <x:v>A_Public_Authority</x:v>
      </x:c>
      <x:c r="T60" s="752" t="str">
        <x:v>html</x:v>
      </x:c>
      <x:c r="U60" s="752" t="str">
        <x:v>Norwegian Ministry of Agriculture and Food</x:v>
      </x:c>
      <x:c r="V60" s="752" t="str">
        <x:v>Norway</x:v>
      </x:c>
      <x:c r="W60" s="752" t="str">
        <x:v>Norwegian</x:v>
      </x:c>
      <x:c r="X60" s="752"/>
      <x:c r="Y60" s="752"/>
      <x:c r="Z60" s="752" t="str">
        <x:v>Public authority</x:v>
      </x:c>
      <x:c r="AA60" s="752" t="str">
        <x:v>Regulation</x:v>
      </x:c>
      <x:c r="AB60" s="752" t="str">
        <x:v>Primary normative</x:v>
      </x:c>
      <x:c r="AC60" s="752" t="str">
        <x:v>Official regulation issued by Norwegian Ministry of Agriculture and Food; included because it may impose binding requirements on an in-scope aquaculture asset, activity, permit or certification.</x:v>
      </x:c>
      <x:c r="AD60" s="752" t="str">
        <x:v>HIGH</x:v>
      </x:c>
      <x:c r="AE60" s="752" t="str">
        <x:v>HIGH</x:v>
      </x:c>
      <x:c r="AF60" s="752" t="str">
        <x:v>HIGH</x:v>
      </x:c>
      <x:c r="AG60" s="752" t="str">
        <x:v>HIGH</x:v>
      </x:c>
      <x:c r="AH60" s="752" t="str">
        <x:v>HIGH</x:v>
      </x:c>
      <x:c r="AI60" s="752" t="str">
        <x:v>HIGH</x:v>
      </x:c>
      <x:c r="AJ60" s="752" t="str">
        <x:v>INCLUDE</x:v>
      </x:c>
      <x:c r="AK60" s="759"/>
      <x:c r="AL60" s="752"/>
      <x:c r="AM60" s="752" t="str">
        <x:v>CURRENT</x:v>
      </x:c>
      <x:c r="AN60" s="752"/>
      <x:c r="AO60" s="752" t="str">
        <x:v>Official food and animal-health expansion. Relevant to mortality, biological waste and animal by-product handling.</x:v>
      </x:c>
      <x:c r="AP60" s="752" t="str">
        <x:v>OFFICIAL_WEBSITE</x:v>
      </x:c>
      <x:c r="AQ60" s="752" t="str">
        <x:v>OFFICIAL_ORIGINAL</x:v>
      </x:c>
      <x:c r="AR60" s="752" t="str">
        <x:v>ROLLING</x:v>
      </x:c>
      <x:c r="AS60" s="752"/>
    </x:row>
    <x:row r="61" s="36" customFormat="1" ht="30" customHeight="1">
      <x:c r="A61" s="751" t="str">
        <x:v>PA059</x:v>
      </x:c>
      <x:c r="B61" s="751" t="str">
        <x:v>PA059-001</x:v>
      </x:c>
      <x:c r="C61" s="751" t="str">
        <x:v>PA059-001_Feed_Hygiene_Regulations.html</x:v>
      </x:c>
      <x:c r="D61" s="751" t="str">
        <x:v>STORED</x:v>
      </x:c>
      <x:c r="E61" s="751" t="str">
        <x:f>IF(A61="","",IF(OR(AJ61="EXCLUDE",COUNTIF(AD61:AH61,"LOW")&gt;0),"EXCLUDE",IF(OR(AJ61&lt;&gt;"INCLUDE",F61&lt;&gt;"SUCCESS",D61&lt;&gt;"STORED",U61="",AP61="",AQ61="",AQ61="UNVERIFIED",AND(AP61="OFFICIAL_WEBSITE",Q61=""),AND(OR(AA61="Equipment manual / OEM instruction",AB61="Asset-specific normative"),OR(Z61&lt;&gt;"Manufacturer / supplier",AS61="",AC61=""))),"PENDING",IF(COUNTIF(AD61:AH61,"HIGH")=5,"INCLUDE","PENDING"))))</x:f>
        <x:v>INCLUDE</x:v>
      </x:c>
      <x:c r="F61" s="751" t="str">
        <x:v>SUCCESS</x:v>
      </x:c>
      <x:c r="G61" s="755" t="n">
        <x:v>46262.53109953704</x:v>
      </x:c>
      <x:c r="H61" s="755" t="n">
        <x:v>46262.53109953704</x:v>
      </x:c>
      <x:c r="I61" s="751" t="str">
        <x:v>INITIAL</x:v>
      </x:c>
      <x:c r="J61" s="751" t="str">
        <x:v>AUTO</x:v>
      </x:c>
      <x:c r="K61" s="757" t="n">
        <x:f>IF(A61="","",IF(J61="AUTO",H61,IF(J61="MANUAL",AK61,"")))</x:f>
        <x:v>46262.53109953704</x:v>
      </x:c>
      <x:c r="L61" s="751" t="str">
        <x:v>NONE</x:v>
      </x:c>
      <x:c r="M61" s="751"/>
      <x:c r="N61" s="751" t="str">
        <x:f>IF(OR(AM61&lt;&gt;"CURRENT",E61="EXCLUDE"),"NO",IF(A61="","",IF(OR(F61="FAIL",F61="PAYWALL_BLOCKED"),IF(AND(AK61&lt;&gt;"",AK61&gt;=INT(G61),D61="STORED",J61="MANUAL",AL61&lt;&gt;""),"NO","YES"),IF(AND(AR61="ROLLING",I61="CHANGED"),IF(AND(AK61&lt;&gt;"",AK61&gt;=INT(IF(H61&lt;&gt;"",H61,G61)),AL61&lt;&gt;""),"NO","YES"),"NO"))))</x:f>
        <x:v>NO</x:v>
      </x:c>
      <x:c r="O61" s="751" t="str">
        <x:v>ed6c7697859784b170a511c1cf2959184626790cd65ed05c36bc863c6769a793</x:v>
      </x:c>
      <x:c r="P61" s="752" t="str">
        <x:v>Feed Hygiene Regulations</x:v>
      </x:c>
      <x:c r="Q61" s="752" t="str">
        <x:v>https://lovdata.no/dokument/SF/forskrift/2010-01-14-39</x:v>
      </x:c>
      <x:c r="R61" s="752" t="str">
        <x:v>https://lovdata.no/dokument/SF/forskrift/2010-01-14-39</x:v>
      </x:c>
      <x:c r="S61" s="752" t="str">
        <x:v>A_Public_Authority</x:v>
      </x:c>
      <x:c r="T61" s="752" t="str">
        <x:v>html</x:v>
      </x:c>
      <x:c r="U61" s="752" t="str">
        <x:v>Norwegian Ministry of Agriculture and Food</x:v>
      </x:c>
      <x:c r="V61" s="752" t="str">
        <x:v>Norway</x:v>
      </x:c>
      <x:c r="W61" s="752" t="str">
        <x:v>Norwegian</x:v>
      </x:c>
      <x:c r="X61" s="752"/>
      <x:c r="Y61" s="752"/>
      <x:c r="Z61" s="752" t="str">
        <x:v>Public authority</x:v>
      </x:c>
      <x:c r="AA61" s="752" t="str">
        <x:v>Regulation</x:v>
      </x:c>
      <x:c r="AB61" s="752" t="str">
        <x:v>Primary normative</x:v>
      </x:c>
      <x:c r="AC61" s="752" t="str">
        <x:v>Official regulation issued by Norwegian Ministry of Agriculture and Food; included because it may impose binding requirements on an in-scope aquaculture asset, activity, permit or certification.</x:v>
      </x:c>
      <x:c r="AD61" s="752" t="str">
        <x:v>HIGH</x:v>
      </x:c>
      <x:c r="AE61" s="752" t="str">
        <x:v>HIGH</x:v>
      </x:c>
      <x:c r="AF61" s="752" t="str">
        <x:v>HIGH</x:v>
      </x:c>
      <x:c r="AG61" s="752" t="str">
        <x:v>HIGH</x:v>
      </x:c>
      <x:c r="AH61" s="752" t="str">
        <x:v>HIGH</x:v>
      </x:c>
      <x:c r="AI61" s="752" t="str">
        <x:v>HIGH</x:v>
      </x:c>
      <x:c r="AJ61" s="752" t="str">
        <x:v>INCLUDE</x:v>
      </x:c>
      <x:c r="AK61" s="759"/>
      <x:c r="AL61" s="752"/>
      <x:c r="AM61" s="752" t="str">
        <x:v>CURRENT</x:v>
      </x:c>
      <x:c r="AN61" s="752"/>
      <x:c r="AO61" s="752" t="str">
        <x:v>Official feed-safety expansion. Applicability depends on storage, handling and feed-business activities.</x:v>
      </x:c>
      <x:c r="AP61" s="752" t="str">
        <x:v>OFFICIAL_WEBSITE</x:v>
      </x:c>
      <x:c r="AQ61" s="752" t="str">
        <x:v>OFFICIAL_ORIGINAL</x:v>
      </x:c>
      <x:c r="AR61" s="752" t="str">
        <x:v>ROLLING</x:v>
      </x:c>
      <x:c r="AS61" s="752"/>
    </x:row>
    <x:row r="62" s="36" customFormat="1" ht="30" customHeight="1">
      <x:c r="A62" s="751" t="str">
        <x:v>PA060</x:v>
      </x:c>
      <x:c r="B62" s="751" t="str">
        <x:v>PA060-001</x:v>
      </x:c>
      <x:c r="C62" s="751" t="str">
        <x:v>PA060-001_Regulation_on_veterinary_medicinal_products.html</x:v>
      </x:c>
      <x:c r="D62" s="751" t="str">
        <x:v>STORED</x:v>
      </x:c>
      <x:c r="E62" s="751" t="str">
        <x:f>IF(A62="","",IF(OR(AJ62="EXCLUDE",COUNTIF(AD62:AH62,"LOW")&gt;0),"EXCLUDE",IF(OR(AJ62&lt;&gt;"INCLUDE",F62&lt;&gt;"SUCCESS",D62&lt;&gt;"STORED",U62="",AP62="",AQ62="",AQ62="UNVERIFIED",AND(AP62="OFFICIAL_WEBSITE",Q62=""),AND(OR(AA62="Equipment manual / OEM instruction",AB62="Asset-specific normative"),OR(Z62&lt;&gt;"Manufacturer / supplier",AS62="",AC62=""))),"PENDING",IF(COUNTIF(AD62:AH62,"HIGH")=5,"INCLUDE","PENDING"))))</x:f>
        <x:v>INCLUDE</x:v>
      </x:c>
      <x:c r="F62" s="751" t="str">
        <x:v>SUCCESS</x:v>
      </x:c>
      <x:c r="G62" s="755" t="n">
        <x:v>46262.53109953704</x:v>
      </x:c>
      <x:c r="H62" s="755" t="n">
        <x:v>46262.53111111111</x:v>
      </x:c>
      <x:c r="I62" s="751" t="str">
        <x:v>INITIAL</x:v>
      </x:c>
      <x:c r="J62" s="751" t="str">
        <x:v>AUTO</x:v>
      </x:c>
      <x:c r="K62" s="757" t="n">
        <x:f>IF(A62="","",IF(J62="AUTO",H62,IF(J62="MANUAL",AK62,"")))</x:f>
        <x:v>46262.53111111111</x:v>
      </x:c>
      <x:c r="L62" s="751" t="str">
        <x:v>NONE</x:v>
      </x:c>
      <x:c r="M62" s="751"/>
      <x:c r="N62" s="751" t="str">
        <x:f>IF(OR(AM62&lt;&gt;"CURRENT",E62="EXCLUDE"),"NO",IF(A62="","",IF(OR(F62="FAIL",F62="PAYWALL_BLOCKED"),IF(AND(AK62&lt;&gt;"",AK62&gt;=INT(G62),D62="STORED",J62="MANUAL",AL62&lt;&gt;""),"NO","YES"),IF(AND(AR62="ROLLING",I62="CHANGED"),IF(AND(AK62&lt;&gt;"",AK62&gt;=INT(IF(H62&lt;&gt;"",H62,G62)),AL62&lt;&gt;""),"NO","YES"),"NO"))))</x:f>
        <x:v>NO</x:v>
      </x:c>
      <x:c r="O62" s="751" t="str">
        <x:v>744c31829906a7667ae58957380386b0baab1a1ad56b468b6a9ce452b7f0ff8b</x:v>
      </x:c>
      <x:c r="P62" s="752" t="str">
        <x:v>Regulation on veterinary medicinal products</x:v>
      </x:c>
      <x:c r="Q62" s="752" t="str">
        <x:v>https://lovdata.no/dokument/SF/forskrift/2022-09-08-1573</x:v>
      </x:c>
      <x:c r="R62" s="752" t="str">
        <x:v>https://lovdata.no/dokument/SF/forskrift/2022-09-08-1573</x:v>
      </x:c>
      <x:c r="S62" s="752" t="str">
        <x:v>A_Public_Authority</x:v>
      </x:c>
      <x:c r="T62" s="752" t="str">
        <x:v>html</x:v>
      </x:c>
      <x:c r="U62" s="752" t="str">
        <x:v>Norwegian Ministry of Health and Care Services</x:v>
      </x:c>
      <x:c r="V62" s="752" t="str">
        <x:v>Norway</x:v>
      </x:c>
      <x:c r="W62" s="752" t="str">
        <x:v>Norwegian</x:v>
      </x:c>
      <x:c r="X62" s="752"/>
      <x:c r="Y62" s="752"/>
      <x:c r="Z62" s="752" t="str">
        <x:v>Public authority</x:v>
      </x:c>
      <x:c r="AA62" s="752" t="str">
        <x:v>Regulation</x:v>
      </x:c>
      <x:c r="AB62" s="752" t="str">
        <x:v>Primary normative</x:v>
      </x:c>
      <x:c r="AC62" s="752" t="str">
        <x:v>Official regulation issued by Norwegian Ministry of Health and Care Services; included because it may impose binding requirements on an in-scope aquaculture asset, activity, permit or certification.</x:v>
      </x:c>
      <x:c r="AD62" s="752" t="str">
        <x:v>HIGH</x:v>
      </x:c>
      <x:c r="AE62" s="752" t="str">
        <x:v>HIGH</x:v>
      </x:c>
      <x:c r="AF62" s="752" t="str">
        <x:v>HIGH</x:v>
      </x:c>
      <x:c r="AG62" s="752" t="str">
        <x:v>HIGH</x:v>
      </x:c>
      <x:c r="AH62" s="752" t="str">
        <x:v>HIGH</x:v>
      </x:c>
      <x:c r="AI62" s="752" t="str">
        <x:v>HIGH</x:v>
      </x:c>
      <x:c r="AJ62" s="752" t="str">
        <x:v>INCLUDE</x:v>
      </x:c>
      <x:c r="AK62" s="759"/>
      <x:c r="AL62" s="752"/>
      <x:c r="AM62" s="752" t="str">
        <x:v>CURRENT</x:v>
      </x:c>
      <x:c r="AN62" s="752"/>
      <x:c r="AO62" s="752" t="str">
        <x:v>Official animal-health expansion. Include applicable provisions for procurement, use, records and handling of veterinary medicines.</x:v>
      </x:c>
      <x:c r="AP62" s="752" t="str">
        <x:v>OFFICIAL_WEBSITE</x:v>
      </x:c>
      <x:c r="AQ62" s="752" t="str">
        <x:v>OFFICIAL_ORIGINAL</x:v>
      </x:c>
      <x:c r="AR62" s="752" t="str">
        <x:v>ROLLING</x:v>
      </x:c>
      <x:c r="AS62" s="752"/>
    </x:row>
    <x:row r="63" s="36" customFormat="1" ht="30" customHeight="1">
      <x:c r="A63" s="751" t="str">
        <x:v>SB001</x:v>
      </x:c>
      <x:c r="B63" s="751" t="str">
        <x:v>SB001-001</x:v>
      </x:c>
      <x:c r="C63" s="751" t="str">
        <x:v>SB001-001_NS_9415_2021_AC_2024_Floating_aquaculture_farms_-_Site_survey_design_execution_and_use.pdf</x:v>
      </x:c>
      <x:c r="D63" s="751" t="str">
        <x:v>NOT_COLLECTED</x:v>
      </x:c>
      <x:c r="E63" s="751" t="str">
        <x:f>IF(A63="","",IF(OR(AJ63="EXCLUDE",COUNTIF(AD63:AH63,"LOW")&gt;0),"EXCLUDE",IF(OR(AJ63&lt;&gt;"INCLUDE",F63&lt;&gt;"SUCCESS",D63&lt;&gt;"STORED",U63="",AP63="",AQ63="",AQ63="UNVERIFIED",AND(AP63="OFFICIAL_WEBSITE",Q63=""),AND(OR(AA63="Equipment manual / OEM instruction",AB63="Asset-specific normative"),OR(Z63&lt;&gt;"Manufacturer / supplier",AS63="",AC63=""))),"PENDING",IF(COUNTIF(AD63:AH63,"HIGH")=5,"INCLUDE","PENDING"))))</x:f>
        <x:v>PENDING</x:v>
      </x:c>
      <x:c r="F63" s="751" t="str">
        <x:v>PAYWALL_BLOCKED</x:v>
      </x:c>
      <x:c r="G63" s="755"/>
      <x:c r="H63" s="755"/>
      <x:c r="I63" s="751" t="str">
        <x:v>UNKNOWN</x:v>
      </x:c>
      <x:c r="J63" s="751" t="str">
        <x:v>NONE</x:v>
      </x:c>
      <x:c r="K63" s="757" t="str">
        <x:f>IF(A63="","",IF(J63="AUTO",H63,IF(J63="MANUAL",AK63,"")))</x:f>
      </x:c>
      <x:c r="L63" s="751" t="str">
        <x:v>HTTP</x:v>
      </x:c>
      <x:c r="M63" s="751" t="str">
        <x:v>Official access is restricted by a paywall or licence; provide an authorised copy or retrieval route.</x:v>
      </x:c>
      <x:c r="N63" s="751" t="str">
        <x:f>IF(OR(AM63&lt;&gt;"CURRENT",E63="EXCLUDE"),"NO",IF(A63="","",IF(OR(F63="FAIL",F63="PAYWALL_BLOCKED"),IF(AND(AK63&lt;&gt;"",AK63&gt;=INT(G63),D63="STORED",J63="MANUAL",AL63&lt;&gt;""),"NO","YES"),IF(AND(AR63="ROLLING",I63="CHANGED"),IF(AND(AK63&lt;&gt;"",AK63&gt;=INT(IF(H63&lt;&gt;"",H63,G63)),AL63&lt;&gt;""),"NO","YES"),"NO"))))</x:f>
        <x:v>YES</x:v>
      </x:c>
      <x:c r="O63" s="751"/>
      <x:c r="P63" s="752" t="str">
        <x:v>NS 9415:2021+AC:2024 Floating aquaculture farms - Site survey, design, execution and use</x:v>
      </x:c>
      <x:c r="Q63" s="752" t="str">
        <x:v>https://online.standard.no/nb/ns-9415-2021</x:v>
      </x:c>
      <x:c r="R63" s="752"/>
      <x:c r="S63" s="752" t="str">
        <x:v>B_Standards_Body</x:v>
      </x:c>
      <x:c r="T63" s="752" t="str">
        <x:v>pdf</x:v>
      </x:c>
      <x:c r="U63" s="752" t="str">
        <x:v>Standards Norway</x:v>
      </x:c>
      <x:c r="V63" s="752" t="str">
        <x:v>Norway</x:v>
      </x:c>
      <x:c r="W63" s="752" t="str">
        <x:v>Norwegian</x:v>
      </x:c>
      <x:c r="X63" s="752" t="str">
        <x:v>2021+AC:2024</x:v>
      </x:c>
      <x:c r="Y63" s="752"/>
      <x:c r="Z63" s="752" t="str">
        <x:v>Standards body</x:v>
      </x:c>
      <x:c r="AA63" s="752" t="str">
        <x:v>Technical standard</x:v>
      </x:c>
      <x:c r="AB63" s="752" t="str">
        <x:v>Referenced normative</x:v>
      </x:c>
      <x:c r="AC63" s="752" t="str">
        <x:v>Official referenced source from Standards Norway; included because an applicable law, permit or certification scheme may make its provisions binding within the approved scope.</x:v>
      </x:c>
      <x:c r="AD63" s="752" t="str">
        <x:v>HIGH</x:v>
      </x:c>
      <x:c r="AE63" s="752" t="str">
        <x:v>HIGH</x:v>
      </x:c>
      <x:c r="AF63" s="752" t="str">
        <x:v>HIGH</x:v>
      </x:c>
      <x:c r="AG63" s="752" t="str">
        <x:v>HIGH</x:v>
      </x:c>
      <x:c r="AH63" s="752" t="str">
        <x:v>MEDIUM</x:v>
      </x:c>
      <x:c r="AI63" s="752" t="str">
        <x:v>LOW</x:v>
      </x:c>
      <x:c r="AJ63" s="752" t="str">
        <x:v>PENDING</x:v>
      </x:c>
      <x:c r="AK63" s="759"/>
      <x:c r="AL63" s="752"/>
      <x:c r="AM63" s="752" t="str">
        <x:v>CURRENT</x:v>
      </x:c>
      <x:c r="AN63" s="752" t="str">
        <x:v>PA004</x:v>
      </x:c>
      <x:c r="AO63" s="752" t="str">
        <x:v>Project-mentioned standard referenced by NYTEK23. Licensed access is required before automated retrieval.</x:v>
      </x:c>
      <x:c r="AP63" s="752" t="str">
        <x:v>OFFICIAL_WEBSITE</x:v>
      </x:c>
      <x:c r="AQ63" s="752" t="str">
        <x:v>OFFICIAL_ORIGINAL</x:v>
      </x:c>
      <x:c r="AR63" s="752" t="str">
        <x:v>VERSIONED</x:v>
      </x:c>
      <x:c r="AS63" s="752"/>
    </x:row>
    <x:row r="64" s="36" customFormat="1" ht="30" customHeight="1">
      <x:c r="A64" s="751" t="str">
        <x:v>SB002</x:v>
      </x:c>
      <x:c r="B64" s="751" t="str">
        <x:v>SB002-001</x:v>
      </x:c>
      <x:c r="C64" s="751" t="str">
        <x:v>SB002-001_NS_9410_2016_Environmental_monitoring_of_benthic_impact_from_marine_fish_farms.pdf</x:v>
      </x:c>
      <x:c r="D64" s="751" t="str">
        <x:v>NOT_COLLECTED</x:v>
      </x:c>
      <x:c r="E64" s="751" t="str">
        <x:f>IF(A64="","",IF(OR(AJ64="EXCLUDE",COUNTIF(AD64:AH64,"LOW")&gt;0),"EXCLUDE",IF(OR(AJ64&lt;&gt;"INCLUDE",F64&lt;&gt;"SUCCESS",D64&lt;&gt;"STORED",U64="",AP64="",AQ64="",AQ64="UNVERIFIED",AND(AP64="OFFICIAL_WEBSITE",Q64=""),AND(OR(AA64="Equipment manual / OEM instruction",AB64="Asset-specific normative"),OR(Z64&lt;&gt;"Manufacturer / supplier",AS64="",AC64=""))),"PENDING",IF(COUNTIF(AD64:AH64,"HIGH")=5,"INCLUDE","PENDING"))))</x:f>
        <x:v>PENDING</x:v>
      </x:c>
      <x:c r="F64" s="751" t="str">
        <x:v>PAYWALL_BLOCKED</x:v>
      </x:c>
      <x:c r="G64" s="755"/>
      <x:c r="H64" s="755"/>
      <x:c r="I64" s="751" t="str">
        <x:v>UNKNOWN</x:v>
      </x:c>
      <x:c r="J64" s="751" t="str">
        <x:v>NONE</x:v>
      </x:c>
      <x:c r="K64" s="757" t="str">
        <x:f>IF(A64="","",IF(J64="AUTO",H64,IF(J64="MANUAL",AK64,"")))</x:f>
      </x:c>
      <x:c r="L64" s="751" t="str">
        <x:v>HTTP</x:v>
      </x:c>
      <x:c r="M64" s="751" t="str">
        <x:v>Official access is restricted by a paywall or licence; provide an authorised copy or retrieval route.</x:v>
      </x:c>
      <x:c r="N64" s="751" t="str">
        <x:f>IF(OR(AM64&lt;&gt;"CURRENT",E64="EXCLUDE"),"NO",IF(A64="","",IF(OR(F64="FAIL",F64="PAYWALL_BLOCKED"),IF(AND(AK64&lt;&gt;"",AK64&gt;=INT(G64),D64="STORED",J64="MANUAL",AL64&lt;&gt;""),"NO","YES"),IF(AND(AR64="ROLLING",I64="CHANGED"),IF(AND(AK64&lt;&gt;"",AK64&gt;=INT(IF(H64&lt;&gt;"",H64,G64)),AL64&lt;&gt;""),"NO","YES"),"NO"))))</x:f>
        <x:v>YES</x:v>
      </x:c>
      <x:c r="O64" s="751"/>
      <x:c r="P64" s="752" t="str">
        <x:v>NS 9410:2016 Environmental monitoring of benthic impact from marine fish farms</x:v>
      </x:c>
      <x:c r="Q64" s="752" t="str">
        <x:v>https://online.standard.no/ns-9410-2016</x:v>
      </x:c>
      <x:c r="R64" s="752"/>
      <x:c r="S64" s="752" t="str">
        <x:v>B_Standards_Body</x:v>
      </x:c>
      <x:c r="T64" s="752" t="str">
        <x:v>pdf</x:v>
      </x:c>
      <x:c r="U64" s="752" t="str">
        <x:v>Standards Norway</x:v>
      </x:c>
      <x:c r="V64" s="752" t="str">
        <x:v>Norway</x:v>
      </x:c>
      <x:c r="W64" s="752" t="str">
        <x:v>Norwegian</x:v>
      </x:c>
      <x:c r="X64" s="752" t="str">
        <x:v>2016</x:v>
      </x:c>
      <x:c r="Y64" s="752"/>
      <x:c r="Z64" s="752" t="str">
        <x:v>Standards body</x:v>
      </x:c>
      <x:c r="AA64" s="752" t="str">
        <x:v>Technical standard</x:v>
      </x:c>
      <x:c r="AB64" s="752" t="str">
        <x:v>Referenced normative</x:v>
      </x:c>
      <x:c r="AC64" s="752" t="str">
        <x:v>Official referenced source from Standards Norway; included because an applicable law, permit or certification scheme may make its provisions binding within the approved scope.</x:v>
      </x:c>
      <x:c r="AD64" s="752" t="str">
        <x:v>HIGH</x:v>
      </x:c>
      <x:c r="AE64" s="752" t="str">
        <x:v>HIGH</x:v>
      </x:c>
      <x:c r="AF64" s="752" t="str">
        <x:v>MEDIUM</x:v>
      </x:c>
      <x:c r="AG64" s="752" t="str">
        <x:v>HIGH</x:v>
      </x:c>
      <x:c r="AH64" s="752" t="str">
        <x:v>MEDIUM</x:v>
      </x:c>
      <x:c r="AI64" s="752" t="str">
        <x:v>LOW</x:v>
      </x:c>
      <x:c r="AJ64" s="752" t="str">
        <x:v>PENDING</x:v>
      </x:c>
      <x:c r="AK64" s="759"/>
      <x:c r="AL64" s="752"/>
      <x:c r="AM64" s="752" t="str">
        <x:v>CURRENT</x:v>
      </x:c>
      <x:c r="AN64" s="752" t="str">
        <x:v>PA044</x:v>
      </x:c>
      <x:c r="AO64" s="752" t="str">
        <x:v>Official expansion from environmental authority guidance. Licensed access is required.</x:v>
      </x:c>
      <x:c r="AP64" s="752" t="str">
        <x:v>OFFICIAL_WEBSITE</x:v>
      </x:c>
      <x:c r="AQ64" s="752" t="str">
        <x:v>OFFICIAL_ORIGINAL</x:v>
      </x:c>
      <x:c r="AR64" s="752" t="str">
        <x:v>VERSIONED</x:v>
      </x:c>
      <x:c r="AS64" s="752"/>
    </x:row>
    <x:row r="65" s="36" customFormat="1" ht="30" customHeight="1">
      <x:c r="A65" s="751" t="str">
        <x:v>SB003</x:v>
      </x:c>
      <x:c r="B65" s="751" t="str">
        <x:v>SB003-001</x:v>
      </x:c>
      <x:c r="C65" s="751" t="str">
        <x:v>SB003-001_NS_9416_2013_Land-based_aquaculture_facilities_for_fish.pdf</x:v>
      </x:c>
      <x:c r="D65" s="751" t="str">
        <x:v>NOT_COLLECTED</x:v>
      </x:c>
      <x:c r="E65" s="751" t="str">
        <x:f>IF(A65="","",IF(OR(AJ65="EXCLUDE",COUNTIF(AD65:AH65,"LOW")&gt;0),"EXCLUDE",IF(OR(AJ65&lt;&gt;"INCLUDE",F65&lt;&gt;"SUCCESS",D65&lt;&gt;"STORED",U65="",AP65="",AQ65="",AQ65="UNVERIFIED",AND(AP65="OFFICIAL_WEBSITE",Q65=""),AND(OR(AA65="Equipment manual / OEM instruction",AB65="Asset-specific normative"),OR(Z65&lt;&gt;"Manufacturer / supplier",AS65="",AC65=""))),"PENDING",IF(COUNTIF(AD65:AH65,"HIGH")=5,"INCLUDE","PENDING"))))</x:f>
        <x:v>PENDING</x:v>
      </x:c>
      <x:c r="F65" s="751" t="str">
        <x:v>PAYWALL_BLOCKED</x:v>
      </x:c>
      <x:c r="G65" s="755"/>
      <x:c r="H65" s="755"/>
      <x:c r="I65" s="751" t="str">
        <x:v>UNKNOWN</x:v>
      </x:c>
      <x:c r="J65" s="751" t="str">
        <x:v>NONE</x:v>
      </x:c>
      <x:c r="K65" s="757" t="str">
        <x:f>IF(A65="","",IF(J65="AUTO",H65,IF(J65="MANUAL",AK65,"")))</x:f>
      </x:c>
      <x:c r="L65" s="751" t="str">
        <x:v>HTTP</x:v>
      </x:c>
      <x:c r="M65" s="751" t="str">
        <x:v>Official access is restricted by a paywall or licence; provide an authorised copy or retrieval route.</x:v>
      </x:c>
      <x:c r="N65" s="751" t="str">
        <x:f>IF(OR(AM65&lt;&gt;"CURRENT",E65="EXCLUDE"),"NO",IF(A65="","",IF(OR(F65="FAIL",F65="PAYWALL_BLOCKED"),IF(AND(AK65&lt;&gt;"",AK65&gt;=INT(G65),D65="STORED",J65="MANUAL",AL65&lt;&gt;""),"NO","YES"),IF(AND(AR65="ROLLING",I65="CHANGED"),IF(AND(AK65&lt;&gt;"",AK65&gt;=INT(IF(H65&lt;&gt;"",H65,G65)),AL65&lt;&gt;""),"NO","YES"),"NO"))))</x:f>
        <x:v>YES</x:v>
      </x:c>
      <x:c r="O65" s="751"/>
      <x:c r="P65" s="752" t="str">
        <x:v>NS 9416:2013 Land-based aquaculture facilities for fish</x:v>
      </x:c>
      <x:c r="Q65" s="752" t="str">
        <x:v>https://online.standard.no/nb/ns-9416-2013</x:v>
      </x:c>
      <x:c r="R65" s="752"/>
      <x:c r="S65" s="752" t="str">
        <x:v>B_Standards_Body</x:v>
      </x:c>
      <x:c r="T65" s="752" t="str">
        <x:v>pdf</x:v>
      </x:c>
      <x:c r="U65" s="752" t="str">
        <x:v>Standards Norway</x:v>
      </x:c>
      <x:c r="V65" s="752" t="str">
        <x:v>Norway</x:v>
      </x:c>
      <x:c r="W65" s="752" t="str">
        <x:v>Norwegian</x:v>
      </x:c>
      <x:c r="X65" s="752" t="str">
        <x:v>2013</x:v>
      </x:c>
      <x:c r="Y65" s="752"/>
      <x:c r="Z65" s="752" t="str">
        <x:v>Standards body</x:v>
      </x:c>
      <x:c r="AA65" s="752" t="str">
        <x:v>Technical standard</x:v>
      </x:c>
      <x:c r="AB65" s="752" t="str">
        <x:v>Referenced normative</x:v>
      </x:c>
      <x:c r="AC65" s="752" t="str">
        <x:v>Official referenced source from Standards Norway; included because an applicable law, permit or certification scheme may make its provisions binding within the approved scope.</x:v>
      </x:c>
      <x:c r="AD65" s="752" t="str">
        <x:v>HIGH</x:v>
      </x:c>
      <x:c r="AE65" s="752" t="str">
        <x:v>MEDIUM</x:v>
      </x:c>
      <x:c r="AF65" s="752" t="str">
        <x:v>MEDIUM</x:v>
      </x:c>
      <x:c r="AG65" s="752" t="str">
        <x:v>HIGH</x:v>
      </x:c>
      <x:c r="AH65" s="752" t="str">
        <x:v>MEDIUM</x:v>
      </x:c>
      <x:c r="AI65" s="752" t="str">
        <x:v>LOW</x:v>
      </x:c>
      <x:c r="AJ65" s="752" t="str">
        <x:v>PENDING</x:v>
      </x:c>
      <x:c r="AK65" s="759"/>
      <x:c r="AL65" s="752"/>
      <x:c r="AM65" s="752" t="str">
        <x:v>CURRENT</x:v>
      </x:c>
      <x:c r="AN65" s="752" t="str">
        <x:v>PA022</x:v>
      </x:c>
      <x:c r="AO65" s="752" t="str">
        <x:v>Referenced by PA022. A revision project is active, so currency requires explicit monitoring.</x:v>
      </x:c>
      <x:c r="AP65" s="752" t="str">
        <x:v>OFFICIAL_WEBSITE</x:v>
      </x:c>
      <x:c r="AQ65" s="752" t="str">
        <x:v>OFFICIAL_ORIGINAL</x:v>
      </x:c>
      <x:c r="AR65" s="752" t="str">
        <x:v>VERSIONED</x:v>
      </x:c>
      <x:c r="AS65" s="752"/>
    </x:row>
    <x:row r="66" s="36" customFormat="1" ht="30" customHeight="1">
      <x:c r="A66" s="751" t="str">
        <x:v>SB004</x:v>
      </x:c>
      <x:c r="B66" s="751" t="str">
        <x:v>SB004-001</x:v>
      </x:c>
      <x:c r="C66" s="751" t="str">
        <x:v>SB004-001_NS_5814_2021_AC_2023_Requirements_for_risk_assessments.pdf</x:v>
      </x:c>
      <x:c r="D66" s="751" t="str">
        <x:v>NOT_COLLECTED</x:v>
      </x:c>
      <x:c r="E66" s="751" t="str">
        <x:f>IF(A66="","",IF(OR(AJ66="EXCLUDE",COUNTIF(AD66:AH66,"LOW")&gt;0),"EXCLUDE",IF(OR(AJ66&lt;&gt;"INCLUDE",F66&lt;&gt;"SUCCESS",D66&lt;&gt;"STORED",U66="",AP66="",AQ66="",AQ66="UNVERIFIED",AND(AP66="OFFICIAL_WEBSITE",Q66=""),AND(OR(AA66="Equipment manual / OEM instruction",AB66="Asset-specific normative"),OR(Z66&lt;&gt;"Manufacturer / supplier",AS66="",AC66=""))),"PENDING",IF(COUNTIF(AD66:AH66,"HIGH")=5,"INCLUDE","PENDING"))))</x:f>
        <x:v>PENDING</x:v>
      </x:c>
      <x:c r="F66" s="751" t="str">
        <x:v>PAYWALL_BLOCKED</x:v>
      </x:c>
      <x:c r="G66" s="755"/>
      <x:c r="H66" s="755"/>
      <x:c r="I66" s="751" t="str">
        <x:v>UNKNOWN</x:v>
      </x:c>
      <x:c r="J66" s="751" t="str">
        <x:v>NONE</x:v>
      </x:c>
      <x:c r="K66" s="757" t="str">
        <x:f>IF(A66="","",IF(J66="AUTO",H66,IF(J66="MANUAL",AK66,"")))</x:f>
      </x:c>
      <x:c r="L66" s="751" t="str">
        <x:v>HTTP</x:v>
      </x:c>
      <x:c r="M66" s="751" t="str">
        <x:v>Official access is restricted by a paywall or licence; provide an authorised copy or retrieval route.</x:v>
      </x:c>
      <x:c r="N66" s="751" t="str">
        <x:f>IF(OR(AM66&lt;&gt;"CURRENT",E66="EXCLUDE"),"NO",IF(A66="","",IF(OR(F66="FAIL",F66="PAYWALL_BLOCKED"),IF(AND(AK66&lt;&gt;"",AK66&gt;=INT(G66),D66="STORED",J66="MANUAL",AL66&lt;&gt;""),"NO","YES"),IF(AND(AR66="ROLLING",I66="CHANGED"),IF(AND(AK66&lt;&gt;"",AK66&gt;=INT(IF(H66&lt;&gt;"",H66,G66)),AL66&lt;&gt;""),"NO","YES"),"NO"))))</x:f>
        <x:v>YES</x:v>
      </x:c>
      <x:c r="O66" s="751"/>
      <x:c r="P66" s="752" t="str">
        <x:v>NS 5814:2021+AC:2023 Requirements for risk assessments</x:v>
      </x:c>
      <x:c r="Q66" s="752" t="str">
        <x:v>https://standard.no/fagomrader/risikostyring/ns-5814-krav-til-risikovurderinger/</x:v>
      </x:c>
      <x:c r="R66" s="752"/>
      <x:c r="S66" s="752" t="str">
        <x:v>B_Standards_Body</x:v>
      </x:c>
      <x:c r="T66" s="752" t="str">
        <x:v>pdf</x:v>
      </x:c>
      <x:c r="U66" s="752" t="str">
        <x:v>Standards Norway</x:v>
      </x:c>
      <x:c r="V66" s="752" t="str">
        <x:v>Norway</x:v>
      </x:c>
      <x:c r="W66" s="752" t="str">
        <x:v>Norwegian</x:v>
      </x:c>
      <x:c r="X66" s="752" t="str">
        <x:v>2021+AC:2023</x:v>
      </x:c>
      <x:c r="Y66" s="752"/>
      <x:c r="Z66" s="752" t="str">
        <x:v>Standards body</x:v>
      </x:c>
      <x:c r="AA66" s="752" t="str">
        <x:v>Technical standard</x:v>
      </x:c>
      <x:c r="AB66" s="752" t="str">
        <x:v>Guidance / interpretation</x:v>
      </x:c>
      <x:c r="AC66" s="752" t="str">
        <x:v>Official guidance from Standards Norway; included to interpret and operationalise linked normative requirements, not as independent legal or certification authority.</x:v>
      </x:c>
      <x:c r="AD66" s="752" t="str">
        <x:v>HIGH</x:v>
      </x:c>
      <x:c r="AE66" s="752" t="str">
        <x:v>MEDIUM</x:v>
      </x:c>
      <x:c r="AF66" s="752" t="str">
        <x:v>HIGH</x:v>
      </x:c>
      <x:c r="AG66" s="752" t="str">
        <x:v>HIGH</x:v>
      </x:c>
      <x:c r="AH66" s="752" t="str">
        <x:v>MEDIUM</x:v>
      </x:c>
      <x:c r="AI66" s="752" t="str">
        <x:v>LOW</x:v>
      </x:c>
      <x:c r="AJ66" s="752" t="str">
        <x:v>PENDING</x:v>
      </x:c>
      <x:c r="AK66" s="759"/>
      <x:c r="AL66" s="752"/>
      <x:c r="AM66" s="752" t="str">
        <x:v>CURRENT</x:v>
      </x:c>
      <x:c r="AN66" s="752"/>
      <x:c r="AO66" s="752" t="str">
        <x:v>Official expansion from Fiskeridirektoratet risk-management guidance. Include only if adopted by contract, policy or method.</x:v>
      </x:c>
      <x:c r="AP66" s="752" t="str">
        <x:v>OFFICIAL_WEBSITE</x:v>
      </x:c>
      <x:c r="AQ66" s="752" t="str">
        <x:v>OFFICIAL_ORIGINAL</x:v>
      </x:c>
      <x:c r="AR66" s="752" t="str">
        <x:v>VERSIONED</x:v>
      </x:c>
      <x:c r="AS66" s="752"/>
    </x:row>
    <x:row r="67" s="36" customFormat="1" ht="30" customHeight="1">
      <x:c r="A67" s="751" t="str">
        <x:v>SB005</x:v>
      </x:c>
      <x:c r="B67" s="751" t="str">
        <x:v>SB005-001</x:v>
      </x:c>
      <x:c r="C67" s="751" t="str">
        <x:v>SB005-001_NS-ISO_31000_2018_Risk_management_-_Guidelines.pdf</x:v>
      </x:c>
      <x:c r="D67" s="751" t="str">
        <x:v>NOT_COLLECTED</x:v>
      </x:c>
      <x:c r="E67" s="751" t="str">
        <x:f>IF(A67="","",IF(OR(AJ67="EXCLUDE",COUNTIF(AD67:AH67,"LOW")&gt;0),"EXCLUDE",IF(OR(AJ67&lt;&gt;"INCLUDE",F67&lt;&gt;"SUCCESS",D67&lt;&gt;"STORED",U67="",AP67="",AQ67="",AQ67="UNVERIFIED",AND(AP67="OFFICIAL_WEBSITE",Q67=""),AND(OR(AA67="Equipment manual / OEM instruction",AB67="Asset-specific normative"),OR(Z67&lt;&gt;"Manufacturer / supplier",AS67="",AC67=""))),"PENDING",IF(COUNTIF(AD67:AH67,"HIGH")=5,"INCLUDE","PENDING"))))</x:f>
        <x:v>PENDING</x:v>
      </x:c>
      <x:c r="F67" s="751" t="str">
        <x:v>PAYWALL_BLOCKED</x:v>
      </x:c>
      <x:c r="G67" s="755"/>
      <x:c r="H67" s="755"/>
      <x:c r="I67" s="751" t="str">
        <x:v>UNKNOWN</x:v>
      </x:c>
      <x:c r="J67" s="751" t="str">
        <x:v>NONE</x:v>
      </x:c>
      <x:c r="K67" s="757" t="str">
        <x:f>IF(A67="","",IF(J67="AUTO",H67,IF(J67="MANUAL",AK67,"")))</x:f>
      </x:c>
      <x:c r="L67" s="751" t="str">
        <x:v>HTTP</x:v>
      </x:c>
      <x:c r="M67" s="751" t="str">
        <x:v>Official access is restricted by a paywall or licence; provide an authorised copy or retrieval route.</x:v>
      </x:c>
      <x:c r="N67" s="751" t="str">
        <x:f>IF(OR(AM67&lt;&gt;"CURRENT",E67="EXCLUDE"),"NO",IF(A67="","",IF(OR(F67="FAIL",F67="PAYWALL_BLOCKED"),IF(AND(AK67&lt;&gt;"",AK67&gt;=INT(G67),D67="STORED",J67="MANUAL",AL67&lt;&gt;""),"NO","YES"),IF(AND(AR67="ROLLING",I67="CHANGED"),IF(AND(AK67&lt;&gt;"",AK67&gt;=INT(IF(H67&lt;&gt;"",H67,G67)),AL67&lt;&gt;""),"NO","YES"),"NO"))))</x:f>
        <x:v>YES</x:v>
      </x:c>
      <x:c r="O67" s="751"/>
      <x:c r="P67" s="752" t="str">
        <x:v>NS-ISO 31000:2018 Risk management - Guidelines</x:v>
      </x:c>
      <x:c r="Q67" s="752" t="str">
        <x:v>https://standard.no/fagomrader/risikostyring/iso-31000-risikostyring--retningslinjer/</x:v>
      </x:c>
      <x:c r="R67" s="752"/>
      <x:c r="S67" s="752" t="str">
        <x:v>B_Standards_Body</x:v>
      </x:c>
      <x:c r="T67" s="752" t="str">
        <x:v>pdf</x:v>
      </x:c>
      <x:c r="U67" s="752" t="str">
        <x:v>Standards Norway / ISO</x:v>
      </x:c>
      <x:c r="V67" s="752" t="str">
        <x:v>International</x:v>
      </x:c>
      <x:c r="W67" s="752" t="str">
        <x:v>Norwegian</x:v>
      </x:c>
      <x:c r="X67" s="752" t="str">
        <x:v>2018</x:v>
      </x:c>
      <x:c r="Y67" s="752"/>
      <x:c r="Z67" s="752" t="str">
        <x:v>Standards body</x:v>
      </x:c>
      <x:c r="AA67" s="752" t="str">
        <x:v>Technical standard</x:v>
      </x:c>
      <x:c r="AB67" s="752" t="str">
        <x:v>Guidance / interpretation</x:v>
      </x:c>
      <x:c r="AC67" s="752" t="str">
        <x:v>Official guidance from Standards Norway / ISO; included to interpret and operationalise linked normative requirements, not as independent legal or certification authority.</x:v>
      </x:c>
      <x:c r="AD67" s="752" t="str">
        <x:v>HIGH</x:v>
      </x:c>
      <x:c r="AE67" s="752" t="str">
        <x:v>MEDIUM</x:v>
      </x:c>
      <x:c r="AF67" s="752" t="str">
        <x:v>HIGH</x:v>
      </x:c>
      <x:c r="AG67" s="752" t="str">
        <x:v>HIGH</x:v>
      </x:c>
      <x:c r="AH67" s="752" t="str">
        <x:v>MEDIUM</x:v>
      </x:c>
      <x:c r="AI67" s="752" t="str">
        <x:v>LOW</x:v>
      </x:c>
      <x:c r="AJ67" s="752" t="str">
        <x:v>PENDING</x:v>
      </x:c>
      <x:c r="AK67" s="759"/>
      <x:c r="AL67" s="752"/>
      <x:c r="AM67" s="752" t="str">
        <x:v>CURRENT</x:v>
      </x:c>
      <x:c r="AN67" s="752"/>
      <x:c r="AO67" s="752" t="str">
        <x:v>Official expansion. Provides guidance rather than certifiable requirements unless contractually adopted.</x:v>
      </x:c>
      <x:c r="AP67" s="752" t="str">
        <x:v>OFFICIAL_WEBSITE</x:v>
      </x:c>
      <x:c r="AQ67" s="752" t="str">
        <x:v>OFFICIAL_ORIGINAL</x:v>
      </x:c>
      <x:c r="AR67" s="752" t="str">
        <x:v>VERSIONED</x:v>
      </x:c>
      <x:c r="AS67" s="752"/>
    </x:row>
    <x:row r="68" s="36" customFormat="1" ht="30" customHeight="1">
      <x:c r="A68" s="751" t="str">
        <x:v>SB006</x:v>
      </x:c>
      <x:c r="B68" s="751" t="str">
        <x:v>SB006-001</x:v>
      </x:c>
      <x:c r="C68" s="751" t="str">
        <x:v>SB006-001_NS-EN_ISO_9001_2015_Quality_management_systems_-_Requirements.pdf</x:v>
      </x:c>
      <x:c r="D68" s="751" t="str">
        <x:v>NOT_COLLECTED</x:v>
      </x:c>
      <x:c r="E68" s="751" t="str">
        <x:f>IF(A68="","",IF(OR(AJ68="EXCLUDE",COUNTIF(AD68:AH68,"LOW")&gt;0),"EXCLUDE",IF(OR(AJ68&lt;&gt;"INCLUDE",F68&lt;&gt;"SUCCESS",D68&lt;&gt;"STORED",U68="",AP68="",AQ68="",AQ68="UNVERIFIED",AND(AP68="OFFICIAL_WEBSITE",Q68=""),AND(OR(AA68="Equipment manual / OEM instruction",AB68="Asset-specific normative"),OR(Z68&lt;&gt;"Manufacturer / supplier",AS68="",AC68=""))),"PENDING",IF(COUNTIF(AD68:AH68,"HIGH")=5,"INCLUDE","PENDING"))))</x:f>
        <x:v>PENDING</x:v>
      </x:c>
      <x:c r="F68" s="751" t="str">
        <x:v>PAYWALL_BLOCKED</x:v>
      </x:c>
      <x:c r="G68" s="755"/>
      <x:c r="H68" s="755"/>
      <x:c r="I68" s="751" t="str">
        <x:v>UNKNOWN</x:v>
      </x:c>
      <x:c r="J68" s="751" t="str">
        <x:v>NONE</x:v>
      </x:c>
      <x:c r="K68" s="757" t="str">
        <x:f>IF(A68="","",IF(J68="AUTO",H68,IF(J68="MANUAL",AK68,"")))</x:f>
      </x:c>
      <x:c r="L68" s="751" t="str">
        <x:v>HTTP</x:v>
      </x:c>
      <x:c r="M68" s="751" t="str">
        <x:v>Official access is restricted by a paywall or licence; provide an authorised copy or retrieval route.</x:v>
      </x:c>
      <x:c r="N68" s="751" t="str">
        <x:f>IF(OR(AM68&lt;&gt;"CURRENT",E68="EXCLUDE"),"NO",IF(A68="","",IF(OR(F68="FAIL",F68="PAYWALL_BLOCKED"),IF(AND(AK68&lt;&gt;"",AK68&gt;=INT(G68),D68="STORED",J68="MANUAL",AL68&lt;&gt;""),"NO","YES"),IF(AND(AR68="ROLLING",I68="CHANGED"),IF(AND(AK68&lt;&gt;"",AK68&gt;=INT(IF(H68&lt;&gt;"",H68,G68)),AL68&lt;&gt;""),"NO","YES"),"NO"))))</x:f>
        <x:v>YES</x:v>
      </x:c>
      <x:c r="O68" s="751"/>
      <x:c r="P68" s="752" t="str">
        <x:v>NS-EN ISO 9001:2015 Quality management systems - Requirements</x:v>
      </x:c>
      <x:c r="Q68" s="752" t="str">
        <x:v>https://standard.no/fagomrader/kvalitetsstyring---iso-9000/ledelsessystemer-for-kvalitet--iso-9001/</x:v>
      </x:c>
      <x:c r="R68" s="752"/>
      <x:c r="S68" s="752" t="str">
        <x:v>B_Standards_Body</x:v>
      </x:c>
      <x:c r="T68" s="752" t="str">
        <x:v>pdf</x:v>
      </x:c>
      <x:c r="U68" s="752" t="str">
        <x:v>Standards Norway / ISO</x:v>
      </x:c>
      <x:c r="V68" s="752" t="str">
        <x:v>International</x:v>
      </x:c>
      <x:c r="W68" s="752" t="str">
        <x:v>Norwegian</x:v>
      </x:c>
      <x:c r="X68" s="752" t="str">
        <x:v>2015</x:v>
      </x:c>
      <x:c r="Y68" s="752"/>
      <x:c r="Z68" s="752" t="str">
        <x:v>Standards body</x:v>
      </x:c>
      <x:c r="AA68" s="752" t="str">
        <x:v>Technical standard</x:v>
      </x:c>
      <x:c r="AB68" s="752" t="str">
        <x:v>Referenced normative</x:v>
      </x:c>
      <x:c r="AC68" s="752" t="str">
        <x:v>Official referenced source from Standards Norway / ISO; included because an applicable law, permit or certification scheme may make its provisions binding within the approved scope.</x:v>
      </x:c>
      <x:c r="AD68" s="752" t="str">
        <x:v>HIGH</x:v>
      </x:c>
      <x:c r="AE68" s="752" t="str">
        <x:v>MEDIUM</x:v>
      </x:c>
      <x:c r="AF68" s="752" t="str">
        <x:v>HIGH</x:v>
      </x:c>
      <x:c r="AG68" s="752" t="str">
        <x:v>HIGH</x:v>
      </x:c>
      <x:c r="AH68" s="752" t="str">
        <x:v>MEDIUM</x:v>
      </x:c>
      <x:c r="AI68" s="752" t="str">
        <x:v>LOW</x:v>
      </x:c>
      <x:c r="AJ68" s="752" t="str">
        <x:v>PENDING</x:v>
      </x:c>
      <x:c r="AK68" s="759"/>
      <x:c r="AL68" s="752"/>
      <x:c r="AM68" s="752" t="str">
        <x:v>CURRENT</x:v>
      </x:c>
      <x:c r="AN68" s="752"/>
      <x:c r="AO68" s="752" t="str">
        <x:v>Official expansion from Fiskeridirektoratet risk-management guidance. Include only if client certification or contract makes it applicable.</x:v>
      </x:c>
      <x:c r="AP68" s="752" t="str">
        <x:v>OFFICIAL_WEBSITE</x:v>
      </x:c>
      <x:c r="AQ68" s="752" t="str">
        <x:v>OFFICIAL_ORIGINAL</x:v>
      </x:c>
      <x:c r="AR68" s="752" t="str">
        <x:v>VERSIONED</x:v>
      </x:c>
      <x:c r="AS68" s="752"/>
    </x:row>
    <x:row r="69" s="36" customFormat="1" ht="30" customHeight="1">
      <x:c r="A69" s="751" t="str">
        <x:v>SB007</x:v>
      </x:c>
      <x:c r="B69" s="751" t="str">
        <x:v>SB007-001</x:v>
      </x:c>
      <x:c r="C69" s="751" t="str">
        <x:v>SB007-001_NS_3424_2012_Condition_survey_of_construction_works_-_Content_and_execution.pdf</x:v>
      </x:c>
      <x:c r="D69" s="751" t="str">
        <x:v>NOT_COLLECTED</x:v>
      </x:c>
      <x:c r="E69" s="751" t="str">
        <x:f>IF(A69="","",IF(OR(AJ69="EXCLUDE",COUNTIF(AD69:AH69,"LOW")&gt;0),"EXCLUDE",IF(OR(AJ69&lt;&gt;"INCLUDE",F69&lt;&gt;"SUCCESS",D69&lt;&gt;"STORED",U69="",AP69="",AQ69="",AQ69="UNVERIFIED",AND(AP69="OFFICIAL_WEBSITE",Q69=""),AND(OR(AA69="Equipment manual / OEM instruction",AB69="Asset-specific normative"),OR(Z69&lt;&gt;"Manufacturer / supplier",AS69="",AC69=""))),"PENDING",IF(COUNTIF(AD69:AH69,"HIGH")=5,"INCLUDE","PENDING"))))</x:f>
        <x:v>PENDING</x:v>
      </x:c>
      <x:c r="F69" s="751" t="str">
        <x:v>PAYWALL_BLOCKED</x:v>
      </x:c>
      <x:c r="G69" s="755"/>
      <x:c r="H69" s="755"/>
      <x:c r="I69" s="751" t="str">
        <x:v>UNKNOWN</x:v>
      </x:c>
      <x:c r="J69" s="751" t="str">
        <x:v>NONE</x:v>
      </x:c>
      <x:c r="K69" s="757" t="str">
        <x:f>IF(A69="","",IF(J69="AUTO",H69,IF(J69="MANUAL",AK69,"")))</x:f>
      </x:c>
      <x:c r="L69" s="751" t="str">
        <x:v>HTTP</x:v>
      </x:c>
      <x:c r="M69" s="751" t="str">
        <x:v>Official access is restricted by a paywall or licence; provide an authorised copy or retrieval route.</x:v>
      </x:c>
      <x:c r="N69" s="751" t="str">
        <x:f>IF(OR(AM69&lt;&gt;"CURRENT",E69="EXCLUDE"),"NO",IF(A69="","",IF(OR(F69="FAIL",F69="PAYWALL_BLOCKED"),IF(AND(AK69&lt;&gt;"",AK69&gt;=INT(G69),D69="STORED",J69="MANUAL",AL69&lt;&gt;""),"NO","YES"),IF(AND(AR69="ROLLING",I69="CHANGED"),IF(AND(AK69&lt;&gt;"",AK69&gt;=INT(IF(H69&lt;&gt;"",H69,G69)),AL69&lt;&gt;""),"NO","YES"),"NO"))))</x:f>
        <x:v>YES</x:v>
      </x:c>
      <x:c r="O69" s="751"/>
      <x:c r="P69" s="752" t="str">
        <x:v>NS 3424:2012 Condition survey of construction works - Content and execution</x:v>
      </x:c>
      <x:c r="Q69" s="752" t="str">
        <x:v>https://online.standard.no/nb/ns-3424-2012</x:v>
      </x:c>
      <x:c r="R69" s="752"/>
      <x:c r="S69" s="752" t="str">
        <x:v>B_Standards_Body</x:v>
      </x:c>
      <x:c r="T69" s="752" t="str">
        <x:v>pdf</x:v>
      </x:c>
      <x:c r="U69" s="752" t="str">
        <x:v>Standards Norway</x:v>
      </x:c>
      <x:c r="V69" s="752" t="str">
        <x:v>Norway</x:v>
      </x:c>
      <x:c r="W69" s="752" t="str">
        <x:v>Norwegian</x:v>
      </x:c>
      <x:c r="X69" s="752" t="str">
        <x:v>2012</x:v>
      </x:c>
      <x:c r="Y69" s="752"/>
      <x:c r="Z69" s="752" t="str">
        <x:v>Standards body</x:v>
      </x:c>
      <x:c r="AA69" s="752" t="str">
        <x:v>Technical standard</x:v>
      </x:c>
      <x:c r="AB69" s="752" t="str">
        <x:v>Referenced normative</x:v>
      </x:c>
      <x:c r="AC69" s="752" t="str">
        <x:v>Official referenced source from Standards Norway; included because an applicable law, permit or certification scheme may make its provisions binding within the approved scope.</x:v>
      </x:c>
      <x:c r="AD69" s="752" t="str">
        <x:v>HIGH</x:v>
      </x:c>
      <x:c r="AE69" s="752" t="str">
        <x:v>MEDIUM</x:v>
      </x:c>
      <x:c r="AF69" s="752" t="str">
        <x:v>HIGH</x:v>
      </x:c>
      <x:c r="AG69" s="752" t="str">
        <x:v>HIGH</x:v>
      </x:c>
      <x:c r="AH69" s="752" t="str">
        <x:v>MEDIUM</x:v>
      </x:c>
      <x:c r="AI69" s="752" t="str">
        <x:v>LOW</x:v>
      </x:c>
      <x:c r="AJ69" s="752" t="str">
        <x:v>PENDING</x:v>
      </x:c>
      <x:c r="AK69" s="759"/>
      <x:c r="AL69" s="752"/>
      <x:c r="AM69" s="752" t="str">
        <x:v>CURRENT</x:v>
      </x:c>
      <x:c r="AN69" s="752" t="str">
        <x:v>PA022</x:v>
      </x:c>
      <x:c r="AO69" s="752" t="str">
        <x:v>Directly referenced by PA057 for condition assessment of land-based facilities. Licensed access is required.</x:v>
      </x:c>
      <x:c r="AP69" s="752" t="str">
        <x:v>OFFICIAL_WEBSITE</x:v>
      </x:c>
      <x:c r="AQ69" s="752" t="str">
        <x:v>OFFICIAL_ORIGINAL</x:v>
      </x:c>
      <x:c r="AR69" s="752" t="str">
        <x:v>VERSIONED</x:v>
      </x:c>
      <x:c r="AS69" s="752"/>
    </x:row>
    <x:row r="70" s="36" customFormat="1" ht="30" customHeight="1">
      <x:c r="A70" s="751" t="str">
        <x:v>CS001</x:v>
      </x:c>
      <x:c r="B70" s="751" t="str">
        <x:v>CS001-001</x:v>
      </x:c>
      <x:c r="C70" s="751" t="str">
        <x:v>CS001-001_ASC_Farm_Standard.html</x:v>
      </x:c>
      <x:c r="D70" s="751" t="str">
        <x:v>STORED</x:v>
      </x:c>
      <x:c r="E70" s="751" t="str">
        <x:f>IF(A70="","",IF(OR(AJ70="EXCLUDE",COUNTIF(AD70:AH70,"LOW")&gt;0),"EXCLUDE",IF(OR(AJ70&lt;&gt;"INCLUDE",F70&lt;&gt;"SUCCESS",D70&lt;&gt;"STORED",U70="",AP70="",AQ70="",AQ70="UNVERIFIED",AND(AP70="OFFICIAL_WEBSITE",Q70=""),AND(OR(AA70="Equipment manual / OEM instruction",AB70="Asset-specific normative"),OR(Z70&lt;&gt;"Manufacturer / supplier",AS70="",AC70=""))),"PENDING",IF(COUNTIF(AD70:AH70,"HIGH")=5,"INCLUDE","PENDING"))))</x:f>
        <x:v>INCLUDE</x:v>
      </x:c>
      <x:c r="F70" s="751" t="str">
        <x:v>SUCCESS</x:v>
      </x:c>
      <x:c r="G70" s="755" t="n">
        <x:v>46262.53111111111</x:v>
      </x:c>
      <x:c r="H70" s="755" t="n">
        <x:v>46262.53112268518</x:v>
      </x:c>
      <x:c r="I70" s="751" t="str">
        <x:v>INITIAL</x:v>
      </x:c>
      <x:c r="J70" s="751" t="str">
        <x:v>AUTO</x:v>
      </x:c>
      <x:c r="K70" s="757" t="n">
        <x:f>IF(A70="","",IF(J70="AUTO",H70,IF(J70="MANUAL",AK70,"")))</x:f>
        <x:v>46262.53112268518</x:v>
      </x:c>
      <x:c r="L70" s="751" t="str">
        <x:v>NONE</x:v>
      </x:c>
      <x:c r="M70" s="751"/>
      <x:c r="N70" s="751" t="str">
        <x:f>IF(OR(AM70&lt;&gt;"CURRENT",E70="EXCLUDE"),"NO",IF(A70="","",IF(OR(F70="FAIL",F70="PAYWALL_BLOCKED"),IF(AND(AK70&lt;&gt;"",AK70&gt;=INT(G70),D70="STORED",J70="MANUAL",AL70&lt;&gt;""),"NO","YES"),IF(AND(AR70="ROLLING",I70="CHANGED"),IF(AND(AK70&lt;&gt;"",AK70&gt;=INT(IF(H70&lt;&gt;"",H70,G70)),AL70&lt;&gt;""),"NO","YES"),"NO"))))</x:f>
        <x:v>NO</x:v>
      </x:c>
      <x:c r="O70" s="751" t="str">
        <x:v>a40846bb23436f8ab6c5971f8a33577660eaed1059861ee01cdb2ca3f60c062b</x:v>
      </x:c>
      <x:c r="P70" s="752" t="str">
        <x:v>ASC Farm Standard</x:v>
      </x:c>
      <x:c r="Q70" s="752" t="str">
        <x:v>https://programme-centre.asc-aqua.org/farm-v1/farm-standard/</x:v>
      </x:c>
      <x:c r="R70" s="752" t="str">
        <x:v>https://programme-centre.asc-aqua.org/farm-v1/farm-standard/</x:v>
      </x:c>
      <x:c r="S70" s="752" t="str">
        <x:v>C_Certification_Scheme</x:v>
      </x:c>
      <x:c r="T70" s="752" t="str">
        <x:v>html</x:v>
      </x:c>
      <x:c r="U70" s="752" t="str">
        <x:v>Aquaculture Stewardship Council</x:v>
      </x:c>
      <x:c r="V70" s="752" t="str">
        <x:v>International</x:v>
      </x:c>
      <x:c r="W70" s="752" t="str">
        <x:v>English</x:v>
      </x:c>
      <x:c r="X70" s="752" t="str">
        <x:v>1.0.1A2</x:v>
      </x:c>
      <x:c r="Y70" s="752" t="n">
        <x:v>46239</x:v>
      </x:c>
      <x:c r="Z70" s="752" t="str">
        <x:v>Certification scheme</x:v>
      </x:c>
      <x:c r="AA70" s="752" t="str">
        <x:v>Scheme standard</x:v>
      </x:c>
      <x:c r="AB70" s="752" t="str">
        <x:v>Primary normative</x:v>
      </x:c>
      <x:c r="AC70" s="752" t="str">
        <x:v>Official scheme standard issued by Aquaculture Stewardship Council; included because it may impose binding requirements on an in-scope aquaculture asset, activity, permit or certification.</x:v>
      </x:c>
      <x:c r="AD70" s="752" t="str">
        <x:v>HIGH</x:v>
      </x:c>
      <x:c r="AE70" s="752" t="str">
        <x:v>HIGH</x:v>
      </x:c>
      <x:c r="AF70" s="752" t="str">
        <x:v>HIGH</x:v>
      </x:c>
      <x:c r="AG70" s="752" t="str">
        <x:v>HIGH</x:v>
      </x:c>
      <x:c r="AH70" s="752" t="str">
        <x:v>HIGH</x:v>
      </x:c>
      <x:c r="AI70" s="752" t="str">
        <x:v>HIGH</x:v>
      </x:c>
      <x:c r="AJ70" s="752" t="str">
        <x:v>INCLUDE</x:v>
      </x:c>
      <x:c r="AK70" s="759"/>
      <x:c r="AL70" s="752"/>
      <x:c r="AM70" s="752" t="str">
        <x:v>CURRENT</x:v>
      </x:c>
      <x:c r="AN70" s="752"/>
      <x:c r="AO70" s="752" t="str">
        <x:v>Project-mentioned candidate. Official source is newer than the repository PDF; certification scope still requires confirmation.</x:v>
      </x:c>
      <x:c r="AP70" s="752" t="str">
        <x:v>OFFICIAL_WEBSITE</x:v>
      </x:c>
      <x:c r="AQ70" s="752" t="str">
        <x:v>OFFICIAL_ORIGINAL</x:v>
      </x:c>
      <x:c r="AR70" s="752" t="str">
        <x:v>VERSIONED</x:v>
      </x:c>
      <x:c r="AS70" s="752"/>
    </x:row>
    <x:row r="71" s="36" customFormat="1" ht="30" customHeight="1">
      <x:c r="A71" s="751" t="str">
        <x:v>CS002</x:v>
      </x:c>
      <x:c r="B71" s="751" t="str">
        <x:v>CS002-001</x:v>
      </x:c>
      <x:c r="C71" s="751" t="str">
        <x:v>CS002-001_ASC_Farm_Standard_Interpretation_Manual.html</x:v>
      </x:c>
      <x:c r="D71" s="751" t="str">
        <x:v>STORED</x:v>
      </x:c>
      <x:c r="E71" s="751" t="str">
        <x:f>IF(A71="","",IF(OR(AJ71="EXCLUDE",COUNTIF(AD71:AH71,"LOW")&gt;0),"EXCLUDE",IF(OR(AJ71&lt;&gt;"INCLUDE",F71&lt;&gt;"SUCCESS",D71&lt;&gt;"STORED",U71="",AP71="",AQ71="",AQ71="UNVERIFIED",AND(AP71="OFFICIAL_WEBSITE",Q71=""),AND(OR(AA71="Equipment manual / OEM instruction",AB71="Asset-specific normative"),OR(Z71&lt;&gt;"Manufacturer / supplier",AS71="",AC71=""))),"PENDING",IF(COUNTIF(AD71:AH71,"HIGH")=5,"INCLUDE","PENDING"))))</x:f>
        <x:v>INCLUDE</x:v>
      </x:c>
      <x:c r="F71" s="751" t="str">
        <x:v>SUCCESS</x:v>
      </x:c>
      <x:c r="G71" s="755" t="n">
        <x:v>46262.53112268518</x:v>
      </x:c>
      <x:c r="H71" s="755" t="n">
        <x:v>46262.53113425926</x:v>
      </x:c>
      <x:c r="I71" s="751" t="str">
        <x:v>INITIAL</x:v>
      </x:c>
      <x:c r="J71" s="751" t="str">
        <x:v>AUTO</x:v>
      </x:c>
      <x:c r="K71" s="757" t="n">
        <x:f>IF(A71="","",IF(J71="AUTO",H71,IF(J71="MANUAL",AK71,"")))</x:f>
        <x:v>46262.53113425926</x:v>
      </x:c>
      <x:c r="L71" s="751" t="str">
        <x:v>NONE</x:v>
      </x:c>
      <x:c r="M71" s="751"/>
      <x:c r="N71" s="751" t="str">
        <x:f>IF(OR(AM71&lt;&gt;"CURRENT",E71="EXCLUDE"),"NO",IF(A71="","",IF(OR(F71="FAIL",F71="PAYWALL_BLOCKED"),IF(AND(AK71&lt;&gt;"",AK71&gt;=INT(G71),D71="STORED",J71="MANUAL",AL71&lt;&gt;""),"NO","YES"),IF(AND(AR71="ROLLING",I71="CHANGED"),IF(AND(AK71&lt;&gt;"",AK71&gt;=INT(IF(H71&lt;&gt;"",H71,G71)),AL71&lt;&gt;""),"NO","YES"),"NO"))))</x:f>
        <x:v>NO</x:v>
      </x:c>
      <x:c r="O71" s="751" t="str">
        <x:v>44da418c7669b1b9162a153aa76389722f9d0e6415864d2618b5d381e82232ea</x:v>
      </x:c>
      <x:c r="P71" s="752" t="str">
        <x:v>ASC Farm Standard Interpretation Manual</x:v>
      </x:c>
      <x:c r="Q71" s="752" t="str">
        <x:v>https://programme-centre.asc-aqua.org/farm-v1/farm-interpretation/</x:v>
      </x:c>
      <x:c r="R71" s="752" t="str">
        <x:v>https://programme-centre.asc-aqua.org/farm-v1/farm-interpretation/</x:v>
      </x:c>
      <x:c r="S71" s="752" t="str">
        <x:v>C_Certification_Scheme</x:v>
      </x:c>
      <x:c r="T71" s="752" t="str">
        <x:v>html</x:v>
      </x:c>
      <x:c r="U71" s="752" t="str">
        <x:v>Aquaculture Stewardship Council</x:v>
      </x:c>
      <x:c r="V71" s="752" t="str">
        <x:v>International</x:v>
      </x:c>
      <x:c r="W71" s="752" t="str">
        <x:v>English</x:v>
      </x:c>
      <x:c r="X71" s="752" t="str">
        <x:v>1.0.1</x:v>
      </x:c>
      <x:c r="Y71" s="752" t="n">
        <x:v>45901</x:v>
      </x:c>
      <x:c r="Z71" s="752" t="str">
        <x:v>Certification scheme</x:v>
      </x:c>
      <x:c r="AA71" s="752" t="str">
        <x:v>Interpretation document</x:v>
      </x:c>
      <x:c r="AB71" s="752" t="str">
        <x:v>Guidance / interpretation</x:v>
      </x:c>
      <x:c r="AC71" s="752" t="str">
        <x:v>Official guidance from Aquaculture Stewardship Council; included to interpret and operationalise linked normative requirements, not as independent legal or certification authority.</x:v>
      </x:c>
      <x:c r="AD71" s="752" t="str">
        <x:v>HIGH</x:v>
      </x:c>
      <x:c r="AE71" s="752" t="str">
        <x:v>HIGH</x:v>
      </x:c>
      <x:c r="AF71" s="752" t="str">
        <x:v>HIGH</x:v>
      </x:c>
      <x:c r="AG71" s="752" t="str">
        <x:v>HIGH</x:v>
      </x:c>
      <x:c r="AH71" s="752" t="str">
        <x:v>HIGH</x:v>
      </x:c>
      <x:c r="AI71" s="752" t="str">
        <x:v>HIGH</x:v>
      </x:c>
      <x:c r="AJ71" s="752" t="str">
        <x:v>INCLUDE</x:v>
      </x:c>
      <x:c r="AK71" s="759"/>
      <x:c r="AL71" s="752"/>
      <x:c r="AM71" s="752" t="str">
        <x:v>CURRENT</x:v>
      </x:c>
      <x:c r="AN71" s="752" t="str">
        <x:v>CS001</x:v>
      </x:c>
      <x:c r="AO71" s="752" t="str">
        <x:v>Project-mentioned source. The repository copy is an obsolete draft; use the official current manual.</x:v>
      </x:c>
      <x:c r="AP71" s="752" t="str">
        <x:v>OFFICIAL_WEBSITE</x:v>
      </x:c>
      <x:c r="AQ71" s="752" t="str">
        <x:v>OFFICIAL_ORIGINAL</x:v>
      </x:c>
      <x:c r="AR71" s="752" t="str">
        <x:v>VERSIONED</x:v>
      </x:c>
      <x:c r="AS71" s="752"/>
    </x:row>
    <x:row r="72" s="36" customFormat="1" ht="30" customHeight="1">
      <x:c r="A72" s="751" t="str">
        <x:v>CS003</x:v>
      </x:c>
      <x:c r="B72" s="751" t="str">
        <x:v>CS003-001</x:v>
      </x:c>
      <x:c r="C72" s="751" t="str">
        <x:v>CS003-001_ASC_Salmon_Audit_Manual.pdf</x:v>
      </x:c>
      <x:c r="D72" s="751" t="str">
        <x:v>STORED</x:v>
      </x:c>
      <x:c r="E72" s="751" t="str">
        <x:f>IF(A72="","",IF(OR(AJ72="EXCLUDE",COUNTIF(AD72:AH72,"LOW")&gt;0),"EXCLUDE",IF(OR(AJ72&lt;&gt;"INCLUDE",F72&lt;&gt;"SUCCESS",D72&lt;&gt;"STORED",U72="",AP72="",AQ72="",AQ72="UNVERIFIED",AND(AP72="OFFICIAL_WEBSITE",Q72=""),AND(OR(AA72="Equipment manual / OEM instruction",AB72="Asset-specific normative"),OR(Z72&lt;&gt;"Manufacturer / supplier",AS72="",AC72=""))),"PENDING",IF(COUNTIF(AD72:AH72,"HIGH")=5,"INCLUDE","PENDING"))))</x:f>
        <x:v>INCLUDE</x:v>
      </x:c>
      <x:c r="F72" s="751" t="str">
        <x:v>SUCCESS</x:v>
      </x:c>
      <x:c r="G72" s="755" t="n">
        <x:v>46262.53113425926</x:v>
      </x:c>
      <x:c r="H72" s="755" t="n">
        <x:v>46262.53113425926</x:v>
      </x:c>
      <x:c r="I72" s="751" t="str">
        <x:v>INITIAL</x:v>
      </x:c>
      <x:c r="J72" s="751" t="str">
        <x:v>AUTO</x:v>
      </x:c>
      <x:c r="K72" s="757" t="n">
        <x:f>IF(A72="","",IF(J72="AUTO",H72,IF(J72="MANUAL",AK72,"")))</x:f>
        <x:v>46262.53113425926</x:v>
      </x:c>
      <x:c r="L72" s="751" t="str">
        <x:v>NONE</x:v>
      </x:c>
      <x:c r="M72" s="751"/>
      <x:c r="N72" s="751" t="str">
        <x:f>IF(OR(AM72&lt;&gt;"CURRENT",E72="EXCLUDE"),"NO",IF(A72="","",IF(OR(F72="FAIL",F72="PAYWALL_BLOCKED"),IF(AND(AK72&lt;&gt;"",AK72&gt;=INT(G72),D72="STORED",J72="MANUAL",AL72&lt;&gt;""),"NO","YES"),IF(AND(AR72="ROLLING",I72="CHANGED"),IF(AND(AK72&lt;&gt;"",AK72&gt;=INT(IF(H72&lt;&gt;"",H72,G72)),AL72&lt;&gt;""),"NO","YES"),"NO"))))</x:f>
        <x:v>NO</x:v>
      </x:c>
      <x:c r="O72" s="751" t="str">
        <x:v>911b716d6e4f9aacc1e0c7999dbcf1e009f08c3b322269c748d867006521e76d</x:v>
      </x:c>
      <x:c r="P72" s="752" t="str">
        <x:v>ASC Salmon Audit Manual</x:v>
      </x:c>
      <x:c r="Q72" s="752" t="str">
        <x:v>https://asc-aqua.org/producers/asc-standards/species-standards/salmon-cod/</x:v>
      </x:c>
      <x:c r="R72" s="752" t="str">
        <x:v>https://asc-aqua.org/wp-content/uploads/2023/04/ASC-Salmon-Audit-Manual_v1.4.pdf</x:v>
      </x:c>
      <x:c r="S72" s="752" t="str">
        <x:v>C_Certification_Scheme</x:v>
      </x:c>
      <x:c r="T72" s="752" t="str">
        <x:v>pdf</x:v>
      </x:c>
      <x:c r="U72" s="752" t="str">
        <x:v>Aquaculture Stewardship Council</x:v>
      </x:c>
      <x:c r="V72" s="752" t="str">
        <x:v>International</x:v>
      </x:c>
      <x:c r="W72" s="752" t="str">
        <x:v>English</x:v>
      </x:c>
      <x:c r="X72" s="752" t="str">
        <x:v>1.4</x:v>
      </x:c>
      <x:c r="Y72" s="752"/>
      <x:c r="Z72" s="752" t="str">
        <x:v>Certification scheme</x:v>
      </x:c>
      <x:c r="AA72" s="752" t="str">
        <x:v>Audit / assessment document</x:v>
      </x:c>
      <x:c r="AB72" s="752" t="str">
        <x:v>Audit / assessment tool</x:v>
      </x:c>
      <x:c r="AC72" s="752" t="str">
        <x:v>Official assessment tool from Aquaculture Stewardship Council; included to structure compliance checks and trace evidence back to its linked normative source.</x:v>
      </x:c>
      <x:c r="AD72" s="752" t="str">
        <x:v>HIGH</x:v>
      </x:c>
      <x:c r="AE72" s="752" t="str">
        <x:v>HIGH</x:v>
      </x:c>
      <x:c r="AF72" s="752" t="str">
        <x:v>HIGH</x:v>
      </x:c>
      <x:c r="AG72" s="752" t="str">
        <x:v>HIGH</x:v>
      </x:c>
      <x:c r="AH72" s="752" t="str">
        <x:v>HIGH</x:v>
      </x:c>
      <x:c r="AI72" s="752" t="str">
        <x:v>HIGH</x:v>
      </x:c>
      <x:c r="AJ72" s="752" t="str">
        <x:v>INCLUDE</x:v>
      </x:c>
      <x:c r="AK72" s="759"/>
      <x:c r="AL72" s="752"/>
      <x:c r="AM72" s="752" t="str">
        <x:v>CURRENT</x:v>
      </x:c>
      <x:c r="AN72" s="752" t="str">
        <x:v>CS004</x:v>
      </x:c>
      <x:c r="AO72" s="752" t="str">
        <x:v>Repository-held assessment tool. Trace extracted requirements to the applicable normative ASC standard.</x:v>
      </x:c>
      <x:c r="AP72" s="752" t="str">
        <x:v>OFFICIAL_WEBSITE</x:v>
      </x:c>
      <x:c r="AQ72" s="752" t="str">
        <x:v>OFFICIAL_ORIGINAL</x:v>
      </x:c>
      <x:c r="AR72" s="752" t="str">
        <x:v>VERSIONED</x:v>
      </x:c>
      <x:c r="AS72" s="752"/>
    </x:row>
    <x:row r="73" s="36" customFormat="1" ht="30" customHeight="1">
      <x:c r="A73" s="751" t="str">
        <x:v>CS004</x:v>
      </x:c>
      <x:c r="B73" s="751" t="str">
        <x:v>CS004-001</x:v>
      </x:c>
      <x:c r="C73" s="751" t="str">
        <x:v>CS004-001_ASC_Salmon_and_Cod_Standard.pdf</x:v>
      </x:c>
      <x:c r="D73" s="751" t="str">
        <x:v>STORED</x:v>
      </x:c>
      <x:c r="E73" s="751" t="str">
        <x:f>IF(A73="","",IF(OR(AJ73="EXCLUDE",COUNTIF(AD73:AH73,"LOW")&gt;0),"EXCLUDE",IF(OR(AJ73&lt;&gt;"INCLUDE",F73&lt;&gt;"SUCCESS",D73&lt;&gt;"STORED",U73="",AP73="",AQ73="",AQ73="UNVERIFIED",AND(AP73="OFFICIAL_WEBSITE",Q73=""),AND(OR(AA73="Equipment manual / OEM instruction",AB73="Asset-specific normative"),OR(Z73&lt;&gt;"Manufacturer / supplier",AS73="",AC73=""))),"PENDING",IF(COUNTIF(AD73:AH73,"HIGH")=5,"INCLUDE","PENDING"))))</x:f>
        <x:v>INCLUDE</x:v>
      </x:c>
      <x:c r="F73" s="751" t="str">
        <x:v>SUCCESS</x:v>
      </x:c>
      <x:c r="G73" s="755" t="n">
        <x:v>46262.53114583333</x:v>
      </x:c>
      <x:c r="H73" s="755" t="n">
        <x:v>46262.53114583333</x:v>
      </x:c>
      <x:c r="I73" s="751" t="str">
        <x:v>INITIAL</x:v>
      </x:c>
      <x:c r="J73" s="751" t="str">
        <x:v>AUTO</x:v>
      </x:c>
      <x:c r="K73" s="757" t="n">
        <x:f>IF(A73="","",IF(J73="AUTO",H73,IF(J73="MANUAL",AK73,"")))</x:f>
        <x:v>46262.53114583333</x:v>
      </x:c>
      <x:c r="L73" s="751" t="str">
        <x:v>NONE</x:v>
      </x:c>
      <x:c r="M73" s="751"/>
      <x:c r="N73" s="751" t="str">
        <x:f>IF(OR(AM73&lt;&gt;"CURRENT",E73="EXCLUDE"),"NO",IF(A73="","",IF(OR(F73="FAIL",F73="PAYWALL_BLOCKED"),IF(AND(AK73&lt;&gt;"",AK73&gt;=INT(G73),D73="STORED",J73="MANUAL",AL73&lt;&gt;""),"NO","YES"),IF(AND(AR73="ROLLING",I73="CHANGED"),IF(AND(AK73&lt;&gt;"",AK73&gt;=INT(IF(H73&lt;&gt;"",H73,G73)),AL73&lt;&gt;""),"NO","YES"),"NO"))))</x:f>
        <x:v>NO</x:v>
      </x:c>
      <x:c r="O73" s="751" t="str">
        <x:v>a34e5f4fc78486136ddbf3d661d26aad85e4b8a1990b2e6eda3f3ac1df7f7b5c</x:v>
      </x:c>
      <x:c r="P73" s="752" t="str">
        <x:v>ASC Salmon and Cod Standard</x:v>
      </x:c>
      <x:c r="Q73" s="752" t="str">
        <x:v>https://asc-aqua.org/producers/asc-standards/species-standards/salmon-cod/</x:v>
      </x:c>
      <x:c r="R73" s="752" t="str">
        <x:v>https://asc-aqua.org/wp-content/uploads/2025/10/ASC-STD-010-ASC-Salmon-and-Cod-Standard-V1.5-Oct-2025-1.pdf</x:v>
      </x:c>
      <x:c r="S73" s="752" t="str">
        <x:v>C_Certification_Scheme</x:v>
      </x:c>
      <x:c r="T73" s="752" t="str">
        <x:v>pdf</x:v>
      </x:c>
      <x:c r="U73" s="752" t="str">
        <x:v>Aquaculture Stewardship Council</x:v>
      </x:c>
      <x:c r="V73" s="752" t="str">
        <x:v>International</x:v>
      </x:c>
      <x:c r="W73" s="752" t="str">
        <x:v>English</x:v>
      </x:c>
      <x:c r="X73" s="752" t="str">
        <x:v>1.5</x:v>
      </x:c>
      <x:c r="Y73" s="752" t="n">
        <x:v>45943</x:v>
      </x:c>
      <x:c r="Z73" s="752" t="str">
        <x:v>Certification scheme</x:v>
      </x:c>
      <x:c r="AA73" s="752" t="str">
        <x:v>Scheme standard</x:v>
      </x:c>
      <x:c r="AB73" s="752" t="str">
        <x:v>Primary normative</x:v>
      </x:c>
      <x:c r="AC73" s="752" t="str">
        <x:v>Official scheme standard issued by Aquaculture Stewardship Council; included because it may impose binding requirements on an in-scope aquaculture asset, activity, permit or certification.</x:v>
      </x:c>
      <x:c r="AD73" s="752" t="str">
        <x:v>HIGH</x:v>
      </x:c>
      <x:c r="AE73" s="752" t="str">
        <x:v>HIGH</x:v>
      </x:c>
      <x:c r="AF73" s="752" t="str">
        <x:v>HIGH</x:v>
      </x:c>
      <x:c r="AG73" s="752" t="str">
        <x:v>HIGH</x:v>
      </x:c>
      <x:c r="AH73" s="752" t="str">
        <x:v>HIGH</x:v>
      </x:c>
      <x:c r="AI73" s="752" t="str">
        <x:v>HIGH</x:v>
      </x:c>
      <x:c r="AJ73" s="752" t="str">
        <x:v>INCLUDE</x:v>
      </x:c>
      <x:c r="AK73" s="759"/>
      <x:c r="AL73" s="752"/>
      <x:c r="AM73" s="752" t="str">
        <x:v>CURRENT</x:v>
      </x:c>
      <x:c r="AN73" s="752"/>
      <x:c r="AO73" s="752" t="str">
        <x:v>Project-mentioned candidate. Include while the species standard remains applicable during ASC transition.</x:v>
      </x:c>
      <x:c r="AP73" s="752" t="str">
        <x:v>OFFICIAL_WEBSITE</x:v>
      </x:c>
      <x:c r="AQ73" s="752" t="str">
        <x:v>OFFICIAL_ORIGINAL</x:v>
      </x:c>
      <x:c r="AR73" s="752" t="str">
        <x:v>VERSIONED</x:v>
      </x:c>
      <x:c r="AS73" s="752"/>
    </x:row>
    <x:row r="74" s="36" customFormat="1" ht="30" customHeight="1">
      <x:c r="A74" s="751" t="str">
        <x:v>CS005</x:v>
      </x:c>
      <x:c r="B74" s="751" t="str">
        <x:v>CS005-001</x:v>
      </x:c>
      <x:c r="C74" s="751" t="str">
        <x:v>CS005-001_ASC_Farm_and_Feed_Certification_and_Accreditation_Requirements.pdf</x:v>
      </x:c>
      <x:c r="D74" s="751" t="str">
        <x:v>STORED</x:v>
      </x:c>
      <x:c r="E74" s="751" t="str">
        <x:f>IF(A74="","",IF(OR(AJ74="EXCLUDE",COUNTIF(AD74:AH74,"LOW")&gt;0),"EXCLUDE",IF(OR(AJ74&lt;&gt;"INCLUDE",F74&lt;&gt;"SUCCESS",D74&lt;&gt;"STORED",U74="",AP74="",AQ74="",AQ74="UNVERIFIED",AND(AP74="OFFICIAL_WEBSITE",Q74=""),AND(OR(AA74="Equipment manual / OEM instruction",AB74="Asset-specific normative"),OR(Z74&lt;&gt;"Manufacturer / supplier",AS74="",AC74=""))),"PENDING",IF(COUNTIF(AD74:AH74,"HIGH")=5,"INCLUDE","PENDING"))))</x:f>
        <x:v>INCLUDE</x:v>
      </x:c>
      <x:c r="F74" s="751" t="str">
        <x:v>SUCCESS</x:v>
      </x:c>
      <x:c r="G74" s="755" t="n">
        <x:v>46262.53114583333</x:v>
      </x:c>
      <x:c r="H74" s="755" t="n">
        <x:v>46262.53115740741</x:v>
      </x:c>
      <x:c r="I74" s="751" t="str">
        <x:v>INITIAL</x:v>
      </x:c>
      <x:c r="J74" s="751" t="str">
        <x:v>AUTO</x:v>
      </x:c>
      <x:c r="K74" s="757" t="n">
        <x:f>IF(A74="","",IF(J74="AUTO",H74,IF(J74="MANUAL",AK74,"")))</x:f>
        <x:v>46262.53115740741</x:v>
      </x:c>
      <x:c r="L74" s="751" t="str">
        <x:v>NONE</x:v>
      </x:c>
      <x:c r="M74" s="751"/>
      <x:c r="N74" s="751" t="str">
        <x:f>IF(OR(AM74&lt;&gt;"CURRENT",E74="EXCLUDE"),"NO",IF(A74="","",IF(OR(F74="FAIL",F74="PAYWALL_BLOCKED"),IF(AND(AK74&lt;&gt;"",AK74&gt;=INT(G74),D74="STORED",J74="MANUAL",AL74&lt;&gt;""),"NO","YES"),IF(AND(AR74="ROLLING",I74="CHANGED"),IF(AND(AK74&lt;&gt;"",AK74&gt;=INT(IF(H74&lt;&gt;"",H74,G74)),AL74&lt;&gt;""),"NO","YES"),"NO"))))</x:f>
        <x:v>NO</x:v>
      </x:c>
      <x:c r="O74" s="751" t="str">
        <x:v>77e1d87383382fda4f27dc9be79937cc3017ce350b8b1d436a74500561083838</x:v>
      </x:c>
      <x:c r="P74" s="752" t="str">
        <x:v>ASC Farm and Feed Certification and Accreditation Requirements</x:v>
      </x:c>
      <x:c r="Q74" s="752" t="str">
        <x:v>https://programme-centre.asc-aqua.org/resource-hub/?filter=farm</x:v>
      </x:c>
      <x:c r="R74" s="752" t="str">
        <x:v>https://programme-centre.asc-aqua.org/app/uploads/2025/04/ASC-CAR-001-ASC-Farm-and-Feed-CAR-V1.0-May-2025.pdf</x:v>
      </x:c>
      <x:c r="S74" s="752" t="str">
        <x:v>C_Certification_Scheme</x:v>
      </x:c>
      <x:c r="T74" s="752" t="str">
        <x:v>pdf</x:v>
      </x:c>
      <x:c r="U74" s="752" t="str">
        <x:v>Aquaculture Stewardship Council</x:v>
      </x:c>
      <x:c r="V74" s="752" t="str">
        <x:v>International</x:v>
      </x:c>
      <x:c r="W74" s="752" t="str">
        <x:v>English</x:v>
      </x:c>
      <x:c r="X74" s="752" t="str">
        <x:v>1.0</x:v>
      </x:c>
      <x:c r="Y74" s="752"/>
      <x:c r="Z74" s="752" t="str">
        <x:v>Certification scheme</x:v>
      </x:c>
      <x:c r="AA74" s="752" t="str">
        <x:v>Scheme standard</x:v>
      </x:c>
      <x:c r="AB74" s="752" t="str">
        <x:v>Referenced normative</x:v>
      </x:c>
      <x:c r="AC74" s="752" t="str">
        <x:v>Official referenced source from Aquaculture Stewardship Council; included because an applicable law, permit or certification scheme may make its provisions binding within the approved scope.</x:v>
      </x:c>
      <x:c r="AD74" s="752" t="str">
        <x:v>HIGH</x:v>
      </x:c>
      <x:c r="AE74" s="752" t="str">
        <x:v>HIGH</x:v>
      </x:c>
      <x:c r="AF74" s="752" t="str">
        <x:v>HIGH</x:v>
      </x:c>
      <x:c r="AG74" s="752" t="str">
        <x:v>HIGH</x:v>
      </x:c>
      <x:c r="AH74" s="752" t="str">
        <x:v>HIGH</x:v>
      </x:c>
      <x:c r="AI74" s="752" t="str">
        <x:v>HIGH</x:v>
      </x:c>
      <x:c r="AJ74" s="752" t="str">
        <x:v>INCLUDE</x:v>
      </x:c>
      <x:c r="AK74" s="759"/>
      <x:c r="AL74" s="752"/>
      <x:c r="AM74" s="752" t="str">
        <x:v>CURRENT</x:v>
      </x:c>
      <x:c r="AN74" s="752" t="str">
        <x:v>CS001</x:v>
      </x:c>
      <x:c r="AO74" s="752" t="str">
        <x:v>Official expansion. The ASC Farm Standard identifies this CAR as normative.</x:v>
      </x:c>
      <x:c r="AP74" s="752" t="str">
        <x:v>OFFICIAL_WEBSITE</x:v>
      </x:c>
      <x:c r="AQ74" s="752" t="str">
        <x:v>OFFICIAL_ORIGINAL</x:v>
      </x:c>
      <x:c r="AR74" s="752" t="str">
        <x:v>VERSIONED</x:v>
      </x:c>
      <x:c r="AS74" s="752"/>
    </x:row>
    <x:row r="75" s="36" customFormat="1" ht="30" customHeight="1">
      <x:c r="A75" s="751" t="str">
        <x:v>CS006</x:v>
      </x:c>
      <x:c r="B75" s="751" t="str">
        <x:v>CS006-001</x:v>
      </x:c>
      <x:c r="C75" s="751" t="str">
        <x:v>CS006-001_ASC_Group_Requirements_for_Farms.pdf</x:v>
      </x:c>
      <x:c r="D75" s="751" t="str">
        <x:v>NOT_COLLECTED</x:v>
      </x:c>
      <x:c r="E75" s="751" t="str">
        <x:f>IF(A75="","",IF(OR(AJ75="EXCLUDE",COUNTIF(AD75:AH75,"LOW")&gt;0),"EXCLUDE",IF(OR(AJ75&lt;&gt;"INCLUDE",F75&lt;&gt;"SUCCESS",D75&lt;&gt;"STORED",U75="",AP75="",AQ75="",AQ75="UNVERIFIED",AND(AP75="OFFICIAL_WEBSITE",Q75=""),AND(OR(AA75="Equipment manual / OEM instruction",AB75="Asset-specific normative"),OR(Z75&lt;&gt;"Manufacturer / supplier",AS75="",AC75=""))),"PENDING",IF(COUNTIF(AD75:AH75,"HIGH")=5,"INCLUDE","PENDING"))))</x:f>
        <x:v>PENDING</x:v>
      </x:c>
      <x:c r="F75" s="751" t="str">
        <x:v>NOT_RUN</x:v>
      </x:c>
      <x:c r="G75" s="755"/>
      <x:c r="H75" s="755"/>
      <x:c r="I75" s="751" t="str">
        <x:v>UNKNOWN</x:v>
      </x:c>
      <x:c r="J75" s="751" t="str">
        <x:v>NONE</x:v>
      </x:c>
      <x:c r="K75" s="757" t="str">
        <x:f>IF(A75="","",IF(J75="AUTO",H75,IF(J75="MANUAL",AK75,"")))</x:f>
      </x:c>
      <x:c r="L75" s="751" t="str">
        <x:v>NONE</x:v>
      </x:c>
      <x:c r="M75" s="751"/>
      <x:c r="N75" s="751" t="str">
        <x:f>IF(OR(AM75&lt;&gt;"CURRENT",E75="EXCLUDE"),"NO",IF(A75="","",IF(OR(F75="FAIL",F75="PAYWALL_BLOCKED"),IF(AND(AK75&lt;&gt;"",AK75&gt;=INT(G75),D75="STORED",J75="MANUAL",AL75&lt;&gt;""),"NO","YES"),IF(AND(AR75="ROLLING",I75="CHANGED"),IF(AND(AK75&lt;&gt;"",AK75&gt;=INT(IF(H75&lt;&gt;"",H75,G75)),AL75&lt;&gt;""),"NO","YES"),"NO"))))</x:f>
        <x:v>NO</x:v>
      </x:c>
      <x:c r="O75" s="751"/>
      <x:c r="P75" s="752" t="str">
        <x:v>ASC Group Requirements for Farms</x:v>
      </x:c>
      <x:c r="Q75" s="752" t="str">
        <x:v>https://programme-centre.asc-aqua.org/resource-hub/?filter=farm</x:v>
      </x:c>
      <x:c r="R75" s="752"/>
      <x:c r="S75" s="752" t="str">
        <x:v>C_Certification_Scheme</x:v>
      </x:c>
      <x:c r="T75" s="752" t="str">
        <x:v>pdf</x:v>
      </x:c>
      <x:c r="U75" s="752" t="str">
        <x:v>Aquaculture Stewardship Council</x:v>
      </x:c>
      <x:c r="V75" s="752" t="str">
        <x:v>International</x:v>
      </x:c>
      <x:c r="W75" s="752" t="str">
        <x:v>English</x:v>
      </x:c>
      <x:c r="X75" s="752" t="str">
        <x:v>1.0</x:v>
      </x:c>
      <x:c r="Y75" s="752"/>
      <x:c r="Z75" s="752" t="str">
        <x:v>Certification scheme</x:v>
      </x:c>
      <x:c r="AA75" s="752" t="str">
        <x:v>Scheme standard</x:v>
      </x:c>
      <x:c r="AB75" s="752" t="str">
        <x:v>Referenced normative</x:v>
      </x:c>
      <x:c r="AC75" s="752" t="str">
        <x:v>Official referenced source from Aquaculture Stewardship Council; included because an applicable law, permit or certification scheme may make its provisions binding within the approved scope.</x:v>
      </x:c>
      <x:c r="AD75" s="752" t="str">
        <x:v>HIGH</x:v>
      </x:c>
      <x:c r="AE75" s="752" t="str">
        <x:v>MEDIUM</x:v>
      </x:c>
      <x:c r="AF75" s="752" t="str">
        <x:v>MEDIUM</x:v>
      </x:c>
      <x:c r="AG75" s="752" t="str">
        <x:v>MEDIUM</x:v>
      </x:c>
      <x:c r="AH75" s="752" t="str">
        <x:v>HIGH</x:v>
      </x:c>
      <x:c r="AI75" s="752" t="str">
        <x:v>LOW</x:v>
      </x:c>
      <x:c r="AJ75" s="752" t="str">
        <x:v>PENDING</x:v>
      </x:c>
      <x:c r="AK75" s="759"/>
      <x:c r="AL75" s="752"/>
      <x:c r="AM75" s="752" t="str">
        <x:v>CURRENT</x:v>
      </x:c>
      <x:c r="AN75" s="752" t="str">
        <x:v>CS001</x:v>
      </x:c>
      <x:c r="AO75" s="752" t="str">
        <x:v>Official expansion. Conditional on group certification structure.</x:v>
      </x:c>
      <x:c r="AP75" s="752" t="str">
        <x:v>OFFICIAL_WEBSITE</x:v>
      </x:c>
      <x:c r="AQ75" s="752" t="str">
        <x:v>OFFICIAL_ORIGINAL</x:v>
      </x:c>
      <x:c r="AR75" s="752" t="str">
        <x:v>VERSIONED</x:v>
      </x:c>
      <x:c r="AS75" s="752"/>
    </x:row>
    <x:row r="76" s="36" customFormat="1" ht="30" customHeight="1">
      <x:c r="A76" s="751" t="str">
        <x:v>CS007</x:v>
      </x:c>
      <x:c r="B76" s="751" t="str">
        <x:v>CS007-001</x:v>
      </x:c>
      <x:c r="C76" s="751" t="str">
        <x:v>CS007-001_ASC_Data_Submission_Procedure.pdf</x:v>
      </x:c>
      <x:c r="D76" s="751" t="str">
        <x:v>NOT_COLLECTED</x:v>
      </x:c>
      <x:c r="E76" s="751" t="str">
        <x:f>IF(A76="","",IF(OR(AJ76="EXCLUDE",COUNTIF(AD76:AH76,"LOW")&gt;0),"EXCLUDE",IF(OR(AJ76&lt;&gt;"INCLUDE",F76&lt;&gt;"SUCCESS",D76&lt;&gt;"STORED",U76="",AP76="",AQ76="",AQ76="UNVERIFIED",AND(AP76="OFFICIAL_WEBSITE",Q76=""),AND(OR(AA76="Equipment manual / OEM instruction",AB76="Asset-specific normative"),OR(Z76&lt;&gt;"Manufacturer / supplier",AS76="",AC76=""))),"PENDING",IF(COUNTIF(AD76:AH76,"HIGH")=5,"INCLUDE","PENDING"))))</x:f>
        <x:v>PENDING</x:v>
      </x:c>
      <x:c r="F76" s="751" t="str">
        <x:v>NOT_RUN</x:v>
      </x:c>
      <x:c r="G76" s="755"/>
      <x:c r="H76" s="755"/>
      <x:c r="I76" s="751" t="str">
        <x:v>UNKNOWN</x:v>
      </x:c>
      <x:c r="J76" s="751" t="str">
        <x:v>NONE</x:v>
      </x:c>
      <x:c r="K76" s="757" t="str">
        <x:f>IF(A76="","",IF(J76="AUTO",H76,IF(J76="MANUAL",AK76,"")))</x:f>
      </x:c>
      <x:c r="L76" s="751" t="str">
        <x:v>NONE</x:v>
      </x:c>
      <x:c r="M76" s="751"/>
      <x:c r="N76" s="751" t="str">
        <x:f>IF(OR(AM76&lt;&gt;"CURRENT",E76="EXCLUDE"),"NO",IF(A76="","",IF(OR(F76="FAIL",F76="PAYWALL_BLOCKED"),IF(AND(AK76&lt;&gt;"",AK76&gt;=INT(G76),D76="STORED",J76="MANUAL",AL76&lt;&gt;""),"NO","YES"),IF(AND(AR76="ROLLING",I76="CHANGED"),IF(AND(AK76&lt;&gt;"",AK76&gt;=INT(IF(H76&lt;&gt;"",H76,G76)),AL76&lt;&gt;""),"NO","YES"),"NO"))))</x:f>
        <x:v>NO</x:v>
      </x:c>
      <x:c r="O76" s="751"/>
      <x:c r="P76" s="752" t="str">
        <x:v>ASC Data Submission Procedure</x:v>
      </x:c>
      <x:c r="Q76" s="752" t="str">
        <x:v>https://programme-centre.asc-aqua.org/resource-hub/?filter=farm</x:v>
      </x:c>
      <x:c r="R76" s="752"/>
      <x:c r="S76" s="752" t="str">
        <x:v>C_Certification_Scheme</x:v>
      </x:c>
      <x:c r="T76" s="752" t="str">
        <x:v>pdf</x:v>
      </x:c>
      <x:c r="U76" s="752" t="str">
        <x:v>Aquaculture Stewardship Council</x:v>
      </x:c>
      <x:c r="V76" s="752" t="str">
        <x:v>International</x:v>
      </x:c>
      <x:c r="W76" s="752" t="str">
        <x:v>English</x:v>
      </x:c>
      <x:c r="X76" s="752" t="str">
        <x:v>1.0</x:v>
      </x:c>
      <x:c r="Y76" s="752"/>
      <x:c r="Z76" s="752" t="str">
        <x:v>Certification scheme</x:v>
      </x:c>
      <x:c r="AA76" s="752" t="str">
        <x:v>Scheme standard</x:v>
      </x:c>
      <x:c r="AB76" s="752" t="str">
        <x:v>Referenced normative</x:v>
      </x:c>
      <x:c r="AC76" s="752" t="str">
        <x:v>Official referenced source from Aquaculture Stewardship Council; included because an applicable law, permit or certification scheme may make its provisions binding within the approved scope.</x:v>
      </x:c>
      <x:c r="AD76" s="752" t="str">
        <x:v>HIGH</x:v>
      </x:c>
      <x:c r="AE76" s="752" t="str">
        <x:v>HIGH</x:v>
      </x:c>
      <x:c r="AF76" s="752" t="str">
        <x:v>MEDIUM</x:v>
      </x:c>
      <x:c r="AG76" s="752" t="str">
        <x:v>MEDIUM</x:v>
      </x:c>
      <x:c r="AH76" s="752" t="str">
        <x:v>HIGH</x:v>
      </x:c>
      <x:c r="AI76" s="752" t="str">
        <x:v>LOW</x:v>
      </x:c>
      <x:c r="AJ76" s="752" t="str">
        <x:v>PENDING</x:v>
      </x:c>
      <x:c r="AK76" s="759"/>
      <x:c r="AL76" s="752"/>
      <x:c r="AM76" s="752" t="str">
        <x:v>CURRENT</x:v>
      </x:c>
      <x:c r="AN76" s="752" t="str">
        <x:v>CS001</x:v>
      </x:c>
      <x:c r="AO76" s="752" t="str">
        <x:v>Official expansion. The ASC Farm Standard lists this procedure among normative references.</x:v>
      </x:c>
      <x:c r="AP76" s="752" t="str">
        <x:v>OFFICIAL_WEBSITE</x:v>
      </x:c>
      <x:c r="AQ76" s="752" t="str">
        <x:v>OFFICIAL_ORIGINAL</x:v>
      </x:c>
      <x:c r="AR76" s="752" t="str">
        <x:v>VERSIONED</x:v>
      </x:c>
      <x:c r="AS76" s="752"/>
    </x:row>
    <x:row r="77" s="36" customFormat="1" ht="30" customHeight="1">
      <x:c r="A77" s="751" t="str">
        <x:v>CS008</x:v>
      </x:c>
      <x:c r="B77" s="751" t="str">
        <x:v>CS008-001</x:v>
      </x:c>
      <x:c r="C77" s="751" t="str">
        <x:v>CS008-001_GLOBALG.A.P._IFA_v6_Smart_for_aquaculture_-_Principles_and_criteria.pdf</x:v>
      </x:c>
      <x:c r="D77" s="751" t="str">
        <x:v>NOT_COLLECTED</x:v>
      </x:c>
      <x:c r="E77" s="751" t="str">
        <x:f>IF(A77="","",IF(OR(AJ77="EXCLUDE",COUNTIF(AD77:AH77,"LOW")&gt;0),"EXCLUDE",IF(OR(AJ77&lt;&gt;"INCLUDE",F77&lt;&gt;"SUCCESS",D77&lt;&gt;"STORED",U77="",AP77="",AQ77="",AQ77="UNVERIFIED",AND(AP77="OFFICIAL_WEBSITE",Q77=""),AND(OR(AA77="Equipment manual / OEM instruction",AB77="Asset-specific normative"),OR(Z77&lt;&gt;"Manufacturer / supplier",AS77="",AC77=""))),"PENDING",IF(COUNTIF(AD77:AH77,"HIGH")=5,"INCLUDE","PENDING"))))</x:f>
        <x:v>PENDING</x:v>
      </x:c>
      <x:c r="F77" s="751" t="str">
        <x:v>NOT_RUN</x:v>
      </x:c>
      <x:c r="G77" s="755"/>
      <x:c r="H77" s="755"/>
      <x:c r="I77" s="751" t="str">
        <x:v>UNKNOWN</x:v>
      </x:c>
      <x:c r="J77" s="751" t="str">
        <x:v>NONE</x:v>
      </x:c>
      <x:c r="K77" s="757" t="str">
        <x:f>IF(A77="","",IF(J77="AUTO",H77,IF(J77="MANUAL",AK77,"")))</x:f>
      </x:c>
      <x:c r="L77" s="751" t="str">
        <x:v>NONE</x:v>
      </x:c>
      <x:c r="M77" s="751"/>
      <x:c r="N77" s="751" t="str">
        <x:f>IF(OR(AM77&lt;&gt;"CURRENT",E77="EXCLUDE"),"NO",IF(A77="","",IF(OR(F77="FAIL",F77="PAYWALL_BLOCKED"),IF(AND(AK77&lt;&gt;"",AK77&gt;=INT(G77),D77="STORED",J77="MANUAL",AL77&lt;&gt;""),"NO","YES"),IF(AND(AR77="ROLLING",I77="CHANGED"),IF(AND(AK77&lt;&gt;"",AK77&gt;=INT(IF(H77&lt;&gt;"",H77,G77)),AL77&lt;&gt;""),"NO","YES"),"NO"))))</x:f>
        <x:v>NO</x:v>
      </x:c>
      <x:c r="O77" s="751"/>
      <x:c r="P77" s="752" t="str">
        <x:v>GLOBALG.A.P. IFA v6 Smart for aquaculture - Principles and criteria</x:v>
      </x:c>
      <x:c r="Q77" s="752" t="str">
        <x:v>https://globalgap.org/what-we-offer/solutions/ifa-aquaculture/</x:v>
      </x:c>
      <x:c r="R77" s="752"/>
      <x:c r="S77" s="752" t="str">
        <x:v>C_Certification_Scheme</x:v>
      </x:c>
      <x:c r="T77" s="752" t="str">
        <x:v>pdf</x:v>
      </x:c>
      <x:c r="U77" s="752" t="str">
        <x:v>GLOBALG.A.P.</x:v>
      </x:c>
      <x:c r="V77" s="752" t="str">
        <x:v>International</x:v>
      </x:c>
      <x:c r="W77" s="752" t="str">
        <x:v>English</x:v>
      </x:c>
      <x:c r="X77" s="752" t="str">
        <x:v>V6</x:v>
      </x:c>
      <x:c r="Y77" s="752"/>
      <x:c r="Z77" s="752" t="str">
        <x:v>Certification scheme</x:v>
      </x:c>
      <x:c r="AA77" s="752" t="str">
        <x:v>Scheme standard</x:v>
      </x:c>
      <x:c r="AB77" s="752" t="str">
        <x:v>Primary normative</x:v>
      </x:c>
      <x:c r="AC77" s="752" t="str">
        <x:v>Official scheme standard issued by GLOBALG.A.P.; included because it may impose binding requirements on an in-scope aquaculture asset, activity, permit or certification.</x:v>
      </x:c>
      <x:c r="AD77" s="752" t="str">
        <x:v>HIGH</x:v>
      </x:c>
      <x:c r="AE77" s="752" t="str">
        <x:v>HIGH</x:v>
      </x:c>
      <x:c r="AF77" s="752" t="str">
        <x:v>MEDIUM</x:v>
      </x:c>
      <x:c r="AG77" s="752" t="str">
        <x:v>MEDIUM</x:v>
      </x:c>
      <x:c r="AH77" s="752" t="str">
        <x:v>HIGH</x:v>
      </x:c>
      <x:c r="AI77" s="752" t="str">
        <x:v>LOW</x:v>
      </x:c>
      <x:c r="AJ77" s="752" t="str">
        <x:v>PENDING</x:v>
      </x:c>
      <x:c r="AK77" s="759"/>
      <x:c r="AL77" s="752"/>
      <x:c r="AM77" s="752" t="str">
        <x:v>CURRENT</x:v>
      </x:c>
      <x:c r="AN77" s="752"/>
      <x:c r="AO77" s="752" t="str">
        <x:v>Project-mentioned scheme source. The repository contains the checklist, but the P&amp;C document is the primary normative source.</x:v>
      </x:c>
      <x:c r="AP77" s="752" t="str">
        <x:v>OFFICIAL_WEBSITE</x:v>
      </x:c>
      <x:c r="AQ77" s="752" t="str">
        <x:v>OFFICIAL_ORIGINAL</x:v>
      </x:c>
      <x:c r="AR77" s="752" t="str">
        <x:v>VERSIONED</x:v>
      </x:c>
      <x:c r="AS77" s="752"/>
    </x:row>
    <x:row r="78" s="36" customFormat="1" ht="30" customHeight="1">
      <x:c r="A78" s="751" t="str">
        <x:v>CS009</x:v>
      </x:c>
      <x:c r="B78" s="751" t="str">
        <x:v>CS009-001</x:v>
      </x:c>
      <x:c r="C78" s="751" t="str">
        <x:v>CS009-001_GLOBALG.A.P._IFA_v6_Smart_for_aquaculture_-_Checklist.xlsx</x:v>
      </x:c>
      <x:c r="D78" s="751" t="str">
        <x:v>NOT_COLLECTED</x:v>
      </x:c>
      <x:c r="E78" s="751" t="str">
        <x:f>IF(A78="","",IF(OR(AJ78="EXCLUDE",COUNTIF(AD78:AH78,"LOW")&gt;0),"EXCLUDE",IF(OR(AJ78&lt;&gt;"INCLUDE",F78&lt;&gt;"SUCCESS",D78&lt;&gt;"STORED",U78="",AP78="",AQ78="",AQ78="UNVERIFIED",AND(AP78="OFFICIAL_WEBSITE",Q78=""),AND(OR(AA78="Equipment manual / OEM instruction",AB78="Asset-specific normative"),OR(Z78&lt;&gt;"Manufacturer / supplier",AS78="",AC78=""))),"PENDING",IF(COUNTIF(AD78:AH78,"HIGH")=5,"INCLUDE","PENDING"))))</x:f>
        <x:v>PENDING</x:v>
      </x:c>
      <x:c r="F78" s="751" t="str">
        <x:v>NOT_RUN</x:v>
      </x:c>
      <x:c r="G78" s="755"/>
      <x:c r="H78" s="755"/>
      <x:c r="I78" s="751" t="str">
        <x:v>UNKNOWN</x:v>
      </x:c>
      <x:c r="J78" s="751" t="str">
        <x:v>NONE</x:v>
      </x:c>
      <x:c r="K78" s="757" t="str">
        <x:f>IF(A78="","",IF(J78="AUTO",H78,IF(J78="MANUAL",AK78,"")))</x:f>
      </x:c>
      <x:c r="L78" s="751" t="str">
        <x:v>NONE</x:v>
      </x:c>
      <x:c r="M78" s="751"/>
      <x:c r="N78" s="751" t="str">
        <x:f>IF(OR(AM78&lt;&gt;"CURRENT",E78="EXCLUDE"),"NO",IF(A78="","",IF(OR(F78="FAIL",F78="PAYWALL_BLOCKED"),IF(AND(AK78&lt;&gt;"",AK78&gt;=INT(G78),D78="STORED",J78="MANUAL",AL78&lt;&gt;""),"NO","YES"),IF(AND(AR78="ROLLING",I78="CHANGED"),IF(AND(AK78&lt;&gt;"",AK78&gt;=INT(IF(H78&lt;&gt;"",H78,G78)),AL78&lt;&gt;""),"NO","YES"),"NO"))))</x:f>
        <x:v>NO</x:v>
      </x:c>
      <x:c r="O78" s="751"/>
      <x:c r="P78" s="752" t="str">
        <x:v>GLOBALG.A.P. IFA v6 Smart for aquaculture - Checklist</x:v>
      </x:c>
      <x:c r="Q78" s="752" t="str">
        <x:v>https://globalgap.org/what-we-offer/solutions/ifa-aquaculture/</x:v>
      </x:c>
      <x:c r="R78" s="752"/>
      <x:c r="S78" s="752" t="str">
        <x:v>C_Certification_Scheme</x:v>
      </x:c>
      <x:c r="T78" s="752" t="str">
        <x:v>xlsx</x:v>
      </x:c>
      <x:c r="U78" s="752" t="str">
        <x:v>GLOBALG.A.P.</x:v>
      </x:c>
      <x:c r="V78" s="752" t="str">
        <x:v>International</x:v>
      </x:c>
      <x:c r="W78" s="752" t="str">
        <x:v>English</x:v>
      </x:c>
      <x:c r="X78" s="752" t="str">
        <x:v>V6</x:v>
      </x:c>
      <x:c r="Y78" s="752"/>
      <x:c r="Z78" s="752" t="str">
        <x:v>Certification scheme</x:v>
      </x:c>
      <x:c r="AA78" s="752" t="str">
        <x:v>Audit / assessment document</x:v>
      </x:c>
      <x:c r="AB78" s="752" t="str">
        <x:v>Audit / assessment tool</x:v>
      </x:c>
      <x:c r="AC78" s="752" t="str">
        <x:v>Official assessment tool from GLOBALG.A.P.; included to structure compliance checks and trace evidence back to its linked normative source.</x:v>
      </x:c>
      <x:c r="AD78" s="752" t="str">
        <x:v>HIGH</x:v>
      </x:c>
      <x:c r="AE78" s="752" t="str">
        <x:v>HIGH</x:v>
      </x:c>
      <x:c r="AF78" s="752" t="str">
        <x:v>MEDIUM</x:v>
      </x:c>
      <x:c r="AG78" s="752" t="str">
        <x:v>MEDIUM</x:v>
      </x:c>
      <x:c r="AH78" s="752" t="str">
        <x:v>HIGH</x:v>
      </x:c>
      <x:c r="AI78" s="752" t="str">
        <x:v>LOW</x:v>
      </x:c>
      <x:c r="AJ78" s="752" t="str">
        <x:v>PENDING</x:v>
      </x:c>
      <x:c r="AK78" s="759"/>
      <x:c r="AL78" s="752"/>
      <x:c r="AM78" s="752" t="str">
        <x:v>CURRENT</x:v>
      </x:c>
      <x:c r="AN78" s="752" t="str">
        <x:v>CS008</x:v>
      </x:c>
      <x:c r="AO78" s="752" t="str">
        <x:v>Repository-held assessment artifact. Official distribution may be ZIP/XLSX; trace requirements to CS008.</x:v>
      </x:c>
      <x:c r="AP78" s="752" t="str">
        <x:v>OFFICIAL_WEBSITE</x:v>
      </x:c>
      <x:c r="AQ78" s="752" t="str">
        <x:v>OFFICIAL_ORIGINAL</x:v>
      </x:c>
      <x:c r="AR78" s="752" t="str">
        <x:v>VERSIONED</x:v>
      </x:c>
      <x:c r="AS78" s="752"/>
    </x:row>
    <x:row r="79" s="36" customFormat="1" ht="30" customHeight="1">
      <x:c r="A79" s="751" t="str">
        <x:v>CS010</x:v>
      </x:c>
      <x:c r="B79" s="751" t="str">
        <x:v>CS010-001</x:v>
      </x:c>
      <x:c r="C79" s="751" t="str">
        <x:v>CS010-001_GLOBALG.A.P._General_Regulations_-_Rules_for_aquaculture_scope.pdf</x:v>
      </x:c>
      <x:c r="D79" s="751" t="str">
        <x:v>STORED</x:v>
      </x:c>
      <x:c r="E79" s="751" t="str">
        <x:f>IF(A79="","",IF(OR(AJ79="EXCLUDE",COUNTIF(AD79:AH79,"LOW")&gt;0),"EXCLUDE",IF(OR(AJ79&lt;&gt;"INCLUDE",F79&lt;&gt;"SUCCESS",D79&lt;&gt;"STORED",U79="",AP79="",AQ79="",AQ79="UNVERIFIED",AND(AP79="OFFICIAL_WEBSITE",Q79=""),AND(OR(AA79="Equipment manual / OEM instruction",AB79="Asset-specific normative"),OR(Z79&lt;&gt;"Manufacturer / supplier",AS79="",AC79=""))),"PENDING",IF(COUNTIF(AD79:AH79,"HIGH")=5,"INCLUDE","PENDING"))))</x:f>
        <x:v>INCLUDE</x:v>
      </x:c>
      <x:c r="F79" s="751" t="str">
        <x:v>SUCCESS</x:v>
      </x:c>
      <x:c r="G79" s="755" t="n">
        <x:v>46262.53115740741</x:v>
      </x:c>
      <x:c r="H79" s="755" t="n">
        <x:v>46262.53115740741</x:v>
      </x:c>
      <x:c r="I79" s="751" t="str">
        <x:v>INITIAL</x:v>
      </x:c>
      <x:c r="J79" s="751" t="str">
        <x:v>AUTO</x:v>
      </x:c>
      <x:c r="K79" s="757" t="n">
        <x:f>IF(A79="","",IF(J79="AUTO",H79,IF(J79="MANUAL",AK79,"")))</x:f>
        <x:v>46262.53115740741</x:v>
      </x:c>
      <x:c r="L79" s="751" t="str">
        <x:v>NONE</x:v>
      </x:c>
      <x:c r="M79" s="751"/>
      <x:c r="N79" s="751" t="str">
        <x:f>IF(OR(AM79&lt;&gt;"CURRENT",E79="EXCLUDE"),"NO",IF(A79="","",IF(OR(F79="FAIL",F79="PAYWALL_BLOCKED"),IF(AND(AK79&lt;&gt;"",AK79&gt;=INT(G79),D79="STORED",J79="MANUAL",AL79&lt;&gt;""),"NO","YES"),IF(AND(AR79="ROLLING",I79="CHANGED"),IF(AND(AK79&lt;&gt;"",AK79&gt;=INT(IF(H79&lt;&gt;"",H79,G79)),AL79&lt;&gt;""),"NO","YES"),"NO"))))</x:f>
        <x:v>NO</x:v>
      </x:c>
      <x:c r="O79" s="751" t="str">
        <x:v>ce5c8950c69e3b5b60b85110f5abd2c6d8637c83291c6c00ac03f28b102dac54</x:v>
      </x:c>
      <x:c r="P79" s="752" t="str">
        <x:v>GLOBALG.A.P. General Regulations - Rules for aquaculture scope</x:v>
      </x:c>
      <x:c r="Q79" s="752" t="str">
        <x:v>https://globalgap.org/what-we-offer/solutions/ifa-aquaculture/</x:v>
      </x:c>
      <x:c r="R79" s="752" t="str">
        <x:v>https://documents.globalgap.org/documents/220929_GG_GR_Rules_for_aquaculture_v6_0_Sep22_en.pdf</x:v>
      </x:c>
      <x:c r="S79" s="752" t="str">
        <x:v>C_Certification_Scheme</x:v>
      </x:c>
      <x:c r="T79" s="752" t="str">
        <x:v>pdf</x:v>
      </x:c>
      <x:c r="U79" s="752" t="str">
        <x:v>GLOBALG.A.P.</x:v>
      </x:c>
      <x:c r="V79" s="752" t="str">
        <x:v>International</x:v>
      </x:c>
      <x:c r="W79" s="752" t="str">
        <x:v>English</x:v>
      </x:c>
      <x:c r="X79" s="752" t="str">
        <x:v>6.0</x:v>
      </x:c>
      <x:c r="Y79" s="752"/>
      <x:c r="Z79" s="752" t="str">
        <x:v>Certification scheme</x:v>
      </x:c>
      <x:c r="AA79" s="752" t="str">
        <x:v>Scheme standard</x:v>
      </x:c>
      <x:c r="AB79" s="752" t="str">
        <x:v>Referenced normative</x:v>
      </x:c>
      <x:c r="AC79" s="752" t="str">
        <x:v>Official referenced source from GLOBALG.A.P.; included because an applicable law, permit or certification scheme may make its provisions binding within the approved scope.</x:v>
      </x:c>
      <x:c r="AD79" s="752" t="str">
        <x:v>HIGH</x:v>
      </x:c>
      <x:c r="AE79" s="752" t="str">
        <x:v>HIGH</x:v>
      </x:c>
      <x:c r="AF79" s="752" t="str">
        <x:v>HIGH</x:v>
      </x:c>
      <x:c r="AG79" s="752" t="str">
        <x:v>HIGH</x:v>
      </x:c>
      <x:c r="AH79" s="752" t="str">
        <x:v>HIGH</x:v>
      </x:c>
      <x:c r="AI79" s="752" t="str">
        <x:v>HIGH</x:v>
      </x:c>
      <x:c r="AJ79" s="752" t="str">
        <x:v>INCLUDE</x:v>
      </x:c>
      <x:c r="AK79" s="759"/>
      <x:c r="AL79" s="752"/>
      <x:c r="AM79" s="752" t="str">
        <x:v>CURRENT</x:v>
      </x:c>
      <x:c r="AN79" s="752" t="str">
        <x:v>CS008</x:v>
      </x:c>
      <x:c r="AO79" s="752" t="str">
        <x:v>Official expansion. GLOBALG.A.P. identifies the general regulations as required for certification.</x:v>
      </x:c>
      <x:c r="AP79" s="752" t="str">
        <x:v>OFFICIAL_WEBSITE</x:v>
      </x:c>
      <x:c r="AQ79" s="752" t="str">
        <x:v>OFFICIAL_ORIGINAL</x:v>
      </x:c>
      <x:c r="AR79" s="752" t="str">
        <x:v>VERSIONED</x:v>
      </x:c>
      <x:c r="AS79" s="752"/>
    </x:row>
    <x:row r="80" s="36" customFormat="1" ht="30" customHeight="1">
      <x:c r="A80" s="751" t="str">
        <x:v>CS011</x:v>
      </x:c>
      <x:c r="B80" s="751" t="str">
        <x:v>CS011-001</x:v>
      </x:c>
      <x:c r="C80" s="751" t="str">
        <x:v>CS011-001_GLOBALG.A.P._GRASP_v2_-_Principles_and_criteria.pdf</x:v>
      </x:c>
      <x:c r="D80" s="751" t="str">
        <x:v>STORED</x:v>
      </x:c>
      <x:c r="E80" s="751" t="str">
        <x:f>IF(A80="","",IF(OR(AJ80="EXCLUDE",COUNTIF(AD80:AH80,"LOW")&gt;0),"EXCLUDE",IF(OR(AJ80&lt;&gt;"INCLUDE",F80&lt;&gt;"SUCCESS",D80&lt;&gt;"STORED",U80="",AP80="",AQ80="",AQ80="UNVERIFIED",AND(AP80="OFFICIAL_WEBSITE",Q80=""),AND(OR(AA80="Equipment manual / OEM instruction",AB80="Asset-specific normative"),OR(Z80&lt;&gt;"Manufacturer / supplier",AS80="",AC80=""))),"PENDING",IF(COUNTIF(AD80:AH80,"HIGH")=5,"INCLUDE","PENDING"))))</x:f>
        <x:v>INCLUDE</x:v>
      </x:c>
      <x:c r="F80" s="751" t="str">
        <x:v>SUCCESS</x:v>
      </x:c>
      <x:c r="G80" s="755" t="n">
        <x:v>46262.53115740741</x:v>
      </x:c>
      <x:c r="H80" s="755" t="n">
        <x:v>46262.53116898148</x:v>
      </x:c>
      <x:c r="I80" s="751" t="str">
        <x:v>INITIAL</x:v>
      </x:c>
      <x:c r="J80" s="751" t="str">
        <x:v>AUTO</x:v>
      </x:c>
      <x:c r="K80" s="757" t="n">
        <x:f>IF(A80="","",IF(J80="AUTO",H80,IF(J80="MANUAL",AK80,"")))</x:f>
        <x:v>46262.53116898148</x:v>
      </x:c>
      <x:c r="L80" s="751" t="str">
        <x:v>NONE</x:v>
      </x:c>
      <x:c r="M80" s="751"/>
      <x:c r="N80" s="751" t="str">
        <x:f>IF(OR(AM80&lt;&gt;"CURRENT",E80="EXCLUDE"),"NO",IF(A80="","",IF(OR(F80="FAIL",F80="PAYWALL_BLOCKED"),IF(AND(AK80&lt;&gt;"",AK80&gt;=INT(G80),D80="STORED",J80="MANUAL",AL80&lt;&gt;""),"NO","YES"),IF(AND(AR80="ROLLING",I80="CHANGED"),IF(AND(AK80&lt;&gt;"",AK80&gt;=INT(IF(H80&lt;&gt;"",H80,G80)),AL80&lt;&gt;""),"NO","YES"),"NO"))))</x:f>
        <x:v>NO</x:v>
      </x:c>
      <x:c r="O80" s="751" t="str">
        <x:v>5b5c05855c1b0c422755facc234a7d4584eb37f8671421885d7dcc62f9a0e9e8</x:v>
      </x:c>
      <x:c r="P80" s="752" t="str">
        <x:v>GLOBALG.A.P. GRASP v2 - Principles and criteria</x:v>
      </x:c>
      <x:c r="Q80" s="752" t="str">
        <x:v>https://globalgap.org/what-we-offer/solutions/grasp/</x:v>
      </x:c>
      <x:c r="R80" s="752" t="str">
        <x:v>https://documents.globalgap.org/documents/220929_GRASP_PCs_v2_0_Sep22_en.pdf</x:v>
      </x:c>
      <x:c r="S80" s="752" t="str">
        <x:v>C_Certification_Scheme</x:v>
      </x:c>
      <x:c r="T80" s="752" t="str">
        <x:v>pdf</x:v>
      </x:c>
      <x:c r="U80" s="752" t="str">
        <x:v>GLOBALG.A.P.</x:v>
      </x:c>
      <x:c r="V80" s="752" t="str">
        <x:v>International</x:v>
      </x:c>
      <x:c r="W80" s="752" t="str">
        <x:v>English</x:v>
      </x:c>
      <x:c r="X80" s="752" t="str">
        <x:v>2.0_Sep22</x:v>
      </x:c>
      <x:c r="Y80" s="752"/>
      <x:c r="Z80" s="752" t="str">
        <x:v>Certification scheme</x:v>
      </x:c>
      <x:c r="AA80" s="752" t="str">
        <x:v>Scheme standard</x:v>
      </x:c>
      <x:c r="AB80" s="752" t="str">
        <x:v>Referenced normative</x:v>
      </x:c>
      <x:c r="AC80" s="752" t="str">
        <x:v>Official referenced source from GLOBALG.A.P.; included because an applicable law, permit or certification scheme may make its provisions binding within the approved scope.</x:v>
      </x:c>
      <x:c r="AD80" s="752" t="str">
        <x:v>HIGH</x:v>
      </x:c>
      <x:c r="AE80" s="752" t="str">
        <x:v>HIGH</x:v>
      </x:c>
      <x:c r="AF80" s="752" t="str">
        <x:v>HIGH</x:v>
      </x:c>
      <x:c r="AG80" s="752" t="str">
        <x:v>HIGH</x:v>
      </x:c>
      <x:c r="AH80" s="752" t="str">
        <x:v>HIGH</x:v>
      </x:c>
      <x:c r="AI80" s="752" t="str">
        <x:v>HIGH</x:v>
      </x:c>
      <x:c r="AJ80" s="752" t="str">
        <x:v>INCLUDE</x:v>
      </x:c>
      <x:c r="AK80" s="759"/>
      <x:c r="AL80" s="752"/>
      <x:c r="AM80" s="752" t="str">
        <x:v>CURRENT</x:v>
      </x:c>
      <x:c r="AN80" s="752" t="str">
        <x:v>CS008</x:v>
      </x:c>
      <x:c r="AO80" s="752" t="str">
        <x:v>Official expansion. GLOBALG.A.P. states GRASP is mandatory for IFA aquaculture audits.</x:v>
      </x:c>
      <x:c r="AP80" s="752" t="str">
        <x:v>OFFICIAL_WEBSITE</x:v>
      </x:c>
      <x:c r="AQ80" s="752" t="str">
        <x:v>OFFICIAL_ORIGINAL</x:v>
      </x:c>
      <x:c r="AR80" s="752" t="str">
        <x:v>VERSIONED</x:v>
      </x:c>
      <x:c r="AS80" s="752"/>
    </x:row>
    <x:row r="81" s="36" customFormat="1" ht="30" customHeight="1">
      <x:c r="A81" s="751" t="str">
        <x:v>CS012</x:v>
      </x:c>
      <x:c r="B81" s="751" t="str">
        <x:v>CS012-001</x:v>
      </x:c>
      <x:c r="C81" s="751" t="str">
        <x:v>CS012-001_GLOBALG.A.P._Compound_Feed_Manufacturing_Standard.pdf</x:v>
      </x:c>
      <x:c r="D81" s="751" t="str">
        <x:v>NOT_COLLECTED</x:v>
      </x:c>
      <x:c r="E81" s="751" t="str">
        <x:f>IF(A81="","",IF(OR(AJ81="EXCLUDE",COUNTIF(AD81:AH81,"LOW")&gt;0),"EXCLUDE",IF(OR(AJ81&lt;&gt;"INCLUDE",F81&lt;&gt;"SUCCESS",D81&lt;&gt;"STORED",U81="",AP81="",AQ81="",AQ81="UNVERIFIED",AND(AP81="OFFICIAL_WEBSITE",Q81=""),AND(OR(AA81="Equipment manual / OEM instruction",AB81="Asset-specific normative"),OR(Z81&lt;&gt;"Manufacturer / supplier",AS81="",AC81=""))),"PENDING",IF(COUNTIF(AD81:AH81,"HIGH")=5,"INCLUDE","PENDING"))))</x:f>
        <x:v>PENDING</x:v>
      </x:c>
      <x:c r="F81" s="751" t="str">
        <x:v>NOT_RUN</x:v>
      </x:c>
      <x:c r="G81" s="755"/>
      <x:c r="H81" s="755"/>
      <x:c r="I81" s="751" t="str">
        <x:v>UNKNOWN</x:v>
      </x:c>
      <x:c r="J81" s="751" t="str">
        <x:v>NONE</x:v>
      </x:c>
      <x:c r="K81" s="757" t="str">
        <x:f>IF(A81="","",IF(J81="AUTO",H81,IF(J81="MANUAL",AK81,"")))</x:f>
      </x:c>
      <x:c r="L81" s="751" t="str">
        <x:v>NONE</x:v>
      </x:c>
      <x:c r="M81" s="751"/>
      <x:c r="N81" s="751" t="str">
        <x:f>IF(OR(AM81&lt;&gt;"CURRENT",E81="EXCLUDE"),"NO",IF(A81="","",IF(OR(F81="FAIL",F81="PAYWALL_BLOCKED"),IF(AND(AK81&lt;&gt;"",AK81&gt;=INT(G81),D81="STORED",J81="MANUAL",AL81&lt;&gt;""),"NO","YES"),IF(AND(AR81="ROLLING",I81="CHANGED"),IF(AND(AK81&lt;&gt;"",AK81&gt;=INT(IF(H81&lt;&gt;"",H81,G81)),AL81&lt;&gt;""),"NO","YES"),"NO"))))</x:f>
        <x:v>NO</x:v>
      </x:c>
      <x:c r="O81" s="751"/>
      <x:c r="P81" s="752" t="str">
        <x:v>GLOBALG.A.P. Compound Feed Manufacturing Standard</x:v>
      </x:c>
      <x:c r="Q81" s="752" t="str">
        <x:v>https://globalgap.org/what-we-offer/solutions/compound-feed-manufacturing/</x:v>
      </x:c>
      <x:c r="R81" s="752"/>
      <x:c r="S81" s="752" t="str">
        <x:v>C_Certification_Scheme</x:v>
      </x:c>
      <x:c r="T81" s="752" t="str">
        <x:v>pdf</x:v>
      </x:c>
      <x:c r="U81" s="752" t="str">
        <x:v>GLOBALG.A.P.</x:v>
      </x:c>
      <x:c r="V81" s="752" t="str">
        <x:v>International</x:v>
      </x:c>
      <x:c r="W81" s="752" t="str">
        <x:v>English</x:v>
      </x:c>
      <x:c r="X81" s="752"/>
      <x:c r="Y81" s="752"/>
      <x:c r="Z81" s="752" t="str">
        <x:v>Certification scheme</x:v>
      </x:c>
      <x:c r="AA81" s="752" t="str">
        <x:v>Scheme standard</x:v>
      </x:c>
      <x:c r="AB81" s="752" t="str">
        <x:v>Referenced normative</x:v>
      </x:c>
      <x:c r="AC81" s="752" t="str">
        <x:v>Official referenced source from GLOBALG.A.P.; included because an applicable law, permit or certification scheme may make its provisions binding within the approved scope.</x:v>
      </x:c>
      <x:c r="AD81" s="752" t="str">
        <x:v>HIGH</x:v>
      </x:c>
      <x:c r="AE81" s="752" t="str">
        <x:v>HIGH</x:v>
      </x:c>
      <x:c r="AF81" s="752" t="str">
        <x:v>MEDIUM</x:v>
      </x:c>
      <x:c r="AG81" s="752" t="str">
        <x:v>MEDIUM</x:v>
      </x:c>
      <x:c r="AH81" s="752" t="str">
        <x:v>HIGH</x:v>
      </x:c>
      <x:c r="AI81" s="752" t="str">
        <x:v>LOW</x:v>
      </x:c>
      <x:c r="AJ81" s="752" t="str">
        <x:v>PENDING</x:v>
      </x:c>
      <x:c r="AK81" s="759"/>
      <x:c r="AL81" s="752"/>
      <x:c r="AM81" s="752" t="str">
        <x:v>CURRENT</x:v>
      </x:c>
      <x:c r="AN81" s="752" t="str">
        <x:v>CS008</x:v>
      </x:c>
      <x:c r="AO81" s="752" t="str">
        <x:v>Official expansion. Relevant to feed-sourcing requirements under IFA aquaculture.</x:v>
      </x:c>
      <x:c r="AP81" s="752" t="str">
        <x:v>OFFICIAL_WEBSITE</x:v>
      </x:c>
      <x:c r="AQ81" s="752" t="str">
        <x:v>OFFICIAL_ORIGINAL</x:v>
      </x:c>
      <x:c r="AR81" s="752" t="str">
        <x:v>VERSIONED</x:v>
      </x:c>
      <x:c r="AS81" s="752"/>
    </x:row>
    <x:row r="82" s="36" customFormat="1" ht="30" customHeight="1">
      <x:c r="A82" s="751" t="str">
        <x:v>CS013</x:v>
      </x:c>
      <x:c r="B82" s="751" t="str">
        <x:v>CS013-001</x:v>
      </x:c>
      <x:c r="C82" s="751" t="str">
        <x:v>CS013-001_GLOBALG.A.P._General_Regulations_-_Rules_for_individual_producers.pdf</x:v>
      </x:c>
      <x:c r="D82" s="751" t="str">
        <x:v>STORED</x:v>
      </x:c>
      <x:c r="E82" s="751" t="str">
        <x:f>IF(A82="","",IF(OR(AJ82="EXCLUDE",COUNTIF(AD82:AH82,"LOW")&gt;0),"EXCLUDE",IF(OR(AJ82&lt;&gt;"INCLUDE",F82&lt;&gt;"SUCCESS",D82&lt;&gt;"STORED",U82="",AP82="",AQ82="",AQ82="UNVERIFIED",AND(AP82="OFFICIAL_WEBSITE",Q82=""),AND(OR(AA82="Equipment manual / OEM instruction",AB82="Asset-specific normative"),OR(Z82&lt;&gt;"Manufacturer / supplier",AS82="",AC82=""))),"PENDING",IF(COUNTIF(AD82:AH82,"HIGH")=5,"INCLUDE","PENDING"))))</x:f>
        <x:v>PENDING</x:v>
      </x:c>
      <x:c r="F82" s="751" t="str">
        <x:v>SUCCESS</x:v>
      </x:c>
      <x:c r="G82" s="755" t="n">
        <x:v>46262.53116898148</x:v>
      </x:c>
      <x:c r="H82" s="755" t="n">
        <x:v>46262.53118055555</x:v>
      </x:c>
      <x:c r="I82" s="751" t="str">
        <x:v>INITIAL</x:v>
      </x:c>
      <x:c r="J82" s="751" t="str">
        <x:v>AUTO</x:v>
      </x:c>
      <x:c r="K82" s="757" t="n">
        <x:f>IF(A82="","",IF(J82="AUTO",H82,IF(J82="MANUAL",AK82,"")))</x:f>
        <x:v>46262.53118055555</x:v>
      </x:c>
      <x:c r="L82" s="751" t="str">
        <x:v>NONE</x:v>
      </x:c>
      <x:c r="M82" s="751"/>
      <x:c r="N82" s="751" t="str">
        <x:f>IF(OR(AM82&lt;&gt;"CURRENT",E82="EXCLUDE"),"NO",IF(A82="","",IF(OR(F82="FAIL",F82="PAYWALL_BLOCKED"),IF(AND(AK82&lt;&gt;"",AK82&gt;=INT(G82),D82="STORED",J82="MANUAL",AL82&lt;&gt;""),"NO","YES"),IF(AND(AR82="ROLLING",I82="CHANGED"),IF(AND(AK82&lt;&gt;"",AK82&gt;=INT(IF(H82&lt;&gt;"",H82,G82)),AL82&lt;&gt;""),"NO","YES"),"NO"))))</x:f>
        <x:v>NO</x:v>
      </x:c>
      <x:c r="O82" s="751" t="str">
        <x:v>1015d3e9d049ce63876f8e511408e9d9e61c38598caf48442dc42be26c6d2716</x:v>
      </x:c>
      <x:c r="P82" s="752" t="str">
        <x:v>GLOBALG.A.P. General Regulations - Rules for individual producers</x:v>
      </x:c>
      <x:c r="Q82" s="752" t="str">
        <x:v>https://globalgap.org/what-we-offer/solutions/ifa-aquaculture/</x:v>
      </x:c>
      <x:c r="R82" s="752" t="str">
        <x:v>https://documents.globalgap.org/documents/240902_GG_GR_Rules_for_IP_v6_0_Aug24_en.pdf</x:v>
      </x:c>
      <x:c r="S82" s="752" t="str">
        <x:v>C_Certification_Scheme</x:v>
      </x:c>
      <x:c r="T82" s="752" t="str">
        <x:v>pdf</x:v>
      </x:c>
      <x:c r="U82" s="752" t="str">
        <x:v>GLOBALG.A.P.</x:v>
      </x:c>
      <x:c r="V82" s="752" t="str">
        <x:v>International</x:v>
      </x:c>
      <x:c r="W82" s="752" t="str">
        <x:v>English</x:v>
      </x:c>
      <x:c r="X82" s="752" t="str">
        <x:v>6.0_Aug24</x:v>
      </x:c>
      <x:c r="Y82" s="752" t="n">
        <x:v>45510</x:v>
      </x:c>
      <x:c r="Z82" s="752" t="str">
        <x:v>Certification scheme</x:v>
      </x:c>
      <x:c r="AA82" s="752" t="str">
        <x:v>Scheme standard</x:v>
      </x:c>
      <x:c r="AB82" s="752" t="str">
        <x:v>Referenced normative</x:v>
      </x:c>
      <x:c r="AC82" s="752" t="str">
        <x:v>Official referenced source from GLOBALG.A.P.; included because an applicable law, permit or certification scheme may make its provisions binding within the approved scope.</x:v>
      </x:c>
      <x:c r="AD82" s="752" t="str">
        <x:v>HIGH</x:v>
      </x:c>
      <x:c r="AE82" s="752" t="str">
        <x:v>MEDIUM</x:v>
      </x:c>
      <x:c r="AF82" s="752" t="str">
        <x:v>HIGH</x:v>
      </x:c>
      <x:c r="AG82" s="752" t="str">
        <x:v>HIGH</x:v>
      </x:c>
      <x:c r="AH82" s="752" t="str">
        <x:v>HIGH</x:v>
      </x:c>
      <x:c r="AI82" s="752" t="str">
        <x:v>HIGH</x:v>
      </x:c>
      <x:c r="AJ82" s="752" t="str">
        <x:v>PENDING</x:v>
      </x:c>
      <x:c r="AK82" s="759"/>
      <x:c r="AL82" s="752"/>
      <x:c r="AM82" s="752" t="str">
        <x:v>CURRENT</x:v>
      </x:c>
      <x:c r="AN82" s="752" t="str">
        <x:v>CS008</x:v>
      </x:c>
      <x:c r="AO82" s="752" t="str">
        <x:v>Coverage-audit expansion. The project checklist explicitly cites these rules for individual-producer self-assessment and certification.</x:v>
      </x:c>
      <x:c r="AP82" s="752" t="str">
        <x:v>OFFICIAL_WEBSITE</x:v>
      </x:c>
      <x:c r="AQ82" s="752" t="str">
        <x:v>OFFICIAL_ORIGINAL</x:v>
      </x:c>
      <x:c r="AR82" s="752" t="str">
        <x:v>VERSIONED</x:v>
      </x:c>
      <x:c r="AS82" s="752"/>
    </x:row>
    <x:row r="83" s="36" customFormat="1" ht="30" customHeight="1">
      <x:c r="A83" s="751" t="str">
        <x:v>CS014</x:v>
      </x:c>
      <x:c r="B83" s="751" t="str">
        <x:v>CS014-001</x:v>
      </x:c>
      <x:c r="C83" s="751" t="str">
        <x:v>CS014-001_GLOBALG.A.P._General_Regulations_-_Rules_for_producer_groups_and_multisite_producers_with_QMS.pdf</x:v>
      </x:c>
      <x:c r="D83" s="751" t="str">
        <x:v>STORED</x:v>
      </x:c>
      <x:c r="E83" s="751" t="str">
        <x:f>IF(A83="","",IF(OR(AJ83="EXCLUDE",COUNTIF(AD83:AH83,"LOW")&gt;0),"EXCLUDE",IF(OR(AJ83&lt;&gt;"INCLUDE",F83&lt;&gt;"SUCCESS",D83&lt;&gt;"STORED",U83="",AP83="",AQ83="",AQ83="UNVERIFIED",AND(AP83="OFFICIAL_WEBSITE",Q83=""),AND(OR(AA83="Equipment manual / OEM instruction",AB83="Asset-specific normative"),OR(Z83&lt;&gt;"Manufacturer / supplier",AS83="",AC83=""))),"PENDING",IF(COUNTIF(AD83:AH83,"HIGH")=5,"INCLUDE","PENDING"))))</x:f>
        <x:v>PENDING</x:v>
      </x:c>
      <x:c r="F83" s="751" t="str">
        <x:v>SUCCESS</x:v>
      </x:c>
      <x:c r="G83" s="755" t="n">
        <x:v>46262.53118055555</x:v>
      </x:c>
      <x:c r="H83" s="755" t="n">
        <x:v>46262.53119212963</x:v>
      </x:c>
      <x:c r="I83" s="751" t="str">
        <x:v>INITIAL</x:v>
      </x:c>
      <x:c r="J83" s="751" t="str">
        <x:v>AUTO</x:v>
      </x:c>
      <x:c r="K83" s="757" t="n">
        <x:f>IF(A83="","",IF(J83="AUTO",H83,IF(J83="MANUAL",AK83,"")))</x:f>
        <x:v>46262.53119212963</x:v>
      </x:c>
      <x:c r="L83" s="751" t="str">
        <x:v>NONE</x:v>
      </x:c>
      <x:c r="M83" s="751"/>
      <x:c r="N83" s="751" t="str">
        <x:f>IF(OR(AM83&lt;&gt;"CURRENT",E83="EXCLUDE"),"NO",IF(A83="","",IF(OR(F83="FAIL",F83="PAYWALL_BLOCKED"),IF(AND(AK83&lt;&gt;"",AK83&gt;=INT(G83),D83="STORED",J83="MANUAL",AL83&lt;&gt;""),"NO","YES"),IF(AND(AR83="ROLLING",I83="CHANGED"),IF(AND(AK83&lt;&gt;"",AK83&gt;=INT(IF(H83&lt;&gt;"",H83,G83)),AL83&lt;&gt;""),"NO","YES"),"NO"))))</x:f>
        <x:v>NO</x:v>
      </x:c>
      <x:c r="O83" s="751" t="str">
        <x:v>28042ea052f0ef9fe863d94d9035ef3fe4b390ef0f51c304eeb677cf22156dcf</x:v>
      </x:c>
      <x:c r="P83" s="752" t="str">
        <x:v>GLOBALG.A.P. General Regulations - Rules for producer groups and multisite producers with QMS</x:v>
      </x:c>
      <x:c r="Q83" s="752" t="str">
        <x:v>https://globalgap.org/what-we-offer/solutions/ifa-aquaculture/</x:v>
      </x:c>
      <x:c r="R83" s="752" t="str">
        <x:v>https://documents.globalgap.org/documents/240902_GG_GR_Rules_for_QMS_v6_0_Aug24_en.pdf</x:v>
      </x:c>
      <x:c r="S83" s="752" t="str">
        <x:v>C_Certification_Scheme</x:v>
      </x:c>
      <x:c r="T83" s="752" t="str">
        <x:v>pdf</x:v>
      </x:c>
      <x:c r="U83" s="752" t="str">
        <x:v>GLOBALG.A.P.</x:v>
      </x:c>
      <x:c r="V83" s="752" t="str">
        <x:v>International</x:v>
      </x:c>
      <x:c r="W83" s="752" t="str">
        <x:v>English</x:v>
      </x:c>
      <x:c r="X83" s="752" t="str">
        <x:v>6.0_Aug24</x:v>
      </x:c>
      <x:c r="Y83" s="752" t="n">
        <x:v>45510</x:v>
      </x:c>
      <x:c r="Z83" s="752" t="str">
        <x:v>Certification scheme</x:v>
      </x:c>
      <x:c r="AA83" s="752" t="str">
        <x:v>Scheme standard</x:v>
      </x:c>
      <x:c r="AB83" s="752" t="str">
        <x:v>Referenced normative</x:v>
      </x:c>
      <x:c r="AC83" s="752" t="str">
        <x:v>Official referenced source from GLOBALG.A.P.; included because an applicable law, permit or certification scheme may make its provisions binding within the approved scope.</x:v>
      </x:c>
      <x:c r="AD83" s="752" t="str">
        <x:v>HIGH</x:v>
      </x:c>
      <x:c r="AE83" s="752" t="str">
        <x:v>MEDIUM</x:v>
      </x:c>
      <x:c r="AF83" s="752" t="str">
        <x:v>HIGH</x:v>
      </x:c>
      <x:c r="AG83" s="752" t="str">
        <x:v>HIGH</x:v>
      </x:c>
      <x:c r="AH83" s="752" t="str">
        <x:v>HIGH</x:v>
      </x:c>
      <x:c r="AI83" s="752" t="str">
        <x:v>HIGH</x:v>
      </x:c>
      <x:c r="AJ83" s="752" t="str">
        <x:v>PENDING</x:v>
      </x:c>
      <x:c r="AK83" s="759"/>
      <x:c r="AL83" s="752"/>
      <x:c r="AM83" s="752" t="str">
        <x:v>CURRENT</x:v>
      </x:c>
      <x:c r="AN83" s="752" t="str">
        <x:v>CS008</x:v>
      </x:c>
      <x:c r="AO83" s="752" t="str">
        <x:v>Coverage-audit expansion. The project checklist explicitly cites these rules for QMS audits and group or multisite certification.</x:v>
      </x:c>
      <x:c r="AP83" s="752" t="str">
        <x:v>OFFICIAL_WEBSITE</x:v>
      </x:c>
      <x:c r="AQ83" s="752" t="str">
        <x:v>OFFICIAL_ORIGINAL</x:v>
      </x:c>
      <x:c r="AR83" s="752" t="str">
        <x:v>VERSIONED</x:v>
      </x:c>
      <x:c r="AS83" s="752"/>
    </x:row>
    <x:row r="84" s="36" customFormat="1" ht="30" customHeight="1">
      <x:c r="A84" s="751" t="str">
        <x:v>CS015</x:v>
      </x:c>
      <x:c r="B84" s="751" t="str">
        <x:v>CS015-001</x:v>
      </x:c>
      <x:c r="C84" s="751" t="str">
        <x:v>CS015-001_GLOBALG.A.P._trademarks_use_Policy_and_guidelines.pdf</x:v>
      </x:c>
      <x:c r="D84" s="751" t="str">
        <x:v>STORED</x:v>
      </x:c>
      <x:c r="E84" s="751" t="str">
        <x:f>IF(A84="","",IF(OR(AJ84="EXCLUDE",COUNTIF(AD84:AH84,"LOW")&gt;0),"EXCLUDE",IF(OR(AJ84&lt;&gt;"INCLUDE",F84&lt;&gt;"SUCCESS",D84&lt;&gt;"STORED",U84="",AP84="",AQ84="",AQ84="UNVERIFIED",AND(AP84="OFFICIAL_WEBSITE",Q84=""),AND(OR(AA84="Equipment manual / OEM instruction",AB84="Asset-specific normative"),OR(Z84&lt;&gt;"Manufacturer / supplier",AS84="",AC84=""))),"PENDING",IF(COUNTIF(AD84:AH84,"HIGH")=5,"INCLUDE","PENDING"))))</x:f>
        <x:v>INCLUDE</x:v>
      </x:c>
      <x:c r="F84" s="751" t="str">
        <x:v>SUCCESS</x:v>
      </x:c>
      <x:c r="G84" s="755" t="n">
        <x:v>46262.53119212963</x:v>
      </x:c>
      <x:c r="H84" s="755" t="n">
        <x:v>46262.5312037037</x:v>
      </x:c>
      <x:c r="I84" s="751" t="str">
        <x:v>INITIAL</x:v>
      </x:c>
      <x:c r="J84" s="751" t="str">
        <x:v>AUTO</x:v>
      </x:c>
      <x:c r="K84" s="757" t="n">
        <x:f>IF(A84="","",IF(J84="AUTO",H84,IF(J84="MANUAL",AK84,"")))</x:f>
        <x:v>46262.5312037037</x:v>
      </x:c>
      <x:c r="L84" s="751" t="str">
        <x:v>NONE</x:v>
      </x:c>
      <x:c r="M84" s="751"/>
      <x:c r="N84" s="751" t="str">
        <x:f>IF(OR(AM84&lt;&gt;"CURRENT",E84="EXCLUDE"),"NO",IF(A84="","",IF(OR(F84="FAIL",F84="PAYWALL_BLOCKED"),IF(AND(AK84&lt;&gt;"",AK84&gt;=INT(G84),D84="STORED",J84="MANUAL",AL84&lt;&gt;""),"NO","YES"),IF(AND(AR84="ROLLING",I84="CHANGED"),IF(AND(AK84&lt;&gt;"",AK84&gt;=INT(IF(H84&lt;&gt;"",H84,G84)),AL84&lt;&gt;""),"NO","YES"),"NO"))))</x:f>
        <x:v>NO</x:v>
      </x:c>
      <x:c r="O84" s="751" t="str">
        <x:v>7279130c3617610cebaaceb4ecae44014f8df742aa4a7ac741a4e4346a066096</x:v>
      </x:c>
      <x:c r="P84" s="752" t="str">
        <x:v>GLOBALG.A.P. trademarks use: Policy and guidelines</x:v>
      </x:c>
      <x:c r="Q84" s="752" t="str">
        <x:v>https://globalgap.org/what-we-offer/solutions/ifa-aquaculture/</x:v>
      </x:c>
      <x:c r="R84" s="752" t="str">
        <x:v>https://documents.globalgap.org/documents/230523_GG_Trademarks_policy_v1_0-1_en.pdf</x:v>
      </x:c>
      <x:c r="S84" s="752" t="str">
        <x:v>C_Certification_Scheme</x:v>
      </x:c>
      <x:c r="T84" s="752" t="str">
        <x:v>pdf</x:v>
      </x:c>
      <x:c r="U84" s="752" t="str">
        <x:v>GLOBALG.A.P.</x:v>
      </x:c>
      <x:c r="V84" s="752" t="str">
        <x:v>International</x:v>
      </x:c>
      <x:c r="W84" s="752" t="str">
        <x:v>English</x:v>
      </x:c>
      <x:c r="X84" s="752" t="str">
        <x:v>1.0-1</x:v>
      </x:c>
      <x:c r="Y84" s="752"/>
      <x:c r="Z84" s="752" t="str">
        <x:v>Certification scheme</x:v>
      </x:c>
      <x:c r="AA84" s="752" t="str">
        <x:v>Scheme standard</x:v>
      </x:c>
      <x:c r="AB84" s="752" t="str">
        <x:v>Referenced normative</x:v>
      </x:c>
      <x:c r="AC84" s="752" t="str">
        <x:v>Official referenced source from GLOBALG.A.P.; included because an applicable law, permit or certification scheme may make its provisions binding within the approved scope.</x:v>
      </x:c>
      <x:c r="AD84" s="752" t="str">
        <x:v>HIGH</x:v>
      </x:c>
      <x:c r="AE84" s="752" t="str">
        <x:v>HIGH</x:v>
      </x:c>
      <x:c r="AF84" s="752" t="str">
        <x:v>HIGH</x:v>
      </x:c>
      <x:c r="AG84" s="752" t="str">
        <x:v>HIGH</x:v>
      </x:c>
      <x:c r="AH84" s="752" t="str">
        <x:v>HIGH</x:v>
      </x:c>
      <x:c r="AI84" s="752" t="str">
        <x:v>HIGH</x:v>
      </x:c>
      <x:c r="AJ84" s="752" t="str">
        <x:v>INCLUDE</x:v>
      </x:c>
      <x:c r="AK84" s="759"/>
      <x:c r="AL84" s="752"/>
      <x:c r="AM84" s="752" t="str">
        <x:v>CURRENT</x:v>
      </x:c>
      <x:c r="AN84" s="752" t="str">
        <x:v>CS008</x:v>
      </x:c>
      <x:c r="AO84" s="752" t="str">
        <x:v>Coverage-audit expansion. The project checklist cites this policy for certification claims, marks and identification numbers.</x:v>
      </x:c>
      <x:c r="AP84" s="752" t="str">
        <x:v>OFFICIAL_WEBSITE</x:v>
      </x:c>
      <x:c r="AQ84" s="752" t="str">
        <x:v>OFFICIAL_ORIGINAL</x:v>
      </x:c>
      <x:c r="AR84" s="752" t="str">
        <x:v>VERSIONED</x:v>
      </x:c>
      <x:c r="AS84" s="752"/>
    </x:row>
    <x:row r="85" s="36" customFormat="1" ht="30" customHeight="1">
      <x:c r="A85" s="751" t="str">
        <x:v>CS016</x:v>
      </x:c>
      <x:c r="B85" s="751" t="str">
        <x:v>CS016-001</x:v>
      </x:c>
      <x:c r="C85" s="751" t="str">
        <x:v>CS016-001_GLOBALG.A.P._GRASP_-_General_Rules.pdf</x:v>
      </x:c>
      <x:c r="D85" s="751" t="str">
        <x:v>STORED</x:v>
      </x:c>
      <x:c r="E85" s="751" t="str">
        <x:f>IF(A85="","",IF(OR(AJ85="EXCLUDE",COUNTIF(AD85:AH85,"LOW")&gt;0),"EXCLUDE",IF(OR(AJ85&lt;&gt;"INCLUDE",F85&lt;&gt;"SUCCESS",D85&lt;&gt;"STORED",U85="",AP85="",AQ85="",AQ85="UNVERIFIED",AND(AP85="OFFICIAL_WEBSITE",Q85=""),AND(OR(AA85="Equipment manual / OEM instruction",AB85="Asset-specific normative"),OR(Z85&lt;&gt;"Manufacturer / supplier",AS85="",AC85=""))),"PENDING",IF(COUNTIF(AD85:AH85,"HIGH")=5,"INCLUDE","PENDING"))))</x:f>
        <x:v>INCLUDE</x:v>
      </x:c>
      <x:c r="F85" s="751" t="str">
        <x:v>SUCCESS</x:v>
      </x:c>
      <x:c r="G85" s="755" t="n">
        <x:v>46262.5312037037</x:v>
      </x:c>
      <x:c r="H85" s="755" t="n">
        <x:v>46262.53121527778</x:v>
      </x:c>
      <x:c r="I85" s="751" t="str">
        <x:v>INITIAL</x:v>
      </x:c>
      <x:c r="J85" s="751" t="str">
        <x:v>AUTO</x:v>
      </x:c>
      <x:c r="K85" s="757" t="n">
        <x:f>IF(A85="","",IF(J85="AUTO",H85,IF(J85="MANUAL",AK85,"")))</x:f>
        <x:v>46262.53121527778</x:v>
      </x:c>
      <x:c r="L85" s="751" t="str">
        <x:v>NONE</x:v>
      </x:c>
      <x:c r="M85" s="751"/>
      <x:c r="N85" s="751" t="str">
        <x:f>IF(OR(AM85&lt;&gt;"CURRENT",E85="EXCLUDE"),"NO",IF(A85="","",IF(OR(F85="FAIL",F85="PAYWALL_BLOCKED"),IF(AND(AK85&lt;&gt;"",AK85&gt;=INT(G85),D85="STORED",J85="MANUAL",AL85&lt;&gt;""),"NO","YES"),IF(AND(AR85="ROLLING",I85="CHANGED"),IF(AND(AK85&lt;&gt;"",AK85&gt;=INT(IF(H85&lt;&gt;"",H85,G85)),AL85&lt;&gt;""),"NO","YES"),"NO"))))</x:f>
        <x:v>NO</x:v>
      </x:c>
      <x:c r="O85" s="751" t="str">
        <x:v>57c35d150287f8092a9af4a79842d206e1761e9428cf9201d828f9ac563a96e5</x:v>
      </x:c>
      <x:c r="P85" s="752" t="str">
        <x:v>GLOBALG.A.P. GRASP - General Rules</x:v>
      </x:c>
      <x:c r="Q85" s="752" t="str">
        <x:v>https://globalgap.org/what-we-offer/solutions/grasp/</x:v>
      </x:c>
      <x:c r="R85" s="752" t="str">
        <x:v>https://documents.globalgap.org/documents/220929_GRASP_general_rules_v2_0_Sep22_en.pdf</x:v>
      </x:c>
      <x:c r="S85" s="752" t="str">
        <x:v>C_Certification_Scheme</x:v>
      </x:c>
      <x:c r="T85" s="752" t="str">
        <x:v>pdf</x:v>
      </x:c>
      <x:c r="U85" s="752" t="str">
        <x:v>GLOBALG.A.P.</x:v>
      </x:c>
      <x:c r="V85" s="752" t="str">
        <x:v>International</x:v>
      </x:c>
      <x:c r="W85" s="752" t="str">
        <x:v>English</x:v>
      </x:c>
      <x:c r="X85" s="752" t="str">
        <x:v>2.0_Sep22</x:v>
      </x:c>
      <x:c r="Y85" s="752" t="n">
        <x:v>45292</x:v>
      </x:c>
      <x:c r="Z85" s="752" t="str">
        <x:v>Certification scheme</x:v>
      </x:c>
      <x:c r="AA85" s="752" t="str">
        <x:v>Scheme standard</x:v>
      </x:c>
      <x:c r="AB85" s="752" t="str">
        <x:v>Referenced normative</x:v>
      </x:c>
      <x:c r="AC85" s="752" t="str">
        <x:v>Official referenced source from GLOBALG.A.P.; included because an applicable law, permit or certification scheme may make its provisions binding within the approved scope.</x:v>
      </x:c>
      <x:c r="AD85" s="752" t="str">
        <x:v>HIGH</x:v>
      </x:c>
      <x:c r="AE85" s="752" t="str">
        <x:v>HIGH</x:v>
      </x:c>
      <x:c r="AF85" s="752" t="str">
        <x:v>HIGH</x:v>
      </x:c>
      <x:c r="AG85" s="752" t="str">
        <x:v>HIGH</x:v>
      </x:c>
      <x:c r="AH85" s="752" t="str">
        <x:v>HIGH</x:v>
      </x:c>
      <x:c r="AI85" s="752" t="str">
        <x:v>HIGH</x:v>
      </x:c>
      <x:c r="AJ85" s="752" t="str">
        <x:v>INCLUDE</x:v>
      </x:c>
      <x:c r="AK85" s="759"/>
      <x:c r="AL85" s="752"/>
      <x:c r="AM85" s="752" t="str">
        <x:v>CURRENT</x:v>
      </x:c>
      <x:c r="AN85" s="752" t="str">
        <x:v>CS011</x:v>
      </x:c>
      <x:c r="AO85" s="752" t="str">
        <x:v>Coverage-audit expansion. GRASP is mandatory for IFA v6 aquaculture and these rules define its application and assessment process.</x:v>
      </x:c>
      <x:c r="AP85" s="752" t="str">
        <x:v>OFFICIAL_WEBSITE</x:v>
      </x:c>
      <x:c r="AQ85" s="752" t="str">
        <x:v>OFFICIAL_ORIGINAL</x:v>
      </x:c>
      <x:c r="AR85" s="752" t="str">
        <x:v>VERSIONED</x:v>
      </x:c>
      <x:c r="AS85" s="752"/>
    </x:row>
    <x:row r="86" s="36" customFormat="1" ht="30" customHeight="1">
      <x:c r="A86" s="751" t="str">
        <x:v>CS017</x:v>
      </x:c>
      <x:c r="B86" s="751" t="str">
        <x:v>CS017-001</x:v>
      </x:c>
      <x:c r="C86" s="751" t="str">
        <x:v>CS017-001_GLOBALG.A.P._GRASP_v2_National_Interpretation_Guideline_for_Norway.pdf</x:v>
      </x:c>
      <x:c r="D86" s="751" t="str">
        <x:v>NOT_COLLECTED</x:v>
      </x:c>
      <x:c r="E86" s="751" t="str">
        <x:f>IF(A86="","",IF(OR(AJ86="EXCLUDE",COUNTIF(AD86:AH86,"LOW")&gt;0),"EXCLUDE",IF(OR(AJ86&lt;&gt;"INCLUDE",F86&lt;&gt;"SUCCESS",D86&lt;&gt;"STORED",U86="",AP86="",AQ86="",AQ86="UNVERIFIED",AND(AP86="OFFICIAL_WEBSITE",Q86=""),AND(OR(AA86="Equipment manual / OEM instruction",AB86="Asset-specific normative"),OR(Z86&lt;&gt;"Manufacturer / supplier",AS86="",AC86=""))),"PENDING",IF(COUNTIF(AD86:AH86,"HIGH")=5,"INCLUDE","PENDING"))))</x:f>
        <x:v>PENDING</x:v>
      </x:c>
      <x:c r="F86" s="751" t="str">
        <x:v>NOT_RUN</x:v>
      </x:c>
      <x:c r="G86" s="755"/>
      <x:c r="H86" s="755"/>
      <x:c r="I86" s="751" t="str">
        <x:v>UNKNOWN</x:v>
      </x:c>
      <x:c r="J86" s="751" t="str">
        <x:v>NONE</x:v>
      </x:c>
      <x:c r="K86" s="757" t="str">
        <x:f>IF(A86="","",IF(J86="AUTO",H86,IF(J86="MANUAL",AK86,"")))</x:f>
      </x:c>
      <x:c r="L86" s="751" t="str">
        <x:v>NONE</x:v>
      </x:c>
      <x:c r="M86" s="751"/>
      <x:c r="N86" s="751" t="str">
        <x:f>IF(OR(AM86&lt;&gt;"CURRENT",E86="EXCLUDE"),"NO",IF(A86="","",IF(OR(F86="FAIL",F86="PAYWALL_BLOCKED"),IF(AND(AK86&lt;&gt;"",AK86&gt;=INT(G86),D86="STORED",J86="MANUAL",AL86&lt;&gt;""),"NO","YES"),IF(AND(AR86="ROLLING",I86="CHANGED"),IF(AND(AK86&lt;&gt;"",AK86&gt;=INT(IF(H86&lt;&gt;"",H86,G86)),AL86&lt;&gt;""),"NO","YES"),"NO"))))</x:f>
        <x:v>NO</x:v>
      </x:c>
      <x:c r="O86" s="751"/>
      <x:c r="P86" s="752" t="str">
        <x:v>GLOBALG.A.P. GRASP v2 National Interpretation Guideline for Norway</x:v>
      </x:c>
      <x:c r="Q86" s="752" t="str">
        <x:v>https://globalgap.org/what-we-offer/solutions/grasp/</x:v>
      </x:c>
      <x:c r="R86" s="752"/>
      <x:c r="S86" s="752" t="str">
        <x:v>C_Certification_Scheme</x:v>
      </x:c>
      <x:c r="T86" s="752" t="str">
        <x:v>pdf</x:v>
      </x:c>
      <x:c r="U86" s="752" t="str">
        <x:v>GLOBALG.A.P.</x:v>
      </x:c>
      <x:c r="V86" s="752" t="str">
        <x:v>Norway</x:v>
      </x:c>
      <x:c r="W86" s="752" t="str">
        <x:v>Norwegian</x:v>
      </x:c>
      <x:c r="X86" s="752" t="str">
        <x:v>V2</x:v>
      </x:c>
      <x:c r="Y86" s="752"/>
      <x:c r="Z86" s="752" t="str">
        <x:v>Certification scheme</x:v>
      </x:c>
      <x:c r="AA86" s="752" t="str">
        <x:v>Interpretation document</x:v>
      </x:c>
      <x:c r="AB86" s="752" t="str">
        <x:v>Referenced normative</x:v>
      </x:c>
      <x:c r="AC86" s="752" t="str">
        <x:v>Official referenced source from GLOBALG.A.P.; included because an applicable law, permit or certification scheme may make its provisions binding within the approved scope.</x:v>
      </x:c>
      <x:c r="AD86" s="752" t="str">
        <x:v>HIGH</x:v>
      </x:c>
      <x:c r="AE86" s="752" t="str">
        <x:v>HIGH</x:v>
      </x:c>
      <x:c r="AF86" s="752" t="str">
        <x:v>MEDIUM</x:v>
      </x:c>
      <x:c r="AG86" s="752" t="str">
        <x:v>MEDIUM</x:v>
      </x:c>
      <x:c r="AH86" s="752" t="str">
        <x:v>HIGH</x:v>
      </x:c>
      <x:c r="AI86" s="752" t="str">
        <x:v>LOW</x:v>
      </x:c>
      <x:c r="AJ86" s="752" t="str">
        <x:v>PENDING</x:v>
      </x:c>
      <x:c r="AK86" s="759"/>
      <x:c r="AL86" s="752"/>
      <x:c r="AM86" s="752" t="str">
        <x:v>CURRENT</x:v>
      </x:c>
      <x:c r="AN86" s="752" t="str">
        <x:v>CS011</x:v>
      </x:c>
      <x:c r="AO86" s="752" t="str">
        <x:v>Coverage-audit expansion. An existing country NIG must be applied; confirm the current Norway document and direct download in the GLOBALG.A.P. document center.</x:v>
      </x:c>
      <x:c r="AP86" s="752" t="str">
        <x:v>OFFICIAL_WEBSITE</x:v>
      </x:c>
      <x:c r="AQ86" s="752" t="str">
        <x:v>OFFICIAL_ORIGINAL</x:v>
      </x:c>
      <x:c r="AR86" s="752" t="str">
        <x:v>VERSIONED</x:v>
      </x:c>
      <x:c r="AS86" s="752"/>
    </x:row>
    <x:row r="87" s="36" customFormat="1" ht="30" customHeight="1">
      <x:c r="A87" s="751" t="str">
        <x:v>CS018</x:v>
      </x:c>
      <x:c r="B87" s="751" t="str">
        <x:v>CS018-001</x:v>
      </x:c>
      <x:c r="C87" s="751" t="str">
        <x:v>CS018-001_ASC_Vocabulary.pdf</x:v>
      </x:c>
      <x:c r="D87" s="751" t="str">
        <x:v>NOT_COLLECTED</x:v>
      </x:c>
      <x:c r="E87" s="751" t="str">
        <x:f>IF(A87="","",IF(OR(AJ87="EXCLUDE",COUNTIF(AD87:AH87,"LOW")&gt;0),"EXCLUDE",IF(OR(AJ87&lt;&gt;"INCLUDE",F87&lt;&gt;"SUCCESS",D87&lt;&gt;"STORED",U87="",AP87="",AQ87="",AQ87="UNVERIFIED",AND(AP87="OFFICIAL_WEBSITE",Q87=""),AND(OR(AA87="Equipment manual / OEM instruction",AB87="Asset-specific normative"),OR(Z87&lt;&gt;"Manufacturer / supplier",AS87="",AC87=""))),"PENDING",IF(COUNTIF(AD87:AH87,"HIGH")=5,"INCLUDE","PENDING"))))</x:f>
        <x:v>PENDING</x:v>
      </x:c>
      <x:c r="F87" s="751" t="str">
        <x:v>NOT_RUN</x:v>
      </x:c>
      <x:c r="G87" s="755"/>
      <x:c r="H87" s="755"/>
      <x:c r="I87" s="751" t="str">
        <x:v>UNKNOWN</x:v>
      </x:c>
      <x:c r="J87" s="751" t="str">
        <x:v>NONE</x:v>
      </x:c>
      <x:c r="K87" s="757" t="str">
        <x:f>IF(A87="","",IF(J87="AUTO",H87,IF(J87="MANUAL",AK87,"")))</x:f>
      </x:c>
      <x:c r="L87" s="751" t="str">
        <x:v>NONE</x:v>
      </x:c>
      <x:c r="M87" s="751"/>
      <x:c r="N87" s="751" t="str">
        <x:f>IF(OR(AM87&lt;&gt;"CURRENT",E87="EXCLUDE"),"NO",IF(A87="","",IF(OR(F87="FAIL",F87="PAYWALL_BLOCKED"),IF(AND(AK87&lt;&gt;"",AK87&gt;=INT(G87),D87="STORED",J87="MANUAL",AL87&lt;&gt;""),"NO","YES"),IF(AND(AR87="ROLLING",I87="CHANGED"),IF(AND(AK87&lt;&gt;"",AK87&gt;=INT(IF(H87&lt;&gt;"",H87,G87)),AL87&lt;&gt;""),"NO","YES"),"NO"))))</x:f>
        <x:v>NO</x:v>
      </x:c>
      <x:c r="O87" s="751"/>
      <x:c r="P87" s="752" t="str">
        <x:v>ASC Vocabulary</x:v>
      </x:c>
      <x:c r="Q87" s="752" t="str">
        <x:v>https://programme-centre.asc-aqua.org/resource-hub/?filter=farm</x:v>
      </x:c>
      <x:c r="R87" s="752"/>
      <x:c r="S87" s="752" t="str">
        <x:v>C_Certification_Scheme</x:v>
      </x:c>
      <x:c r="T87" s="752" t="str">
        <x:v>pdf</x:v>
      </x:c>
      <x:c r="U87" s="752" t="str">
        <x:v>Aquaculture Stewardship Council</x:v>
      </x:c>
      <x:c r="V87" s="752" t="str">
        <x:v>International</x:v>
      </x:c>
      <x:c r="W87" s="752" t="str">
        <x:v>English</x:v>
      </x:c>
      <x:c r="X87" s="752"/>
      <x:c r="Y87" s="752"/>
      <x:c r="Z87" s="752" t="str">
        <x:v>Certification scheme</x:v>
      </x:c>
      <x:c r="AA87" s="752" t="str">
        <x:v>Scheme standard</x:v>
      </x:c>
      <x:c r="AB87" s="752" t="str">
        <x:v>Referenced normative</x:v>
      </x:c>
      <x:c r="AC87" s="752" t="str">
        <x:v>Official referenced source from Aquaculture Stewardship Council; included because an applicable law, permit or certification scheme may make its provisions binding within the approved scope.</x:v>
      </x:c>
      <x:c r="AD87" s="752" t="str">
        <x:v>HIGH</x:v>
      </x:c>
      <x:c r="AE87" s="752" t="str">
        <x:v>HIGH</x:v>
      </x:c>
      <x:c r="AF87" s="752" t="str">
        <x:v>MEDIUM</x:v>
      </x:c>
      <x:c r="AG87" s="752" t="str">
        <x:v>MEDIUM</x:v>
      </x:c>
      <x:c r="AH87" s="752" t="str">
        <x:v>HIGH</x:v>
      </x:c>
      <x:c r="AI87" s="752" t="str">
        <x:v>LOW</x:v>
      </x:c>
      <x:c r="AJ87" s="752" t="str">
        <x:v>PENDING</x:v>
      </x:c>
      <x:c r="AK87" s="759"/>
      <x:c r="AL87" s="752"/>
      <x:c r="AM87" s="752" t="str">
        <x:v>CURRENT</x:v>
      </x:c>
      <x:c r="AN87" s="752" t="str">
        <x:v>CS001</x:v>
      </x:c>
      <x:c r="AO87" s="752" t="str">
        <x:v>Official coverage expansion. The current ASC Farm Standard lists the vocabulary as a normative reference; direct-file traceability still requires confirmation.</x:v>
      </x:c>
      <x:c r="AP87" s="752" t="str">
        <x:v>OFFICIAL_WEBSITE</x:v>
      </x:c>
      <x:c r="AQ87" s="752" t="str">
        <x:v>OFFICIAL_ORIGINAL</x:v>
      </x:c>
      <x:c r="AR87" s="752" t="str">
        <x:v>VERSIONED</x:v>
      </x:c>
      <x:c r="AS87" s="752"/>
    </x:row>
    <x:row r="88" s="36" customFormat="1" ht="30" customHeight="1">
      <x:c r="A88" s="751" t="str">
        <x:v>CS019</x:v>
      </x:c>
      <x:c r="B88" s="751" t="str">
        <x:v>CS019-001</x:v>
      </x:c>
      <x:c r="C88" s="751" t="str">
        <x:v>CS019-001_ASC_Data_Submission_Requirements.pdf</x:v>
      </x:c>
      <x:c r="D88" s="751" t="str">
        <x:v>NOT_COLLECTED</x:v>
      </x:c>
      <x:c r="E88" s="751" t="str">
        <x:f>IF(A88="","",IF(OR(AJ88="EXCLUDE",COUNTIF(AD88:AH88,"LOW")&gt;0),"EXCLUDE",IF(OR(AJ88&lt;&gt;"INCLUDE",F88&lt;&gt;"SUCCESS",D88&lt;&gt;"STORED",U88="",AP88="",AQ88="",AQ88="UNVERIFIED",AND(AP88="OFFICIAL_WEBSITE",Q88=""),AND(OR(AA88="Equipment manual / OEM instruction",AB88="Asset-specific normative"),OR(Z88&lt;&gt;"Manufacturer / supplier",AS88="",AC88=""))),"PENDING",IF(COUNTIF(AD88:AH88,"HIGH")=5,"INCLUDE","PENDING"))))</x:f>
        <x:v>PENDING</x:v>
      </x:c>
      <x:c r="F88" s="751" t="str">
        <x:v>NOT_RUN</x:v>
      </x:c>
      <x:c r="G88" s="755"/>
      <x:c r="H88" s="755"/>
      <x:c r="I88" s="751" t="str">
        <x:v>UNKNOWN</x:v>
      </x:c>
      <x:c r="J88" s="751" t="str">
        <x:v>NONE</x:v>
      </x:c>
      <x:c r="K88" s="757" t="str">
        <x:f>IF(A88="","",IF(J88="AUTO",H88,IF(J88="MANUAL",AK88,"")))</x:f>
      </x:c>
      <x:c r="L88" s="751" t="str">
        <x:v>NONE</x:v>
      </x:c>
      <x:c r="M88" s="751"/>
      <x:c r="N88" s="751" t="str">
        <x:f>IF(OR(AM88&lt;&gt;"CURRENT",E88="EXCLUDE"),"NO",IF(A88="","",IF(OR(F88="FAIL",F88="PAYWALL_BLOCKED"),IF(AND(AK88&lt;&gt;"",AK88&gt;=INT(G88),D88="STORED",J88="MANUAL",AL88&lt;&gt;""),"NO","YES"),IF(AND(AR88="ROLLING",I88="CHANGED"),IF(AND(AK88&lt;&gt;"",AK88&gt;=INT(IF(H88&lt;&gt;"",H88,G88)),AL88&lt;&gt;""),"NO","YES"),"NO"))))</x:f>
        <x:v>NO</x:v>
      </x:c>
      <x:c r="O88" s="751"/>
      <x:c r="P88" s="752" t="str">
        <x:v>ASC Data Submission Requirements</x:v>
      </x:c>
      <x:c r="Q88" s="752" t="str">
        <x:v>https://programme-centre.asc-aqua.org/resource-hub/?filter=farm</x:v>
      </x:c>
      <x:c r="R88" s="752"/>
      <x:c r="S88" s="752" t="str">
        <x:v>C_Certification_Scheme</x:v>
      </x:c>
      <x:c r="T88" s="752" t="str">
        <x:v>pdf</x:v>
      </x:c>
      <x:c r="U88" s="752" t="str">
        <x:v>Aquaculture Stewardship Council</x:v>
      </x:c>
      <x:c r="V88" s="752" t="str">
        <x:v>International</x:v>
      </x:c>
      <x:c r="W88" s="752" t="str">
        <x:v>English</x:v>
      </x:c>
      <x:c r="X88" s="752"/>
      <x:c r="Y88" s="752"/>
      <x:c r="Z88" s="752" t="str">
        <x:v>Certification scheme</x:v>
      </x:c>
      <x:c r="AA88" s="752" t="str">
        <x:v>Scheme standard</x:v>
      </x:c>
      <x:c r="AB88" s="752" t="str">
        <x:v>Referenced normative</x:v>
      </x:c>
      <x:c r="AC88" s="752" t="str">
        <x:v>Official referenced source from Aquaculture Stewardship Council; included because an applicable law, permit or certification scheme may make its provisions binding within the approved scope.</x:v>
      </x:c>
      <x:c r="AD88" s="752" t="str">
        <x:v>HIGH</x:v>
      </x:c>
      <x:c r="AE88" s="752" t="str">
        <x:v>HIGH</x:v>
      </x:c>
      <x:c r="AF88" s="752" t="str">
        <x:v>MEDIUM</x:v>
      </x:c>
      <x:c r="AG88" s="752" t="str">
        <x:v>MEDIUM</x:v>
      </x:c>
      <x:c r="AH88" s="752" t="str">
        <x:v>HIGH</x:v>
      </x:c>
      <x:c r="AI88" s="752" t="str">
        <x:v>LOW</x:v>
      </x:c>
      <x:c r="AJ88" s="752" t="str">
        <x:v>PENDING</x:v>
      </x:c>
      <x:c r="AK88" s="759"/>
      <x:c r="AL88" s="752"/>
      <x:c r="AM88" s="752" t="str">
        <x:v>CURRENT</x:v>
      </x:c>
      <x:c r="AN88" s="752" t="str">
        <x:v>CS001</x:v>
      </x:c>
      <x:c r="AO88" s="752" t="str">
        <x:v>Official coverage expansion. The current ASC Farm Standard lists data submission requirements as a normative reference; direct-file traceability still requires confirmation.</x:v>
      </x:c>
      <x:c r="AP88" s="752" t="str">
        <x:v>OFFICIAL_WEBSITE</x:v>
      </x:c>
      <x:c r="AQ88" s="752" t="str">
        <x:v>OFFICIAL_ORIGINAL</x:v>
      </x:c>
      <x:c r="AR88" s="752" t="str">
        <x:v>VERSIONED</x:v>
      </x:c>
      <x:c r="AS88" s="752"/>
    </x:row>
    <x:row r="89" s="36" customFormat="1" ht="30" customHeight="1">
      <x:c r="A89" s="751" t="str">
        <x:v>CS020</x:v>
      </x:c>
      <x:c r="B89" s="751" t="str">
        <x:v>CS020-001</x:v>
      </x:c>
      <x:c r="C89" s="751" t="str">
        <x:v>CS020-001_GLOBALG.A.P._GRASP_v2_-_Checklist.xlsx</x:v>
      </x:c>
      <x:c r="D89" s="751" t="str">
        <x:v>NOT_COLLECTED</x:v>
      </x:c>
      <x:c r="E89" s="751" t="str">
        <x:f>IF(A89="","",IF(OR(AJ89="EXCLUDE",COUNTIF(AD89:AH89,"LOW")&gt;0),"EXCLUDE",IF(OR(AJ89&lt;&gt;"INCLUDE",F89&lt;&gt;"SUCCESS",D89&lt;&gt;"STORED",U89="",AP89="",AQ89="",AQ89="UNVERIFIED",AND(AP89="OFFICIAL_WEBSITE",Q89=""),AND(OR(AA89="Equipment manual / OEM instruction",AB89="Asset-specific normative"),OR(Z89&lt;&gt;"Manufacturer / supplier",AS89="",AC89=""))),"PENDING",IF(COUNTIF(AD89:AH89,"HIGH")=5,"INCLUDE","PENDING"))))</x:f>
        <x:v>PENDING</x:v>
      </x:c>
      <x:c r="F89" s="751" t="str">
        <x:v>NOT_RUN</x:v>
      </x:c>
      <x:c r="G89" s="755"/>
      <x:c r="H89" s="755"/>
      <x:c r="I89" s="751" t="str">
        <x:v>UNKNOWN</x:v>
      </x:c>
      <x:c r="J89" s="751" t="str">
        <x:v>NONE</x:v>
      </x:c>
      <x:c r="K89" s="757" t="str">
        <x:f>IF(A89="","",IF(J89="AUTO",H89,IF(J89="MANUAL",AK89,"")))</x:f>
      </x:c>
      <x:c r="L89" s="751" t="str">
        <x:v>NONE</x:v>
      </x:c>
      <x:c r="M89" s="751"/>
      <x:c r="N89" s="751" t="str">
        <x:f>IF(OR(AM89&lt;&gt;"CURRENT",E89="EXCLUDE"),"NO",IF(A89="","",IF(OR(F89="FAIL",F89="PAYWALL_BLOCKED"),IF(AND(AK89&lt;&gt;"",AK89&gt;=INT(G89),D89="STORED",J89="MANUAL",AL89&lt;&gt;""),"NO","YES"),IF(AND(AR89="ROLLING",I89="CHANGED"),IF(AND(AK89&lt;&gt;"",AK89&gt;=INT(IF(H89&lt;&gt;"",H89,G89)),AL89&lt;&gt;""),"NO","YES"),"NO"))))</x:f>
        <x:v>NO</x:v>
      </x:c>
      <x:c r="O89" s="751"/>
      <x:c r="P89" s="752" t="str">
        <x:v>GLOBALG.A.P. GRASP v2 - Checklist</x:v>
      </x:c>
      <x:c r="Q89" s="752" t="str">
        <x:v>https://globalgap.org/what-we-offer/solutions/grasp/</x:v>
      </x:c>
      <x:c r="R89" s="752"/>
      <x:c r="S89" s="752" t="str">
        <x:v>C_Certification_Scheme</x:v>
      </x:c>
      <x:c r="T89" s="752" t="str">
        <x:v>xlsx</x:v>
      </x:c>
      <x:c r="U89" s="752" t="str">
        <x:v>GLOBALG.A.P.</x:v>
      </x:c>
      <x:c r="V89" s="752" t="str">
        <x:v>International</x:v>
      </x:c>
      <x:c r="W89" s="752" t="str">
        <x:v>English</x:v>
      </x:c>
      <x:c r="X89" s="752" t="str">
        <x:v>V2</x:v>
      </x:c>
      <x:c r="Y89" s="752"/>
      <x:c r="Z89" s="752" t="str">
        <x:v>Certification scheme</x:v>
      </x:c>
      <x:c r="AA89" s="752" t="str">
        <x:v>Audit / assessment document</x:v>
      </x:c>
      <x:c r="AB89" s="752" t="str">
        <x:v>Audit / assessment tool</x:v>
      </x:c>
      <x:c r="AC89" s="752" t="str">
        <x:v>Official assessment tool from GLOBALG.A.P.; included to structure compliance checks and trace evidence back to its linked normative source.</x:v>
      </x:c>
      <x:c r="AD89" s="752" t="str">
        <x:v>HIGH</x:v>
      </x:c>
      <x:c r="AE89" s="752" t="str">
        <x:v>HIGH</x:v>
      </x:c>
      <x:c r="AF89" s="752" t="str">
        <x:v>HIGH</x:v>
      </x:c>
      <x:c r="AG89" s="752" t="str">
        <x:v>MEDIUM</x:v>
      </x:c>
      <x:c r="AH89" s="752" t="str">
        <x:v>HIGH</x:v>
      </x:c>
      <x:c r="AI89" s="752" t="str">
        <x:v>LOW</x:v>
      </x:c>
      <x:c r="AJ89" s="752" t="str">
        <x:v>PENDING</x:v>
      </x:c>
      <x:c r="AK89" s="759"/>
      <x:c r="AL89" s="752"/>
      <x:c r="AM89" s="752" t="str">
        <x:v>CURRENT</x:v>
      </x:c>
      <x:c r="AN89" s="752" t="str">
        <x:v>CS011</x:v>
      </x:c>
      <x:c r="AO89" s="752" t="str">
        <x:v>Official coverage expansion. Assessment tool linked to CS011 and CS016; direct-file URL must be confirmed before automated retrieval.</x:v>
      </x:c>
      <x:c r="AP89" s="752" t="str">
        <x:v>OFFICIAL_WEBSITE</x:v>
      </x:c>
      <x:c r="AQ89" s="752" t="str">
        <x:v>OFFICIAL_ORIGINAL</x:v>
      </x:c>
      <x:c r="AR89" s="752" t="str">
        <x:v>VERSIONED</x:v>
      </x:c>
      <x:c r="AS89" s="752"/>
    </x:row>
    <x:row r="90" ht="30" customHeight="1">
      <x:c r="A90" s="751"/>
      <x:c r="B90" s="751"/>
      <x:c r="C90" s="751"/>
      <x:c r="D90" s="751"/>
      <x:c r="E90" s="751" t="str">
        <x:f>IF(A90="","",IF(OR(AJ90="EXCLUDE",COUNTIF(AD90:AH90,"LOW")&gt;0),"EXCLUDE",IF(OR(AJ90&lt;&gt;"INCLUDE",F90&lt;&gt;"SUCCESS",D90&lt;&gt;"STORED",U90="",AP90="",AQ90="",AQ90="UNVERIFIED",AND(AP90="OFFICIAL_WEBSITE",Q90=""),AND(OR(AA90="Equipment manual / OEM instruction",AB90="Asset-specific normative"),OR(Z90&lt;&gt;"Manufacturer / supplier",AS90="",AC90=""))),"PENDING",IF(COUNTIF(AD90:AH90,"HIGH")=5,"INCLUDE","PENDING"))))</x:f>
      </x:c>
      <x:c r="F90" s="751"/>
      <x:c r="G90" s="755"/>
      <x:c r="H90" s="755"/>
      <x:c r="I90" s="751"/>
      <x:c r="J90" s="751"/>
      <x:c r="K90" s="757" t="str">
        <x:f>IF(A90="","",IF(J90="AUTO",H90,IF(J90="MANUAL",AK90,"")))</x:f>
      </x:c>
      <x:c r="L90" s="751"/>
      <x:c r="M90" s="751"/>
      <x:c r="N90" s="751" t="str">
        <x:f>IF(OR(AM90&lt;&gt;"CURRENT",E90="EXCLUDE"),"NO",IF(A90="","",IF(OR(F90="FAIL",F90="PAYWALL_BLOCKED"),IF(AND(AK90&lt;&gt;"",AK90&gt;=INT(G90),D90="STORED",J90="MANUAL",AL90&lt;&gt;""),"NO","YES"),IF(AND(AR90="ROLLING",I90="CHANGED"),IF(AND(AK90&lt;&gt;"",AK90&gt;=INT(IF(H90&lt;&gt;"",H90,G90)),AL90&lt;&gt;""),"NO","YES"),"NO"))))</x:f>
        <x:v>NO</x:v>
      </x:c>
      <x:c r="O90" s="751"/>
      <x:c r="P90" s="752"/>
      <x:c r="Q90" s="752"/>
      <x:c r="R90" s="752"/>
      <x:c r="S90" s="752"/>
      <x:c r="T90" s="752"/>
      <x:c r="U90" s="752"/>
      <x:c r="V90" s="752"/>
      <x:c r="W90" s="752"/>
      <x:c r="X90" s="752"/>
      <x:c r="Y90" s="752"/>
      <x:c r="Z90" s="752"/>
      <x:c r="AA90" s="752"/>
      <x:c r="AB90" s="752"/>
      <x:c r="AC90" s="752"/>
      <x:c r="AD90" s="752"/>
      <x:c r="AE90" s="752"/>
      <x:c r="AF90" s="752"/>
      <x:c r="AG90" s="752"/>
      <x:c r="AH90" s="752"/>
      <x:c r="AI90" s="752"/>
      <x:c r="AJ90" s="752"/>
      <x:c r="AK90" s="759"/>
      <x:c r="AL90" s="752"/>
      <x:c r="AM90" s="752"/>
      <x:c r="AN90" s="752"/>
      <x:c r="AO90" s="752"/>
      <x:c r="AP90" s="752"/>
      <x:c r="AQ90" s="752"/>
      <x:c r="AR90" s="752"/>
      <x:c r="AS90" s="752"/>
    </x:row>
    <x:row r="91" ht="30" customHeight="1">
      <x:c r="A91" s="751"/>
      <x:c r="B91" s="751"/>
      <x:c r="C91" s="751"/>
      <x:c r="D91" s="751"/>
      <x:c r="E91" s="751" t="str">
        <x:f>IF(A91="","",IF(OR(AJ91="EXCLUDE",COUNTIF(AD91:AH91,"LOW")&gt;0),"EXCLUDE",IF(OR(AJ91&lt;&gt;"INCLUDE",F91&lt;&gt;"SUCCESS",D91&lt;&gt;"STORED",U91="",AP91="",AQ91="",AQ91="UNVERIFIED",AND(AP91="OFFICIAL_WEBSITE",Q91=""),AND(OR(AA91="Equipment manual / OEM instruction",AB91="Asset-specific normative"),OR(Z91&lt;&gt;"Manufacturer / supplier",AS91="",AC91=""))),"PENDING",IF(COUNTIF(AD91:AH91,"HIGH")=5,"INCLUDE","PENDING"))))</x:f>
      </x:c>
      <x:c r="F91" s="751"/>
      <x:c r="G91" s="755"/>
      <x:c r="H91" s="755"/>
      <x:c r="I91" s="751"/>
      <x:c r="J91" s="751"/>
      <x:c r="K91" s="757" t="str">
        <x:f>IF(A91="","",IF(J91="AUTO",H91,IF(J91="MANUAL",AK91,"")))</x:f>
      </x:c>
      <x:c r="L91" s="751"/>
      <x:c r="M91" s="751"/>
      <x:c r="N91" s="751" t="str">
        <x:f>IF(OR(AM91&lt;&gt;"CURRENT",E91="EXCLUDE"),"NO",IF(A91="","",IF(OR(F91="FAIL",F91="PAYWALL_BLOCKED"),IF(AND(AK91&lt;&gt;"",AK91&gt;=INT(G91),D91="STORED",J91="MANUAL",AL91&lt;&gt;""),"NO","YES"),IF(AND(AR91="ROLLING",I91="CHANGED"),IF(AND(AK91&lt;&gt;"",AK91&gt;=INT(IF(H91&lt;&gt;"",H91,G91)),AL91&lt;&gt;""),"NO","YES"),"NO"))))</x:f>
        <x:v>NO</x:v>
      </x:c>
      <x:c r="O91" s="751"/>
      <x:c r="P91" s="752"/>
      <x:c r="Q91" s="752"/>
      <x:c r="R91" s="752"/>
      <x:c r="S91" s="752"/>
      <x:c r="T91" s="752"/>
      <x:c r="U91" s="752"/>
      <x:c r="V91" s="752"/>
      <x:c r="W91" s="752"/>
      <x:c r="X91" s="752"/>
      <x:c r="Y91" s="752"/>
      <x:c r="Z91" s="752"/>
      <x:c r="AA91" s="752"/>
      <x:c r="AB91" s="752"/>
      <x:c r="AC91" s="752"/>
      <x:c r="AD91" s="752"/>
      <x:c r="AE91" s="752"/>
      <x:c r="AF91" s="752"/>
      <x:c r="AG91" s="752"/>
      <x:c r="AH91" s="752"/>
      <x:c r="AI91" s="752"/>
      <x:c r="AJ91" s="752"/>
      <x:c r="AK91" s="759"/>
      <x:c r="AL91" s="752"/>
      <x:c r="AM91" s="752"/>
      <x:c r="AN91" s="752"/>
      <x:c r="AO91" s="752"/>
      <x:c r="AP91" s="752"/>
      <x:c r="AQ91" s="752"/>
      <x:c r="AR91" s="752"/>
      <x:c r="AS91" s="752"/>
    </x:row>
    <x:row r="92" ht="30" customHeight="1">
      <x:c r="A92" s="751"/>
      <x:c r="B92" s="751"/>
      <x:c r="C92" s="751"/>
      <x:c r="D92" s="751"/>
      <x:c r="E92" s="751" t="str">
        <x:f>IF(A92="","",IF(OR(AJ92="EXCLUDE",COUNTIF(AD92:AH92,"LOW")&gt;0),"EXCLUDE",IF(OR(AJ92&lt;&gt;"INCLUDE",F92&lt;&gt;"SUCCESS",D92&lt;&gt;"STORED",U92="",AP92="",AQ92="",AQ92="UNVERIFIED",AND(AP92="OFFICIAL_WEBSITE",Q92=""),AND(OR(AA92="Equipment manual / OEM instruction",AB92="Asset-specific normative"),OR(Z92&lt;&gt;"Manufacturer / supplier",AS92="",AC92=""))),"PENDING",IF(COUNTIF(AD92:AH92,"HIGH")=5,"INCLUDE","PENDING"))))</x:f>
      </x:c>
      <x:c r="F92" s="751"/>
      <x:c r="G92" s="755"/>
      <x:c r="H92" s="755"/>
      <x:c r="I92" s="751"/>
      <x:c r="J92" s="751"/>
      <x:c r="K92" s="757" t="str">
        <x:f>IF(A92="","",IF(J92="AUTO",H92,IF(J92="MANUAL",AK92,"")))</x:f>
      </x:c>
      <x:c r="L92" s="751"/>
      <x:c r="M92" s="751"/>
      <x:c r="N92" s="751" t="str">
        <x:f>IF(OR(AM92&lt;&gt;"CURRENT",E92="EXCLUDE"),"NO",IF(A92="","",IF(OR(F92="FAIL",F92="PAYWALL_BLOCKED"),IF(AND(AK92&lt;&gt;"",AK92&gt;=INT(G92),D92="STORED",J92="MANUAL",AL92&lt;&gt;""),"NO","YES"),IF(AND(AR92="ROLLING",I92="CHANGED"),IF(AND(AK92&lt;&gt;"",AK92&gt;=INT(IF(H92&lt;&gt;"",H92,G92)),AL92&lt;&gt;""),"NO","YES"),"NO"))))</x:f>
        <x:v>NO</x:v>
      </x:c>
      <x:c r="O92" s="751"/>
      <x:c r="P92" s="752"/>
      <x:c r="Q92" s="752"/>
      <x:c r="R92" s="752"/>
      <x:c r="S92" s="752"/>
      <x:c r="T92" s="752"/>
      <x:c r="U92" s="752"/>
      <x:c r="V92" s="752"/>
      <x:c r="W92" s="752"/>
      <x:c r="X92" s="752"/>
      <x:c r="Y92" s="752"/>
      <x:c r="Z92" s="752"/>
      <x:c r="AA92" s="752"/>
      <x:c r="AB92" s="752"/>
      <x:c r="AC92" s="752"/>
      <x:c r="AD92" s="752"/>
      <x:c r="AE92" s="752"/>
      <x:c r="AF92" s="752"/>
      <x:c r="AG92" s="752"/>
      <x:c r="AH92" s="752"/>
      <x:c r="AI92" s="752"/>
      <x:c r="AJ92" s="752"/>
      <x:c r="AK92" s="759"/>
      <x:c r="AL92" s="752"/>
      <x:c r="AM92" s="752"/>
      <x:c r="AN92" s="752"/>
      <x:c r="AO92" s="752"/>
      <x:c r="AP92" s="752"/>
      <x:c r="AQ92" s="752"/>
      <x:c r="AR92" s="752"/>
      <x:c r="AS92" s="752"/>
    </x:row>
    <x:row r="93" ht="30" customHeight="1">
      <x:c r="A93" s="751"/>
      <x:c r="B93" s="751"/>
      <x:c r="C93" s="751"/>
      <x:c r="D93" s="751"/>
      <x:c r="E93" s="751" t="str">
        <x:f>IF(A93="","",IF(OR(AJ93="EXCLUDE",COUNTIF(AD93:AH93,"LOW")&gt;0),"EXCLUDE",IF(OR(AJ93&lt;&gt;"INCLUDE",F93&lt;&gt;"SUCCESS",D93&lt;&gt;"STORED",U93="",AP93="",AQ93="",AQ93="UNVERIFIED",AND(AP93="OFFICIAL_WEBSITE",Q93=""),AND(OR(AA93="Equipment manual / OEM instruction",AB93="Asset-specific normative"),OR(Z93&lt;&gt;"Manufacturer / supplier",AS93="",AC93=""))),"PENDING",IF(COUNTIF(AD93:AH93,"HIGH")=5,"INCLUDE","PENDING"))))</x:f>
      </x:c>
      <x:c r="F93" s="751"/>
      <x:c r="G93" s="755"/>
      <x:c r="H93" s="755"/>
      <x:c r="I93" s="751"/>
      <x:c r="J93" s="751"/>
      <x:c r="K93" s="757" t="str">
        <x:f>IF(A93="","",IF(J93="AUTO",H93,IF(J93="MANUAL",AK93,"")))</x:f>
      </x:c>
      <x:c r="L93" s="751"/>
      <x:c r="M93" s="751"/>
      <x:c r="N93" s="751" t="str">
        <x:f>IF(OR(AM93&lt;&gt;"CURRENT",E93="EXCLUDE"),"NO",IF(A93="","",IF(OR(F93="FAIL",F93="PAYWALL_BLOCKED"),IF(AND(AK93&lt;&gt;"",AK93&gt;=INT(G93),D93="STORED",J93="MANUAL",AL93&lt;&gt;""),"NO","YES"),IF(AND(AR93="ROLLING",I93="CHANGED"),IF(AND(AK93&lt;&gt;"",AK93&gt;=INT(IF(H93&lt;&gt;"",H93,G93)),AL93&lt;&gt;""),"NO","YES"),"NO"))))</x:f>
        <x:v>NO</x:v>
      </x:c>
      <x:c r="O93" s="751"/>
      <x:c r="P93" s="752"/>
      <x:c r="Q93" s="752"/>
      <x:c r="R93" s="752"/>
      <x:c r="S93" s="752"/>
      <x:c r="T93" s="752"/>
      <x:c r="U93" s="752"/>
      <x:c r="V93" s="752"/>
      <x:c r="W93" s="752"/>
      <x:c r="X93" s="752"/>
      <x:c r="Y93" s="752"/>
      <x:c r="Z93" s="752"/>
      <x:c r="AA93" s="752"/>
      <x:c r="AB93" s="752"/>
      <x:c r="AC93" s="752"/>
      <x:c r="AD93" s="752"/>
      <x:c r="AE93" s="752"/>
      <x:c r="AF93" s="752"/>
      <x:c r="AG93" s="752"/>
      <x:c r="AH93" s="752"/>
      <x:c r="AI93" s="752"/>
      <x:c r="AJ93" s="752"/>
      <x:c r="AK93" s="759"/>
      <x:c r="AL93" s="752"/>
      <x:c r="AM93" s="752"/>
      <x:c r="AN93" s="752"/>
      <x:c r="AO93" s="752"/>
      <x:c r="AP93" s="752"/>
      <x:c r="AQ93" s="752"/>
      <x:c r="AR93" s="752"/>
      <x:c r="AS93" s="752"/>
    </x:row>
    <x:row r="94" ht="30" customHeight="1">
      <x:c r="A94" s="751"/>
      <x:c r="B94" s="751"/>
      <x:c r="C94" s="751"/>
      <x:c r="D94" s="751"/>
      <x:c r="E94" s="751" t="str">
        <x:f>IF(A94="","",IF(OR(AJ94="EXCLUDE",COUNTIF(AD94:AH94,"LOW")&gt;0),"EXCLUDE",IF(OR(AJ94&lt;&gt;"INCLUDE",F94&lt;&gt;"SUCCESS",D94&lt;&gt;"STORED",U94="",AP94="",AQ94="",AQ94="UNVERIFIED",AND(AP94="OFFICIAL_WEBSITE",Q94=""),AND(OR(AA94="Equipment manual / OEM instruction",AB94="Asset-specific normative"),OR(Z94&lt;&gt;"Manufacturer / supplier",AS94="",AC94=""))),"PENDING",IF(COUNTIF(AD94:AH94,"HIGH")=5,"INCLUDE","PENDING"))))</x:f>
      </x:c>
      <x:c r="F94" s="751"/>
      <x:c r="G94" s="755"/>
      <x:c r="H94" s="755"/>
      <x:c r="I94" s="751"/>
      <x:c r="J94" s="751"/>
      <x:c r="K94" s="757" t="str">
        <x:f>IF(A94="","",IF(J94="AUTO",H94,IF(J94="MANUAL",AK94,"")))</x:f>
      </x:c>
      <x:c r="L94" s="751"/>
      <x:c r="M94" s="751"/>
      <x:c r="N94" s="751" t="str">
        <x:f>IF(OR(AM94&lt;&gt;"CURRENT",E94="EXCLUDE"),"NO",IF(A94="","",IF(OR(F94="FAIL",F94="PAYWALL_BLOCKED"),IF(AND(AK94&lt;&gt;"",AK94&gt;=INT(G94),D94="STORED",J94="MANUAL",AL94&lt;&gt;""),"NO","YES"),IF(AND(AR94="ROLLING",I94="CHANGED"),IF(AND(AK94&lt;&gt;"",AK94&gt;=INT(IF(H94&lt;&gt;"",H94,G94)),AL94&lt;&gt;""),"NO","YES"),"NO"))))</x:f>
        <x:v>NO</x:v>
      </x:c>
      <x:c r="O94" s="751"/>
      <x:c r="P94" s="752"/>
      <x:c r="Q94" s="752"/>
      <x:c r="R94" s="752"/>
      <x:c r="S94" s="752"/>
      <x:c r="T94" s="752"/>
      <x:c r="U94" s="752"/>
      <x:c r="V94" s="752"/>
      <x:c r="W94" s="752"/>
      <x:c r="X94" s="752"/>
      <x:c r="Y94" s="752"/>
      <x:c r="Z94" s="752"/>
      <x:c r="AA94" s="752"/>
      <x:c r="AB94" s="752"/>
      <x:c r="AC94" s="752"/>
      <x:c r="AD94" s="752"/>
      <x:c r="AE94" s="752"/>
      <x:c r="AF94" s="752"/>
      <x:c r="AG94" s="752"/>
      <x:c r="AH94" s="752"/>
      <x:c r="AI94" s="752"/>
      <x:c r="AJ94" s="752"/>
      <x:c r="AK94" s="759"/>
      <x:c r="AL94" s="752"/>
      <x:c r="AM94" s="752"/>
      <x:c r="AN94" s="752"/>
      <x:c r="AO94" s="752"/>
      <x:c r="AP94" s="752"/>
      <x:c r="AQ94" s="752"/>
      <x:c r="AR94" s="752"/>
      <x:c r="AS94" s="752"/>
    </x:row>
    <x:row r="95" ht="30" customHeight="1">
      <x:c r="A95" s="751"/>
      <x:c r="B95" s="751"/>
      <x:c r="C95" s="751"/>
      <x:c r="D95" s="751"/>
      <x:c r="E95" s="751" t="str">
        <x:f>IF(A95="","",IF(OR(AJ95="EXCLUDE",COUNTIF(AD95:AH95,"LOW")&gt;0),"EXCLUDE",IF(OR(AJ95&lt;&gt;"INCLUDE",F95&lt;&gt;"SUCCESS",D95&lt;&gt;"STORED",U95="",AP95="",AQ95="",AQ95="UNVERIFIED",AND(AP95="OFFICIAL_WEBSITE",Q95=""),AND(OR(AA95="Equipment manual / OEM instruction",AB95="Asset-specific normative"),OR(Z95&lt;&gt;"Manufacturer / supplier",AS95="",AC95=""))),"PENDING",IF(COUNTIF(AD95:AH95,"HIGH")=5,"INCLUDE","PENDING"))))</x:f>
      </x:c>
      <x:c r="F95" s="751"/>
      <x:c r="G95" s="755"/>
      <x:c r="H95" s="755"/>
      <x:c r="I95" s="751"/>
      <x:c r="J95" s="751"/>
      <x:c r="K95" s="757" t="str">
        <x:f>IF(A95="","",IF(J95="AUTO",H95,IF(J95="MANUAL",AK95,"")))</x:f>
      </x:c>
      <x:c r="L95" s="751"/>
      <x:c r="M95" s="751"/>
      <x:c r="N95" s="751" t="str">
        <x:f>IF(OR(AM95&lt;&gt;"CURRENT",E95="EXCLUDE"),"NO",IF(A95="","",IF(OR(F95="FAIL",F95="PAYWALL_BLOCKED"),IF(AND(AK95&lt;&gt;"",AK95&gt;=INT(G95),D95="STORED",J95="MANUAL",AL95&lt;&gt;""),"NO","YES"),IF(AND(AR95="ROLLING",I95="CHANGED"),IF(AND(AK95&lt;&gt;"",AK95&gt;=INT(IF(H95&lt;&gt;"",H95,G95)),AL95&lt;&gt;""),"NO","YES"),"NO"))))</x:f>
        <x:v>NO</x:v>
      </x:c>
      <x:c r="O95" s="751"/>
      <x:c r="P95" s="752"/>
      <x:c r="Q95" s="752"/>
      <x:c r="R95" s="752"/>
      <x:c r="S95" s="752"/>
      <x:c r="T95" s="752"/>
      <x:c r="U95" s="752"/>
      <x:c r="V95" s="752"/>
      <x:c r="W95" s="752"/>
      <x:c r="X95" s="752"/>
      <x:c r="Y95" s="752"/>
      <x:c r="Z95" s="752"/>
      <x:c r="AA95" s="752"/>
      <x:c r="AB95" s="752"/>
      <x:c r="AC95" s="752"/>
      <x:c r="AD95" s="752"/>
      <x:c r="AE95" s="752"/>
      <x:c r="AF95" s="752"/>
      <x:c r="AG95" s="752"/>
      <x:c r="AH95" s="752"/>
      <x:c r="AI95" s="752"/>
      <x:c r="AJ95" s="752"/>
      <x:c r="AK95" s="759"/>
      <x:c r="AL95" s="752"/>
      <x:c r="AM95" s="752"/>
      <x:c r="AN95" s="752"/>
      <x:c r="AO95" s="752"/>
      <x:c r="AP95" s="752"/>
      <x:c r="AQ95" s="752"/>
      <x:c r="AR95" s="752"/>
      <x:c r="AS95" s="752"/>
    </x:row>
    <x:row r="96" ht="30" customHeight="1">
      <x:c r="A96" s="751"/>
      <x:c r="B96" s="751"/>
      <x:c r="C96" s="751"/>
      <x:c r="D96" s="751"/>
      <x:c r="E96" s="751" t="str">
        <x:f>IF(A96="","",IF(OR(AJ96="EXCLUDE",COUNTIF(AD96:AH96,"LOW")&gt;0),"EXCLUDE",IF(OR(AJ96&lt;&gt;"INCLUDE",F96&lt;&gt;"SUCCESS",D96&lt;&gt;"STORED",U96="",AP96="",AQ96="",AQ96="UNVERIFIED",AND(AP96="OFFICIAL_WEBSITE",Q96=""),AND(OR(AA96="Equipment manual / OEM instruction",AB96="Asset-specific normative"),OR(Z96&lt;&gt;"Manufacturer / supplier",AS96="",AC96=""))),"PENDING",IF(COUNTIF(AD96:AH96,"HIGH")=5,"INCLUDE","PENDING"))))</x:f>
      </x:c>
      <x:c r="F96" s="751"/>
      <x:c r="G96" s="755"/>
      <x:c r="H96" s="755"/>
      <x:c r="I96" s="751"/>
      <x:c r="J96" s="751"/>
      <x:c r="K96" s="757" t="str">
        <x:f>IF(A96="","",IF(J96="AUTO",H96,IF(J96="MANUAL",AK96,"")))</x:f>
      </x:c>
      <x:c r="L96" s="751"/>
      <x:c r="M96" s="751"/>
      <x:c r="N96" s="751" t="str">
        <x:f>IF(OR(AM96&lt;&gt;"CURRENT",E96="EXCLUDE"),"NO",IF(A96="","",IF(OR(F96="FAIL",F96="PAYWALL_BLOCKED"),IF(AND(AK96&lt;&gt;"",AK96&gt;=INT(G96),D96="STORED",J96="MANUAL",AL96&lt;&gt;""),"NO","YES"),IF(AND(AR96="ROLLING",I96="CHANGED"),IF(AND(AK96&lt;&gt;"",AK96&gt;=INT(IF(H96&lt;&gt;"",H96,G96)),AL96&lt;&gt;""),"NO","YES"),"NO"))))</x:f>
        <x:v>NO</x:v>
      </x:c>
      <x:c r="O96" s="751"/>
      <x:c r="P96" s="752"/>
      <x:c r="Q96" s="752"/>
      <x:c r="R96" s="752"/>
      <x:c r="S96" s="752"/>
      <x:c r="T96" s="752"/>
      <x:c r="U96" s="752"/>
      <x:c r="V96" s="752"/>
      <x:c r="W96" s="752"/>
      <x:c r="X96" s="752"/>
      <x:c r="Y96" s="752"/>
      <x:c r="Z96" s="752"/>
      <x:c r="AA96" s="752"/>
      <x:c r="AB96" s="752"/>
      <x:c r="AC96" s="752"/>
      <x:c r="AD96" s="752"/>
      <x:c r="AE96" s="752"/>
      <x:c r="AF96" s="752"/>
      <x:c r="AG96" s="752"/>
      <x:c r="AH96" s="752"/>
      <x:c r="AI96" s="752"/>
      <x:c r="AJ96" s="752"/>
      <x:c r="AK96" s="759"/>
      <x:c r="AL96" s="752"/>
      <x:c r="AM96" s="752"/>
      <x:c r="AN96" s="752"/>
      <x:c r="AO96" s="752"/>
      <x:c r="AP96" s="752"/>
      <x:c r="AQ96" s="752"/>
      <x:c r="AR96" s="752"/>
      <x:c r="AS96" s="752"/>
    </x:row>
    <x:row r="97" ht="30" customHeight="1">
      <x:c r="A97" s="751"/>
      <x:c r="B97" s="751"/>
      <x:c r="C97" s="751"/>
      <x:c r="D97" s="751"/>
      <x:c r="E97" s="751" t="str">
        <x:f>IF(A97="","",IF(OR(AJ97="EXCLUDE",COUNTIF(AD97:AH97,"LOW")&gt;0),"EXCLUDE",IF(OR(AJ97&lt;&gt;"INCLUDE",F97&lt;&gt;"SUCCESS",D97&lt;&gt;"STORED",U97="",AP97="",AQ97="",AQ97="UNVERIFIED",AND(AP97="OFFICIAL_WEBSITE",Q97=""),AND(OR(AA97="Equipment manual / OEM instruction",AB97="Asset-specific normative"),OR(Z97&lt;&gt;"Manufacturer / supplier",AS97="",AC97=""))),"PENDING",IF(COUNTIF(AD97:AH97,"HIGH")=5,"INCLUDE","PENDING"))))</x:f>
      </x:c>
      <x:c r="F97" s="751"/>
      <x:c r="G97" s="755"/>
      <x:c r="H97" s="755"/>
      <x:c r="I97" s="751"/>
      <x:c r="J97" s="751"/>
      <x:c r="K97" s="757" t="str">
        <x:f>IF(A97="","",IF(J97="AUTO",H97,IF(J97="MANUAL",AK97,"")))</x:f>
      </x:c>
      <x:c r="L97" s="751"/>
      <x:c r="M97" s="751"/>
      <x:c r="N97" s="751" t="str">
        <x:f>IF(OR(AM97&lt;&gt;"CURRENT",E97="EXCLUDE"),"NO",IF(A97="","",IF(OR(F97="FAIL",F97="PAYWALL_BLOCKED"),IF(AND(AK97&lt;&gt;"",AK97&gt;=INT(G97),D97="STORED",J97="MANUAL",AL97&lt;&gt;""),"NO","YES"),IF(AND(AR97="ROLLING",I97="CHANGED"),IF(AND(AK97&lt;&gt;"",AK97&gt;=INT(IF(H97&lt;&gt;"",H97,G97)),AL97&lt;&gt;""),"NO","YES"),"NO"))))</x:f>
        <x:v>NO</x:v>
      </x:c>
      <x:c r="O97" s="751"/>
      <x:c r="P97" s="752"/>
      <x:c r="Q97" s="752"/>
      <x:c r="R97" s="752"/>
      <x:c r="S97" s="752"/>
      <x:c r="T97" s="752"/>
      <x:c r="U97" s="752"/>
      <x:c r="V97" s="752"/>
      <x:c r="W97" s="752"/>
      <x:c r="X97" s="752"/>
      <x:c r="Y97" s="752"/>
      <x:c r="Z97" s="752"/>
      <x:c r="AA97" s="752"/>
      <x:c r="AB97" s="752"/>
      <x:c r="AC97" s="752"/>
      <x:c r="AD97" s="752"/>
      <x:c r="AE97" s="752"/>
      <x:c r="AF97" s="752"/>
      <x:c r="AG97" s="752"/>
      <x:c r="AH97" s="752"/>
      <x:c r="AI97" s="752"/>
      <x:c r="AJ97" s="752"/>
      <x:c r="AK97" s="759"/>
      <x:c r="AL97" s="752"/>
      <x:c r="AM97" s="752"/>
      <x:c r="AN97" s="752"/>
      <x:c r="AO97" s="752"/>
      <x:c r="AP97" s="752"/>
      <x:c r="AQ97" s="752"/>
      <x:c r="AR97" s="752"/>
      <x:c r="AS97" s="752"/>
    </x:row>
    <x:row r="98" ht="30" customHeight="1">
      <x:c r="A98" s="751"/>
      <x:c r="B98" s="751"/>
      <x:c r="C98" s="751"/>
      <x:c r="D98" s="751"/>
      <x:c r="E98" s="751" t="str">
        <x:f>IF(A98="","",IF(OR(AJ98="EXCLUDE",COUNTIF(AD98:AH98,"LOW")&gt;0),"EXCLUDE",IF(OR(AJ98&lt;&gt;"INCLUDE",F98&lt;&gt;"SUCCESS",D98&lt;&gt;"STORED",U98="",AP98="",AQ98="",AQ98="UNVERIFIED",AND(AP98="OFFICIAL_WEBSITE",Q98=""),AND(OR(AA98="Equipment manual / OEM instruction",AB98="Asset-specific normative"),OR(Z98&lt;&gt;"Manufacturer / supplier",AS98="",AC98=""))),"PENDING",IF(COUNTIF(AD98:AH98,"HIGH")=5,"INCLUDE","PENDING"))))</x:f>
      </x:c>
      <x:c r="F98" s="751"/>
      <x:c r="G98" s="755"/>
      <x:c r="H98" s="755"/>
      <x:c r="I98" s="751"/>
      <x:c r="J98" s="751"/>
      <x:c r="K98" s="757" t="str">
        <x:f>IF(A98="","",IF(J98="AUTO",H98,IF(J98="MANUAL",AK98,"")))</x:f>
      </x:c>
      <x:c r="L98" s="751"/>
      <x:c r="M98" s="751"/>
      <x:c r="N98" s="751" t="str">
        <x:f>IF(OR(AM98&lt;&gt;"CURRENT",E98="EXCLUDE"),"NO",IF(A98="","",IF(OR(F98="FAIL",F98="PAYWALL_BLOCKED"),IF(AND(AK98&lt;&gt;"",AK98&gt;=INT(G98),D98="STORED",J98="MANUAL",AL98&lt;&gt;""),"NO","YES"),IF(AND(AR98="ROLLING",I98="CHANGED"),IF(AND(AK98&lt;&gt;"",AK98&gt;=INT(IF(H98&lt;&gt;"",H98,G98)),AL98&lt;&gt;""),"NO","YES"),"NO"))))</x:f>
        <x:v>NO</x:v>
      </x:c>
      <x:c r="O98" s="751"/>
      <x:c r="P98" s="752"/>
      <x:c r="Q98" s="752"/>
      <x:c r="R98" s="752"/>
      <x:c r="S98" s="752"/>
      <x:c r="T98" s="752"/>
      <x:c r="U98" s="752"/>
      <x:c r="V98" s="752"/>
      <x:c r="W98" s="752"/>
      <x:c r="X98" s="752"/>
      <x:c r="Y98" s="752"/>
      <x:c r="Z98" s="752"/>
      <x:c r="AA98" s="752"/>
      <x:c r="AB98" s="752"/>
      <x:c r="AC98" s="752"/>
      <x:c r="AD98" s="752"/>
      <x:c r="AE98" s="752"/>
      <x:c r="AF98" s="752"/>
      <x:c r="AG98" s="752"/>
      <x:c r="AH98" s="752"/>
      <x:c r="AI98" s="752"/>
      <x:c r="AJ98" s="752"/>
      <x:c r="AK98" s="759"/>
      <x:c r="AL98" s="752"/>
      <x:c r="AM98" s="752"/>
      <x:c r="AN98" s="752"/>
      <x:c r="AO98" s="752"/>
      <x:c r="AP98" s="752"/>
      <x:c r="AQ98" s="752"/>
      <x:c r="AR98" s="752"/>
      <x:c r="AS98" s="752"/>
    </x:row>
    <x:row r="99" ht="30" customHeight="1">
      <x:c r="A99" s="751"/>
      <x:c r="B99" s="751"/>
      <x:c r="C99" s="751"/>
      <x:c r="D99" s="751"/>
      <x:c r="E99" s="751" t="str">
        <x:f>IF(A99="","",IF(OR(AJ99="EXCLUDE",COUNTIF(AD99:AH99,"LOW")&gt;0),"EXCLUDE",IF(OR(AJ99&lt;&gt;"INCLUDE",F99&lt;&gt;"SUCCESS",D99&lt;&gt;"STORED",U99="",AP99="",AQ99="",AQ99="UNVERIFIED",AND(AP99="OFFICIAL_WEBSITE",Q99=""),AND(OR(AA99="Equipment manual / OEM instruction",AB99="Asset-specific normative"),OR(Z99&lt;&gt;"Manufacturer / supplier",AS99="",AC99=""))),"PENDING",IF(COUNTIF(AD99:AH99,"HIGH")=5,"INCLUDE","PENDING"))))</x:f>
      </x:c>
      <x:c r="F99" s="751"/>
      <x:c r="G99" s="755"/>
      <x:c r="H99" s="755"/>
      <x:c r="I99" s="751"/>
      <x:c r="J99" s="751"/>
      <x:c r="K99" s="757" t="str">
        <x:f>IF(A99="","",IF(J99="AUTO",H99,IF(J99="MANUAL",AK99,"")))</x:f>
      </x:c>
      <x:c r="L99" s="751"/>
      <x:c r="M99" s="751"/>
      <x:c r="N99" s="751" t="str">
        <x:f>IF(OR(AM99&lt;&gt;"CURRENT",E99="EXCLUDE"),"NO",IF(A99="","",IF(OR(F99="FAIL",F99="PAYWALL_BLOCKED"),IF(AND(AK99&lt;&gt;"",AK99&gt;=INT(G99),D99="STORED",J99="MANUAL",AL99&lt;&gt;""),"NO","YES"),IF(AND(AR99="ROLLING",I99="CHANGED"),IF(AND(AK99&lt;&gt;"",AK99&gt;=INT(IF(H99&lt;&gt;"",H99,G99)),AL99&lt;&gt;""),"NO","YES"),"NO"))))</x:f>
        <x:v>NO</x:v>
      </x:c>
      <x:c r="O99" s="751"/>
      <x:c r="P99" s="752"/>
      <x:c r="Q99" s="752"/>
      <x:c r="R99" s="752"/>
      <x:c r="S99" s="752"/>
      <x:c r="T99" s="752"/>
      <x:c r="U99" s="752"/>
      <x:c r="V99" s="752"/>
      <x:c r="W99" s="752"/>
      <x:c r="X99" s="752"/>
      <x:c r="Y99" s="752"/>
      <x:c r="Z99" s="752"/>
      <x:c r="AA99" s="752"/>
      <x:c r="AB99" s="752"/>
      <x:c r="AC99" s="752"/>
      <x:c r="AD99" s="752"/>
      <x:c r="AE99" s="752"/>
      <x:c r="AF99" s="752"/>
      <x:c r="AG99" s="752"/>
      <x:c r="AH99" s="752"/>
      <x:c r="AI99" s="752"/>
      <x:c r="AJ99" s="752"/>
      <x:c r="AK99" s="759"/>
      <x:c r="AL99" s="752"/>
      <x:c r="AM99" s="752"/>
      <x:c r="AN99" s="752"/>
      <x:c r="AO99" s="752"/>
      <x:c r="AP99" s="752"/>
      <x:c r="AQ99" s="752"/>
      <x:c r="AR99" s="752"/>
      <x:c r="AS99" s="752"/>
    </x:row>
    <x:row r="100" ht="30" customHeight="1">
      <x:c r="A100" s="751"/>
      <x:c r="B100" s="751"/>
      <x:c r="C100" s="751"/>
      <x:c r="D100" s="751"/>
      <x:c r="E100" s="751" t="str">
        <x:f>IF(A100="","",IF(OR(AJ100="EXCLUDE",COUNTIF(AD100:AH100,"LOW")&gt;0),"EXCLUDE",IF(OR(AJ100&lt;&gt;"INCLUDE",F100&lt;&gt;"SUCCESS",D100&lt;&gt;"STORED",U100="",AP100="",AQ100="",AQ100="UNVERIFIED",AND(AP100="OFFICIAL_WEBSITE",Q100=""),AND(OR(AA100="Equipment manual / OEM instruction",AB100="Asset-specific normative"),OR(Z100&lt;&gt;"Manufacturer / supplier",AS100="",AC100=""))),"PENDING",IF(COUNTIF(AD100:AH100,"HIGH")=5,"INCLUDE","PENDING"))))</x:f>
      </x:c>
      <x:c r="F100" s="751"/>
      <x:c r="G100" s="755"/>
      <x:c r="H100" s="755"/>
      <x:c r="I100" s="751"/>
      <x:c r="J100" s="751"/>
      <x:c r="K100" s="757" t="str">
        <x:f>IF(A100="","",IF(J100="AUTO",H100,IF(J100="MANUAL",AK100,"")))</x:f>
      </x:c>
      <x:c r="L100" s="751"/>
      <x:c r="M100" s="751"/>
      <x:c r="N100" s="751" t="str">
        <x:f>IF(OR(AM100&lt;&gt;"CURRENT",E100="EXCLUDE"),"NO",IF(A100="","",IF(OR(F100="FAIL",F100="PAYWALL_BLOCKED"),IF(AND(AK100&lt;&gt;"",AK100&gt;=INT(G100),D100="STORED",J100="MANUAL",AL100&lt;&gt;""),"NO","YES"),IF(AND(AR100="ROLLING",I100="CHANGED"),IF(AND(AK100&lt;&gt;"",AK100&gt;=INT(IF(H100&lt;&gt;"",H100,G100)),AL100&lt;&gt;""),"NO","YES"),"NO"))))</x:f>
        <x:v>NO</x:v>
      </x:c>
      <x:c r="O100" s="751"/>
      <x:c r="P100" s="752"/>
      <x:c r="Q100" s="752"/>
      <x:c r="R100" s="752"/>
      <x:c r="S100" s="752"/>
      <x:c r="T100" s="752"/>
      <x:c r="U100" s="752"/>
      <x:c r="V100" s="752"/>
      <x:c r="W100" s="752"/>
      <x:c r="X100" s="752"/>
      <x:c r="Y100" s="752"/>
      <x:c r="Z100" s="752"/>
      <x:c r="AA100" s="752"/>
      <x:c r="AB100" s="752"/>
      <x:c r="AC100" s="752"/>
      <x:c r="AD100" s="752"/>
      <x:c r="AE100" s="752"/>
      <x:c r="AF100" s="752"/>
      <x:c r="AG100" s="752"/>
      <x:c r="AH100" s="752"/>
      <x:c r="AI100" s="752"/>
      <x:c r="AJ100" s="752"/>
      <x:c r="AK100" s="759"/>
      <x:c r="AL100" s="752"/>
      <x:c r="AM100" s="752"/>
      <x:c r="AN100" s="752"/>
      <x:c r="AO100" s="752"/>
      <x:c r="AP100" s="752"/>
      <x:c r="AQ100" s="752"/>
      <x:c r="AR100" s="752"/>
      <x:c r="AS100" s="752"/>
    </x:row>
    <x:row r="101" ht="30" customHeight="1">
      <x:c r="A101" s="751"/>
      <x:c r="B101" s="751"/>
      <x:c r="C101" s="751"/>
      <x:c r="D101" s="751"/>
      <x:c r="E101" s="751" t="str">
        <x:f>IF(A101="","",IF(OR(AJ101="EXCLUDE",COUNTIF(AD101:AH101,"LOW")&gt;0),"EXCLUDE",IF(OR(AJ101&lt;&gt;"INCLUDE",F101&lt;&gt;"SUCCESS",D101&lt;&gt;"STORED",U101="",AP101="",AQ101="",AQ101="UNVERIFIED",AND(AP101="OFFICIAL_WEBSITE",Q101=""),AND(OR(AA101="Equipment manual / OEM instruction",AB101="Asset-specific normative"),OR(Z101&lt;&gt;"Manufacturer / supplier",AS101="",AC101=""))),"PENDING",IF(COUNTIF(AD101:AH101,"HIGH")=5,"INCLUDE","PENDING"))))</x:f>
      </x:c>
      <x:c r="F101" s="751"/>
      <x:c r="G101" s="755"/>
      <x:c r="H101" s="755"/>
      <x:c r="I101" s="751"/>
      <x:c r="J101" s="751"/>
      <x:c r="K101" s="757" t="str">
        <x:f>IF(A101="","",IF(J101="AUTO",H101,IF(J101="MANUAL",AK101,"")))</x:f>
      </x:c>
      <x:c r="L101" s="751"/>
      <x:c r="M101" s="751"/>
      <x:c r="N101" s="751" t="str">
        <x:f>IF(OR(AM101&lt;&gt;"CURRENT",E101="EXCLUDE"),"NO",IF(A101="","",IF(OR(F101="FAIL",F101="PAYWALL_BLOCKED"),IF(AND(AK101&lt;&gt;"",AK101&gt;=INT(G101),D101="STORED",J101="MANUAL",AL101&lt;&gt;""),"NO","YES"),IF(AND(AR101="ROLLING",I101="CHANGED"),IF(AND(AK101&lt;&gt;"",AK101&gt;=INT(IF(H101&lt;&gt;"",H101,G101)),AL101&lt;&gt;""),"NO","YES"),"NO"))))</x:f>
        <x:v>NO</x:v>
      </x:c>
      <x:c r="O101" s="751"/>
      <x:c r="P101" s="752"/>
      <x:c r="Q101" s="752"/>
      <x:c r="R101" s="752"/>
      <x:c r="S101" s="752"/>
      <x:c r="T101" s="752"/>
      <x:c r="U101" s="752"/>
      <x:c r="V101" s="752"/>
      <x:c r="W101" s="752"/>
      <x:c r="X101" s="752"/>
      <x:c r="Y101" s="752"/>
      <x:c r="Z101" s="752"/>
      <x:c r="AA101" s="752"/>
      <x:c r="AB101" s="752"/>
      <x:c r="AC101" s="752"/>
      <x:c r="AD101" s="752"/>
      <x:c r="AE101" s="752"/>
      <x:c r="AF101" s="752"/>
      <x:c r="AG101" s="752"/>
      <x:c r="AH101" s="752"/>
      <x:c r="AI101" s="752"/>
      <x:c r="AJ101" s="752"/>
      <x:c r="AK101" s="759"/>
      <x:c r="AL101" s="752"/>
      <x:c r="AM101" s="752"/>
      <x:c r="AN101" s="752"/>
      <x:c r="AO101" s="752"/>
      <x:c r="AP101" s="752"/>
      <x:c r="AQ101" s="752"/>
      <x:c r="AR101" s="752"/>
      <x:c r="AS101" s="752"/>
    </x:row>
    <x:row r="102" ht="30" customHeight="1">
      <x:c r="A102" s="751"/>
      <x:c r="B102" s="751"/>
      <x:c r="C102" s="751"/>
      <x:c r="D102" s="751"/>
      <x:c r="E102" s="751" t="str">
        <x:f>IF(A102="","",IF(OR(AJ102="EXCLUDE",COUNTIF(AD102:AH102,"LOW")&gt;0),"EXCLUDE",IF(OR(AJ102&lt;&gt;"INCLUDE",F102&lt;&gt;"SUCCESS",D102&lt;&gt;"STORED",U102="",AP102="",AQ102="",AQ102="UNVERIFIED",AND(AP102="OFFICIAL_WEBSITE",Q102=""),AND(OR(AA102="Equipment manual / OEM instruction",AB102="Asset-specific normative"),OR(Z102&lt;&gt;"Manufacturer / supplier",AS102="",AC102=""))),"PENDING",IF(COUNTIF(AD102:AH102,"HIGH")=5,"INCLUDE","PENDING"))))</x:f>
      </x:c>
      <x:c r="F102" s="751"/>
      <x:c r="G102" s="755"/>
      <x:c r="H102" s="755"/>
      <x:c r="I102" s="751"/>
      <x:c r="J102" s="751"/>
      <x:c r="K102" s="757" t="str">
        <x:f>IF(A102="","",IF(J102="AUTO",H102,IF(J102="MANUAL",AK102,"")))</x:f>
      </x:c>
      <x:c r="L102" s="751"/>
      <x:c r="M102" s="751"/>
      <x:c r="N102" s="751" t="str">
        <x:f>IF(OR(AM102&lt;&gt;"CURRENT",E102="EXCLUDE"),"NO",IF(A102="","",IF(OR(F102="FAIL",F102="PAYWALL_BLOCKED"),IF(AND(AK102&lt;&gt;"",AK102&gt;=INT(G102),D102="STORED",J102="MANUAL",AL102&lt;&gt;""),"NO","YES"),IF(AND(AR102="ROLLING",I102="CHANGED"),IF(AND(AK102&lt;&gt;"",AK102&gt;=INT(IF(H102&lt;&gt;"",H102,G102)),AL102&lt;&gt;""),"NO","YES"),"NO"))))</x:f>
        <x:v>NO</x:v>
      </x:c>
      <x:c r="O102" s="751"/>
      <x:c r="P102" s="752"/>
      <x:c r="Q102" s="752"/>
      <x:c r="R102" s="752"/>
      <x:c r="S102" s="752"/>
      <x:c r="T102" s="752"/>
      <x:c r="U102" s="752"/>
      <x:c r="V102" s="752"/>
      <x:c r="W102" s="752"/>
      <x:c r="X102" s="752"/>
      <x:c r="Y102" s="752"/>
      <x:c r="Z102" s="752"/>
      <x:c r="AA102" s="752"/>
      <x:c r="AB102" s="752"/>
      <x:c r="AC102" s="752"/>
      <x:c r="AD102" s="752"/>
      <x:c r="AE102" s="752"/>
      <x:c r="AF102" s="752"/>
      <x:c r="AG102" s="752"/>
      <x:c r="AH102" s="752"/>
      <x:c r="AI102" s="752"/>
      <x:c r="AJ102" s="752"/>
      <x:c r="AK102" s="759"/>
      <x:c r="AL102" s="752"/>
      <x:c r="AM102" s="752"/>
      <x:c r="AN102" s="752"/>
      <x:c r="AO102" s="752"/>
      <x:c r="AP102" s="752"/>
      <x:c r="AQ102" s="752"/>
      <x:c r="AR102" s="752"/>
      <x:c r="AS102" s="752"/>
    </x:row>
    <x:row r="103" ht="30" customHeight="1">
      <x:c r="A103" s="751"/>
      <x:c r="B103" s="751"/>
      <x:c r="C103" s="751"/>
      <x:c r="D103" s="751"/>
      <x:c r="E103" s="751" t="str">
        <x:f>IF(A103="","",IF(OR(AJ103="EXCLUDE",COUNTIF(AD103:AH103,"LOW")&gt;0),"EXCLUDE",IF(OR(AJ103&lt;&gt;"INCLUDE",F103&lt;&gt;"SUCCESS",D103&lt;&gt;"STORED",U103="",AP103="",AQ103="",AQ103="UNVERIFIED",AND(AP103="OFFICIAL_WEBSITE",Q103=""),AND(OR(AA103="Equipment manual / OEM instruction",AB103="Asset-specific normative"),OR(Z103&lt;&gt;"Manufacturer / supplier",AS103="",AC103=""))),"PENDING",IF(COUNTIF(AD103:AH103,"HIGH")=5,"INCLUDE","PENDING"))))</x:f>
      </x:c>
      <x:c r="F103" s="751"/>
      <x:c r="G103" s="755"/>
      <x:c r="H103" s="755"/>
      <x:c r="I103" s="751"/>
      <x:c r="J103" s="751"/>
      <x:c r="K103" s="757" t="str">
        <x:f>IF(A103="","",IF(J103="AUTO",H103,IF(J103="MANUAL",AK103,"")))</x:f>
      </x:c>
      <x:c r="L103" s="751"/>
      <x:c r="M103" s="751"/>
      <x:c r="N103" s="751" t="str">
        <x:f>IF(OR(AM103&lt;&gt;"CURRENT",E103="EXCLUDE"),"NO",IF(A103="","",IF(OR(F103="FAIL",F103="PAYWALL_BLOCKED"),IF(AND(AK103&lt;&gt;"",AK103&gt;=INT(G103),D103="STORED",J103="MANUAL",AL103&lt;&gt;""),"NO","YES"),IF(AND(AR103="ROLLING",I103="CHANGED"),IF(AND(AK103&lt;&gt;"",AK103&gt;=INT(IF(H103&lt;&gt;"",H103,G103)),AL103&lt;&gt;""),"NO","YES"),"NO"))))</x:f>
        <x:v>NO</x:v>
      </x:c>
      <x:c r="O103" s="751"/>
      <x:c r="P103" s="752"/>
      <x:c r="Q103" s="752"/>
      <x:c r="R103" s="752"/>
      <x:c r="S103" s="752"/>
      <x:c r="T103" s="752"/>
      <x:c r="U103" s="752"/>
      <x:c r="V103" s="752"/>
      <x:c r="W103" s="752"/>
      <x:c r="X103" s="752"/>
      <x:c r="Y103" s="752"/>
      <x:c r="Z103" s="752"/>
      <x:c r="AA103" s="752"/>
      <x:c r="AB103" s="752"/>
      <x:c r="AC103" s="752"/>
      <x:c r="AD103" s="752"/>
      <x:c r="AE103" s="752"/>
      <x:c r="AF103" s="752"/>
      <x:c r="AG103" s="752"/>
      <x:c r="AH103" s="752"/>
      <x:c r="AI103" s="752"/>
      <x:c r="AJ103" s="752"/>
      <x:c r="AK103" s="759"/>
      <x:c r="AL103" s="752"/>
      <x:c r="AM103" s="752"/>
      <x:c r="AN103" s="752"/>
      <x:c r="AO103" s="752"/>
      <x:c r="AP103" s="752"/>
      <x:c r="AQ103" s="752"/>
      <x:c r="AR103" s="752"/>
      <x:c r="AS103" s="752"/>
    </x:row>
    <x:row r="104" ht="30" customHeight="1">
      <x:c r="A104" s="751"/>
      <x:c r="B104" s="751"/>
      <x:c r="C104" s="751"/>
      <x:c r="D104" s="751"/>
      <x:c r="E104" s="751" t="str">
        <x:f>IF(A104="","",IF(OR(AJ104="EXCLUDE",COUNTIF(AD104:AH104,"LOW")&gt;0),"EXCLUDE",IF(OR(AJ104&lt;&gt;"INCLUDE",F104&lt;&gt;"SUCCESS",D104&lt;&gt;"STORED",U104="",AP104="",AQ104="",AQ104="UNVERIFIED",AND(AP104="OFFICIAL_WEBSITE",Q104=""),AND(OR(AA104="Equipment manual / OEM instruction",AB104="Asset-specific normative"),OR(Z104&lt;&gt;"Manufacturer / supplier",AS104="",AC104=""))),"PENDING",IF(COUNTIF(AD104:AH104,"HIGH")=5,"INCLUDE","PENDING"))))</x:f>
      </x:c>
      <x:c r="F104" s="751"/>
      <x:c r="G104" s="755"/>
      <x:c r="H104" s="755"/>
      <x:c r="I104" s="751"/>
      <x:c r="J104" s="751"/>
      <x:c r="K104" s="757" t="str">
        <x:f>IF(A104="","",IF(J104="AUTO",H104,IF(J104="MANUAL",AK104,"")))</x:f>
      </x:c>
      <x:c r="L104" s="751"/>
      <x:c r="M104" s="751"/>
      <x:c r="N104" s="751" t="str">
        <x:f>IF(OR(AM104&lt;&gt;"CURRENT",E104="EXCLUDE"),"NO",IF(A104="","",IF(OR(F104="FAIL",F104="PAYWALL_BLOCKED"),IF(AND(AK104&lt;&gt;"",AK104&gt;=INT(G104),D104="STORED",J104="MANUAL",AL104&lt;&gt;""),"NO","YES"),IF(AND(AR104="ROLLING",I104="CHANGED"),IF(AND(AK104&lt;&gt;"",AK104&gt;=INT(IF(H104&lt;&gt;"",H104,G104)),AL104&lt;&gt;""),"NO","YES"),"NO"))))</x:f>
        <x:v>NO</x:v>
      </x:c>
      <x:c r="O104" s="751"/>
      <x:c r="P104" s="752"/>
      <x:c r="Q104" s="752"/>
      <x:c r="R104" s="752"/>
      <x:c r="S104" s="752"/>
      <x:c r="T104" s="752"/>
      <x:c r="U104" s="752"/>
      <x:c r="V104" s="752"/>
      <x:c r="W104" s="752"/>
      <x:c r="X104" s="752"/>
      <x:c r="Y104" s="752"/>
      <x:c r="Z104" s="752"/>
      <x:c r="AA104" s="752"/>
      <x:c r="AB104" s="752"/>
      <x:c r="AC104" s="752"/>
      <x:c r="AD104" s="752"/>
      <x:c r="AE104" s="752"/>
      <x:c r="AF104" s="752"/>
      <x:c r="AG104" s="752"/>
      <x:c r="AH104" s="752"/>
      <x:c r="AI104" s="752"/>
      <x:c r="AJ104" s="752"/>
      <x:c r="AK104" s="759"/>
      <x:c r="AL104" s="752"/>
      <x:c r="AM104" s="752"/>
      <x:c r="AN104" s="752"/>
      <x:c r="AO104" s="752"/>
      <x:c r="AP104" s="752"/>
      <x:c r="AQ104" s="752"/>
      <x:c r="AR104" s="752"/>
      <x:c r="AS104" s="752"/>
    </x:row>
    <x:row r="105" ht="30" customHeight="1">
      <x:c r="A105" s="751"/>
      <x:c r="B105" s="751"/>
      <x:c r="C105" s="751"/>
      <x:c r="D105" s="751"/>
      <x:c r="E105" s="751" t="str">
        <x:f>IF(A105="","",IF(OR(AJ105="EXCLUDE",COUNTIF(AD105:AH105,"LOW")&gt;0),"EXCLUDE",IF(OR(AJ105&lt;&gt;"INCLUDE",F105&lt;&gt;"SUCCESS",D105&lt;&gt;"STORED",U105="",AP105="",AQ105="",AQ105="UNVERIFIED",AND(AP105="OFFICIAL_WEBSITE",Q105=""),AND(OR(AA105="Equipment manual / OEM instruction",AB105="Asset-specific normative"),OR(Z105&lt;&gt;"Manufacturer / supplier",AS105="",AC105=""))),"PENDING",IF(COUNTIF(AD105:AH105,"HIGH")=5,"INCLUDE","PENDING"))))</x:f>
      </x:c>
      <x:c r="F105" s="751"/>
      <x:c r="G105" s="755"/>
      <x:c r="H105" s="755"/>
      <x:c r="I105" s="751"/>
      <x:c r="J105" s="751"/>
      <x:c r="K105" s="757" t="str">
        <x:f>IF(A105="","",IF(J105="AUTO",H105,IF(J105="MANUAL",AK105,"")))</x:f>
      </x:c>
      <x:c r="L105" s="751"/>
      <x:c r="M105" s="751"/>
      <x:c r="N105" s="751" t="str">
        <x:f>IF(OR(AM105&lt;&gt;"CURRENT",E105="EXCLUDE"),"NO",IF(A105="","",IF(OR(F105="FAIL",F105="PAYWALL_BLOCKED"),IF(AND(AK105&lt;&gt;"",AK105&gt;=INT(G105),D105="STORED",J105="MANUAL",AL105&lt;&gt;""),"NO","YES"),IF(AND(AR105="ROLLING",I105="CHANGED"),IF(AND(AK105&lt;&gt;"",AK105&gt;=INT(IF(H105&lt;&gt;"",H105,G105)),AL105&lt;&gt;""),"NO","YES"),"NO"))))</x:f>
        <x:v>NO</x:v>
      </x:c>
      <x:c r="O105" s="751"/>
      <x:c r="P105" s="752"/>
      <x:c r="Q105" s="752"/>
      <x:c r="R105" s="752"/>
      <x:c r="S105" s="752"/>
      <x:c r="T105" s="752"/>
      <x:c r="U105" s="752"/>
      <x:c r="V105" s="752"/>
      <x:c r="W105" s="752"/>
      <x:c r="X105" s="752"/>
      <x:c r="Y105" s="752"/>
      <x:c r="Z105" s="752"/>
      <x:c r="AA105" s="752"/>
      <x:c r="AB105" s="752"/>
      <x:c r="AC105" s="752"/>
      <x:c r="AD105" s="752"/>
      <x:c r="AE105" s="752"/>
      <x:c r="AF105" s="752"/>
      <x:c r="AG105" s="752"/>
      <x:c r="AH105" s="752"/>
      <x:c r="AI105" s="752"/>
      <x:c r="AJ105" s="752"/>
      <x:c r="AK105" s="759"/>
      <x:c r="AL105" s="752"/>
      <x:c r="AM105" s="752"/>
      <x:c r="AN105" s="752"/>
      <x:c r="AO105" s="752"/>
      <x:c r="AP105" s="752"/>
      <x:c r="AQ105" s="752"/>
      <x:c r="AR105" s="752"/>
      <x:c r="AS105" s="752"/>
    </x:row>
    <x:row r="106" ht="30" customHeight="1">
      <x:c r="A106" s="751"/>
      <x:c r="B106" s="751"/>
      <x:c r="C106" s="751"/>
      <x:c r="D106" s="751"/>
      <x:c r="E106" s="751" t="str">
        <x:f>IF(A106="","",IF(OR(AJ106="EXCLUDE",COUNTIF(AD106:AH106,"LOW")&gt;0),"EXCLUDE",IF(OR(AJ106&lt;&gt;"INCLUDE",F106&lt;&gt;"SUCCESS",D106&lt;&gt;"STORED",U106="",AP106="",AQ106="",AQ106="UNVERIFIED",AND(AP106="OFFICIAL_WEBSITE",Q106=""),AND(OR(AA106="Equipment manual / OEM instruction",AB106="Asset-specific normative"),OR(Z106&lt;&gt;"Manufacturer / supplier",AS106="",AC106=""))),"PENDING",IF(COUNTIF(AD106:AH106,"HIGH")=5,"INCLUDE","PENDING"))))</x:f>
      </x:c>
      <x:c r="F106" s="751"/>
      <x:c r="G106" s="755"/>
      <x:c r="H106" s="755"/>
      <x:c r="I106" s="751"/>
      <x:c r="J106" s="751"/>
      <x:c r="K106" s="757" t="str">
        <x:f>IF(A106="","",IF(J106="AUTO",H106,IF(J106="MANUAL",AK106,"")))</x:f>
      </x:c>
      <x:c r="L106" s="751"/>
      <x:c r="M106" s="751"/>
      <x:c r="N106" s="751" t="str">
        <x:f>IF(OR(AM106&lt;&gt;"CURRENT",E106="EXCLUDE"),"NO",IF(A106="","",IF(OR(F106="FAIL",F106="PAYWALL_BLOCKED"),IF(AND(AK106&lt;&gt;"",AK106&gt;=INT(G106),D106="STORED",J106="MANUAL",AL106&lt;&gt;""),"NO","YES"),IF(AND(AR106="ROLLING",I106="CHANGED"),IF(AND(AK106&lt;&gt;"",AK106&gt;=INT(IF(H106&lt;&gt;"",H106,G106)),AL106&lt;&gt;""),"NO","YES"),"NO"))))</x:f>
        <x:v>NO</x:v>
      </x:c>
      <x:c r="O106" s="751"/>
      <x:c r="P106" s="752"/>
      <x:c r="Q106" s="752"/>
      <x:c r="R106" s="752"/>
      <x:c r="S106" s="752"/>
      <x:c r="T106" s="752"/>
      <x:c r="U106" s="752"/>
      <x:c r="V106" s="752"/>
      <x:c r="W106" s="752"/>
      <x:c r="X106" s="752"/>
      <x:c r="Y106" s="752"/>
      <x:c r="Z106" s="752"/>
      <x:c r="AA106" s="752"/>
      <x:c r="AB106" s="752"/>
      <x:c r="AC106" s="752"/>
      <x:c r="AD106" s="752"/>
      <x:c r="AE106" s="752"/>
      <x:c r="AF106" s="752"/>
      <x:c r="AG106" s="752"/>
      <x:c r="AH106" s="752"/>
      <x:c r="AI106" s="752"/>
      <x:c r="AJ106" s="752"/>
      <x:c r="AK106" s="759"/>
      <x:c r="AL106" s="752"/>
      <x:c r="AM106" s="752"/>
      <x:c r="AN106" s="752"/>
      <x:c r="AO106" s="752"/>
      <x:c r="AP106" s="752"/>
      <x:c r="AQ106" s="752"/>
      <x:c r="AR106" s="752"/>
      <x:c r="AS106" s="752"/>
    </x:row>
    <x:row r="107" ht="30" customHeight="1">
      <x:c r="A107" s="751"/>
      <x:c r="B107" s="751"/>
      <x:c r="C107" s="751"/>
      <x:c r="D107" s="751"/>
      <x:c r="E107" s="751" t="str">
        <x:f>IF(A107="","",IF(OR(AJ107="EXCLUDE",COUNTIF(AD107:AH107,"LOW")&gt;0),"EXCLUDE",IF(OR(AJ107&lt;&gt;"INCLUDE",F107&lt;&gt;"SUCCESS",D107&lt;&gt;"STORED",U107="",AP107="",AQ107="",AQ107="UNVERIFIED",AND(AP107="OFFICIAL_WEBSITE",Q107=""),AND(OR(AA107="Equipment manual / OEM instruction",AB107="Asset-specific normative"),OR(Z107&lt;&gt;"Manufacturer / supplier",AS107="",AC107=""))),"PENDING",IF(COUNTIF(AD107:AH107,"HIGH")=5,"INCLUDE","PENDING"))))</x:f>
      </x:c>
      <x:c r="F107" s="751"/>
      <x:c r="G107" s="755"/>
      <x:c r="H107" s="755"/>
      <x:c r="I107" s="751"/>
      <x:c r="J107" s="751"/>
      <x:c r="K107" s="757" t="str">
        <x:f>IF(A107="","",IF(J107="AUTO",H107,IF(J107="MANUAL",AK107,"")))</x:f>
      </x:c>
      <x:c r="L107" s="751"/>
      <x:c r="M107" s="751"/>
      <x:c r="N107" s="751" t="str">
        <x:f>IF(OR(AM107&lt;&gt;"CURRENT",E107="EXCLUDE"),"NO",IF(A107="","",IF(OR(F107="FAIL",F107="PAYWALL_BLOCKED"),IF(AND(AK107&lt;&gt;"",AK107&gt;=INT(G107),D107="STORED",J107="MANUAL",AL107&lt;&gt;""),"NO","YES"),IF(AND(AR107="ROLLING",I107="CHANGED"),IF(AND(AK107&lt;&gt;"",AK107&gt;=INT(IF(H107&lt;&gt;"",H107,G107)),AL107&lt;&gt;""),"NO","YES"),"NO"))))</x:f>
        <x:v>NO</x:v>
      </x:c>
      <x:c r="O107" s="751"/>
      <x:c r="P107" s="752"/>
      <x:c r="Q107" s="752"/>
      <x:c r="R107" s="752"/>
      <x:c r="S107" s="752"/>
      <x:c r="T107" s="752"/>
      <x:c r="U107" s="752"/>
      <x:c r="V107" s="752"/>
      <x:c r="W107" s="752"/>
      <x:c r="X107" s="752"/>
      <x:c r="Y107" s="752"/>
      <x:c r="Z107" s="752"/>
      <x:c r="AA107" s="752"/>
      <x:c r="AB107" s="752"/>
      <x:c r="AC107" s="752"/>
      <x:c r="AD107" s="752"/>
      <x:c r="AE107" s="752"/>
      <x:c r="AF107" s="752"/>
      <x:c r="AG107" s="752"/>
      <x:c r="AH107" s="752"/>
      <x:c r="AI107" s="752"/>
      <x:c r="AJ107" s="752"/>
      <x:c r="AK107" s="759"/>
      <x:c r="AL107" s="752"/>
      <x:c r="AM107" s="752"/>
      <x:c r="AN107" s="752"/>
      <x:c r="AO107" s="752"/>
      <x:c r="AP107" s="752"/>
      <x:c r="AQ107" s="752"/>
      <x:c r="AR107" s="752"/>
      <x:c r="AS107" s="752"/>
    </x:row>
    <x:row r="108" ht="30" customHeight="1">
      <x:c r="A108" s="751"/>
      <x:c r="B108" s="751"/>
      <x:c r="C108" s="751"/>
      <x:c r="D108" s="751"/>
      <x:c r="E108" s="751" t="str">
        <x:f>IF(A108="","",IF(OR(AJ108="EXCLUDE",COUNTIF(AD108:AH108,"LOW")&gt;0),"EXCLUDE",IF(OR(AJ108&lt;&gt;"INCLUDE",F108&lt;&gt;"SUCCESS",D108&lt;&gt;"STORED",U108="",AP108="",AQ108="",AQ108="UNVERIFIED",AND(AP108="OFFICIAL_WEBSITE",Q108=""),AND(OR(AA108="Equipment manual / OEM instruction",AB108="Asset-specific normative"),OR(Z108&lt;&gt;"Manufacturer / supplier",AS108="",AC108=""))),"PENDING",IF(COUNTIF(AD108:AH108,"HIGH")=5,"INCLUDE","PENDING"))))</x:f>
      </x:c>
      <x:c r="F108" s="751"/>
      <x:c r="G108" s="755"/>
      <x:c r="H108" s="755"/>
      <x:c r="I108" s="751"/>
      <x:c r="J108" s="751"/>
      <x:c r="K108" s="757" t="str">
        <x:f>IF(A108="","",IF(J108="AUTO",H108,IF(J108="MANUAL",AK108,"")))</x:f>
      </x:c>
      <x:c r="L108" s="751"/>
      <x:c r="M108" s="751"/>
      <x:c r="N108" s="751" t="str">
        <x:f>IF(OR(AM108&lt;&gt;"CURRENT",E108="EXCLUDE"),"NO",IF(A108="","",IF(OR(F108="FAIL",F108="PAYWALL_BLOCKED"),IF(AND(AK108&lt;&gt;"",AK108&gt;=INT(G108),D108="STORED",J108="MANUAL",AL108&lt;&gt;""),"NO","YES"),IF(AND(AR108="ROLLING",I108="CHANGED"),IF(AND(AK108&lt;&gt;"",AK108&gt;=INT(IF(H108&lt;&gt;"",H108,G108)),AL108&lt;&gt;""),"NO","YES"),"NO"))))</x:f>
        <x:v>NO</x:v>
      </x:c>
      <x:c r="O108" s="751"/>
      <x:c r="P108" s="752"/>
      <x:c r="Q108" s="752"/>
      <x:c r="R108" s="752"/>
      <x:c r="S108" s="752"/>
      <x:c r="T108" s="752"/>
      <x:c r="U108" s="752"/>
      <x:c r="V108" s="752"/>
      <x:c r="W108" s="752"/>
      <x:c r="X108" s="752"/>
      <x:c r="Y108" s="752"/>
      <x:c r="Z108" s="752"/>
      <x:c r="AA108" s="752"/>
      <x:c r="AB108" s="752"/>
      <x:c r="AC108" s="752"/>
      <x:c r="AD108" s="752"/>
      <x:c r="AE108" s="752"/>
      <x:c r="AF108" s="752"/>
      <x:c r="AG108" s="752"/>
      <x:c r="AH108" s="752"/>
      <x:c r="AI108" s="752"/>
      <x:c r="AJ108" s="752"/>
      <x:c r="AK108" s="759"/>
      <x:c r="AL108" s="752"/>
      <x:c r="AM108" s="752"/>
      <x:c r="AN108" s="752"/>
      <x:c r="AO108" s="752"/>
      <x:c r="AP108" s="752"/>
      <x:c r="AQ108" s="752"/>
      <x:c r="AR108" s="752"/>
      <x:c r="AS108" s="752"/>
    </x:row>
    <x:row r="109" ht="30" customHeight="1">
      <x:c r="A109" s="751"/>
      <x:c r="B109" s="751"/>
      <x:c r="C109" s="751"/>
      <x:c r="D109" s="751"/>
      <x:c r="E109" s="751" t="str">
        <x:f>IF(A109="","",IF(OR(AJ109="EXCLUDE",COUNTIF(AD109:AH109,"LOW")&gt;0),"EXCLUDE",IF(OR(AJ109&lt;&gt;"INCLUDE",F109&lt;&gt;"SUCCESS",D109&lt;&gt;"STORED",U109="",AP109="",AQ109="",AQ109="UNVERIFIED",AND(AP109="OFFICIAL_WEBSITE",Q109=""),AND(OR(AA109="Equipment manual / OEM instruction",AB109="Asset-specific normative"),OR(Z109&lt;&gt;"Manufacturer / supplier",AS109="",AC109=""))),"PENDING",IF(COUNTIF(AD109:AH109,"HIGH")=5,"INCLUDE","PENDING"))))</x:f>
      </x:c>
      <x:c r="F109" s="751"/>
      <x:c r="G109" s="755"/>
      <x:c r="H109" s="755"/>
      <x:c r="I109" s="751"/>
      <x:c r="J109" s="751"/>
      <x:c r="K109" s="757" t="str">
        <x:f>IF(A109="","",IF(J109="AUTO",H109,IF(J109="MANUAL",AK109,"")))</x:f>
      </x:c>
      <x:c r="L109" s="751"/>
      <x:c r="M109" s="751"/>
      <x:c r="N109" s="751" t="str">
        <x:f>IF(OR(AM109&lt;&gt;"CURRENT",E109="EXCLUDE"),"NO",IF(A109="","",IF(OR(F109="FAIL",F109="PAYWALL_BLOCKED"),IF(AND(AK109&lt;&gt;"",AK109&gt;=INT(G109),D109="STORED",J109="MANUAL",AL109&lt;&gt;""),"NO","YES"),IF(AND(AR109="ROLLING",I109="CHANGED"),IF(AND(AK109&lt;&gt;"",AK109&gt;=INT(IF(H109&lt;&gt;"",H109,G109)),AL109&lt;&gt;""),"NO","YES"),"NO"))))</x:f>
        <x:v>NO</x:v>
      </x:c>
      <x:c r="O109" s="751"/>
      <x:c r="P109" s="752"/>
      <x:c r="Q109" s="752"/>
      <x:c r="R109" s="752"/>
      <x:c r="S109" s="752"/>
      <x:c r="T109" s="752"/>
      <x:c r="U109" s="752"/>
      <x:c r="V109" s="752"/>
      <x:c r="W109" s="752"/>
      <x:c r="X109" s="752"/>
      <x:c r="Y109" s="752"/>
      <x:c r="Z109" s="752"/>
      <x:c r="AA109" s="752"/>
      <x:c r="AB109" s="752"/>
      <x:c r="AC109" s="752"/>
      <x:c r="AD109" s="752"/>
      <x:c r="AE109" s="752"/>
      <x:c r="AF109" s="752"/>
      <x:c r="AG109" s="752"/>
      <x:c r="AH109" s="752"/>
      <x:c r="AI109" s="752"/>
      <x:c r="AJ109" s="752"/>
      <x:c r="AK109" s="759"/>
      <x:c r="AL109" s="752"/>
      <x:c r="AM109" s="752"/>
      <x:c r="AN109" s="752"/>
      <x:c r="AO109" s="752"/>
      <x:c r="AP109" s="752"/>
      <x:c r="AQ109" s="752"/>
      <x:c r="AR109" s="752"/>
      <x:c r="AS109" s="752"/>
    </x:row>
    <x:row r="110" ht="30" customHeight="1">
      <x:c r="A110" s="751"/>
      <x:c r="B110" s="751"/>
      <x:c r="C110" s="751"/>
      <x:c r="D110" s="751"/>
      <x:c r="E110" s="751" t="str">
        <x:f>IF(A110="","",IF(OR(AJ110="EXCLUDE",COUNTIF(AD110:AH110,"LOW")&gt;0),"EXCLUDE",IF(OR(AJ110&lt;&gt;"INCLUDE",F110&lt;&gt;"SUCCESS",D110&lt;&gt;"STORED",U110="",AP110="",AQ110="",AQ110="UNVERIFIED",AND(AP110="OFFICIAL_WEBSITE",Q110=""),AND(OR(AA110="Equipment manual / OEM instruction",AB110="Asset-specific normative"),OR(Z110&lt;&gt;"Manufacturer / supplier",AS110="",AC110=""))),"PENDING",IF(COUNTIF(AD110:AH110,"HIGH")=5,"INCLUDE","PENDING"))))</x:f>
      </x:c>
      <x:c r="F110" s="751"/>
      <x:c r="G110" s="755"/>
      <x:c r="H110" s="755"/>
      <x:c r="I110" s="751"/>
      <x:c r="J110" s="751"/>
      <x:c r="K110" s="757" t="str">
        <x:f>IF(A110="","",IF(J110="AUTO",H110,IF(J110="MANUAL",AK110,"")))</x:f>
      </x:c>
      <x:c r="L110" s="751"/>
      <x:c r="M110" s="751"/>
      <x:c r="N110" s="751" t="str">
        <x:f>IF(OR(AM110&lt;&gt;"CURRENT",E110="EXCLUDE"),"NO",IF(A110="","",IF(OR(F110="FAIL",F110="PAYWALL_BLOCKED"),IF(AND(AK110&lt;&gt;"",AK110&gt;=INT(G110),D110="STORED",J110="MANUAL",AL110&lt;&gt;""),"NO","YES"),IF(AND(AR110="ROLLING",I110="CHANGED"),IF(AND(AK110&lt;&gt;"",AK110&gt;=INT(IF(H110&lt;&gt;"",H110,G110)),AL110&lt;&gt;""),"NO","YES"),"NO"))))</x:f>
        <x:v>NO</x:v>
      </x:c>
      <x:c r="O110" s="751"/>
      <x:c r="P110" s="752"/>
      <x:c r="Q110" s="752"/>
      <x:c r="R110" s="752"/>
      <x:c r="S110" s="752"/>
      <x:c r="T110" s="752"/>
      <x:c r="U110" s="752"/>
      <x:c r="V110" s="752"/>
      <x:c r="W110" s="752"/>
      <x:c r="X110" s="752"/>
      <x:c r="Y110" s="752"/>
      <x:c r="Z110" s="752"/>
      <x:c r="AA110" s="752"/>
      <x:c r="AB110" s="752"/>
      <x:c r="AC110" s="752"/>
      <x:c r="AD110" s="752"/>
      <x:c r="AE110" s="752"/>
      <x:c r="AF110" s="752"/>
      <x:c r="AG110" s="752"/>
      <x:c r="AH110" s="752"/>
      <x:c r="AI110" s="752"/>
      <x:c r="AJ110" s="752"/>
      <x:c r="AK110" s="759"/>
      <x:c r="AL110" s="752"/>
      <x:c r="AM110" s="752"/>
      <x:c r="AN110" s="752"/>
      <x:c r="AO110" s="752"/>
      <x:c r="AP110" s="752"/>
      <x:c r="AQ110" s="752"/>
      <x:c r="AR110" s="752"/>
      <x:c r="AS110" s="752"/>
    </x:row>
    <x:row r="111" ht="30" customHeight="1">
      <x:c r="A111" s="751"/>
      <x:c r="B111" s="751"/>
      <x:c r="C111" s="751"/>
      <x:c r="D111" s="751"/>
      <x:c r="E111" s="751" t="str">
        <x:f>IF(A111="","",IF(OR(AJ111="EXCLUDE",COUNTIF(AD111:AH111,"LOW")&gt;0),"EXCLUDE",IF(OR(AJ111&lt;&gt;"INCLUDE",F111&lt;&gt;"SUCCESS",D111&lt;&gt;"STORED",U111="",AP111="",AQ111="",AQ111="UNVERIFIED",AND(AP111="OFFICIAL_WEBSITE",Q111=""),AND(OR(AA111="Equipment manual / OEM instruction",AB111="Asset-specific normative"),OR(Z111&lt;&gt;"Manufacturer / supplier",AS111="",AC111=""))),"PENDING",IF(COUNTIF(AD111:AH111,"HIGH")=5,"INCLUDE","PENDING"))))</x:f>
      </x:c>
      <x:c r="F111" s="751"/>
      <x:c r="G111" s="755"/>
      <x:c r="H111" s="755"/>
      <x:c r="I111" s="751"/>
      <x:c r="J111" s="751"/>
      <x:c r="K111" s="757" t="str">
        <x:f>IF(A111="","",IF(J111="AUTO",H111,IF(J111="MANUAL",AK111,"")))</x:f>
      </x:c>
      <x:c r="L111" s="751"/>
      <x:c r="M111" s="751"/>
      <x:c r="N111" s="751" t="str">
        <x:f>IF(OR(AM111&lt;&gt;"CURRENT",E111="EXCLUDE"),"NO",IF(A111="","",IF(OR(F111="FAIL",F111="PAYWALL_BLOCKED"),IF(AND(AK111&lt;&gt;"",AK111&gt;=INT(G111),D111="STORED",J111="MANUAL",AL111&lt;&gt;""),"NO","YES"),IF(AND(AR111="ROLLING",I111="CHANGED"),IF(AND(AK111&lt;&gt;"",AK111&gt;=INT(IF(H111&lt;&gt;"",H111,G111)),AL111&lt;&gt;""),"NO","YES"),"NO"))))</x:f>
        <x:v>NO</x:v>
      </x:c>
      <x:c r="O111" s="751"/>
      <x:c r="P111" s="752"/>
      <x:c r="Q111" s="752"/>
      <x:c r="R111" s="752"/>
      <x:c r="S111" s="752"/>
      <x:c r="T111" s="752"/>
      <x:c r="U111" s="752"/>
      <x:c r="V111" s="752"/>
      <x:c r="W111" s="752"/>
      <x:c r="X111" s="752"/>
      <x:c r="Y111" s="752"/>
      <x:c r="Z111" s="752"/>
      <x:c r="AA111" s="752"/>
      <x:c r="AB111" s="752"/>
      <x:c r="AC111" s="752"/>
      <x:c r="AD111" s="752"/>
      <x:c r="AE111" s="752"/>
      <x:c r="AF111" s="752"/>
      <x:c r="AG111" s="752"/>
      <x:c r="AH111" s="752"/>
      <x:c r="AI111" s="752"/>
      <x:c r="AJ111" s="752"/>
      <x:c r="AK111" s="759"/>
      <x:c r="AL111" s="752"/>
      <x:c r="AM111" s="752"/>
      <x:c r="AN111" s="752"/>
      <x:c r="AO111" s="752"/>
      <x:c r="AP111" s="752"/>
      <x:c r="AQ111" s="752"/>
      <x:c r="AR111" s="752"/>
      <x:c r="AS111" s="752"/>
    </x:row>
    <x:row r="112" ht="30" customHeight="1">
      <x:c r="A112" s="751"/>
      <x:c r="B112" s="751"/>
      <x:c r="C112" s="751"/>
      <x:c r="D112" s="751"/>
      <x:c r="E112" s="751" t="str">
        <x:f>IF(A112="","",IF(OR(AJ112="EXCLUDE",COUNTIF(AD112:AH112,"LOW")&gt;0),"EXCLUDE",IF(OR(AJ112&lt;&gt;"INCLUDE",F112&lt;&gt;"SUCCESS",D112&lt;&gt;"STORED",U112="",AP112="",AQ112="",AQ112="UNVERIFIED",AND(AP112="OFFICIAL_WEBSITE",Q112=""),AND(OR(AA112="Equipment manual / OEM instruction",AB112="Asset-specific normative"),OR(Z112&lt;&gt;"Manufacturer / supplier",AS112="",AC112=""))),"PENDING",IF(COUNTIF(AD112:AH112,"HIGH")=5,"INCLUDE","PENDING"))))</x:f>
      </x:c>
      <x:c r="F112" s="751"/>
      <x:c r="G112" s="755"/>
      <x:c r="H112" s="755"/>
      <x:c r="I112" s="751"/>
      <x:c r="J112" s="751"/>
      <x:c r="K112" s="757" t="str">
        <x:f>IF(A112="","",IF(J112="AUTO",H112,IF(J112="MANUAL",AK112,"")))</x:f>
      </x:c>
      <x:c r="L112" s="751"/>
      <x:c r="M112" s="751"/>
      <x:c r="N112" s="751" t="str">
        <x:f>IF(OR(AM112&lt;&gt;"CURRENT",E112="EXCLUDE"),"NO",IF(A112="","",IF(OR(F112="FAIL",F112="PAYWALL_BLOCKED"),IF(AND(AK112&lt;&gt;"",AK112&gt;=INT(G112),D112="STORED",J112="MANUAL",AL112&lt;&gt;""),"NO","YES"),IF(AND(AR112="ROLLING",I112="CHANGED"),IF(AND(AK112&lt;&gt;"",AK112&gt;=INT(IF(H112&lt;&gt;"",H112,G112)),AL112&lt;&gt;""),"NO","YES"),"NO"))))</x:f>
        <x:v>NO</x:v>
      </x:c>
      <x:c r="O112" s="751"/>
      <x:c r="P112" s="752"/>
      <x:c r="Q112" s="752"/>
      <x:c r="R112" s="752"/>
      <x:c r="S112" s="752"/>
      <x:c r="T112" s="752"/>
      <x:c r="U112" s="752"/>
      <x:c r="V112" s="752"/>
      <x:c r="W112" s="752"/>
      <x:c r="X112" s="752"/>
      <x:c r="Y112" s="752"/>
      <x:c r="Z112" s="752"/>
      <x:c r="AA112" s="752"/>
      <x:c r="AB112" s="752"/>
      <x:c r="AC112" s="752"/>
      <x:c r="AD112" s="752"/>
      <x:c r="AE112" s="752"/>
      <x:c r="AF112" s="752"/>
      <x:c r="AG112" s="752"/>
      <x:c r="AH112" s="752"/>
      <x:c r="AI112" s="752"/>
      <x:c r="AJ112" s="752"/>
      <x:c r="AK112" s="759"/>
      <x:c r="AL112" s="752"/>
      <x:c r="AM112" s="752"/>
      <x:c r="AN112" s="752"/>
      <x:c r="AO112" s="752"/>
      <x:c r="AP112" s="752"/>
      <x:c r="AQ112" s="752"/>
      <x:c r="AR112" s="752"/>
      <x:c r="AS112" s="752"/>
    </x:row>
    <x:row r="113" ht="30" customHeight="1">
      <x:c r="A113" s="751"/>
      <x:c r="B113" s="751"/>
      <x:c r="C113" s="751"/>
      <x:c r="D113" s="751"/>
      <x:c r="E113" s="751" t="str">
        <x:f>IF(A113="","",IF(OR(AJ113="EXCLUDE",COUNTIF(AD113:AH113,"LOW")&gt;0),"EXCLUDE",IF(OR(AJ113&lt;&gt;"INCLUDE",F113&lt;&gt;"SUCCESS",D113&lt;&gt;"STORED",U113="",AP113="",AQ113="",AQ113="UNVERIFIED",AND(AP113="OFFICIAL_WEBSITE",Q113=""),AND(OR(AA113="Equipment manual / OEM instruction",AB113="Asset-specific normative"),OR(Z113&lt;&gt;"Manufacturer / supplier",AS113="",AC113=""))),"PENDING",IF(COUNTIF(AD113:AH113,"HIGH")=5,"INCLUDE","PENDING"))))</x:f>
      </x:c>
      <x:c r="F113" s="751"/>
      <x:c r="G113" s="755"/>
      <x:c r="H113" s="755"/>
      <x:c r="I113" s="751"/>
      <x:c r="J113" s="751"/>
      <x:c r="K113" s="757" t="str">
        <x:f>IF(A113="","",IF(J113="AUTO",H113,IF(J113="MANUAL",AK113,"")))</x:f>
      </x:c>
      <x:c r="L113" s="751"/>
      <x:c r="M113" s="751"/>
      <x:c r="N113" s="751" t="str">
        <x:f>IF(OR(AM113&lt;&gt;"CURRENT",E113="EXCLUDE"),"NO",IF(A113="","",IF(OR(F113="FAIL",F113="PAYWALL_BLOCKED"),IF(AND(AK113&lt;&gt;"",AK113&gt;=INT(G113),D113="STORED",J113="MANUAL",AL113&lt;&gt;""),"NO","YES"),IF(AND(AR113="ROLLING",I113="CHANGED"),IF(AND(AK113&lt;&gt;"",AK113&gt;=INT(IF(H113&lt;&gt;"",H113,G113)),AL113&lt;&gt;""),"NO","YES"),"NO"))))</x:f>
        <x:v>NO</x:v>
      </x:c>
      <x:c r="O113" s="751"/>
      <x:c r="P113" s="752"/>
      <x:c r="Q113" s="752"/>
      <x:c r="R113" s="752"/>
      <x:c r="S113" s="752"/>
      <x:c r="T113" s="752"/>
      <x:c r="U113" s="752"/>
      <x:c r="V113" s="752"/>
      <x:c r="W113" s="752"/>
      <x:c r="X113" s="752"/>
      <x:c r="Y113" s="752"/>
      <x:c r="Z113" s="752"/>
      <x:c r="AA113" s="752"/>
      <x:c r="AB113" s="752"/>
      <x:c r="AC113" s="752"/>
      <x:c r="AD113" s="752"/>
      <x:c r="AE113" s="752"/>
      <x:c r="AF113" s="752"/>
      <x:c r="AG113" s="752"/>
      <x:c r="AH113" s="752"/>
      <x:c r="AI113" s="752"/>
      <x:c r="AJ113" s="752"/>
      <x:c r="AK113" s="759"/>
      <x:c r="AL113" s="752"/>
      <x:c r="AM113" s="752"/>
      <x:c r="AN113" s="752"/>
      <x:c r="AO113" s="752"/>
      <x:c r="AP113" s="752"/>
      <x:c r="AQ113" s="752"/>
      <x:c r="AR113" s="752"/>
      <x:c r="AS113" s="752"/>
    </x:row>
    <x:row r="114" ht="30" customHeight="1">
      <x:c r="A114" s="751"/>
      <x:c r="B114" s="751"/>
      <x:c r="C114" s="751"/>
      <x:c r="D114" s="751"/>
      <x:c r="E114" s="751" t="str">
        <x:f>IF(A114="","",IF(OR(AJ114="EXCLUDE",COUNTIF(AD114:AH114,"LOW")&gt;0),"EXCLUDE",IF(OR(AJ114&lt;&gt;"INCLUDE",F114&lt;&gt;"SUCCESS",D114&lt;&gt;"STORED",U114="",AP114="",AQ114="",AQ114="UNVERIFIED",AND(AP114="OFFICIAL_WEBSITE",Q114=""),AND(OR(AA114="Equipment manual / OEM instruction",AB114="Asset-specific normative"),OR(Z114&lt;&gt;"Manufacturer / supplier",AS114="",AC114=""))),"PENDING",IF(COUNTIF(AD114:AH114,"HIGH")=5,"INCLUDE","PENDING"))))</x:f>
      </x:c>
      <x:c r="F114" s="751"/>
      <x:c r="G114" s="755"/>
      <x:c r="H114" s="755"/>
      <x:c r="I114" s="751"/>
      <x:c r="J114" s="751"/>
      <x:c r="K114" s="757" t="str">
        <x:f>IF(A114="","",IF(J114="AUTO",H114,IF(J114="MANUAL",AK114,"")))</x:f>
      </x:c>
      <x:c r="L114" s="751"/>
      <x:c r="M114" s="751"/>
      <x:c r="N114" s="751" t="str">
        <x:f>IF(OR(AM114&lt;&gt;"CURRENT",E114="EXCLUDE"),"NO",IF(A114="","",IF(OR(F114="FAIL",F114="PAYWALL_BLOCKED"),IF(AND(AK114&lt;&gt;"",AK114&gt;=INT(G114),D114="STORED",J114="MANUAL",AL114&lt;&gt;""),"NO","YES"),IF(AND(AR114="ROLLING",I114="CHANGED"),IF(AND(AK114&lt;&gt;"",AK114&gt;=INT(IF(H114&lt;&gt;"",H114,G114)),AL114&lt;&gt;""),"NO","YES"),"NO"))))</x:f>
        <x:v>NO</x:v>
      </x:c>
      <x:c r="O114" s="751"/>
      <x:c r="P114" s="752"/>
      <x:c r="Q114" s="752"/>
      <x:c r="R114" s="752"/>
      <x:c r="S114" s="752"/>
      <x:c r="T114" s="752"/>
      <x:c r="U114" s="752"/>
      <x:c r="V114" s="752"/>
      <x:c r="W114" s="752"/>
      <x:c r="X114" s="752"/>
      <x:c r="Y114" s="752"/>
      <x:c r="Z114" s="752"/>
      <x:c r="AA114" s="752"/>
      <x:c r="AB114" s="752"/>
      <x:c r="AC114" s="752"/>
      <x:c r="AD114" s="752"/>
      <x:c r="AE114" s="752"/>
      <x:c r="AF114" s="752"/>
      <x:c r="AG114" s="752"/>
      <x:c r="AH114" s="752"/>
      <x:c r="AI114" s="752"/>
      <x:c r="AJ114" s="752"/>
      <x:c r="AK114" s="759"/>
      <x:c r="AL114" s="752"/>
      <x:c r="AM114" s="752"/>
      <x:c r="AN114" s="752"/>
      <x:c r="AO114" s="752"/>
      <x:c r="AP114" s="752"/>
      <x:c r="AQ114" s="752"/>
      <x:c r="AR114" s="752"/>
      <x:c r="AS114" s="752"/>
    </x:row>
    <x:row r="115" ht="30" customHeight="1">
      <x:c r="A115" s="751"/>
      <x:c r="B115" s="751"/>
      <x:c r="C115" s="751"/>
      <x:c r="D115" s="751"/>
      <x:c r="E115" s="751" t="str">
        <x:f>IF(A115="","",IF(OR(AJ115="EXCLUDE",COUNTIF(AD115:AH115,"LOW")&gt;0),"EXCLUDE",IF(OR(AJ115&lt;&gt;"INCLUDE",F115&lt;&gt;"SUCCESS",D115&lt;&gt;"STORED",U115="",AP115="",AQ115="",AQ115="UNVERIFIED",AND(AP115="OFFICIAL_WEBSITE",Q115=""),AND(OR(AA115="Equipment manual / OEM instruction",AB115="Asset-specific normative"),OR(Z115&lt;&gt;"Manufacturer / supplier",AS115="",AC115=""))),"PENDING",IF(COUNTIF(AD115:AH115,"HIGH")=5,"INCLUDE","PENDING"))))</x:f>
      </x:c>
      <x:c r="F115" s="751"/>
      <x:c r="G115" s="755"/>
      <x:c r="H115" s="755"/>
      <x:c r="I115" s="751"/>
      <x:c r="J115" s="751"/>
      <x:c r="K115" s="757" t="str">
        <x:f>IF(A115="","",IF(J115="AUTO",H115,IF(J115="MANUAL",AK115,"")))</x:f>
      </x:c>
      <x:c r="L115" s="751"/>
      <x:c r="M115" s="751"/>
      <x:c r="N115" s="751" t="str">
        <x:f>IF(OR(AM115&lt;&gt;"CURRENT",E115="EXCLUDE"),"NO",IF(A115="","",IF(OR(F115="FAIL",F115="PAYWALL_BLOCKED"),IF(AND(AK115&lt;&gt;"",AK115&gt;=INT(G115),D115="STORED",J115="MANUAL",AL115&lt;&gt;""),"NO","YES"),IF(AND(AR115="ROLLING",I115="CHANGED"),IF(AND(AK115&lt;&gt;"",AK115&gt;=INT(IF(H115&lt;&gt;"",H115,G115)),AL115&lt;&gt;""),"NO","YES"),"NO"))))</x:f>
        <x:v>NO</x:v>
      </x:c>
      <x:c r="O115" s="751"/>
      <x:c r="P115" s="752"/>
      <x:c r="Q115" s="752"/>
      <x:c r="R115" s="752"/>
      <x:c r="S115" s="752"/>
      <x:c r="T115" s="752"/>
      <x:c r="U115" s="752"/>
      <x:c r="V115" s="752"/>
      <x:c r="W115" s="752"/>
      <x:c r="X115" s="752"/>
      <x:c r="Y115" s="752"/>
      <x:c r="Z115" s="752"/>
      <x:c r="AA115" s="752"/>
      <x:c r="AB115" s="752"/>
      <x:c r="AC115" s="752"/>
      <x:c r="AD115" s="752"/>
      <x:c r="AE115" s="752"/>
      <x:c r="AF115" s="752"/>
      <x:c r="AG115" s="752"/>
      <x:c r="AH115" s="752"/>
      <x:c r="AI115" s="752"/>
      <x:c r="AJ115" s="752"/>
      <x:c r="AK115" s="759"/>
      <x:c r="AL115" s="752"/>
      <x:c r="AM115" s="752"/>
      <x:c r="AN115" s="752"/>
      <x:c r="AO115" s="752"/>
      <x:c r="AP115" s="752"/>
      <x:c r="AQ115" s="752"/>
      <x:c r="AR115" s="752"/>
      <x:c r="AS115" s="752"/>
    </x:row>
    <x:row r="116" ht="30" customHeight="1">
      <x:c r="A116" s="751"/>
      <x:c r="B116" s="751"/>
      <x:c r="C116" s="751"/>
      <x:c r="D116" s="751"/>
      <x:c r="E116" s="751" t="str">
        <x:f>IF(A116="","",IF(OR(AJ116="EXCLUDE",COUNTIF(AD116:AH116,"LOW")&gt;0),"EXCLUDE",IF(OR(AJ116&lt;&gt;"INCLUDE",F116&lt;&gt;"SUCCESS",D116&lt;&gt;"STORED",U116="",AP116="",AQ116="",AQ116="UNVERIFIED",AND(AP116="OFFICIAL_WEBSITE",Q116=""),AND(OR(AA116="Equipment manual / OEM instruction",AB116="Asset-specific normative"),OR(Z116&lt;&gt;"Manufacturer / supplier",AS116="",AC116=""))),"PENDING",IF(COUNTIF(AD116:AH116,"HIGH")=5,"INCLUDE","PENDING"))))</x:f>
      </x:c>
      <x:c r="F116" s="751"/>
      <x:c r="G116" s="755"/>
      <x:c r="H116" s="755"/>
      <x:c r="I116" s="751"/>
      <x:c r="J116" s="751"/>
      <x:c r="K116" s="757" t="str">
        <x:f>IF(A116="","",IF(J116="AUTO",H116,IF(J116="MANUAL",AK116,"")))</x:f>
      </x:c>
      <x:c r="L116" s="751"/>
      <x:c r="M116" s="751"/>
      <x:c r="N116" s="751" t="str">
        <x:f>IF(OR(AM116&lt;&gt;"CURRENT",E116="EXCLUDE"),"NO",IF(A116="","",IF(OR(F116="FAIL",F116="PAYWALL_BLOCKED"),IF(AND(AK116&lt;&gt;"",AK116&gt;=INT(G116),D116="STORED",J116="MANUAL",AL116&lt;&gt;""),"NO","YES"),IF(AND(AR116="ROLLING",I116="CHANGED"),IF(AND(AK116&lt;&gt;"",AK116&gt;=INT(IF(H116&lt;&gt;"",H116,G116)),AL116&lt;&gt;""),"NO","YES"),"NO"))))</x:f>
        <x:v>NO</x:v>
      </x:c>
      <x:c r="O116" s="751"/>
      <x:c r="P116" s="752"/>
      <x:c r="Q116" s="752"/>
      <x:c r="R116" s="752"/>
      <x:c r="S116" s="752"/>
      <x:c r="T116" s="752"/>
      <x:c r="U116" s="752"/>
      <x:c r="V116" s="752"/>
      <x:c r="W116" s="752"/>
      <x:c r="X116" s="752"/>
      <x:c r="Y116" s="752"/>
      <x:c r="Z116" s="752"/>
      <x:c r="AA116" s="752"/>
      <x:c r="AB116" s="752"/>
      <x:c r="AC116" s="752"/>
      <x:c r="AD116" s="752"/>
      <x:c r="AE116" s="752"/>
      <x:c r="AF116" s="752"/>
      <x:c r="AG116" s="752"/>
      <x:c r="AH116" s="752"/>
      <x:c r="AI116" s="752"/>
      <x:c r="AJ116" s="752"/>
      <x:c r="AK116" s="759"/>
      <x:c r="AL116" s="752"/>
      <x:c r="AM116" s="752"/>
      <x:c r="AN116" s="752"/>
      <x:c r="AO116" s="752"/>
      <x:c r="AP116" s="752"/>
      <x:c r="AQ116" s="752"/>
      <x:c r="AR116" s="752"/>
      <x:c r="AS116" s="752"/>
    </x:row>
    <x:row r="117" ht="30" customHeight="1">
      <x:c r="A117" s="751"/>
      <x:c r="B117" s="751"/>
      <x:c r="C117" s="751"/>
      <x:c r="D117" s="751"/>
      <x:c r="E117" s="751" t="str">
        <x:f>IF(A117="","",IF(OR(AJ117="EXCLUDE",COUNTIF(AD117:AH117,"LOW")&gt;0),"EXCLUDE",IF(OR(AJ117&lt;&gt;"INCLUDE",F117&lt;&gt;"SUCCESS",D117&lt;&gt;"STORED",U117="",AP117="",AQ117="",AQ117="UNVERIFIED",AND(AP117="OFFICIAL_WEBSITE",Q117=""),AND(OR(AA117="Equipment manual / OEM instruction",AB117="Asset-specific normative"),OR(Z117&lt;&gt;"Manufacturer / supplier",AS117="",AC117=""))),"PENDING",IF(COUNTIF(AD117:AH117,"HIGH")=5,"INCLUDE","PENDING"))))</x:f>
      </x:c>
      <x:c r="F117" s="751"/>
      <x:c r="G117" s="755"/>
      <x:c r="H117" s="755"/>
      <x:c r="I117" s="751"/>
      <x:c r="J117" s="751"/>
      <x:c r="K117" s="757" t="str">
        <x:f>IF(A117="","",IF(J117="AUTO",H117,IF(J117="MANUAL",AK117,"")))</x:f>
      </x:c>
      <x:c r="L117" s="751"/>
      <x:c r="M117" s="751"/>
      <x:c r="N117" s="751" t="str">
        <x:f>IF(OR(AM117&lt;&gt;"CURRENT",E117="EXCLUDE"),"NO",IF(A117="","",IF(OR(F117="FAIL",F117="PAYWALL_BLOCKED"),IF(AND(AK117&lt;&gt;"",AK117&gt;=INT(G117),D117="STORED",J117="MANUAL",AL117&lt;&gt;""),"NO","YES"),IF(AND(AR117="ROLLING",I117="CHANGED"),IF(AND(AK117&lt;&gt;"",AK117&gt;=INT(IF(H117&lt;&gt;"",H117,G117)),AL117&lt;&gt;""),"NO","YES"),"NO"))))</x:f>
        <x:v>NO</x:v>
      </x:c>
      <x:c r="O117" s="751"/>
      <x:c r="P117" s="752"/>
      <x:c r="Q117" s="752"/>
      <x:c r="R117" s="752"/>
      <x:c r="S117" s="752"/>
      <x:c r="T117" s="752"/>
      <x:c r="U117" s="752"/>
      <x:c r="V117" s="752"/>
      <x:c r="W117" s="752"/>
      <x:c r="X117" s="752"/>
      <x:c r="Y117" s="752"/>
      <x:c r="Z117" s="752"/>
      <x:c r="AA117" s="752"/>
      <x:c r="AB117" s="752"/>
      <x:c r="AC117" s="752"/>
      <x:c r="AD117" s="752"/>
      <x:c r="AE117" s="752"/>
      <x:c r="AF117" s="752"/>
      <x:c r="AG117" s="752"/>
      <x:c r="AH117" s="752"/>
      <x:c r="AI117" s="752"/>
      <x:c r="AJ117" s="752"/>
      <x:c r="AK117" s="759"/>
      <x:c r="AL117" s="752"/>
      <x:c r="AM117" s="752"/>
      <x:c r="AN117" s="752"/>
      <x:c r="AO117" s="752"/>
      <x:c r="AP117" s="752"/>
      <x:c r="AQ117" s="752"/>
      <x:c r="AR117" s="752"/>
      <x:c r="AS117" s="752"/>
    </x:row>
    <x:row r="118" ht="30" customHeight="1">
      <x:c r="A118" s="751"/>
      <x:c r="B118" s="751"/>
      <x:c r="C118" s="751"/>
      <x:c r="D118" s="751"/>
      <x:c r="E118" s="751" t="str">
        <x:f>IF(A118="","",IF(OR(AJ118="EXCLUDE",COUNTIF(AD118:AH118,"LOW")&gt;0),"EXCLUDE",IF(OR(AJ118&lt;&gt;"INCLUDE",F118&lt;&gt;"SUCCESS",D118&lt;&gt;"STORED",U118="",AP118="",AQ118="",AQ118="UNVERIFIED",AND(AP118="OFFICIAL_WEBSITE",Q118=""),AND(OR(AA118="Equipment manual / OEM instruction",AB118="Asset-specific normative"),OR(Z118&lt;&gt;"Manufacturer / supplier",AS118="",AC118=""))),"PENDING",IF(COUNTIF(AD118:AH118,"HIGH")=5,"INCLUDE","PENDING"))))</x:f>
      </x:c>
      <x:c r="F118" s="751"/>
      <x:c r="G118" s="755"/>
      <x:c r="H118" s="755"/>
      <x:c r="I118" s="751"/>
      <x:c r="J118" s="751"/>
      <x:c r="K118" s="757" t="str">
        <x:f>IF(A118="","",IF(J118="AUTO",H118,IF(J118="MANUAL",AK118,"")))</x:f>
      </x:c>
      <x:c r="L118" s="751"/>
      <x:c r="M118" s="751"/>
      <x:c r="N118" s="751" t="str">
        <x:f>IF(OR(AM118&lt;&gt;"CURRENT",E118="EXCLUDE"),"NO",IF(A118="","",IF(OR(F118="FAIL",F118="PAYWALL_BLOCKED"),IF(AND(AK118&lt;&gt;"",AK118&gt;=INT(G118),D118="STORED",J118="MANUAL",AL118&lt;&gt;""),"NO","YES"),IF(AND(AR118="ROLLING",I118="CHANGED"),IF(AND(AK118&lt;&gt;"",AK118&gt;=INT(IF(H118&lt;&gt;"",H118,G118)),AL118&lt;&gt;""),"NO","YES"),"NO"))))</x:f>
        <x:v>NO</x:v>
      </x:c>
      <x:c r="O118" s="751"/>
      <x:c r="P118" s="752"/>
      <x:c r="Q118" s="752"/>
      <x:c r="R118" s="752"/>
      <x:c r="S118" s="752"/>
      <x:c r="T118" s="752"/>
      <x:c r="U118" s="752"/>
      <x:c r="V118" s="752"/>
      <x:c r="W118" s="752"/>
      <x:c r="X118" s="752"/>
      <x:c r="Y118" s="752"/>
      <x:c r="Z118" s="752"/>
      <x:c r="AA118" s="752"/>
      <x:c r="AB118" s="752"/>
      <x:c r="AC118" s="752"/>
      <x:c r="AD118" s="752"/>
      <x:c r="AE118" s="752"/>
      <x:c r="AF118" s="752"/>
      <x:c r="AG118" s="752"/>
      <x:c r="AH118" s="752"/>
      <x:c r="AI118" s="752"/>
      <x:c r="AJ118" s="752"/>
      <x:c r="AK118" s="759"/>
      <x:c r="AL118" s="752"/>
      <x:c r="AM118" s="752"/>
      <x:c r="AN118" s="752"/>
      <x:c r="AO118" s="752"/>
      <x:c r="AP118" s="752"/>
      <x:c r="AQ118" s="752"/>
      <x:c r="AR118" s="752"/>
      <x:c r="AS118" s="752"/>
    </x:row>
    <x:row r="119" ht="30" customHeight="1">
      <x:c r="A119" s="751"/>
      <x:c r="B119" s="751"/>
      <x:c r="C119" s="751"/>
      <x:c r="D119" s="751"/>
      <x:c r="E119" s="751" t="str">
        <x:f>IF(A119="","",IF(OR(AJ119="EXCLUDE",COUNTIF(AD119:AH119,"LOW")&gt;0),"EXCLUDE",IF(OR(AJ119&lt;&gt;"INCLUDE",F119&lt;&gt;"SUCCESS",D119&lt;&gt;"STORED",U119="",AP119="",AQ119="",AQ119="UNVERIFIED",AND(AP119="OFFICIAL_WEBSITE",Q119=""),AND(OR(AA119="Equipment manual / OEM instruction",AB119="Asset-specific normative"),OR(Z119&lt;&gt;"Manufacturer / supplier",AS119="",AC119=""))),"PENDING",IF(COUNTIF(AD119:AH119,"HIGH")=5,"INCLUDE","PENDING"))))</x:f>
      </x:c>
      <x:c r="F119" s="751"/>
      <x:c r="G119" s="755"/>
      <x:c r="H119" s="755"/>
      <x:c r="I119" s="751"/>
      <x:c r="J119" s="751"/>
      <x:c r="K119" s="757" t="str">
        <x:f>IF(A119="","",IF(J119="AUTO",H119,IF(J119="MANUAL",AK119,"")))</x:f>
      </x:c>
      <x:c r="L119" s="751"/>
      <x:c r="M119" s="751"/>
      <x:c r="N119" s="751" t="str">
        <x:f>IF(OR(AM119&lt;&gt;"CURRENT",E119="EXCLUDE"),"NO",IF(A119="","",IF(OR(F119="FAIL",F119="PAYWALL_BLOCKED"),IF(AND(AK119&lt;&gt;"",AK119&gt;=INT(G119),D119="STORED",J119="MANUAL",AL119&lt;&gt;""),"NO","YES"),IF(AND(AR119="ROLLING",I119="CHANGED"),IF(AND(AK119&lt;&gt;"",AK119&gt;=INT(IF(H119&lt;&gt;"",H119,G119)),AL119&lt;&gt;""),"NO","YES"),"NO"))))</x:f>
        <x:v>NO</x:v>
      </x:c>
      <x:c r="O119" s="751"/>
      <x:c r="P119" s="752"/>
      <x:c r="Q119" s="752"/>
      <x:c r="R119" s="752"/>
      <x:c r="S119" s="752"/>
      <x:c r="T119" s="752"/>
      <x:c r="U119" s="752"/>
      <x:c r="V119" s="752"/>
      <x:c r="W119" s="752"/>
      <x:c r="X119" s="752"/>
      <x:c r="Y119" s="752"/>
      <x:c r="Z119" s="752"/>
      <x:c r="AA119" s="752"/>
      <x:c r="AB119" s="752"/>
      <x:c r="AC119" s="752"/>
      <x:c r="AD119" s="752"/>
      <x:c r="AE119" s="752"/>
      <x:c r="AF119" s="752"/>
      <x:c r="AG119" s="752"/>
      <x:c r="AH119" s="752"/>
      <x:c r="AI119" s="752"/>
      <x:c r="AJ119" s="752"/>
      <x:c r="AK119" s="759"/>
      <x:c r="AL119" s="752"/>
      <x:c r="AM119" s="752"/>
      <x:c r="AN119" s="752"/>
      <x:c r="AO119" s="752"/>
      <x:c r="AP119" s="752"/>
      <x:c r="AQ119" s="752"/>
      <x:c r="AR119" s="752"/>
      <x:c r="AS119" s="752"/>
    </x:row>
    <x:row r="120" ht="30" customHeight="1">
      <x:c r="A120" s="751"/>
      <x:c r="B120" s="751"/>
      <x:c r="C120" s="751"/>
      <x:c r="D120" s="751"/>
      <x:c r="E120" s="751" t="str">
        <x:f>IF(A120="","",IF(OR(AJ120="EXCLUDE",COUNTIF(AD120:AH120,"LOW")&gt;0),"EXCLUDE",IF(OR(AJ120&lt;&gt;"INCLUDE",F120&lt;&gt;"SUCCESS",D120&lt;&gt;"STORED",U120="",AP120="",AQ120="",AQ120="UNVERIFIED",AND(AP120="OFFICIAL_WEBSITE",Q120=""),AND(OR(AA120="Equipment manual / OEM instruction",AB120="Asset-specific normative"),OR(Z120&lt;&gt;"Manufacturer / supplier",AS120="",AC120=""))),"PENDING",IF(COUNTIF(AD120:AH120,"HIGH")=5,"INCLUDE","PENDING"))))</x:f>
      </x:c>
      <x:c r="F120" s="751"/>
      <x:c r="G120" s="755"/>
      <x:c r="H120" s="755"/>
      <x:c r="I120" s="751"/>
      <x:c r="J120" s="751"/>
      <x:c r="K120" s="757" t="str">
        <x:f>IF(A120="","",IF(J120="AUTO",H120,IF(J120="MANUAL",AK120,"")))</x:f>
      </x:c>
      <x:c r="L120" s="751"/>
      <x:c r="M120" s="751"/>
      <x:c r="N120" s="751" t="str">
        <x:f>IF(OR(AM120&lt;&gt;"CURRENT",E120="EXCLUDE"),"NO",IF(A120="","",IF(OR(F120="FAIL",F120="PAYWALL_BLOCKED"),IF(AND(AK120&lt;&gt;"",AK120&gt;=INT(G120),D120="STORED",J120="MANUAL",AL120&lt;&gt;""),"NO","YES"),IF(AND(AR120="ROLLING",I120="CHANGED"),IF(AND(AK120&lt;&gt;"",AK120&gt;=INT(IF(H120&lt;&gt;"",H120,G120)),AL120&lt;&gt;""),"NO","YES"),"NO"))))</x:f>
        <x:v>NO</x:v>
      </x:c>
      <x:c r="O120" s="751"/>
      <x:c r="P120" s="752"/>
      <x:c r="Q120" s="752"/>
      <x:c r="R120" s="752"/>
      <x:c r="S120" s="752"/>
      <x:c r="T120" s="752"/>
      <x:c r="U120" s="752"/>
      <x:c r="V120" s="752"/>
      <x:c r="W120" s="752"/>
      <x:c r="X120" s="752"/>
      <x:c r="Y120" s="752"/>
      <x:c r="Z120" s="752"/>
      <x:c r="AA120" s="752"/>
      <x:c r="AB120" s="752"/>
      <x:c r="AC120" s="752"/>
      <x:c r="AD120" s="752"/>
      <x:c r="AE120" s="752"/>
      <x:c r="AF120" s="752"/>
      <x:c r="AG120" s="752"/>
      <x:c r="AH120" s="752"/>
      <x:c r="AI120" s="752"/>
      <x:c r="AJ120" s="752"/>
      <x:c r="AK120" s="759"/>
      <x:c r="AL120" s="752"/>
      <x:c r="AM120" s="752"/>
      <x:c r="AN120" s="752"/>
      <x:c r="AO120" s="752"/>
      <x:c r="AP120" s="752"/>
      <x:c r="AQ120" s="752"/>
      <x:c r="AR120" s="752"/>
      <x:c r="AS120" s="752"/>
    </x:row>
    <x:row r="121" ht="30" customHeight="1">
      <x:c r="A121" s="751"/>
      <x:c r="B121" s="751"/>
      <x:c r="C121" s="751"/>
      <x:c r="D121" s="751"/>
      <x:c r="E121" s="751" t="str">
        <x:f>IF(A121="","",IF(OR(AJ121="EXCLUDE",COUNTIF(AD121:AH121,"LOW")&gt;0),"EXCLUDE",IF(OR(AJ121&lt;&gt;"INCLUDE",F121&lt;&gt;"SUCCESS",D121&lt;&gt;"STORED",U121="",AP121="",AQ121="",AQ121="UNVERIFIED",AND(AP121="OFFICIAL_WEBSITE",Q121=""),AND(OR(AA121="Equipment manual / OEM instruction",AB121="Asset-specific normative"),OR(Z121&lt;&gt;"Manufacturer / supplier",AS121="",AC121=""))),"PENDING",IF(COUNTIF(AD121:AH121,"HIGH")=5,"INCLUDE","PENDING"))))</x:f>
      </x:c>
      <x:c r="F121" s="751"/>
      <x:c r="G121" s="755"/>
      <x:c r="H121" s="755"/>
      <x:c r="I121" s="751"/>
      <x:c r="J121" s="751"/>
      <x:c r="K121" s="757" t="str">
        <x:f>IF(A121="","",IF(J121="AUTO",H121,IF(J121="MANUAL",AK121,"")))</x:f>
      </x:c>
      <x:c r="L121" s="751"/>
      <x:c r="M121" s="751"/>
      <x:c r="N121" s="751" t="str">
        <x:f>IF(OR(AM121&lt;&gt;"CURRENT",E121="EXCLUDE"),"NO",IF(A121="","",IF(OR(F121="FAIL",F121="PAYWALL_BLOCKED"),IF(AND(AK121&lt;&gt;"",AK121&gt;=INT(G121),D121="STORED",J121="MANUAL",AL121&lt;&gt;""),"NO","YES"),IF(AND(AR121="ROLLING",I121="CHANGED"),IF(AND(AK121&lt;&gt;"",AK121&gt;=INT(IF(H121&lt;&gt;"",H121,G121)),AL121&lt;&gt;""),"NO","YES"),"NO"))))</x:f>
        <x:v>NO</x:v>
      </x:c>
      <x:c r="O121" s="751"/>
      <x:c r="P121" s="752"/>
      <x:c r="Q121" s="752"/>
      <x:c r="R121" s="752"/>
      <x:c r="S121" s="752"/>
      <x:c r="T121" s="752"/>
      <x:c r="U121" s="752"/>
      <x:c r="V121" s="752"/>
      <x:c r="W121" s="752"/>
      <x:c r="X121" s="752"/>
      <x:c r="Y121" s="752"/>
      <x:c r="Z121" s="752"/>
      <x:c r="AA121" s="752"/>
      <x:c r="AB121" s="752"/>
      <x:c r="AC121" s="752"/>
      <x:c r="AD121" s="752"/>
      <x:c r="AE121" s="752"/>
      <x:c r="AF121" s="752"/>
      <x:c r="AG121" s="752"/>
      <x:c r="AH121" s="752"/>
      <x:c r="AI121" s="752"/>
      <x:c r="AJ121" s="752"/>
      <x:c r="AK121" s="759"/>
      <x:c r="AL121" s="752"/>
      <x:c r="AM121" s="752"/>
      <x:c r="AN121" s="752"/>
      <x:c r="AO121" s="752"/>
      <x:c r="AP121" s="752"/>
      <x:c r="AQ121" s="752"/>
      <x:c r="AR121" s="752"/>
      <x:c r="AS121" s="752"/>
    </x:row>
    <x:row r="122" ht="30" customHeight="1">
      <x:c r="A122" s="751"/>
      <x:c r="B122" s="751"/>
      <x:c r="C122" s="751"/>
      <x:c r="D122" s="751"/>
      <x:c r="E122" s="751" t="str">
        <x:f>IF(A122="","",IF(OR(AJ122="EXCLUDE",COUNTIF(AD122:AH122,"LOW")&gt;0),"EXCLUDE",IF(OR(AJ122&lt;&gt;"INCLUDE",F122&lt;&gt;"SUCCESS",D122&lt;&gt;"STORED",U122="",AP122="",AQ122="",AQ122="UNVERIFIED",AND(AP122="OFFICIAL_WEBSITE",Q122=""),AND(OR(AA122="Equipment manual / OEM instruction",AB122="Asset-specific normative"),OR(Z122&lt;&gt;"Manufacturer / supplier",AS122="",AC122=""))),"PENDING",IF(COUNTIF(AD122:AH122,"HIGH")=5,"INCLUDE","PENDING"))))</x:f>
      </x:c>
      <x:c r="F122" s="751"/>
      <x:c r="G122" s="755"/>
      <x:c r="H122" s="755"/>
      <x:c r="I122" s="751"/>
      <x:c r="J122" s="751"/>
      <x:c r="K122" s="757" t="str">
        <x:f>IF(A122="","",IF(J122="AUTO",H122,IF(J122="MANUAL",AK122,"")))</x:f>
      </x:c>
      <x:c r="L122" s="751"/>
      <x:c r="M122" s="751"/>
      <x:c r="N122" s="751" t="str">
        <x:f>IF(OR(AM122&lt;&gt;"CURRENT",E122="EXCLUDE"),"NO",IF(A122="","",IF(OR(F122="FAIL",F122="PAYWALL_BLOCKED"),IF(AND(AK122&lt;&gt;"",AK122&gt;=INT(G122),D122="STORED",J122="MANUAL",AL122&lt;&gt;""),"NO","YES"),IF(AND(AR122="ROLLING",I122="CHANGED"),IF(AND(AK122&lt;&gt;"",AK122&gt;=INT(IF(H122&lt;&gt;"",H122,G122)),AL122&lt;&gt;""),"NO","YES"),"NO"))))</x:f>
        <x:v>NO</x:v>
      </x:c>
      <x:c r="O122" s="751"/>
      <x:c r="P122" s="752"/>
      <x:c r="Q122" s="752"/>
      <x:c r="R122" s="752"/>
      <x:c r="S122" s="752"/>
      <x:c r="T122" s="752"/>
      <x:c r="U122" s="752"/>
      <x:c r="V122" s="752"/>
      <x:c r="W122" s="752"/>
      <x:c r="X122" s="752"/>
      <x:c r="Y122" s="752"/>
      <x:c r="Z122" s="752"/>
      <x:c r="AA122" s="752"/>
      <x:c r="AB122" s="752"/>
      <x:c r="AC122" s="752"/>
      <x:c r="AD122" s="752"/>
      <x:c r="AE122" s="752"/>
      <x:c r="AF122" s="752"/>
      <x:c r="AG122" s="752"/>
      <x:c r="AH122" s="752"/>
      <x:c r="AI122" s="752"/>
      <x:c r="AJ122" s="752"/>
      <x:c r="AK122" s="759"/>
      <x:c r="AL122" s="752"/>
      <x:c r="AM122" s="752"/>
      <x:c r="AN122" s="752"/>
      <x:c r="AO122" s="752"/>
      <x:c r="AP122" s="752"/>
      <x:c r="AQ122" s="752"/>
      <x:c r="AR122" s="752"/>
      <x:c r="AS122" s="752"/>
    </x:row>
    <x:row r="123" ht="30" customHeight="1">
      <x:c r="A123" s="751"/>
      <x:c r="B123" s="751"/>
      <x:c r="C123" s="751"/>
      <x:c r="D123" s="751"/>
      <x:c r="E123" s="751" t="str">
        <x:f>IF(A123="","",IF(OR(AJ123="EXCLUDE",COUNTIF(AD123:AH123,"LOW")&gt;0),"EXCLUDE",IF(OR(AJ123&lt;&gt;"INCLUDE",F123&lt;&gt;"SUCCESS",D123&lt;&gt;"STORED",U123="",AP123="",AQ123="",AQ123="UNVERIFIED",AND(AP123="OFFICIAL_WEBSITE",Q123=""),AND(OR(AA123="Equipment manual / OEM instruction",AB123="Asset-specific normative"),OR(Z123&lt;&gt;"Manufacturer / supplier",AS123="",AC123=""))),"PENDING",IF(COUNTIF(AD123:AH123,"HIGH")=5,"INCLUDE","PENDING"))))</x:f>
      </x:c>
      <x:c r="F123" s="751"/>
      <x:c r="G123" s="755"/>
      <x:c r="H123" s="755"/>
      <x:c r="I123" s="751"/>
      <x:c r="J123" s="751"/>
      <x:c r="K123" s="757" t="str">
        <x:f>IF(A123="","",IF(J123="AUTO",H123,IF(J123="MANUAL",AK123,"")))</x:f>
      </x:c>
      <x:c r="L123" s="751"/>
      <x:c r="M123" s="751"/>
      <x:c r="N123" s="751" t="str">
        <x:f>IF(OR(AM123&lt;&gt;"CURRENT",E123="EXCLUDE"),"NO",IF(A123="","",IF(OR(F123="FAIL",F123="PAYWALL_BLOCKED"),IF(AND(AK123&lt;&gt;"",AK123&gt;=INT(G123),D123="STORED",J123="MANUAL",AL123&lt;&gt;""),"NO","YES"),IF(AND(AR123="ROLLING",I123="CHANGED"),IF(AND(AK123&lt;&gt;"",AK123&gt;=INT(IF(H123&lt;&gt;"",H123,G123)),AL123&lt;&gt;""),"NO","YES"),"NO"))))</x:f>
        <x:v>NO</x:v>
      </x:c>
      <x:c r="O123" s="751"/>
      <x:c r="P123" s="752"/>
      <x:c r="Q123" s="752"/>
      <x:c r="R123" s="752"/>
      <x:c r="S123" s="752"/>
      <x:c r="T123" s="752"/>
      <x:c r="U123" s="752"/>
      <x:c r="V123" s="752"/>
      <x:c r="W123" s="752"/>
      <x:c r="X123" s="752"/>
      <x:c r="Y123" s="752"/>
      <x:c r="Z123" s="752"/>
      <x:c r="AA123" s="752"/>
      <x:c r="AB123" s="752"/>
      <x:c r="AC123" s="752"/>
      <x:c r="AD123" s="752"/>
      <x:c r="AE123" s="752"/>
      <x:c r="AF123" s="752"/>
      <x:c r="AG123" s="752"/>
      <x:c r="AH123" s="752"/>
      <x:c r="AI123" s="752"/>
      <x:c r="AJ123" s="752"/>
      <x:c r="AK123" s="759"/>
      <x:c r="AL123" s="752"/>
      <x:c r="AM123" s="752"/>
      <x:c r="AN123" s="752"/>
      <x:c r="AO123" s="752"/>
      <x:c r="AP123" s="752"/>
      <x:c r="AQ123" s="752"/>
      <x:c r="AR123" s="752"/>
      <x:c r="AS123" s="752"/>
    </x:row>
    <x:row r="124" ht="30" customHeight="1">
      <x:c r="A124" s="751"/>
      <x:c r="B124" s="751"/>
      <x:c r="C124" s="751"/>
      <x:c r="D124" s="751"/>
      <x:c r="E124" s="751" t="str">
        <x:f>IF(A124="","",IF(OR(AJ124="EXCLUDE",COUNTIF(AD124:AH124,"LOW")&gt;0),"EXCLUDE",IF(OR(AJ124&lt;&gt;"INCLUDE",F124&lt;&gt;"SUCCESS",D124&lt;&gt;"STORED",U124="",AP124="",AQ124="",AQ124="UNVERIFIED",AND(AP124="OFFICIAL_WEBSITE",Q124=""),AND(OR(AA124="Equipment manual / OEM instruction",AB124="Asset-specific normative"),OR(Z124&lt;&gt;"Manufacturer / supplier",AS124="",AC124=""))),"PENDING",IF(COUNTIF(AD124:AH124,"HIGH")=5,"INCLUDE","PENDING"))))</x:f>
      </x:c>
      <x:c r="F124" s="751"/>
      <x:c r="G124" s="755"/>
      <x:c r="H124" s="755"/>
      <x:c r="I124" s="751"/>
      <x:c r="J124" s="751"/>
      <x:c r="K124" s="757" t="str">
        <x:f>IF(A124="","",IF(J124="AUTO",H124,IF(J124="MANUAL",AK124,"")))</x:f>
      </x:c>
      <x:c r="L124" s="751"/>
      <x:c r="M124" s="751"/>
      <x:c r="N124" s="751" t="str">
        <x:f>IF(OR(AM124&lt;&gt;"CURRENT",E124="EXCLUDE"),"NO",IF(A124="","",IF(OR(F124="FAIL",F124="PAYWALL_BLOCKED"),IF(AND(AK124&lt;&gt;"",AK124&gt;=INT(G124),D124="STORED",J124="MANUAL",AL124&lt;&gt;""),"NO","YES"),IF(AND(AR124="ROLLING",I124="CHANGED"),IF(AND(AK124&lt;&gt;"",AK124&gt;=INT(IF(H124&lt;&gt;"",H124,G124)),AL124&lt;&gt;""),"NO","YES"),"NO"))))</x:f>
        <x:v>NO</x:v>
      </x:c>
      <x:c r="O124" s="751"/>
      <x:c r="P124" s="752"/>
      <x:c r="Q124" s="752"/>
      <x:c r="R124" s="752"/>
      <x:c r="S124" s="752"/>
      <x:c r="T124" s="752"/>
      <x:c r="U124" s="752"/>
      <x:c r="V124" s="752"/>
      <x:c r="W124" s="752"/>
      <x:c r="X124" s="752"/>
      <x:c r="Y124" s="752"/>
      <x:c r="Z124" s="752"/>
      <x:c r="AA124" s="752"/>
      <x:c r="AB124" s="752"/>
      <x:c r="AC124" s="752"/>
      <x:c r="AD124" s="752"/>
      <x:c r="AE124" s="752"/>
      <x:c r="AF124" s="752"/>
      <x:c r="AG124" s="752"/>
      <x:c r="AH124" s="752"/>
      <x:c r="AI124" s="752"/>
      <x:c r="AJ124" s="752"/>
      <x:c r="AK124" s="759"/>
      <x:c r="AL124" s="752"/>
      <x:c r="AM124" s="752"/>
      <x:c r="AN124" s="752"/>
      <x:c r="AO124" s="752"/>
      <x:c r="AP124" s="752"/>
      <x:c r="AQ124" s="752"/>
      <x:c r="AR124" s="752"/>
      <x:c r="AS124" s="752"/>
    </x:row>
    <x:row r="125" ht="30" customHeight="1">
      <x:c r="A125" s="751"/>
      <x:c r="B125" s="751"/>
      <x:c r="C125" s="751"/>
      <x:c r="D125" s="751"/>
      <x:c r="E125" s="751" t="str">
        <x:f>IF(A125="","",IF(OR(AJ125="EXCLUDE",COUNTIF(AD125:AH125,"LOW")&gt;0),"EXCLUDE",IF(OR(AJ125&lt;&gt;"INCLUDE",F125&lt;&gt;"SUCCESS",D125&lt;&gt;"STORED",U125="",AP125="",AQ125="",AQ125="UNVERIFIED",AND(AP125="OFFICIAL_WEBSITE",Q125=""),AND(OR(AA125="Equipment manual / OEM instruction",AB125="Asset-specific normative"),OR(Z125&lt;&gt;"Manufacturer / supplier",AS125="",AC125=""))),"PENDING",IF(COUNTIF(AD125:AH125,"HIGH")=5,"INCLUDE","PENDING"))))</x:f>
      </x:c>
      <x:c r="F125" s="751"/>
      <x:c r="G125" s="755"/>
      <x:c r="H125" s="755"/>
      <x:c r="I125" s="751"/>
      <x:c r="J125" s="751"/>
      <x:c r="K125" s="757" t="str">
        <x:f>IF(A125="","",IF(J125="AUTO",H125,IF(J125="MANUAL",AK125,"")))</x:f>
      </x:c>
      <x:c r="L125" s="751"/>
      <x:c r="M125" s="751"/>
      <x:c r="N125" s="751" t="str">
        <x:f>IF(OR(AM125&lt;&gt;"CURRENT",E125="EXCLUDE"),"NO",IF(A125="","",IF(OR(F125="FAIL",F125="PAYWALL_BLOCKED"),IF(AND(AK125&lt;&gt;"",AK125&gt;=INT(G125),D125="STORED",J125="MANUAL",AL125&lt;&gt;""),"NO","YES"),IF(AND(AR125="ROLLING",I125="CHANGED"),IF(AND(AK125&lt;&gt;"",AK125&gt;=INT(IF(H125&lt;&gt;"",H125,G125)),AL125&lt;&gt;""),"NO","YES"),"NO"))))</x:f>
        <x:v>NO</x:v>
      </x:c>
      <x:c r="O125" s="751"/>
      <x:c r="P125" s="752"/>
      <x:c r="Q125" s="752"/>
      <x:c r="R125" s="752"/>
      <x:c r="S125" s="752"/>
      <x:c r="T125" s="752"/>
      <x:c r="U125" s="752"/>
      <x:c r="V125" s="752"/>
      <x:c r="W125" s="752"/>
      <x:c r="X125" s="752"/>
      <x:c r="Y125" s="752"/>
      <x:c r="Z125" s="752"/>
      <x:c r="AA125" s="752"/>
      <x:c r="AB125" s="752"/>
      <x:c r="AC125" s="752"/>
      <x:c r="AD125" s="752"/>
      <x:c r="AE125" s="752"/>
      <x:c r="AF125" s="752"/>
      <x:c r="AG125" s="752"/>
      <x:c r="AH125" s="752"/>
      <x:c r="AI125" s="752"/>
      <x:c r="AJ125" s="752"/>
      <x:c r="AK125" s="759"/>
      <x:c r="AL125" s="752"/>
      <x:c r="AM125" s="752"/>
      <x:c r="AN125" s="752"/>
      <x:c r="AO125" s="752"/>
      <x:c r="AP125" s="752"/>
      <x:c r="AQ125" s="752"/>
      <x:c r="AR125" s="752"/>
      <x:c r="AS125" s="752"/>
    </x:row>
    <x:row r="126" ht="30" customHeight="1">
      <x:c r="A126" s="751"/>
      <x:c r="B126" s="751"/>
      <x:c r="C126" s="751"/>
      <x:c r="D126" s="751"/>
      <x:c r="E126" s="751" t="str">
        <x:f>IF(A126="","",IF(OR(AJ126="EXCLUDE",COUNTIF(AD126:AH126,"LOW")&gt;0),"EXCLUDE",IF(OR(AJ126&lt;&gt;"INCLUDE",F126&lt;&gt;"SUCCESS",D126&lt;&gt;"STORED",U126="",AP126="",AQ126="",AQ126="UNVERIFIED",AND(AP126="OFFICIAL_WEBSITE",Q126=""),AND(OR(AA126="Equipment manual / OEM instruction",AB126="Asset-specific normative"),OR(Z126&lt;&gt;"Manufacturer / supplier",AS126="",AC126=""))),"PENDING",IF(COUNTIF(AD126:AH126,"HIGH")=5,"INCLUDE","PENDING"))))</x:f>
      </x:c>
      <x:c r="F126" s="751"/>
      <x:c r="G126" s="755"/>
      <x:c r="H126" s="755"/>
      <x:c r="I126" s="751"/>
      <x:c r="J126" s="751"/>
      <x:c r="K126" s="757" t="str">
        <x:f>IF(A126="","",IF(J126="AUTO",H126,IF(J126="MANUAL",AK126,"")))</x:f>
      </x:c>
      <x:c r="L126" s="751"/>
      <x:c r="M126" s="751"/>
      <x:c r="N126" s="751" t="str">
        <x:f>IF(OR(AM126&lt;&gt;"CURRENT",E126="EXCLUDE"),"NO",IF(A126="","",IF(OR(F126="FAIL",F126="PAYWALL_BLOCKED"),IF(AND(AK126&lt;&gt;"",AK126&gt;=INT(G126),D126="STORED",J126="MANUAL",AL126&lt;&gt;""),"NO","YES"),IF(AND(AR126="ROLLING",I126="CHANGED"),IF(AND(AK126&lt;&gt;"",AK126&gt;=INT(IF(H126&lt;&gt;"",H126,G126)),AL126&lt;&gt;""),"NO","YES"),"NO"))))</x:f>
        <x:v>NO</x:v>
      </x:c>
      <x:c r="O126" s="751"/>
      <x:c r="P126" s="752"/>
      <x:c r="Q126" s="752"/>
      <x:c r="R126" s="752"/>
      <x:c r="S126" s="752"/>
      <x:c r="T126" s="752"/>
      <x:c r="U126" s="752"/>
      <x:c r="V126" s="752"/>
      <x:c r="W126" s="752"/>
      <x:c r="X126" s="752"/>
      <x:c r="Y126" s="752"/>
      <x:c r="Z126" s="752"/>
      <x:c r="AA126" s="752"/>
      <x:c r="AB126" s="752"/>
      <x:c r="AC126" s="752"/>
      <x:c r="AD126" s="752"/>
      <x:c r="AE126" s="752"/>
      <x:c r="AF126" s="752"/>
      <x:c r="AG126" s="752"/>
      <x:c r="AH126" s="752"/>
      <x:c r="AI126" s="752"/>
      <x:c r="AJ126" s="752"/>
      <x:c r="AK126" s="759"/>
      <x:c r="AL126" s="752"/>
      <x:c r="AM126" s="752"/>
      <x:c r="AN126" s="752"/>
      <x:c r="AO126" s="752"/>
      <x:c r="AP126" s="752"/>
      <x:c r="AQ126" s="752"/>
      <x:c r="AR126" s="752"/>
      <x:c r="AS126" s="752"/>
    </x:row>
    <x:row r="127" ht="30" customHeight="1">
      <x:c r="A127" s="751"/>
      <x:c r="B127" s="751"/>
      <x:c r="C127" s="751"/>
      <x:c r="D127" s="751"/>
      <x:c r="E127" s="751" t="str">
        <x:f>IF(A127="","",IF(OR(AJ127="EXCLUDE",COUNTIF(AD127:AH127,"LOW")&gt;0),"EXCLUDE",IF(OR(AJ127&lt;&gt;"INCLUDE",F127&lt;&gt;"SUCCESS",D127&lt;&gt;"STORED",U127="",AP127="",AQ127="",AQ127="UNVERIFIED",AND(AP127="OFFICIAL_WEBSITE",Q127=""),AND(OR(AA127="Equipment manual / OEM instruction",AB127="Asset-specific normative"),OR(Z127&lt;&gt;"Manufacturer / supplier",AS127="",AC127=""))),"PENDING",IF(COUNTIF(AD127:AH127,"HIGH")=5,"INCLUDE","PENDING"))))</x:f>
      </x:c>
      <x:c r="F127" s="751"/>
      <x:c r="G127" s="755"/>
      <x:c r="H127" s="755"/>
      <x:c r="I127" s="751"/>
      <x:c r="J127" s="751"/>
      <x:c r="K127" s="757" t="str">
        <x:f>IF(A127="","",IF(J127="AUTO",H127,IF(J127="MANUAL",AK127,"")))</x:f>
      </x:c>
      <x:c r="L127" s="751"/>
      <x:c r="M127" s="751"/>
      <x:c r="N127" s="751" t="str">
        <x:f>IF(OR(AM127&lt;&gt;"CURRENT",E127="EXCLUDE"),"NO",IF(A127="","",IF(OR(F127="FAIL",F127="PAYWALL_BLOCKED"),IF(AND(AK127&lt;&gt;"",AK127&gt;=INT(G127),D127="STORED",J127="MANUAL",AL127&lt;&gt;""),"NO","YES"),IF(AND(AR127="ROLLING",I127="CHANGED"),IF(AND(AK127&lt;&gt;"",AK127&gt;=INT(IF(H127&lt;&gt;"",H127,G127)),AL127&lt;&gt;""),"NO","YES"),"NO"))))</x:f>
        <x:v>NO</x:v>
      </x:c>
      <x:c r="O127" s="751"/>
      <x:c r="P127" s="752"/>
      <x:c r="Q127" s="752"/>
      <x:c r="R127" s="752"/>
      <x:c r="S127" s="752"/>
      <x:c r="T127" s="752"/>
      <x:c r="U127" s="752"/>
      <x:c r="V127" s="752"/>
      <x:c r="W127" s="752"/>
      <x:c r="X127" s="752"/>
      <x:c r="Y127" s="752"/>
      <x:c r="Z127" s="752"/>
      <x:c r="AA127" s="752"/>
      <x:c r="AB127" s="752"/>
      <x:c r="AC127" s="752"/>
      <x:c r="AD127" s="752"/>
      <x:c r="AE127" s="752"/>
      <x:c r="AF127" s="752"/>
      <x:c r="AG127" s="752"/>
      <x:c r="AH127" s="752"/>
      <x:c r="AI127" s="752"/>
      <x:c r="AJ127" s="752"/>
      <x:c r="AK127" s="759"/>
      <x:c r="AL127" s="752"/>
      <x:c r="AM127" s="752"/>
      <x:c r="AN127" s="752"/>
      <x:c r="AO127" s="752"/>
      <x:c r="AP127" s="752"/>
      <x:c r="AQ127" s="752"/>
      <x:c r="AR127" s="752"/>
      <x:c r="AS127" s="752"/>
    </x:row>
    <x:row r="128" ht="30" customHeight="1">
      <x:c r="A128" s="751"/>
      <x:c r="B128" s="751"/>
      <x:c r="C128" s="751"/>
      <x:c r="D128" s="751"/>
      <x:c r="E128" s="751" t="str">
        <x:f>IF(A128="","",IF(OR(AJ128="EXCLUDE",COUNTIF(AD128:AH128,"LOW")&gt;0),"EXCLUDE",IF(OR(AJ128&lt;&gt;"INCLUDE",F128&lt;&gt;"SUCCESS",D128&lt;&gt;"STORED",U128="",AP128="",AQ128="",AQ128="UNVERIFIED",AND(AP128="OFFICIAL_WEBSITE",Q128=""),AND(OR(AA128="Equipment manual / OEM instruction",AB128="Asset-specific normative"),OR(Z128&lt;&gt;"Manufacturer / supplier",AS128="",AC128=""))),"PENDING",IF(COUNTIF(AD128:AH128,"HIGH")=5,"INCLUDE","PENDING"))))</x:f>
      </x:c>
      <x:c r="F128" s="751"/>
      <x:c r="G128" s="755"/>
      <x:c r="H128" s="755"/>
      <x:c r="I128" s="751"/>
      <x:c r="J128" s="751"/>
      <x:c r="K128" s="757" t="str">
        <x:f>IF(A128="","",IF(J128="AUTO",H128,IF(J128="MANUAL",AK128,"")))</x:f>
      </x:c>
      <x:c r="L128" s="751"/>
      <x:c r="M128" s="751"/>
      <x:c r="N128" s="751" t="str">
        <x:f>IF(OR(AM128&lt;&gt;"CURRENT",E128="EXCLUDE"),"NO",IF(A128="","",IF(OR(F128="FAIL",F128="PAYWALL_BLOCKED"),IF(AND(AK128&lt;&gt;"",AK128&gt;=INT(G128),D128="STORED",J128="MANUAL",AL128&lt;&gt;""),"NO","YES"),IF(AND(AR128="ROLLING",I128="CHANGED"),IF(AND(AK128&lt;&gt;"",AK128&gt;=INT(IF(H128&lt;&gt;"",H128,G128)),AL128&lt;&gt;""),"NO","YES"),"NO"))))</x:f>
        <x:v>NO</x:v>
      </x:c>
      <x:c r="O128" s="751"/>
      <x:c r="P128" s="752"/>
      <x:c r="Q128" s="752"/>
      <x:c r="R128" s="752"/>
      <x:c r="S128" s="752"/>
      <x:c r="T128" s="752"/>
      <x:c r="U128" s="752"/>
      <x:c r="V128" s="752"/>
      <x:c r="W128" s="752"/>
      <x:c r="X128" s="752"/>
      <x:c r="Y128" s="752"/>
      <x:c r="Z128" s="752"/>
      <x:c r="AA128" s="752"/>
      <x:c r="AB128" s="752"/>
      <x:c r="AC128" s="752"/>
      <x:c r="AD128" s="752"/>
      <x:c r="AE128" s="752"/>
      <x:c r="AF128" s="752"/>
      <x:c r="AG128" s="752"/>
      <x:c r="AH128" s="752"/>
      <x:c r="AI128" s="752"/>
      <x:c r="AJ128" s="752"/>
      <x:c r="AK128" s="759"/>
      <x:c r="AL128" s="752"/>
      <x:c r="AM128" s="752"/>
      <x:c r="AN128" s="752"/>
      <x:c r="AO128" s="752"/>
      <x:c r="AP128" s="752"/>
      <x:c r="AQ128" s="752"/>
      <x:c r="AR128" s="752"/>
      <x:c r="AS128" s="752"/>
    </x:row>
    <x:row r="129" ht="30" customHeight="1">
      <x:c r="A129" s="751"/>
      <x:c r="B129" s="751"/>
      <x:c r="C129" s="751"/>
      <x:c r="D129" s="751"/>
      <x:c r="E129" s="751" t="str">
        <x:f>IF(A129="","",IF(OR(AJ129="EXCLUDE",COUNTIF(AD129:AH129,"LOW")&gt;0),"EXCLUDE",IF(OR(AJ129&lt;&gt;"INCLUDE",F129&lt;&gt;"SUCCESS",D129&lt;&gt;"STORED",U129="",AP129="",AQ129="",AQ129="UNVERIFIED",AND(AP129="OFFICIAL_WEBSITE",Q129=""),AND(OR(AA129="Equipment manual / OEM instruction",AB129="Asset-specific normative"),OR(Z129&lt;&gt;"Manufacturer / supplier",AS129="",AC129=""))),"PENDING",IF(COUNTIF(AD129:AH129,"HIGH")=5,"INCLUDE","PENDING"))))</x:f>
      </x:c>
      <x:c r="F129" s="751"/>
      <x:c r="G129" s="755"/>
      <x:c r="H129" s="755"/>
      <x:c r="I129" s="751"/>
      <x:c r="J129" s="751"/>
      <x:c r="K129" s="757" t="str">
        <x:f>IF(A129="","",IF(J129="AUTO",H129,IF(J129="MANUAL",AK129,"")))</x:f>
      </x:c>
      <x:c r="L129" s="751"/>
      <x:c r="M129" s="751"/>
      <x:c r="N129" s="751" t="str">
        <x:f>IF(OR(AM129&lt;&gt;"CURRENT",E129="EXCLUDE"),"NO",IF(A129="","",IF(OR(F129="FAIL",F129="PAYWALL_BLOCKED"),IF(AND(AK129&lt;&gt;"",AK129&gt;=INT(G129),D129="STORED",J129="MANUAL",AL129&lt;&gt;""),"NO","YES"),IF(AND(AR129="ROLLING",I129="CHANGED"),IF(AND(AK129&lt;&gt;"",AK129&gt;=INT(IF(H129&lt;&gt;"",H129,G129)),AL129&lt;&gt;""),"NO","YES"),"NO"))))</x:f>
        <x:v>NO</x:v>
      </x:c>
      <x:c r="O129" s="751"/>
      <x:c r="P129" s="752"/>
      <x:c r="Q129" s="752"/>
      <x:c r="R129" s="752"/>
      <x:c r="S129" s="752"/>
      <x:c r="T129" s="752"/>
      <x:c r="U129" s="752"/>
      <x:c r="V129" s="752"/>
      <x:c r="W129" s="752"/>
      <x:c r="X129" s="752"/>
      <x:c r="Y129" s="752"/>
      <x:c r="Z129" s="752"/>
      <x:c r="AA129" s="752"/>
      <x:c r="AB129" s="752"/>
      <x:c r="AC129" s="752"/>
      <x:c r="AD129" s="752"/>
      <x:c r="AE129" s="752"/>
      <x:c r="AF129" s="752"/>
      <x:c r="AG129" s="752"/>
      <x:c r="AH129" s="752"/>
      <x:c r="AI129" s="752"/>
      <x:c r="AJ129" s="752"/>
      <x:c r="AK129" s="759"/>
      <x:c r="AL129" s="752"/>
      <x:c r="AM129" s="752"/>
      <x:c r="AN129" s="752"/>
      <x:c r="AO129" s="752"/>
      <x:c r="AP129" s="752"/>
      <x:c r="AQ129" s="752"/>
      <x:c r="AR129" s="752"/>
      <x:c r="AS129" s="752"/>
    </x:row>
    <x:row r="130" ht="30" customHeight="1">
      <x:c r="A130" s="751"/>
      <x:c r="B130" s="751"/>
      <x:c r="C130" s="751"/>
      <x:c r="D130" s="751"/>
      <x:c r="E130" s="751" t="str">
        <x:f>IF(A130="","",IF(OR(AJ130="EXCLUDE",COUNTIF(AD130:AH130,"LOW")&gt;0),"EXCLUDE",IF(OR(AJ130&lt;&gt;"INCLUDE",F130&lt;&gt;"SUCCESS",D130&lt;&gt;"STORED",U130="",AP130="",AQ130="",AQ130="UNVERIFIED",AND(AP130="OFFICIAL_WEBSITE",Q130=""),AND(OR(AA130="Equipment manual / OEM instruction",AB130="Asset-specific normative"),OR(Z130&lt;&gt;"Manufacturer / supplier",AS130="",AC130=""))),"PENDING",IF(COUNTIF(AD130:AH130,"HIGH")=5,"INCLUDE","PENDING"))))</x:f>
      </x:c>
      <x:c r="F130" s="751"/>
      <x:c r="G130" s="755"/>
      <x:c r="H130" s="755"/>
      <x:c r="I130" s="751"/>
      <x:c r="J130" s="751"/>
      <x:c r="K130" s="757" t="str">
        <x:f>IF(A130="","",IF(J130="AUTO",H130,IF(J130="MANUAL",AK130,"")))</x:f>
      </x:c>
      <x:c r="L130" s="751"/>
      <x:c r="M130" s="751"/>
      <x:c r="N130" s="751" t="str">
        <x:f>IF(OR(AM130&lt;&gt;"CURRENT",E130="EXCLUDE"),"NO",IF(A130="","",IF(OR(F130="FAIL",F130="PAYWALL_BLOCKED"),IF(AND(AK130&lt;&gt;"",AK130&gt;=INT(G130),D130="STORED",J130="MANUAL",AL130&lt;&gt;""),"NO","YES"),IF(AND(AR130="ROLLING",I130="CHANGED"),IF(AND(AK130&lt;&gt;"",AK130&gt;=INT(IF(H130&lt;&gt;"",H130,G130)),AL130&lt;&gt;""),"NO","YES"),"NO"))))</x:f>
        <x:v>NO</x:v>
      </x:c>
      <x:c r="O130" s="751"/>
      <x:c r="P130" s="752"/>
      <x:c r="Q130" s="752"/>
      <x:c r="R130" s="752"/>
      <x:c r="S130" s="752"/>
      <x:c r="T130" s="752"/>
      <x:c r="U130" s="752"/>
      <x:c r="V130" s="752"/>
      <x:c r="W130" s="752"/>
      <x:c r="X130" s="752"/>
      <x:c r="Y130" s="752"/>
      <x:c r="Z130" s="752"/>
      <x:c r="AA130" s="752"/>
      <x:c r="AB130" s="752"/>
      <x:c r="AC130" s="752"/>
      <x:c r="AD130" s="752"/>
      <x:c r="AE130" s="752"/>
      <x:c r="AF130" s="752"/>
      <x:c r="AG130" s="752"/>
      <x:c r="AH130" s="752"/>
      <x:c r="AI130" s="752"/>
      <x:c r="AJ130" s="752"/>
      <x:c r="AK130" s="759"/>
      <x:c r="AL130" s="752"/>
      <x:c r="AM130" s="752"/>
      <x:c r="AN130" s="752"/>
      <x:c r="AO130" s="752"/>
      <x:c r="AP130" s="752"/>
      <x:c r="AQ130" s="752"/>
      <x:c r="AR130" s="752"/>
      <x:c r="AS130" s="752"/>
    </x:row>
    <x:row r="131" ht="30" customHeight="1">
      <x:c r="A131" s="751"/>
      <x:c r="B131" s="751"/>
      <x:c r="C131" s="751"/>
      <x:c r="D131" s="751"/>
      <x:c r="E131" s="751" t="str">
        <x:f>IF(A131="","",IF(OR(AJ131="EXCLUDE",COUNTIF(AD131:AH131,"LOW")&gt;0),"EXCLUDE",IF(OR(AJ131&lt;&gt;"INCLUDE",F131&lt;&gt;"SUCCESS",D131&lt;&gt;"STORED",U131="",AP131="",AQ131="",AQ131="UNVERIFIED",AND(AP131="OFFICIAL_WEBSITE",Q131=""),AND(OR(AA131="Equipment manual / OEM instruction",AB131="Asset-specific normative"),OR(Z131&lt;&gt;"Manufacturer / supplier",AS131="",AC131=""))),"PENDING",IF(COUNTIF(AD131:AH131,"HIGH")=5,"INCLUDE","PENDING"))))</x:f>
      </x:c>
      <x:c r="F131" s="751"/>
      <x:c r="G131" s="755"/>
      <x:c r="H131" s="755"/>
      <x:c r="I131" s="751"/>
      <x:c r="J131" s="751"/>
      <x:c r="K131" s="757" t="str">
        <x:f>IF(A131="","",IF(J131="AUTO",H131,IF(J131="MANUAL",AK131,"")))</x:f>
      </x:c>
      <x:c r="L131" s="751"/>
      <x:c r="M131" s="751"/>
      <x:c r="N131" s="751" t="str">
        <x:f>IF(OR(AM131&lt;&gt;"CURRENT",E131="EXCLUDE"),"NO",IF(A131="","",IF(OR(F131="FAIL",F131="PAYWALL_BLOCKED"),IF(AND(AK131&lt;&gt;"",AK131&gt;=INT(G131),D131="STORED",J131="MANUAL",AL131&lt;&gt;""),"NO","YES"),IF(AND(AR131="ROLLING",I131="CHANGED"),IF(AND(AK131&lt;&gt;"",AK131&gt;=INT(IF(H131&lt;&gt;"",H131,G131)),AL131&lt;&gt;""),"NO","YES"),"NO"))))</x:f>
        <x:v>NO</x:v>
      </x:c>
      <x:c r="O131" s="751"/>
      <x:c r="P131" s="752"/>
      <x:c r="Q131" s="752"/>
      <x:c r="R131" s="752"/>
      <x:c r="S131" s="752"/>
      <x:c r="T131" s="752"/>
      <x:c r="U131" s="752"/>
      <x:c r="V131" s="752"/>
      <x:c r="W131" s="752"/>
      <x:c r="X131" s="752"/>
      <x:c r="Y131" s="752"/>
      <x:c r="Z131" s="752"/>
      <x:c r="AA131" s="752"/>
      <x:c r="AB131" s="752"/>
      <x:c r="AC131" s="752"/>
      <x:c r="AD131" s="752"/>
      <x:c r="AE131" s="752"/>
      <x:c r="AF131" s="752"/>
      <x:c r="AG131" s="752"/>
      <x:c r="AH131" s="752"/>
      <x:c r="AI131" s="752"/>
      <x:c r="AJ131" s="752"/>
      <x:c r="AK131" s="759"/>
      <x:c r="AL131" s="752"/>
      <x:c r="AM131" s="752"/>
      <x:c r="AN131" s="752"/>
      <x:c r="AO131" s="752"/>
      <x:c r="AP131" s="752"/>
      <x:c r="AQ131" s="752"/>
      <x:c r="AR131" s="752"/>
      <x:c r="AS131" s="752"/>
    </x:row>
    <x:row r="132" ht="30" customHeight="1">
      <x:c r="A132" s="751"/>
      <x:c r="B132" s="751"/>
      <x:c r="C132" s="751"/>
      <x:c r="D132" s="751"/>
      <x:c r="E132" s="751" t="str">
        <x:f>IF(A132="","",IF(OR(AJ132="EXCLUDE",COUNTIF(AD132:AH132,"LOW")&gt;0),"EXCLUDE",IF(OR(AJ132&lt;&gt;"INCLUDE",F132&lt;&gt;"SUCCESS",D132&lt;&gt;"STORED",U132="",AP132="",AQ132="",AQ132="UNVERIFIED",AND(AP132="OFFICIAL_WEBSITE",Q132=""),AND(OR(AA132="Equipment manual / OEM instruction",AB132="Asset-specific normative"),OR(Z132&lt;&gt;"Manufacturer / supplier",AS132="",AC132=""))),"PENDING",IF(COUNTIF(AD132:AH132,"HIGH")=5,"INCLUDE","PENDING"))))</x:f>
      </x:c>
      <x:c r="F132" s="751"/>
      <x:c r="G132" s="755"/>
      <x:c r="H132" s="755"/>
      <x:c r="I132" s="751"/>
      <x:c r="J132" s="751"/>
      <x:c r="K132" s="757" t="str">
        <x:f>IF(A132="","",IF(J132="AUTO",H132,IF(J132="MANUAL",AK132,"")))</x:f>
      </x:c>
      <x:c r="L132" s="751"/>
      <x:c r="M132" s="751"/>
      <x:c r="N132" s="751" t="str">
        <x:f>IF(OR(AM132&lt;&gt;"CURRENT",E132="EXCLUDE"),"NO",IF(A132="","",IF(OR(F132="FAIL",F132="PAYWALL_BLOCKED"),IF(AND(AK132&lt;&gt;"",AK132&gt;=INT(G132),D132="STORED",J132="MANUAL",AL132&lt;&gt;""),"NO","YES"),IF(AND(AR132="ROLLING",I132="CHANGED"),IF(AND(AK132&lt;&gt;"",AK132&gt;=INT(IF(H132&lt;&gt;"",H132,G132)),AL132&lt;&gt;""),"NO","YES"),"NO"))))</x:f>
        <x:v>NO</x:v>
      </x:c>
      <x:c r="O132" s="751"/>
      <x:c r="P132" s="752"/>
      <x:c r="Q132" s="752"/>
      <x:c r="R132" s="752"/>
      <x:c r="S132" s="752"/>
      <x:c r="T132" s="752"/>
      <x:c r="U132" s="752"/>
      <x:c r="V132" s="752"/>
      <x:c r="W132" s="752"/>
      <x:c r="X132" s="752"/>
      <x:c r="Y132" s="752"/>
      <x:c r="Z132" s="752"/>
      <x:c r="AA132" s="752"/>
      <x:c r="AB132" s="752"/>
      <x:c r="AC132" s="752"/>
      <x:c r="AD132" s="752"/>
      <x:c r="AE132" s="752"/>
      <x:c r="AF132" s="752"/>
      <x:c r="AG132" s="752"/>
      <x:c r="AH132" s="752"/>
      <x:c r="AI132" s="752"/>
      <x:c r="AJ132" s="752"/>
      <x:c r="AK132" s="759"/>
      <x:c r="AL132" s="752"/>
      <x:c r="AM132" s="752"/>
      <x:c r="AN132" s="752"/>
      <x:c r="AO132" s="752"/>
      <x:c r="AP132" s="752"/>
      <x:c r="AQ132" s="752"/>
      <x:c r="AR132" s="752"/>
      <x:c r="AS132" s="752"/>
    </x:row>
    <x:row r="133" ht="30" customHeight="1">
      <x:c r="A133" s="751"/>
      <x:c r="B133" s="751"/>
      <x:c r="C133" s="751"/>
      <x:c r="D133" s="751"/>
      <x:c r="E133" s="751" t="str">
        <x:f>IF(A133="","",IF(OR(AJ133="EXCLUDE",COUNTIF(AD133:AH133,"LOW")&gt;0),"EXCLUDE",IF(OR(AJ133&lt;&gt;"INCLUDE",F133&lt;&gt;"SUCCESS",D133&lt;&gt;"STORED",U133="",AP133="",AQ133="",AQ133="UNVERIFIED",AND(AP133="OFFICIAL_WEBSITE",Q133=""),AND(OR(AA133="Equipment manual / OEM instruction",AB133="Asset-specific normative"),OR(Z133&lt;&gt;"Manufacturer / supplier",AS133="",AC133=""))),"PENDING",IF(COUNTIF(AD133:AH133,"HIGH")=5,"INCLUDE","PENDING"))))</x:f>
      </x:c>
      <x:c r="F133" s="751"/>
      <x:c r="G133" s="755"/>
      <x:c r="H133" s="755"/>
      <x:c r="I133" s="751"/>
      <x:c r="J133" s="751"/>
      <x:c r="K133" s="757" t="str">
        <x:f>IF(A133="","",IF(J133="AUTO",H133,IF(J133="MANUAL",AK133,"")))</x:f>
      </x:c>
      <x:c r="L133" s="751"/>
      <x:c r="M133" s="751"/>
      <x:c r="N133" s="751" t="str">
        <x:f>IF(OR(AM133&lt;&gt;"CURRENT",E133="EXCLUDE"),"NO",IF(A133="","",IF(OR(F133="FAIL",F133="PAYWALL_BLOCKED"),IF(AND(AK133&lt;&gt;"",AK133&gt;=INT(G133),D133="STORED",J133="MANUAL",AL133&lt;&gt;""),"NO","YES"),IF(AND(AR133="ROLLING",I133="CHANGED"),IF(AND(AK133&lt;&gt;"",AK133&gt;=INT(IF(H133&lt;&gt;"",H133,G133)),AL133&lt;&gt;""),"NO","YES"),"NO"))))</x:f>
        <x:v>NO</x:v>
      </x:c>
      <x:c r="O133" s="751"/>
      <x:c r="P133" s="752"/>
      <x:c r="Q133" s="752"/>
      <x:c r="R133" s="752"/>
      <x:c r="S133" s="752"/>
      <x:c r="T133" s="752"/>
      <x:c r="U133" s="752"/>
      <x:c r="V133" s="752"/>
      <x:c r="W133" s="752"/>
      <x:c r="X133" s="752"/>
      <x:c r="Y133" s="752"/>
      <x:c r="Z133" s="752"/>
      <x:c r="AA133" s="752"/>
      <x:c r="AB133" s="752"/>
      <x:c r="AC133" s="752"/>
      <x:c r="AD133" s="752"/>
      <x:c r="AE133" s="752"/>
      <x:c r="AF133" s="752"/>
      <x:c r="AG133" s="752"/>
      <x:c r="AH133" s="752"/>
      <x:c r="AI133" s="752"/>
      <x:c r="AJ133" s="752"/>
      <x:c r="AK133" s="759"/>
      <x:c r="AL133" s="752"/>
      <x:c r="AM133" s="752"/>
      <x:c r="AN133" s="752"/>
      <x:c r="AO133" s="752"/>
      <x:c r="AP133" s="752"/>
      <x:c r="AQ133" s="752"/>
      <x:c r="AR133" s="752"/>
      <x:c r="AS133" s="752"/>
    </x:row>
    <x:row r="134" ht="30" customHeight="1">
      <x:c r="A134" s="751"/>
      <x:c r="B134" s="751"/>
      <x:c r="C134" s="751"/>
      <x:c r="D134" s="751"/>
      <x:c r="E134" s="751" t="str">
        <x:f>IF(A134="","",IF(OR(AJ134="EXCLUDE",COUNTIF(AD134:AH134,"LOW")&gt;0),"EXCLUDE",IF(OR(AJ134&lt;&gt;"INCLUDE",F134&lt;&gt;"SUCCESS",D134&lt;&gt;"STORED",U134="",AP134="",AQ134="",AQ134="UNVERIFIED",AND(AP134="OFFICIAL_WEBSITE",Q134=""),AND(OR(AA134="Equipment manual / OEM instruction",AB134="Asset-specific normative"),OR(Z134&lt;&gt;"Manufacturer / supplier",AS134="",AC134=""))),"PENDING",IF(COUNTIF(AD134:AH134,"HIGH")=5,"INCLUDE","PENDING"))))</x:f>
      </x:c>
      <x:c r="F134" s="751"/>
      <x:c r="G134" s="755"/>
      <x:c r="H134" s="755"/>
      <x:c r="I134" s="751"/>
      <x:c r="J134" s="751"/>
      <x:c r="K134" s="757" t="str">
        <x:f>IF(A134="","",IF(J134="AUTO",H134,IF(J134="MANUAL",AK134,"")))</x:f>
      </x:c>
      <x:c r="L134" s="751"/>
      <x:c r="M134" s="751"/>
      <x:c r="N134" s="751" t="str">
        <x:f>IF(OR(AM134&lt;&gt;"CURRENT",E134="EXCLUDE"),"NO",IF(A134="","",IF(OR(F134="FAIL",F134="PAYWALL_BLOCKED"),IF(AND(AK134&lt;&gt;"",AK134&gt;=INT(G134),D134="STORED",J134="MANUAL",AL134&lt;&gt;""),"NO","YES"),IF(AND(AR134="ROLLING",I134="CHANGED"),IF(AND(AK134&lt;&gt;"",AK134&gt;=INT(IF(H134&lt;&gt;"",H134,G134)),AL134&lt;&gt;""),"NO","YES"),"NO"))))</x:f>
        <x:v>NO</x:v>
      </x:c>
      <x:c r="O134" s="751"/>
      <x:c r="P134" s="752"/>
      <x:c r="Q134" s="752"/>
      <x:c r="R134" s="752"/>
      <x:c r="S134" s="752"/>
      <x:c r="T134" s="752"/>
      <x:c r="U134" s="752"/>
      <x:c r="V134" s="752"/>
      <x:c r="W134" s="752"/>
      <x:c r="X134" s="752"/>
      <x:c r="Y134" s="752"/>
      <x:c r="Z134" s="752"/>
      <x:c r="AA134" s="752"/>
      <x:c r="AB134" s="752"/>
      <x:c r="AC134" s="752"/>
      <x:c r="AD134" s="752"/>
      <x:c r="AE134" s="752"/>
      <x:c r="AF134" s="752"/>
      <x:c r="AG134" s="752"/>
      <x:c r="AH134" s="752"/>
      <x:c r="AI134" s="752"/>
      <x:c r="AJ134" s="752"/>
      <x:c r="AK134" s="759"/>
      <x:c r="AL134" s="752"/>
      <x:c r="AM134" s="752"/>
      <x:c r="AN134" s="752"/>
      <x:c r="AO134" s="752"/>
      <x:c r="AP134" s="752"/>
      <x:c r="AQ134" s="752"/>
      <x:c r="AR134" s="752"/>
      <x:c r="AS134" s="752"/>
    </x:row>
    <x:row r="135" ht="30" customHeight="1">
      <x:c r="A135" s="751"/>
      <x:c r="B135" s="751"/>
      <x:c r="C135" s="751"/>
      <x:c r="D135" s="751"/>
      <x:c r="E135" s="751" t="str">
        <x:f>IF(A135="","",IF(OR(AJ135="EXCLUDE",COUNTIF(AD135:AH135,"LOW")&gt;0),"EXCLUDE",IF(OR(AJ135&lt;&gt;"INCLUDE",F135&lt;&gt;"SUCCESS",D135&lt;&gt;"STORED",U135="",AP135="",AQ135="",AQ135="UNVERIFIED",AND(AP135="OFFICIAL_WEBSITE",Q135=""),AND(OR(AA135="Equipment manual / OEM instruction",AB135="Asset-specific normative"),OR(Z135&lt;&gt;"Manufacturer / supplier",AS135="",AC135=""))),"PENDING",IF(COUNTIF(AD135:AH135,"HIGH")=5,"INCLUDE","PENDING"))))</x:f>
      </x:c>
      <x:c r="F135" s="751"/>
      <x:c r="G135" s="755"/>
      <x:c r="H135" s="755"/>
      <x:c r="I135" s="751"/>
      <x:c r="J135" s="751"/>
      <x:c r="K135" s="757" t="str">
        <x:f>IF(A135="","",IF(J135="AUTO",H135,IF(J135="MANUAL",AK135,"")))</x:f>
      </x:c>
      <x:c r="L135" s="751"/>
      <x:c r="M135" s="751"/>
      <x:c r="N135" s="751" t="str">
        <x:f>IF(OR(AM135&lt;&gt;"CURRENT",E135="EXCLUDE"),"NO",IF(A135="","",IF(OR(F135="FAIL",F135="PAYWALL_BLOCKED"),IF(AND(AK135&lt;&gt;"",AK135&gt;=INT(G135),D135="STORED",J135="MANUAL",AL135&lt;&gt;""),"NO","YES"),IF(AND(AR135="ROLLING",I135="CHANGED"),IF(AND(AK135&lt;&gt;"",AK135&gt;=INT(IF(H135&lt;&gt;"",H135,G135)),AL135&lt;&gt;""),"NO","YES"),"NO"))))</x:f>
        <x:v>NO</x:v>
      </x:c>
      <x:c r="O135" s="751"/>
      <x:c r="P135" s="752"/>
      <x:c r="Q135" s="752"/>
      <x:c r="R135" s="752"/>
      <x:c r="S135" s="752"/>
      <x:c r="T135" s="752"/>
      <x:c r="U135" s="752"/>
      <x:c r="V135" s="752"/>
      <x:c r="W135" s="752"/>
      <x:c r="X135" s="752"/>
      <x:c r="Y135" s="752"/>
      <x:c r="Z135" s="752"/>
      <x:c r="AA135" s="752"/>
      <x:c r="AB135" s="752"/>
      <x:c r="AC135" s="752"/>
      <x:c r="AD135" s="752"/>
      <x:c r="AE135" s="752"/>
      <x:c r="AF135" s="752"/>
      <x:c r="AG135" s="752"/>
      <x:c r="AH135" s="752"/>
      <x:c r="AI135" s="752"/>
      <x:c r="AJ135" s="752"/>
      <x:c r="AK135" s="759"/>
      <x:c r="AL135" s="752"/>
      <x:c r="AM135" s="752"/>
      <x:c r="AN135" s="752"/>
      <x:c r="AO135" s="752"/>
      <x:c r="AP135" s="752"/>
      <x:c r="AQ135" s="752"/>
      <x:c r="AR135" s="752"/>
      <x:c r="AS135" s="752"/>
    </x:row>
    <x:row r="136" ht="30" customHeight="1">
      <x:c r="A136" s="751"/>
      <x:c r="B136" s="751"/>
      <x:c r="C136" s="751"/>
      <x:c r="D136" s="751"/>
      <x:c r="E136" s="751" t="str">
        <x:f>IF(A136="","",IF(OR(AJ136="EXCLUDE",COUNTIF(AD136:AH136,"LOW")&gt;0),"EXCLUDE",IF(OR(AJ136&lt;&gt;"INCLUDE",F136&lt;&gt;"SUCCESS",D136&lt;&gt;"STORED",U136="",AP136="",AQ136="",AQ136="UNVERIFIED",AND(AP136="OFFICIAL_WEBSITE",Q136=""),AND(OR(AA136="Equipment manual / OEM instruction",AB136="Asset-specific normative"),OR(Z136&lt;&gt;"Manufacturer / supplier",AS136="",AC136=""))),"PENDING",IF(COUNTIF(AD136:AH136,"HIGH")=5,"INCLUDE","PENDING"))))</x:f>
      </x:c>
      <x:c r="F136" s="751"/>
      <x:c r="G136" s="755"/>
      <x:c r="H136" s="755"/>
      <x:c r="I136" s="751"/>
      <x:c r="J136" s="751"/>
      <x:c r="K136" s="757" t="str">
        <x:f>IF(A136="","",IF(J136="AUTO",H136,IF(J136="MANUAL",AK136,"")))</x:f>
      </x:c>
      <x:c r="L136" s="751"/>
      <x:c r="M136" s="751"/>
      <x:c r="N136" s="751" t="str">
        <x:f>IF(OR(AM136&lt;&gt;"CURRENT",E136="EXCLUDE"),"NO",IF(A136="","",IF(OR(F136="FAIL",F136="PAYWALL_BLOCKED"),IF(AND(AK136&lt;&gt;"",AK136&gt;=INT(G136),D136="STORED",J136="MANUAL",AL136&lt;&gt;""),"NO","YES"),IF(AND(AR136="ROLLING",I136="CHANGED"),IF(AND(AK136&lt;&gt;"",AK136&gt;=INT(IF(H136&lt;&gt;"",H136,G136)),AL136&lt;&gt;""),"NO","YES"),"NO"))))</x:f>
        <x:v>NO</x:v>
      </x:c>
      <x:c r="O136" s="751"/>
      <x:c r="P136" s="752"/>
      <x:c r="Q136" s="752"/>
      <x:c r="R136" s="752"/>
      <x:c r="S136" s="752"/>
      <x:c r="T136" s="752"/>
      <x:c r="U136" s="752"/>
      <x:c r="V136" s="752"/>
      <x:c r="W136" s="752"/>
      <x:c r="X136" s="752"/>
      <x:c r="Y136" s="752"/>
      <x:c r="Z136" s="752"/>
      <x:c r="AA136" s="752"/>
      <x:c r="AB136" s="752"/>
      <x:c r="AC136" s="752"/>
      <x:c r="AD136" s="752"/>
      <x:c r="AE136" s="752"/>
      <x:c r="AF136" s="752"/>
      <x:c r="AG136" s="752"/>
      <x:c r="AH136" s="752"/>
      <x:c r="AI136" s="752"/>
      <x:c r="AJ136" s="752"/>
      <x:c r="AK136" s="759"/>
      <x:c r="AL136" s="752"/>
      <x:c r="AM136" s="752"/>
      <x:c r="AN136" s="752"/>
      <x:c r="AO136" s="752"/>
      <x:c r="AP136" s="752"/>
      <x:c r="AQ136" s="752"/>
      <x:c r="AR136" s="752"/>
      <x:c r="AS136" s="752"/>
    </x:row>
    <x:row r="137" ht="30" customHeight="1">
      <x:c r="A137" s="751"/>
      <x:c r="B137" s="751"/>
      <x:c r="C137" s="751"/>
      <x:c r="D137" s="751"/>
      <x:c r="E137" s="751" t="str">
        <x:f>IF(A137="","",IF(OR(AJ137="EXCLUDE",COUNTIF(AD137:AH137,"LOW")&gt;0),"EXCLUDE",IF(OR(AJ137&lt;&gt;"INCLUDE",F137&lt;&gt;"SUCCESS",D137&lt;&gt;"STORED",U137="",AP137="",AQ137="",AQ137="UNVERIFIED",AND(AP137="OFFICIAL_WEBSITE",Q137=""),AND(OR(AA137="Equipment manual / OEM instruction",AB137="Asset-specific normative"),OR(Z137&lt;&gt;"Manufacturer / supplier",AS137="",AC137=""))),"PENDING",IF(COUNTIF(AD137:AH137,"HIGH")=5,"INCLUDE","PENDING"))))</x:f>
      </x:c>
      <x:c r="F137" s="751"/>
      <x:c r="G137" s="755"/>
      <x:c r="H137" s="755"/>
      <x:c r="I137" s="751"/>
      <x:c r="J137" s="751"/>
      <x:c r="K137" s="757" t="str">
        <x:f>IF(A137="","",IF(J137="AUTO",H137,IF(J137="MANUAL",AK137,"")))</x:f>
      </x:c>
      <x:c r="L137" s="751"/>
      <x:c r="M137" s="751"/>
      <x:c r="N137" s="751" t="str">
        <x:f>IF(OR(AM137&lt;&gt;"CURRENT",E137="EXCLUDE"),"NO",IF(A137="","",IF(OR(F137="FAIL",F137="PAYWALL_BLOCKED"),IF(AND(AK137&lt;&gt;"",AK137&gt;=INT(G137),D137="STORED",J137="MANUAL",AL137&lt;&gt;""),"NO","YES"),IF(AND(AR137="ROLLING",I137="CHANGED"),IF(AND(AK137&lt;&gt;"",AK137&gt;=INT(IF(H137&lt;&gt;"",H137,G137)),AL137&lt;&gt;""),"NO","YES"),"NO"))))</x:f>
        <x:v>NO</x:v>
      </x:c>
      <x:c r="O137" s="751"/>
      <x:c r="P137" s="752"/>
      <x:c r="Q137" s="752"/>
      <x:c r="R137" s="752"/>
      <x:c r="S137" s="752"/>
      <x:c r="T137" s="752"/>
      <x:c r="U137" s="752"/>
      <x:c r="V137" s="752"/>
      <x:c r="W137" s="752"/>
      <x:c r="X137" s="752"/>
      <x:c r="Y137" s="752"/>
      <x:c r="Z137" s="752"/>
      <x:c r="AA137" s="752"/>
      <x:c r="AB137" s="752"/>
      <x:c r="AC137" s="752"/>
      <x:c r="AD137" s="752"/>
      <x:c r="AE137" s="752"/>
      <x:c r="AF137" s="752"/>
      <x:c r="AG137" s="752"/>
      <x:c r="AH137" s="752"/>
      <x:c r="AI137" s="752"/>
      <x:c r="AJ137" s="752"/>
      <x:c r="AK137" s="759"/>
      <x:c r="AL137" s="752"/>
      <x:c r="AM137" s="752"/>
      <x:c r="AN137" s="752"/>
      <x:c r="AO137" s="752"/>
      <x:c r="AP137" s="752"/>
      <x:c r="AQ137" s="752"/>
      <x:c r="AR137" s="752"/>
      <x:c r="AS137" s="752"/>
    </x:row>
    <x:row r="138" ht="30" customHeight="1">
      <x:c r="A138" s="751"/>
      <x:c r="B138" s="751"/>
      <x:c r="C138" s="751"/>
      <x:c r="D138" s="751"/>
      <x:c r="E138" s="751" t="str">
        <x:f>IF(A138="","",IF(OR(AJ138="EXCLUDE",COUNTIF(AD138:AH138,"LOW")&gt;0),"EXCLUDE",IF(OR(AJ138&lt;&gt;"INCLUDE",F138&lt;&gt;"SUCCESS",D138&lt;&gt;"STORED",U138="",AP138="",AQ138="",AQ138="UNVERIFIED",AND(AP138="OFFICIAL_WEBSITE",Q138=""),AND(OR(AA138="Equipment manual / OEM instruction",AB138="Asset-specific normative"),OR(Z138&lt;&gt;"Manufacturer / supplier",AS138="",AC138=""))),"PENDING",IF(COUNTIF(AD138:AH138,"HIGH")=5,"INCLUDE","PENDING"))))</x:f>
      </x:c>
      <x:c r="F138" s="751"/>
      <x:c r="G138" s="755"/>
      <x:c r="H138" s="755"/>
      <x:c r="I138" s="751"/>
      <x:c r="J138" s="751"/>
      <x:c r="K138" s="757" t="str">
        <x:f>IF(A138="","",IF(J138="AUTO",H138,IF(J138="MANUAL",AK138,"")))</x:f>
      </x:c>
      <x:c r="L138" s="751"/>
      <x:c r="M138" s="751"/>
      <x:c r="N138" s="751" t="str">
        <x:f>IF(OR(AM138&lt;&gt;"CURRENT",E138="EXCLUDE"),"NO",IF(A138="","",IF(OR(F138="FAIL",F138="PAYWALL_BLOCKED"),IF(AND(AK138&lt;&gt;"",AK138&gt;=INT(G138),D138="STORED",J138="MANUAL",AL138&lt;&gt;""),"NO","YES"),IF(AND(AR138="ROLLING",I138="CHANGED"),IF(AND(AK138&lt;&gt;"",AK138&gt;=INT(IF(H138&lt;&gt;"",H138,G138)),AL138&lt;&gt;""),"NO","YES"),"NO"))))</x:f>
        <x:v>NO</x:v>
      </x:c>
      <x:c r="O138" s="751"/>
      <x:c r="P138" s="752"/>
      <x:c r="Q138" s="752"/>
      <x:c r="R138" s="752"/>
      <x:c r="S138" s="752"/>
      <x:c r="T138" s="752"/>
      <x:c r="U138" s="752"/>
      <x:c r="V138" s="752"/>
      <x:c r="W138" s="752"/>
      <x:c r="X138" s="752"/>
      <x:c r="Y138" s="752"/>
      <x:c r="Z138" s="752"/>
      <x:c r="AA138" s="752"/>
      <x:c r="AB138" s="752"/>
      <x:c r="AC138" s="752"/>
      <x:c r="AD138" s="752"/>
      <x:c r="AE138" s="752"/>
      <x:c r="AF138" s="752"/>
      <x:c r="AG138" s="752"/>
      <x:c r="AH138" s="752"/>
      <x:c r="AI138" s="752"/>
      <x:c r="AJ138" s="752"/>
      <x:c r="AK138" s="759"/>
      <x:c r="AL138" s="752"/>
      <x:c r="AM138" s="752"/>
      <x:c r="AN138" s="752"/>
      <x:c r="AO138" s="752"/>
      <x:c r="AP138" s="752"/>
      <x:c r="AQ138" s="752"/>
      <x:c r="AR138" s="752"/>
      <x:c r="AS138" s="752"/>
    </x:row>
    <x:row r="139" ht="30" customHeight="1">
      <x:c r="A139" s="751"/>
      <x:c r="B139" s="751"/>
      <x:c r="C139" s="751"/>
      <x:c r="D139" s="751"/>
      <x:c r="E139" s="751" t="str">
        <x:f>IF(A139="","",IF(OR(AJ139="EXCLUDE",COUNTIF(AD139:AH139,"LOW")&gt;0),"EXCLUDE",IF(OR(AJ139&lt;&gt;"INCLUDE",F139&lt;&gt;"SUCCESS",D139&lt;&gt;"STORED",U139="",AP139="",AQ139="",AQ139="UNVERIFIED",AND(AP139="OFFICIAL_WEBSITE",Q139=""),AND(OR(AA139="Equipment manual / OEM instruction",AB139="Asset-specific normative"),OR(Z139&lt;&gt;"Manufacturer / supplier",AS139="",AC139=""))),"PENDING",IF(COUNTIF(AD139:AH139,"HIGH")=5,"INCLUDE","PENDING"))))</x:f>
      </x:c>
      <x:c r="F139" s="751"/>
      <x:c r="G139" s="755"/>
      <x:c r="H139" s="755"/>
      <x:c r="I139" s="751"/>
      <x:c r="J139" s="751"/>
      <x:c r="K139" s="757" t="str">
        <x:f>IF(A139="","",IF(J139="AUTO",H139,IF(J139="MANUAL",AK139,"")))</x:f>
      </x:c>
      <x:c r="L139" s="751"/>
      <x:c r="M139" s="751"/>
      <x:c r="N139" s="751" t="str">
        <x:f>IF(OR(AM139&lt;&gt;"CURRENT",E139="EXCLUDE"),"NO",IF(A139="","",IF(OR(F139="FAIL",F139="PAYWALL_BLOCKED"),IF(AND(AK139&lt;&gt;"",AK139&gt;=INT(G139),D139="STORED",J139="MANUAL",AL139&lt;&gt;""),"NO","YES"),IF(AND(AR139="ROLLING",I139="CHANGED"),IF(AND(AK139&lt;&gt;"",AK139&gt;=INT(IF(H139&lt;&gt;"",H139,G139)),AL139&lt;&gt;""),"NO","YES"),"NO"))))</x:f>
        <x:v>NO</x:v>
      </x:c>
      <x:c r="O139" s="751"/>
      <x:c r="P139" s="752"/>
      <x:c r="Q139" s="752"/>
      <x:c r="R139" s="752"/>
      <x:c r="S139" s="752"/>
      <x:c r="T139" s="752"/>
      <x:c r="U139" s="752"/>
      <x:c r="V139" s="752"/>
      <x:c r="W139" s="752"/>
      <x:c r="X139" s="752"/>
      <x:c r="Y139" s="752"/>
      <x:c r="Z139" s="752"/>
      <x:c r="AA139" s="752"/>
      <x:c r="AB139" s="752"/>
      <x:c r="AC139" s="752"/>
      <x:c r="AD139" s="752"/>
      <x:c r="AE139" s="752"/>
      <x:c r="AF139" s="752"/>
      <x:c r="AG139" s="752"/>
      <x:c r="AH139" s="752"/>
      <x:c r="AI139" s="752"/>
      <x:c r="AJ139" s="752"/>
      <x:c r="AK139" s="759"/>
      <x:c r="AL139" s="752"/>
      <x:c r="AM139" s="752"/>
      <x:c r="AN139" s="752"/>
      <x:c r="AO139" s="752"/>
      <x:c r="AP139" s="752"/>
      <x:c r="AQ139" s="752"/>
      <x:c r="AR139" s="752"/>
      <x:c r="AS139" s="752"/>
    </x:row>
    <x:row r="140" ht="30" customHeight="1">
      <x:c r="A140" s="751"/>
      <x:c r="B140" s="751"/>
      <x:c r="C140" s="751"/>
      <x:c r="D140" s="751"/>
      <x:c r="E140" s="751" t="str">
        <x:f>IF(A140="","",IF(OR(AJ140="EXCLUDE",COUNTIF(AD140:AH140,"LOW")&gt;0),"EXCLUDE",IF(OR(AJ140&lt;&gt;"INCLUDE",F140&lt;&gt;"SUCCESS",D140&lt;&gt;"STORED",U140="",AP140="",AQ140="",AQ140="UNVERIFIED",AND(AP140="OFFICIAL_WEBSITE",Q140=""),AND(OR(AA140="Equipment manual / OEM instruction",AB140="Asset-specific normative"),OR(Z140&lt;&gt;"Manufacturer / supplier",AS140="",AC140=""))),"PENDING",IF(COUNTIF(AD140:AH140,"HIGH")=5,"INCLUDE","PENDING"))))</x:f>
      </x:c>
      <x:c r="F140" s="751"/>
      <x:c r="G140" s="755"/>
      <x:c r="H140" s="755"/>
      <x:c r="I140" s="751"/>
      <x:c r="J140" s="751"/>
      <x:c r="K140" s="757" t="str">
        <x:f>IF(A140="","",IF(J140="AUTO",H140,IF(J140="MANUAL",AK140,"")))</x:f>
      </x:c>
      <x:c r="L140" s="751"/>
      <x:c r="M140" s="751"/>
      <x:c r="N140" s="751" t="str">
        <x:f>IF(OR(AM140&lt;&gt;"CURRENT",E140="EXCLUDE"),"NO",IF(A140="","",IF(OR(F140="FAIL",F140="PAYWALL_BLOCKED"),IF(AND(AK140&lt;&gt;"",AK140&gt;=INT(G140),D140="STORED",J140="MANUAL",AL140&lt;&gt;""),"NO","YES"),IF(AND(AR140="ROLLING",I140="CHANGED"),IF(AND(AK140&lt;&gt;"",AK140&gt;=INT(IF(H140&lt;&gt;"",H140,G140)),AL140&lt;&gt;""),"NO","YES"),"NO"))))</x:f>
        <x:v>NO</x:v>
      </x:c>
      <x:c r="O140" s="751"/>
      <x:c r="P140" s="752"/>
      <x:c r="Q140" s="752"/>
      <x:c r="R140" s="752"/>
      <x:c r="S140" s="752"/>
      <x:c r="T140" s="752"/>
      <x:c r="U140" s="752"/>
      <x:c r="V140" s="752"/>
      <x:c r="W140" s="752"/>
      <x:c r="X140" s="752"/>
      <x:c r="Y140" s="752"/>
      <x:c r="Z140" s="752"/>
      <x:c r="AA140" s="752"/>
      <x:c r="AB140" s="752"/>
      <x:c r="AC140" s="752"/>
      <x:c r="AD140" s="752"/>
      <x:c r="AE140" s="752"/>
      <x:c r="AF140" s="752"/>
      <x:c r="AG140" s="752"/>
      <x:c r="AH140" s="752"/>
      <x:c r="AI140" s="752"/>
      <x:c r="AJ140" s="752"/>
      <x:c r="AK140" s="759"/>
      <x:c r="AL140" s="752"/>
      <x:c r="AM140" s="752"/>
      <x:c r="AN140" s="752"/>
      <x:c r="AO140" s="752"/>
      <x:c r="AP140" s="752"/>
      <x:c r="AQ140" s="752"/>
      <x:c r="AR140" s="752"/>
      <x:c r="AS140" s="752"/>
    </x:row>
    <x:row r="141" ht="30" customHeight="1">
      <x:c r="A141" s="751"/>
      <x:c r="B141" s="751"/>
      <x:c r="C141" s="751"/>
      <x:c r="D141" s="751"/>
      <x:c r="E141" s="751" t="str">
        <x:f>IF(A141="","",IF(OR(AJ141="EXCLUDE",COUNTIF(AD141:AH141,"LOW")&gt;0),"EXCLUDE",IF(OR(AJ141&lt;&gt;"INCLUDE",F141&lt;&gt;"SUCCESS",D141&lt;&gt;"STORED",U141="",AP141="",AQ141="",AQ141="UNVERIFIED",AND(AP141="OFFICIAL_WEBSITE",Q141=""),AND(OR(AA141="Equipment manual / OEM instruction",AB141="Asset-specific normative"),OR(Z141&lt;&gt;"Manufacturer / supplier",AS141="",AC141=""))),"PENDING",IF(COUNTIF(AD141:AH141,"HIGH")=5,"INCLUDE","PENDING"))))</x:f>
      </x:c>
      <x:c r="F141" s="751"/>
      <x:c r="G141" s="755"/>
      <x:c r="H141" s="755"/>
      <x:c r="I141" s="751"/>
      <x:c r="J141" s="751"/>
      <x:c r="K141" s="757" t="str">
        <x:f>IF(A141="","",IF(J141="AUTO",H141,IF(J141="MANUAL",AK141,"")))</x:f>
      </x:c>
      <x:c r="L141" s="751"/>
      <x:c r="M141" s="751"/>
      <x:c r="N141" s="751" t="str">
        <x:f>IF(OR(AM141&lt;&gt;"CURRENT",E141="EXCLUDE"),"NO",IF(A141="","",IF(OR(F141="FAIL",F141="PAYWALL_BLOCKED"),IF(AND(AK141&lt;&gt;"",AK141&gt;=INT(G141),D141="STORED",J141="MANUAL",AL141&lt;&gt;""),"NO","YES"),IF(AND(AR141="ROLLING",I141="CHANGED"),IF(AND(AK141&lt;&gt;"",AK141&gt;=INT(IF(H141&lt;&gt;"",H141,G141)),AL141&lt;&gt;""),"NO","YES"),"NO"))))</x:f>
        <x:v>NO</x:v>
      </x:c>
      <x:c r="O141" s="751"/>
      <x:c r="P141" s="752"/>
      <x:c r="Q141" s="752"/>
      <x:c r="R141" s="752"/>
      <x:c r="S141" s="752"/>
      <x:c r="T141" s="752"/>
      <x:c r="U141" s="752"/>
      <x:c r="V141" s="752"/>
      <x:c r="W141" s="752"/>
      <x:c r="X141" s="752"/>
      <x:c r="Y141" s="752"/>
      <x:c r="Z141" s="752"/>
      <x:c r="AA141" s="752"/>
      <x:c r="AB141" s="752"/>
      <x:c r="AC141" s="752"/>
      <x:c r="AD141" s="752"/>
      <x:c r="AE141" s="752"/>
      <x:c r="AF141" s="752"/>
      <x:c r="AG141" s="752"/>
      <x:c r="AH141" s="752"/>
      <x:c r="AI141" s="752"/>
      <x:c r="AJ141" s="752"/>
      <x:c r="AK141" s="759"/>
      <x:c r="AL141" s="752"/>
      <x:c r="AM141" s="752"/>
      <x:c r="AN141" s="752"/>
      <x:c r="AO141" s="752"/>
      <x:c r="AP141" s="752"/>
      <x:c r="AQ141" s="752"/>
      <x:c r="AR141" s="752"/>
      <x:c r="AS141" s="752"/>
    </x:row>
    <x:row r="142" ht="30" customHeight="1">
      <x:c r="A142" s="751"/>
      <x:c r="B142" s="751"/>
      <x:c r="C142" s="751"/>
      <x:c r="D142" s="751"/>
      <x:c r="E142" s="751" t="str">
        <x:f>IF(A142="","",IF(OR(AJ142="EXCLUDE",COUNTIF(AD142:AH142,"LOW")&gt;0),"EXCLUDE",IF(OR(AJ142&lt;&gt;"INCLUDE",F142&lt;&gt;"SUCCESS",D142&lt;&gt;"STORED",U142="",AP142="",AQ142="",AQ142="UNVERIFIED",AND(AP142="OFFICIAL_WEBSITE",Q142=""),AND(OR(AA142="Equipment manual / OEM instruction",AB142="Asset-specific normative"),OR(Z142&lt;&gt;"Manufacturer / supplier",AS142="",AC142=""))),"PENDING",IF(COUNTIF(AD142:AH142,"HIGH")=5,"INCLUDE","PENDING"))))</x:f>
      </x:c>
      <x:c r="F142" s="751"/>
      <x:c r="G142" s="755"/>
      <x:c r="H142" s="755"/>
      <x:c r="I142" s="751"/>
      <x:c r="J142" s="751"/>
      <x:c r="K142" s="757" t="str">
        <x:f>IF(A142="","",IF(J142="AUTO",H142,IF(J142="MANUAL",AK142,"")))</x:f>
      </x:c>
      <x:c r="L142" s="751"/>
      <x:c r="M142" s="751"/>
      <x:c r="N142" s="751" t="str">
        <x:f>IF(OR(AM142&lt;&gt;"CURRENT",E142="EXCLUDE"),"NO",IF(A142="","",IF(OR(F142="FAIL",F142="PAYWALL_BLOCKED"),IF(AND(AK142&lt;&gt;"",AK142&gt;=INT(G142),D142="STORED",J142="MANUAL",AL142&lt;&gt;""),"NO","YES"),IF(AND(AR142="ROLLING",I142="CHANGED"),IF(AND(AK142&lt;&gt;"",AK142&gt;=INT(IF(H142&lt;&gt;"",H142,G142)),AL142&lt;&gt;""),"NO","YES"),"NO"))))</x:f>
        <x:v>NO</x:v>
      </x:c>
      <x:c r="O142" s="751"/>
      <x:c r="P142" s="752"/>
      <x:c r="Q142" s="752"/>
      <x:c r="R142" s="752"/>
      <x:c r="S142" s="752"/>
      <x:c r="T142" s="752"/>
      <x:c r="U142" s="752"/>
      <x:c r="V142" s="752"/>
      <x:c r="W142" s="752"/>
      <x:c r="X142" s="752"/>
      <x:c r="Y142" s="752"/>
      <x:c r="Z142" s="752"/>
      <x:c r="AA142" s="752"/>
      <x:c r="AB142" s="752"/>
      <x:c r="AC142" s="752"/>
      <x:c r="AD142" s="752"/>
      <x:c r="AE142" s="752"/>
      <x:c r="AF142" s="752"/>
      <x:c r="AG142" s="752"/>
      <x:c r="AH142" s="752"/>
      <x:c r="AI142" s="752"/>
      <x:c r="AJ142" s="752"/>
      <x:c r="AK142" s="759"/>
      <x:c r="AL142" s="752"/>
      <x:c r="AM142" s="752"/>
      <x:c r="AN142" s="752"/>
      <x:c r="AO142" s="752"/>
      <x:c r="AP142" s="752"/>
      <x:c r="AQ142" s="752"/>
      <x:c r="AR142" s="752"/>
      <x:c r="AS142" s="752"/>
    </x:row>
    <x:row r="143" ht="30" customHeight="1">
      <x:c r="A143" s="751"/>
      <x:c r="B143" s="751"/>
      <x:c r="C143" s="751"/>
      <x:c r="D143" s="751"/>
      <x:c r="E143" s="751" t="str">
        <x:f>IF(A143="","",IF(OR(AJ143="EXCLUDE",COUNTIF(AD143:AH143,"LOW")&gt;0),"EXCLUDE",IF(OR(AJ143&lt;&gt;"INCLUDE",F143&lt;&gt;"SUCCESS",D143&lt;&gt;"STORED",U143="",AP143="",AQ143="",AQ143="UNVERIFIED",AND(AP143="OFFICIAL_WEBSITE",Q143=""),AND(OR(AA143="Equipment manual / OEM instruction",AB143="Asset-specific normative"),OR(Z143&lt;&gt;"Manufacturer / supplier",AS143="",AC143=""))),"PENDING",IF(COUNTIF(AD143:AH143,"HIGH")=5,"INCLUDE","PENDING"))))</x:f>
      </x:c>
      <x:c r="F143" s="751"/>
      <x:c r="G143" s="755"/>
      <x:c r="H143" s="755"/>
      <x:c r="I143" s="751"/>
      <x:c r="J143" s="751"/>
      <x:c r="K143" s="757" t="str">
        <x:f>IF(A143="","",IF(J143="AUTO",H143,IF(J143="MANUAL",AK143,"")))</x:f>
      </x:c>
      <x:c r="L143" s="751"/>
      <x:c r="M143" s="751"/>
      <x:c r="N143" s="751" t="str">
        <x:f>IF(OR(AM143&lt;&gt;"CURRENT",E143="EXCLUDE"),"NO",IF(A143="","",IF(OR(F143="FAIL",F143="PAYWALL_BLOCKED"),IF(AND(AK143&lt;&gt;"",AK143&gt;=INT(G143),D143="STORED",J143="MANUAL",AL143&lt;&gt;""),"NO","YES"),IF(AND(AR143="ROLLING",I143="CHANGED"),IF(AND(AK143&lt;&gt;"",AK143&gt;=INT(IF(H143&lt;&gt;"",H143,G143)),AL143&lt;&gt;""),"NO","YES"),"NO"))))</x:f>
        <x:v>NO</x:v>
      </x:c>
      <x:c r="O143" s="751"/>
      <x:c r="P143" s="752"/>
      <x:c r="Q143" s="752"/>
      <x:c r="R143" s="752"/>
      <x:c r="S143" s="752"/>
      <x:c r="T143" s="752"/>
      <x:c r="U143" s="752"/>
      <x:c r="V143" s="752"/>
      <x:c r="W143" s="752"/>
      <x:c r="X143" s="752"/>
      <x:c r="Y143" s="752"/>
      <x:c r="Z143" s="752"/>
      <x:c r="AA143" s="752"/>
      <x:c r="AB143" s="752"/>
      <x:c r="AC143" s="752"/>
      <x:c r="AD143" s="752"/>
      <x:c r="AE143" s="752"/>
      <x:c r="AF143" s="752"/>
      <x:c r="AG143" s="752"/>
      <x:c r="AH143" s="752"/>
      <x:c r="AI143" s="752"/>
      <x:c r="AJ143" s="752"/>
      <x:c r="AK143" s="759"/>
      <x:c r="AL143" s="752"/>
      <x:c r="AM143" s="752"/>
      <x:c r="AN143" s="752"/>
      <x:c r="AO143" s="752"/>
      <x:c r="AP143" s="752"/>
      <x:c r="AQ143" s="752"/>
      <x:c r="AR143" s="752"/>
      <x:c r="AS143" s="752"/>
    </x:row>
    <x:row r="144" ht="30" customHeight="1">
      <x:c r="A144" s="751"/>
      <x:c r="B144" s="751"/>
      <x:c r="C144" s="751"/>
      <x:c r="D144" s="751"/>
      <x:c r="E144" s="751" t="str">
        <x:f>IF(A144="","",IF(OR(AJ144="EXCLUDE",COUNTIF(AD144:AH144,"LOW")&gt;0),"EXCLUDE",IF(OR(AJ144&lt;&gt;"INCLUDE",F144&lt;&gt;"SUCCESS",D144&lt;&gt;"STORED",U144="",AP144="",AQ144="",AQ144="UNVERIFIED",AND(AP144="OFFICIAL_WEBSITE",Q144=""),AND(OR(AA144="Equipment manual / OEM instruction",AB144="Asset-specific normative"),OR(Z144&lt;&gt;"Manufacturer / supplier",AS144="",AC144=""))),"PENDING",IF(COUNTIF(AD144:AH144,"HIGH")=5,"INCLUDE","PENDING"))))</x:f>
      </x:c>
      <x:c r="F144" s="751"/>
      <x:c r="G144" s="755"/>
      <x:c r="H144" s="755"/>
      <x:c r="I144" s="751"/>
      <x:c r="J144" s="751"/>
      <x:c r="K144" s="757" t="str">
        <x:f>IF(A144="","",IF(J144="AUTO",H144,IF(J144="MANUAL",AK144,"")))</x:f>
      </x:c>
      <x:c r="L144" s="751"/>
      <x:c r="M144" s="751"/>
      <x:c r="N144" s="751" t="str">
        <x:f>IF(OR(AM144&lt;&gt;"CURRENT",E144="EXCLUDE"),"NO",IF(A144="","",IF(OR(F144="FAIL",F144="PAYWALL_BLOCKED"),IF(AND(AK144&lt;&gt;"",AK144&gt;=INT(G144),D144="STORED",J144="MANUAL",AL144&lt;&gt;""),"NO","YES"),IF(AND(AR144="ROLLING",I144="CHANGED"),IF(AND(AK144&lt;&gt;"",AK144&gt;=INT(IF(H144&lt;&gt;"",H144,G144)),AL144&lt;&gt;""),"NO","YES"),"NO"))))</x:f>
        <x:v>NO</x:v>
      </x:c>
      <x:c r="O144" s="751"/>
      <x:c r="P144" s="752"/>
      <x:c r="Q144" s="752"/>
      <x:c r="R144" s="752"/>
      <x:c r="S144" s="752"/>
      <x:c r="T144" s="752"/>
      <x:c r="U144" s="752"/>
      <x:c r="V144" s="752"/>
      <x:c r="W144" s="752"/>
      <x:c r="X144" s="752"/>
      <x:c r="Y144" s="752"/>
      <x:c r="Z144" s="752"/>
      <x:c r="AA144" s="752"/>
      <x:c r="AB144" s="752"/>
      <x:c r="AC144" s="752"/>
      <x:c r="AD144" s="752"/>
      <x:c r="AE144" s="752"/>
      <x:c r="AF144" s="752"/>
      <x:c r="AG144" s="752"/>
      <x:c r="AH144" s="752"/>
      <x:c r="AI144" s="752"/>
      <x:c r="AJ144" s="752"/>
      <x:c r="AK144" s="759"/>
      <x:c r="AL144" s="752"/>
      <x:c r="AM144" s="752"/>
      <x:c r="AN144" s="752"/>
      <x:c r="AO144" s="752"/>
      <x:c r="AP144" s="752"/>
      <x:c r="AQ144" s="752"/>
      <x:c r="AR144" s="752"/>
      <x:c r="AS144" s="752"/>
    </x:row>
    <x:row r="145" ht="30" customHeight="1">
      <x:c r="A145" s="751"/>
      <x:c r="B145" s="751"/>
      <x:c r="C145" s="751"/>
      <x:c r="D145" s="751"/>
      <x:c r="E145" s="751" t="str">
        <x:f>IF(A145="","",IF(OR(AJ145="EXCLUDE",COUNTIF(AD145:AH145,"LOW")&gt;0),"EXCLUDE",IF(OR(AJ145&lt;&gt;"INCLUDE",F145&lt;&gt;"SUCCESS",D145&lt;&gt;"STORED",U145="",AP145="",AQ145="",AQ145="UNVERIFIED",AND(AP145="OFFICIAL_WEBSITE",Q145=""),AND(OR(AA145="Equipment manual / OEM instruction",AB145="Asset-specific normative"),OR(Z145&lt;&gt;"Manufacturer / supplier",AS145="",AC145=""))),"PENDING",IF(COUNTIF(AD145:AH145,"HIGH")=5,"INCLUDE","PENDING"))))</x:f>
      </x:c>
      <x:c r="F145" s="751"/>
      <x:c r="G145" s="755"/>
      <x:c r="H145" s="755"/>
      <x:c r="I145" s="751"/>
      <x:c r="J145" s="751"/>
      <x:c r="K145" s="757" t="str">
        <x:f>IF(A145="","",IF(J145="AUTO",H145,IF(J145="MANUAL",AK145,"")))</x:f>
      </x:c>
      <x:c r="L145" s="751"/>
      <x:c r="M145" s="751"/>
      <x:c r="N145" s="751" t="str">
        <x:f>IF(OR(AM145&lt;&gt;"CURRENT",E145="EXCLUDE"),"NO",IF(A145="","",IF(OR(F145="FAIL",F145="PAYWALL_BLOCKED"),IF(AND(AK145&lt;&gt;"",AK145&gt;=INT(G145),D145="STORED",J145="MANUAL",AL145&lt;&gt;""),"NO","YES"),IF(AND(AR145="ROLLING",I145="CHANGED"),IF(AND(AK145&lt;&gt;"",AK145&gt;=INT(IF(H145&lt;&gt;"",H145,G145)),AL145&lt;&gt;""),"NO","YES"),"NO"))))</x:f>
        <x:v>NO</x:v>
      </x:c>
      <x:c r="O145" s="751"/>
      <x:c r="P145" s="752"/>
      <x:c r="Q145" s="752"/>
      <x:c r="R145" s="752"/>
      <x:c r="S145" s="752"/>
      <x:c r="T145" s="752"/>
      <x:c r="U145" s="752"/>
      <x:c r="V145" s="752"/>
      <x:c r="W145" s="752"/>
      <x:c r="X145" s="752"/>
      <x:c r="Y145" s="752"/>
      <x:c r="Z145" s="752"/>
      <x:c r="AA145" s="752"/>
      <x:c r="AB145" s="752"/>
      <x:c r="AC145" s="752"/>
      <x:c r="AD145" s="752"/>
      <x:c r="AE145" s="752"/>
      <x:c r="AF145" s="752"/>
      <x:c r="AG145" s="752"/>
      <x:c r="AH145" s="752"/>
      <x:c r="AI145" s="752"/>
      <x:c r="AJ145" s="752"/>
      <x:c r="AK145" s="759"/>
      <x:c r="AL145" s="752"/>
      <x:c r="AM145" s="752"/>
      <x:c r="AN145" s="752"/>
      <x:c r="AO145" s="752"/>
      <x:c r="AP145" s="752"/>
      <x:c r="AQ145" s="752"/>
      <x:c r="AR145" s="752"/>
      <x:c r="AS145" s="752"/>
    </x:row>
    <x:row r="146" ht="30" customHeight="1">
      <x:c r="A146" s="751"/>
      <x:c r="B146" s="751"/>
      <x:c r="C146" s="751"/>
      <x:c r="D146" s="751"/>
      <x:c r="E146" s="751" t="str">
        <x:f>IF(A146="","",IF(OR(AJ146="EXCLUDE",COUNTIF(AD146:AH146,"LOW")&gt;0),"EXCLUDE",IF(OR(AJ146&lt;&gt;"INCLUDE",F146&lt;&gt;"SUCCESS",D146&lt;&gt;"STORED",U146="",AP146="",AQ146="",AQ146="UNVERIFIED",AND(AP146="OFFICIAL_WEBSITE",Q146=""),AND(OR(AA146="Equipment manual / OEM instruction",AB146="Asset-specific normative"),OR(Z146&lt;&gt;"Manufacturer / supplier",AS146="",AC146=""))),"PENDING",IF(COUNTIF(AD146:AH146,"HIGH")=5,"INCLUDE","PENDING"))))</x:f>
      </x:c>
      <x:c r="F146" s="751"/>
      <x:c r="G146" s="755"/>
      <x:c r="H146" s="755"/>
      <x:c r="I146" s="751"/>
      <x:c r="J146" s="751"/>
      <x:c r="K146" s="757" t="str">
        <x:f>IF(A146="","",IF(J146="AUTO",H146,IF(J146="MANUAL",AK146,"")))</x:f>
      </x:c>
      <x:c r="L146" s="751"/>
      <x:c r="M146" s="751"/>
      <x:c r="N146" s="751" t="str">
        <x:f>IF(OR(AM146&lt;&gt;"CURRENT",E146="EXCLUDE"),"NO",IF(A146="","",IF(OR(F146="FAIL",F146="PAYWALL_BLOCKED"),IF(AND(AK146&lt;&gt;"",AK146&gt;=INT(G146),D146="STORED",J146="MANUAL",AL146&lt;&gt;""),"NO","YES"),IF(AND(AR146="ROLLING",I146="CHANGED"),IF(AND(AK146&lt;&gt;"",AK146&gt;=INT(IF(H146&lt;&gt;"",H146,G146)),AL146&lt;&gt;""),"NO","YES"),"NO"))))</x:f>
        <x:v>NO</x:v>
      </x:c>
      <x:c r="O146" s="751"/>
      <x:c r="P146" s="752"/>
      <x:c r="Q146" s="752"/>
      <x:c r="R146" s="752"/>
      <x:c r="S146" s="752"/>
      <x:c r="T146" s="752"/>
      <x:c r="U146" s="752"/>
      <x:c r="V146" s="752"/>
      <x:c r="W146" s="752"/>
      <x:c r="X146" s="752"/>
      <x:c r="Y146" s="752"/>
      <x:c r="Z146" s="752"/>
      <x:c r="AA146" s="752"/>
      <x:c r="AB146" s="752"/>
      <x:c r="AC146" s="752"/>
      <x:c r="AD146" s="752"/>
      <x:c r="AE146" s="752"/>
      <x:c r="AF146" s="752"/>
      <x:c r="AG146" s="752"/>
      <x:c r="AH146" s="752"/>
      <x:c r="AI146" s="752"/>
      <x:c r="AJ146" s="752"/>
      <x:c r="AK146" s="759"/>
      <x:c r="AL146" s="752"/>
      <x:c r="AM146" s="752"/>
      <x:c r="AN146" s="752"/>
      <x:c r="AO146" s="752"/>
      <x:c r="AP146" s="752"/>
      <x:c r="AQ146" s="752"/>
      <x:c r="AR146" s="752"/>
      <x:c r="AS146" s="752"/>
    </x:row>
    <x:row r="147" ht="30" customHeight="1">
      <x:c r="A147" s="751"/>
      <x:c r="B147" s="751"/>
      <x:c r="C147" s="751"/>
      <x:c r="D147" s="751"/>
      <x:c r="E147" s="751" t="str">
        <x:f>IF(A147="","",IF(OR(AJ147="EXCLUDE",COUNTIF(AD147:AH147,"LOW")&gt;0),"EXCLUDE",IF(OR(AJ147&lt;&gt;"INCLUDE",F147&lt;&gt;"SUCCESS",D147&lt;&gt;"STORED",U147="",AP147="",AQ147="",AQ147="UNVERIFIED",AND(AP147="OFFICIAL_WEBSITE",Q147=""),AND(OR(AA147="Equipment manual / OEM instruction",AB147="Asset-specific normative"),OR(Z147&lt;&gt;"Manufacturer / supplier",AS147="",AC147=""))),"PENDING",IF(COUNTIF(AD147:AH147,"HIGH")=5,"INCLUDE","PENDING"))))</x:f>
      </x:c>
      <x:c r="F147" s="751"/>
      <x:c r="G147" s="755"/>
      <x:c r="H147" s="755"/>
      <x:c r="I147" s="751"/>
      <x:c r="J147" s="751"/>
      <x:c r="K147" s="757" t="str">
        <x:f>IF(A147="","",IF(J147="AUTO",H147,IF(J147="MANUAL",AK147,"")))</x:f>
      </x:c>
      <x:c r="L147" s="751"/>
      <x:c r="M147" s="751"/>
      <x:c r="N147" s="751" t="str">
        <x:f>IF(OR(AM147&lt;&gt;"CURRENT",E147="EXCLUDE"),"NO",IF(A147="","",IF(OR(F147="FAIL",F147="PAYWALL_BLOCKED"),IF(AND(AK147&lt;&gt;"",AK147&gt;=INT(G147),D147="STORED",J147="MANUAL",AL147&lt;&gt;""),"NO","YES"),IF(AND(AR147="ROLLING",I147="CHANGED"),IF(AND(AK147&lt;&gt;"",AK147&gt;=INT(IF(H147&lt;&gt;"",H147,G147)),AL147&lt;&gt;""),"NO","YES"),"NO"))))</x:f>
        <x:v>NO</x:v>
      </x:c>
      <x:c r="O147" s="751"/>
      <x:c r="P147" s="752"/>
      <x:c r="Q147" s="752"/>
      <x:c r="R147" s="752"/>
      <x:c r="S147" s="752"/>
      <x:c r="T147" s="752"/>
      <x:c r="U147" s="752"/>
      <x:c r="V147" s="752"/>
      <x:c r="W147" s="752"/>
      <x:c r="X147" s="752"/>
      <x:c r="Y147" s="752"/>
      <x:c r="Z147" s="752"/>
      <x:c r="AA147" s="752"/>
      <x:c r="AB147" s="752"/>
      <x:c r="AC147" s="752"/>
      <x:c r="AD147" s="752"/>
      <x:c r="AE147" s="752"/>
      <x:c r="AF147" s="752"/>
      <x:c r="AG147" s="752"/>
      <x:c r="AH147" s="752"/>
      <x:c r="AI147" s="752"/>
      <x:c r="AJ147" s="752"/>
      <x:c r="AK147" s="759"/>
      <x:c r="AL147" s="752"/>
      <x:c r="AM147" s="752"/>
      <x:c r="AN147" s="752"/>
      <x:c r="AO147" s="752"/>
      <x:c r="AP147" s="752"/>
      <x:c r="AQ147" s="752"/>
      <x:c r="AR147" s="752"/>
      <x:c r="AS147" s="752"/>
    </x:row>
    <x:row r="148" ht="30" customHeight="1">
      <x:c r="A148" s="751"/>
      <x:c r="B148" s="751"/>
      <x:c r="C148" s="751"/>
      <x:c r="D148" s="751"/>
      <x:c r="E148" s="751" t="str">
        <x:f>IF(A148="","",IF(OR(AJ148="EXCLUDE",COUNTIF(AD148:AH148,"LOW")&gt;0),"EXCLUDE",IF(OR(AJ148&lt;&gt;"INCLUDE",F148&lt;&gt;"SUCCESS",D148&lt;&gt;"STORED",U148="",AP148="",AQ148="",AQ148="UNVERIFIED",AND(AP148="OFFICIAL_WEBSITE",Q148=""),AND(OR(AA148="Equipment manual / OEM instruction",AB148="Asset-specific normative"),OR(Z148&lt;&gt;"Manufacturer / supplier",AS148="",AC148=""))),"PENDING",IF(COUNTIF(AD148:AH148,"HIGH")=5,"INCLUDE","PENDING"))))</x:f>
      </x:c>
      <x:c r="F148" s="751"/>
      <x:c r="G148" s="755"/>
      <x:c r="H148" s="755"/>
      <x:c r="I148" s="751"/>
      <x:c r="J148" s="751"/>
      <x:c r="K148" s="757" t="str">
        <x:f>IF(A148="","",IF(J148="AUTO",H148,IF(J148="MANUAL",AK148,"")))</x:f>
      </x:c>
      <x:c r="L148" s="751"/>
      <x:c r="M148" s="751"/>
      <x:c r="N148" s="751" t="str">
        <x:f>IF(OR(AM148&lt;&gt;"CURRENT",E148="EXCLUDE"),"NO",IF(A148="","",IF(OR(F148="FAIL",F148="PAYWALL_BLOCKED"),IF(AND(AK148&lt;&gt;"",AK148&gt;=INT(G148),D148="STORED",J148="MANUAL",AL148&lt;&gt;""),"NO","YES"),IF(AND(AR148="ROLLING",I148="CHANGED"),IF(AND(AK148&lt;&gt;"",AK148&gt;=INT(IF(H148&lt;&gt;"",H148,G148)),AL148&lt;&gt;""),"NO","YES"),"NO"))))</x:f>
        <x:v>NO</x:v>
      </x:c>
      <x:c r="O148" s="751"/>
      <x:c r="P148" s="752"/>
      <x:c r="Q148" s="752"/>
      <x:c r="R148" s="752"/>
      <x:c r="S148" s="752"/>
      <x:c r="T148" s="752"/>
      <x:c r="U148" s="752"/>
      <x:c r="V148" s="752"/>
      <x:c r="W148" s="752"/>
      <x:c r="X148" s="752"/>
      <x:c r="Y148" s="752"/>
      <x:c r="Z148" s="752"/>
      <x:c r="AA148" s="752"/>
      <x:c r="AB148" s="752"/>
      <x:c r="AC148" s="752"/>
      <x:c r="AD148" s="752"/>
      <x:c r="AE148" s="752"/>
      <x:c r="AF148" s="752"/>
      <x:c r="AG148" s="752"/>
      <x:c r="AH148" s="752"/>
      <x:c r="AI148" s="752"/>
      <x:c r="AJ148" s="752"/>
      <x:c r="AK148" s="759"/>
      <x:c r="AL148" s="752"/>
      <x:c r="AM148" s="752"/>
      <x:c r="AN148" s="752"/>
      <x:c r="AO148" s="752"/>
      <x:c r="AP148" s="752"/>
      <x:c r="AQ148" s="752"/>
      <x:c r="AR148" s="752"/>
      <x:c r="AS148" s="752"/>
    </x:row>
    <x:row r="149" ht="30" customHeight="1">
      <x:c r="A149" s="751"/>
      <x:c r="B149" s="751"/>
      <x:c r="C149" s="751"/>
      <x:c r="D149" s="751"/>
      <x:c r="E149" s="751" t="str">
        <x:f>IF(A149="","",IF(OR(AJ149="EXCLUDE",COUNTIF(AD149:AH149,"LOW")&gt;0),"EXCLUDE",IF(OR(AJ149&lt;&gt;"INCLUDE",F149&lt;&gt;"SUCCESS",D149&lt;&gt;"STORED",U149="",AP149="",AQ149="",AQ149="UNVERIFIED",AND(AP149="OFFICIAL_WEBSITE",Q149=""),AND(OR(AA149="Equipment manual / OEM instruction",AB149="Asset-specific normative"),OR(Z149&lt;&gt;"Manufacturer / supplier",AS149="",AC149=""))),"PENDING",IF(COUNTIF(AD149:AH149,"HIGH")=5,"INCLUDE","PENDING"))))</x:f>
      </x:c>
      <x:c r="F149" s="751"/>
      <x:c r="G149" s="755"/>
      <x:c r="H149" s="755"/>
      <x:c r="I149" s="751"/>
      <x:c r="J149" s="751"/>
      <x:c r="K149" s="757" t="str">
        <x:f>IF(A149="","",IF(J149="AUTO",H149,IF(J149="MANUAL",AK149,"")))</x:f>
      </x:c>
      <x:c r="L149" s="751"/>
      <x:c r="M149" s="751"/>
      <x:c r="N149" s="751" t="str">
        <x:f>IF(OR(AM149&lt;&gt;"CURRENT",E149="EXCLUDE"),"NO",IF(A149="","",IF(OR(F149="FAIL",F149="PAYWALL_BLOCKED"),IF(AND(AK149&lt;&gt;"",AK149&gt;=INT(G149),D149="STORED",J149="MANUAL",AL149&lt;&gt;""),"NO","YES"),IF(AND(AR149="ROLLING",I149="CHANGED"),IF(AND(AK149&lt;&gt;"",AK149&gt;=INT(IF(H149&lt;&gt;"",H149,G149)),AL149&lt;&gt;""),"NO","YES"),"NO"))))</x:f>
        <x:v>NO</x:v>
      </x:c>
      <x:c r="O149" s="751"/>
      <x:c r="P149" s="752"/>
      <x:c r="Q149" s="752"/>
      <x:c r="R149" s="752"/>
      <x:c r="S149" s="752"/>
      <x:c r="T149" s="752"/>
      <x:c r="U149" s="752"/>
      <x:c r="V149" s="752"/>
      <x:c r="W149" s="752"/>
      <x:c r="X149" s="752"/>
      <x:c r="Y149" s="752"/>
      <x:c r="Z149" s="752"/>
      <x:c r="AA149" s="752"/>
      <x:c r="AB149" s="752"/>
      <x:c r="AC149" s="752"/>
      <x:c r="AD149" s="752"/>
      <x:c r="AE149" s="752"/>
      <x:c r="AF149" s="752"/>
      <x:c r="AG149" s="752"/>
      <x:c r="AH149" s="752"/>
      <x:c r="AI149" s="752"/>
      <x:c r="AJ149" s="752"/>
      <x:c r="AK149" s="759"/>
      <x:c r="AL149" s="752"/>
      <x:c r="AM149" s="752"/>
      <x:c r="AN149" s="752"/>
      <x:c r="AO149" s="752"/>
      <x:c r="AP149" s="752"/>
      <x:c r="AQ149" s="752"/>
      <x:c r="AR149" s="752"/>
      <x:c r="AS149" s="752"/>
    </x:row>
    <x:row r="150" ht="30" customHeight="1">
      <x:c r="A150" s="751"/>
      <x:c r="B150" s="751"/>
      <x:c r="C150" s="751"/>
      <x:c r="D150" s="751"/>
      <x:c r="E150" s="751" t="str">
        <x:f>IF(A150="","",IF(OR(AJ150="EXCLUDE",COUNTIF(AD150:AH150,"LOW")&gt;0),"EXCLUDE",IF(OR(AJ150&lt;&gt;"INCLUDE",F150&lt;&gt;"SUCCESS",D150&lt;&gt;"STORED",U150="",AP150="",AQ150="",AQ150="UNVERIFIED",AND(AP150="OFFICIAL_WEBSITE",Q150=""),AND(OR(AA150="Equipment manual / OEM instruction",AB150="Asset-specific normative"),OR(Z150&lt;&gt;"Manufacturer / supplier",AS150="",AC150=""))),"PENDING",IF(COUNTIF(AD150:AH150,"HIGH")=5,"INCLUDE","PENDING"))))</x:f>
      </x:c>
      <x:c r="F150" s="751"/>
      <x:c r="G150" s="755"/>
      <x:c r="H150" s="755"/>
      <x:c r="I150" s="751"/>
      <x:c r="J150" s="751"/>
      <x:c r="K150" s="757" t="str">
        <x:f>IF(A150="","",IF(J150="AUTO",H150,IF(J150="MANUAL",AK150,"")))</x:f>
      </x:c>
      <x:c r="L150" s="751"/>
      <x:c r="M150" s="751"/>
      <x:c r="N150" s="751" t="str">
        <x:f>IF(OR(AM150&lt;&gt;"CURRENT",E150="EXCLUDE"),"NO",IF(A150="","",IF(OR(F150="FAIL",F150="PAYWALL_BLOCKED"),IF(AND(AK150&lt;&gt;"",AK150&gt;=INT(G150),D150="STORED",J150="MANUAL",AL150&lt;&gt;""),"NO","YES"),IF(AND(AR150="ROLLING",I150="CHANGED"),IF(AND(AK150&lt;&gt;"",AK150&gt;=INT(IF(H150&lt;&gt;"",H150,G150)),AL150&lt;&gt;""),"NO","YES"),"NO"))))</x:f>
        <x:v>NO</x:v>
      </x:c>
      <x:c r="O150" s="751"/>
      <x:c r="P150" s="752"/>
      <x:c r="Q150" s="752"/>
      <x:c r="R150" s="752"/>
      <x:c r="S150" s="752"/>
      <x:c r="T150" s="752"/>
      <x:c r="U150" s="752"/>
      <x:c r="V150" s="752"/>
      <x:c r="W150" s="752"/>
      <x:c r="X150" s="752"/>
      <x:c r="Y150" s="752"/>
      <x:c r="Z150" s="752"/>
      <x:c r="AA150" s="752"/>
      <x:c r="AB150" s="752"/>
      <x:c r="AC150" s="752"/>
      <x:c r="AD150" s="752"/>
      <x:c r="AE150" s="752"/>
      <x:c r="AF150" s="752"/>
      <x:c r="AG150" s="752"/>
      <x:c r="AH150" s="752"/>
      <x:c r="AI150" s="752"/>
      <x:c r="AJ150" s="752"/>
      <x:c r="AK150" s="759"/>
      <x:c r="AL150" s="752"/>
      <x:c r="AM150" s="752"/>
      <x:c r="AN150" s="752"/>
      <x:c r="AO150" s="752"/>
      <x:c r="AP150" s="752"/>
      <x:c r="AQ150" s="752"/>
      <x:c r="AR150" s="752"/>
      <x:c r="AS150" s="752"/>
    </x:row>
    <x:row r="151" ht="30" customHeight="1">
      <x:c r="A151" s="751"/>
      <x:c r="B151" s="751"/>
      <x:c r="C151" s="751"/>
      <x:c r="D151" s="751"/>
      <x:c r="E151" s="751" t="str">
        <x:f>IF(A151="","",IF(OR(AJ151="EXCLUDE",COUNTIF(AD151:AH151,"LOW")&gt;0),"EXCLUDE",IF(OR(AJ151&lt;&gt;"INCLUDE",F151&lt;&gt;"SUCCESS",D151&lt;&gt;"STORED",U151="",AP151="",AQ151="",AQ151="UNVERIFIED",AND(AP151="OFFICIAL_WEBSITE",Q151=""),AND(OR(AA151="Equipment manual / OEM instruction",AB151="Asset-specific normative"),OR(Z151&lt;&gt;"Manufacturer / supplier",AS151="",AC151=""))),"PENDING",IF(COUNTIF(AD151:AH151,"HIGH")=5,"INCLUDE","PENDING"))))</x:f>
      </x:c>
      <x:c r="F151" s="751"/>
      <x:c r="G151" s="755"/>
      <x:c r="H151" s="755"/>
      <x:c r="I151" s="751"/>
      <x:c r="J151" s="751"/>
      <x:c r="K151" s="757" t="str">
        <x:f>IF(A151="","",IF(J151="AUTO",H151,IF(J151="MANUAL",AK151,"")))</x:f>
      </x:c>
      <x:c r="L151" s="751"/>
      <x:c r="M151" s="751"/>
      <x:c r="N151" s="751" t="str">
        <x:f>IF(OR(AM151&lt;&gt;"CURRENT",E151="EXCLUDE"),"NO",IF(A151="","",IF(OR(F151="FAIL",F151="PAYWALL_BLOCKED"),IF(AND(AK151&lt;&gt;"",AK151&gt;=INT(G151),D151="STORED",J151="MANUAL",AL151&lt;&gt;""),"NO","YES"),IF(AND(AR151="ROLLING",I151="CHANGED"),IF(AND(AK151&lt;&gt;"",AK151&gt;=INT(IF(H151&lt;&gt;"",H151,G151)),AL151&lt;&gt;""),"NO","YES"),"NO"))))</x:f>
        <x:v>NO</x:v>
      </x:c>
      <x:c r="O151" s="751"/>
      <x:c r="P151" s="752"/>
      <x:c r="Q151" s="752"/>
      <x:c r="R151" s="752"/>
      <x:c r="S151" s="752"/>
      <x:c r="T151" s="752"/>
      <x:c r="U151" s="752"/>
      <x:c r="V151" s="752"/>
      <x:c r="W151" s="752"/>
      <x:c r="X151" s="752"/>
      <x:c r="Y151" s="752"/>
      <x:c r="Z151" s="752"/>
      <x:c r="AA151" s="752"/>
      <x:c r="AB151" s="752"/>
      <x:c r="AC151" s="752"/>
      <x:c r="AD151" s="752"/>
      <x:c r="AE151" s="752"/>
      <x:c r="AF151" s="752"/>
      <x:c r="AG151" s="752"/>
      <x:c r="AH151" s="752"/>
      <x:c r="AI151" s="752"/>
      <x:c r="AJ151" s="752"/>
      <x:c r="AK151" s="759"/>
      <x:c r="AL151" s="752"/>
      <x:c r="AM151" s="752"/>
      <x:c r="AN151" s="752"/>
      <x:c r="AO151" s="752"/>
      <x:c r="AP151" s="752"/>
      <x:c r="AQ151" s="752"/>
      <x:c r="AR151" s="752"/>
      <x:c r="AS151" s="752"/>
    </x:row>
    <x:row r="152" ht="30" customHeight="1">
      <x:c r="A152" s="751"/>
      <x:c r="B152" s="751"/>
      <x:c r="C152" s="751"/>
      <x:c r="D152" s="751"/>
      <x:c r="E152" s="751" t="str">
        <x:f>IF(A152="","",IF(OR(AJ152="EXCLUDE",COUNTIF(AD152:AH152,"LOW")&gt;0),"EXCLUDE",IF(OR(AJ152&lt;&gt;"INCLUDE",F152&lt;&gt;"SUCCESS",D152&lt;&gt;"STORED",U152="",AP152="",AQ152="",AQ152="UNVERIFIED",AND(AP152="OFFICIAL_WEBSITE",Q152=""),AND(OR(AA152="Equipment manual / OEM instruction",AB152="Asset-specific normative"),OR(Z152&lt;&gt;"Manufacturer / supplier",AS152="",AC152=""))),"PENDING",IF(COUNTIF(AD152:AH152,"HIGH")=5,"INCLUDE","PENDING"))))</x:f>
      </x:c>
      <x:c r="F152" s="751"/>
      <x:c r="G152" s="755"/>
      <x:c r="H152" s="755"/>
      <x:c r="I152" s="751"/>
      <x:c r="J152" s="751"/>
      <x:c r="K152" s="757" t="str">
        <x:f>IF(A152="","",IF(J152="AUTO",H152,IF(J152="MANUAL",AK152,"")))</x:f>
      </x:c>
      <x:c r="L152" s="751"/>
      <x:c r="M152" s="751"/>
      <x:c r="N152" s="751" t="str">
        <x:f>IF(OR(AM152&lt;&gt;"CURRENT",E152="EXCLUDE"),"NO",IF(A152="","",IF(OR(F152="FAIL",F152="PAYWALL_BLOCKED"),IF(AND(AK152&lt;&gt;"",AK152&gt;=INT(G152),D152="STORED",J152="MANUAL",AL152&lt;&gt;""),"NO","YES"),IF(AND(AR152="ROLLING",I152="CHANGED"),IF(AND(AK152&lt;&gt;"",AK152&gt;=INT(IF(H152&lt;&gt;"",H152,G152)),AL152&lt;&gt;""),"NO","YES"),"NO"))))</x:f>
        <x:v>NO</x:v>
      </x:c>
      <x:c r="O152" s="751"/>
      <x:c r="P152" s="752"/>
      <x:c r="Q152" s="752"/>
      <x:c r="R152" s="752"/>
      <x:c r="S152" s="752"/>
      <x:c r="T152" s="752"/>
      <x:c r="U152" s="752"/>
      <x:c r="V152" s="752"/>
      <x:c r="W152" s="752"/>
      <x:c r="X152" s="752"/>
      <x:c r="Y152" s="752"/>
      <x:c r="Z152" s="752"/>
      <x:c r="AA152" s="752"/>
      <x:c r="AB152" s="752"/>
      <x:c r="AC152" s="752"/>
      <x:c r="AD152" s="752"/>
      <x:c r="AE152" s="752"/>
      <x:c r="AF152" s="752"/>
      <x:c r="AG152" s="752"/>
      <x:c r="AH152" s="752"/>
      <x:c r="AI152" s="752"/>
      <x:c r="AJ152" s="752"/>
      <x:c r="AK152" s="759"/>
      <x:c r="AL152" s="752"/>
      <x:c r="AM152" s="752"/>
      <x:c r="AN152" s="752"/>
      <x:c r="AO152" s="752"/>
      <x:c r="AP152" s="752"/>
      <x:c r="AQ152" s="752"/>
      <x:c r="AR152" s="752"/>
      <x:c r="AS152" s="752"/>
    </x:row>
    <x:row r="153" ht="30" customHeight="1">
      <x:c r="A153" s="751"/>
      <x:c r="B153" s="751"/>
      <x:c r="C153" s="751"/>
      <x:c r="D153" s="751"/>
      <x:c r="E153" s="751" t="str">
        <x:f>IF(A153="","",IF(OR(AJ153="EXCLUDE",COUNTIF(AD153:AH153,"LOW")&gt;0),"EXCLUDE",IF(OR(AJ153&lt;&gt;"INCLUDE",F153&lt;&gt;"SUCCESS",D153&lt;&gt;"STORED",U153="",AP153="",AQ153="",AQ153="UNVERIFIED",AND(AP153="OFFICIAL_WEBSITE",Q153=""),AND(OR(AA153="Equipment manual / OEM instruction",AB153="Asset-specific normative"),OR(Z153&lt;&gt;"Manufacturer / supplier",AS153="",AC153=""))),"PENDING",IF(COUNTIF(AD153:AH153,"HIGH")=5,"INCLUDE","PENDING"))))</x:f>
      </x:c>
      <x:c r="F153" s="751"/>
      <x:c r="G153" s="755"/>
      <x:c r="H153" s="755"/>
      <x:c r="I153" s="751"/>
      <x:c r="J153" s="751"/>
      <x:c r="K153" s="757" t="str">
        <x:f>IF(A153="","",IF(J153="AUTO",H153,IF(J153="MANUAL",AK153,"")))</x:f>
      </x:c>
      <x:c r="L153" s="751"/>
      <x:c r="M153" s="751"/>
      <x:c r="N153" s="751" t="str">
        <x:f>IF(OR(AM153&lt;&gt;"CURRENT",E153="EXCLUDE"),"NO",IF(A153="","",IF(OR(F153="FAIL",F153="PAYWALL_BLOCKED"),IF(AND(AK153&lt;&gt;"",AK153&gt;=INT(G153),D153="STORED",J153="MANUAL",AL153&lt;&gt;""),"NO","YES"),IF(AND(AR153="ROLLING",I153="CHANGED"),IF(AND(AK153&lt;&gt;"",AK153&gt;=INT(IF(H153&lt;&gt;"",H153,G153)),AL153&lt;&gt;""),"NO","YES"),"NO"))))</x:f>
        <x:v>NO</x:v>
      </x:c>
      <x:c r="O153" s="751"/>
      <x:c r="P153" s="752"/>
      <x:c r="Q153" s="752"/>
      <x:c r="R153" s="752"/>
      <x:c r="S153" s="752"/>
      <x:c r="T153" s="752"/>
      <x:c r="U153" s="752"/>
      <x:c r="V153" s="752"/>
      <x:c r="W153" s="752"/>
      <x:c r="X153" s="752"/>
      <x:c r="Y153" s="752"/>
      <x:c r="Z153" s="752"/>
      <x:c r="AA153" s="752"/>
      <x:c r="AB153" s="752"/>
      <x:c r="AC153" s="752"/>
      <x:c r="AD153" s="752"/>
      <x:c r="AE153" s="752"/>
      <x:c r="AF153" s="752"/>
      <x:c r="AG153" s="752"/>
      <x:c r="AH153" s="752"/>
      <x:c r="AI153" s="752"/>
      <x:c r="AJ153" s="752"/>
      <x:c r="AK153" s="759"/>
      <x:c r="AL153" s="752"/>
      <x:c r="AM153" s="752"/>
      <x:c r="AN153" s="752"/>
      <x:c r="AO153" s="752"/>
      <x:c r="AP153" s="752"/>
      <x:c r="AQ153" s="752"/>
      <x:c r="AR153" s="752"/>
      <x:c r="AS153" s="752"/>
    </x:row>
    <x:row r="154" ht="30" customHeight="1">
      <x:c r="A154" s="751"/>
      <x:c r="B154" s="751"/>
      <x:c r="C154" s="751"/>
      <x:c r="D154" s="751"/>
      <x:c r="E154" s="751" t="str">
        <x:f>IF(A154="","",IF(OR(AJ154="EXCLUDE",COUNTIF(AD154:AH154,"LOW")&gt;0),"EXCLUDE",IF(OR(AJ154&lt;&gt;"INCLUDE",F154&lt;&gt;"SUCCESS",D154&lt;&gt;"STORED",U154="",AP154="",AQ154="",AQ154="UNVERIFIED",AND(AP154="OFFICIAL_WEBSITE",Q154=""),AND(OR(AA154="Equipment manual / OEM instruction",AB154="Asset-specific normative"),OR(Z154&lt;&gt;"Manufacturer / supplier",AS154="",AC154=""))),"PENDING",IF(COUNTIF(AD154:AH154,"HIGH")=5,"INCLUDE","PENDING"))))</x:f>
      </x:c>
      <x:c r="F154" s="751"/>
      <x:c r="G154" s="755"/>
      <x:c r="H154" s="755"/>
      <x:c r="I154" s="751"/>
      <x:c r="J154" s="751"/>
      <x:c r="K154" s="757" t="str">
        <x:f>IF(A154="","",IF(J154="AUTO",H154,IF(J154="MANUAL",AK154,"")))</x:f>
      </x:c>
      <x:c r="L154" s="751"/>
      <x:c r="M154" s="751"/>
      <x:c r="N154" s="751" t="str">
        <x:f>IF(OR(AM154&lt;&gt;"CURRENT",E154="EXCLUDE"),"NO",IF(A154="","",IF(OR(F154="FAIL",F154="PAYWALL_BLOCKED"),IF(AND(AK154&lt;&gt;"",AK154&gt;=INT(G154),D154="STORED",J154="MANUAL",AL154&lt;&gt;""),"NO","YES"),IF(AND(AR154="ROLLING",I154="CHANGED"),IF(AND(AK154&lt;&gt;"",AK154&gt;=INT(IF(H154&lt;&gt;"",H154,G154)),AL154&lt;&gt;""),"NO","YES"),"NO"))))</x:f>
        <x:v>NO</x:v>
      </x:c>
      <x:c r="O154" s="751"/>
      <x:c r="P154" s="752"/>
      <x:c r="Q154" s="752"/>
      <x:c r="R154" s="752"/>
      <x:c r="S154" s="752"/>
      <x:c r="T154" s="752"/>
      <x:c r="U154" s="752"/>
      <x:c r="V154" s="752"/>
      <x:c r="W154" s="752"/>
      <x:c r="X154" s="752"/>
      <x:c r="Y154" s="752"/>
      <x:c r="Z154" s="752"/>
      <x:c r="AA154" s="752"/>
      <x:c r="AB154" s="752"/>
      <x:c r="AC154" s="752"/>
      <x:c r="AD154" s="752"/>
      <x:c r="AE154" s="752"/>
      <x:c r="AF154" s="752"/>
      <x:c r="AG154" s="752"/>
      <x:c r="AH154" s="752"/>
      <x:c r="AI154" s="752"/>
      <x:c r="AJ154" s="752"/>
      <x:c r="AK154" s="759"/>
      <x:c r="AL154" s="752"/>
      <x:c r="AM154" s="752"/>
      <x:c r="AN154" s="752"/>
      <x:c r="AO154" s="752"/>
      <x:c r="AP154" s="752"/>
      <x:c r="AQ154" s="752"/>
      <x:c r="AR154" s="752"/>
      <x:c r="AS154" s="752"/>
    </x:row>
    <x:row r="155" ht="30" customHeight="1">
      <x:c r="A155" s="751"/>
      <x:c r="B155" s="751"/>
      <x:c r="C155" s="751"/>
      <x:c r="D155" s="751"/>
      <x:c r="E155" s="751" t="str">
        <x:f>IF(A155="","",IF(OR(AJ155="EXCLUDE",COUNTIF(AD155:AH155,"LOW")&gt;0),"EXCLUDE",IF(OR(AJ155&lt;&gt;"INCLUDE",F155&lt;&gt;"SUCCESS",D155&lt;&gt;"STORED",U155="",AP155="",AQ155="",AQ155="UNVERIFIED",AND(AP155="OFFICIAL_WEBSITE",Q155=""),AND(OR(AA155="Equipment manual / OEM instruction",AB155="Asset-specific normative"),OR(Z155&lt;&gt;"Manufacturer / supplier",AS155="",AC155=""))),"PENDING",IF(COUNTIF(AD155:AH155,"HIGH")=5,"INCLUDE","PENDING"))))</x:f>
      </x:c>
      <x:c r="F155" s="751"/>
      <x:c r="G155" s="755"/>
      <x:c r="H155" s="755"/>
      <x:c r="I155" s="751"/>
      <x:c r="J155" s="751"/>
      <x:c r="K155" s="757" t="str">
        <x:f>IF(A155="","",IF(J155="AUTO",H155,IF(J155="MANUAL",AK155,"")))</x:f>
      </x:c>
      <x:c r="L155" s="751"/>
      <x:c r="M155" s="751"/>
      <x:c r="N155" s="751" t="str">
        <x:f>IF(OR(AM155&lt;&gt;"CURRENT",E155="EXCLUDE"),"NO",IF(A155="","",IF(OR(F155="FAIL",F155="PAYWALL_BLOCKED"),IF(AND(AK155&lt;&gt;"",AK155&gt;=INT(G155),D155="STORED",J155="MANUAL",AL155&lt;&gt;""),"NO","YES"),IF(AND(AR155="ROLLING",I155="CHANGED"),IF(AND(AK155&lt;&gt;"",AK155&gt;=INT(IF(H155&lt;&gt;"",H155,G155)),AL155&lt;&gt;""),"NO","YES"),"NO"))))</x:f>
        <x:v>NO</x:v>
      </x:c>
      <x:c r="O155" s="751"/>
      <x:c r="P155" s="752"/>
      <x:c r="Q155" s="752"/>
      <x:c r="R155" s="752"/>
      <x:c r="S155" s="752"/>
      <x:c r="T155" s="752"/>
      <x:c r="U155" s="752"/>
      <x:c r="V155" s="752"/>
      <x:c r="W155" s="752"/>
      <x:c r="X155" s="752"/>
      <x:c r="Y155" s="752"/>
      <x:c r="Z155" s="752"/>
      <x:c r="AA155" s="752"/>
      <x:c r="AB155" s="752"/>
      <x:c r="AC155" s="752"/>
      <x:c r="AD155" s="752"/>
      <x:c r="AE155" s="752"/>
      <x:c r="AF155" s="752"/>
      <x:c r="AG155" s="752"/>
      <x:c r="AH155" s="752"/>
      <x:c r="AI155" s="752"/>
      <x:c r="AJ155" s="752"/>
      <x:c r="AK155" s="759"/>
      <x:c r="AL155" s="752"/>
      <x:c r="AM155" s="752"/>
      <x:c r="AN155" s="752"/>
      <x:c r="AO155" s="752"/>
      <x:c r="AP155" s="752"/>
      <x:c r="AQ155" s="752"/>
      <x:c r="AR155" s="752"/>
      <x:c r="AS155" s="752"/>
    </x:row>
    <x:row r="156" ht="30" customHeight="1">
      <x:c r="A156" s="751"/>
      <x:c r="B156" s="751"/>
      <x:c r="C156" s="751"/>
      <x:c r="D156" s="751"/>
      <x:c r="E156" s="751" t="str">
        <x:f>IF(A156="","",IF(OR(AJ156="EXCLUDE",COUNTIF(AD156:AH156,"LOW")&gt;0),"EXCLUDE",IF(OR(AJ156&lt;&gt;"INCLUDE",F156&lt;&gt;"SUCCESS",D156&lt;&gt;"STORED",U156="",AP156="",AQ156="",AQ156="UNVERIFIED",AND(AP156="OFFICIAL_WEBSITE",Q156=""),AND(OR(AA156="Equipment manual / OEM instruction",AB156="Asset-specific normative"),OR(Z156&lt;&gt;"Manufacturer / supplier",AS156="",AC156=""))),"PENDING",IF(COUNTIF(AD156:AH156,"HIGH")=5,"INCLUDE","PENDING"))))</x:f>
      </x:c>
      <x:c r="F156" s="751"/>
      <x:c r="G156" s="755"/>
      <x:c r="H156" s="755"/>
      <x:c r="I156" s="751"/>
      <x:c r="J156" s="751"/>
      <x:c r="K156" s="757" t="str">
        <x:f>IF(A156="","",IF(J156="AUTO",H156,IF(J156="MANUAL",AK156,"")))</x:f>
      </x:c>
      <x:c r="L156" s="751"/>
      <x:c r="M156" s="751"/>
      <x:c r="N156" s="751" t="str">
        <x:f>IF(OR(AM156&lt;&gt;"CURRENT",E156="EXCLUDE"),"NO",IF(A156="","",IF(OR(F156="FAIL",F156="PAYWALL_BLOCKED"),IF(AND(AK156&lt;&gt;"",AK156&gt;=INT(G156),D156="STORED",J156="MANUAL",AL156&lt;&gt;""),"NO","YES"),IF(AND(AR156="ROLLING",I156="CHANGED"),IF(AND(AK156&lt;&gt;"",AK156&gt;=INT(IF(H156&lt;&gt;"",H156,G156)),AL156&lt;&gt;""),"NO","YES"),"NO"))))</x:f>
        <x:v>NO</x:v>
      </x:c>
      <x:c r="O156" s="751"/>
      <x:c r="P156" s="752"/>
      <x:c r="Q156" s="752"/>
      <x:c r="R156" s="752"/>
      <x:c r="S156" s="752"/>
      <x:c r="T156" s="752"/>
      <x:c r="U156" s="752"/>
      <x:c r="V156" s="752"/>
      <x:c r="W156" s="752"/>
      <x:c r="X156" s="752"/>
      <x:c r="Y156" s="752"/>
      <x:c r="Z156" s="752"/>
      <x:c r="AA156" s="752"/>
      <x:c r="AB156" s="752"/>
      <x:c r="AC156" s="752"/>
      <x:c r="AD156" s="752"/>
      <x:c r="AE156" s="752"/>
      <x:c r="AF156" s="752"/>
      <x:c r="AG156" s="752"/>
      <x:c r="AH156" s="752"/>
      <x:c r="AI156" s="752"/>
      <x:c r="AJ156" s="752"/>
      <x:c r="AK156" s="759"/>
      <x:c r="AL156" s="752"/>
      <x:c r="AM156" s="752"/>
      <x:c r="AN156" s="752"/>
      <x:c r="AO156" s="752"/>
      <x:c r="AP156" s="752"/>
      <x:c r="AQ156" s="752"/>
      <x:c r="AR156" s="752"/>
      <x:c r="AS156" s="752"/>
    </x:row>
    <x:row r="157" ht="30" customHeight="1">
      <x:c r="A157" s="751"/>
      <x:c r="B157" s="751"/>
      <x:c r="C157" s="751"/>
      <x:c r="D157" s="751"/>
      <x:c r="E157" s="751" t="str">
        <x:f>IF(A157="","",IF(OR(AJ157="EXCLUDE",COUNTIF(AD157:AH157,"LOW")&gt;0),"EXCLUDE",IF(OR(AJ157&lt;&gt;"INCLUDE",F157&lt;&gt;"SUCCESS",D157&lt;&gt;"STORED",U157="",AP157="",AQ157="",AQ157="UNVERIFIED",AND(AP157="OFFICIAL_WEBSITE",Q157=""),AND(OR(AA157="Equipment manual / OEM instruction",AB157="Asset-specific normative"),OR(Z157&lt;&gt;"Manufacturer / supplier",AS157="",AC157=""))),"PENDING",IF(COUNTIF(AD157:AH157,"HIGH")=5,"INCLUDE","PENDING"))))</x:f>
      </x:c>
      <x:c r="F157" s="751"/>
      <x:c r="G157" s="755"/>
      <x:c r="H157" s="755"/>
      <x:c r="I157" s="751"/>
      <x:c r="J157" s="751"/>
      <x:c r="K157" s="757" t="str">
        <x:f>IF(A157="","",IF(J157="AUTO",H157,IF(J157="MANUAL",AK157,"")))</x:f>
      </x:c>
      <x:c r="L157" s="751"/>
      <x:c r="M157" s="751"/>
      <x:c r="N157" s="751" t="str">
        <x:f>IF(OR(AM157&lt;&gt;"CURRENT",E157="EXCLUDE"),"NO",IF(A157="","",IF(OR(F157="FAIL",F157="PAYWALL_BLOCKED"),IF(AND(AK157&lt;&gt;"",AK157&gt;=INT(G157),D157="STORED",J157="MANUAL",AL157&lt;&gt;""),"NO","YES"),IF(AND(AR157="ROLLING",I157="CHANGED"),IF(AND(AK157&lt;&gt;"",AK157&gt;=INT(IF(H157&lt;&gt;"",H157,G157)),AL157&lt;&gt;""),"NO","YES"),"NO"))))</x:f>
        <x:v>NO</x:v>
      </x:c>
      <x:c r="O157" s="751"/>
      <x:c r="P157" s="752"/>
      <x:c r="Q157" s="752"/>
      <x:c r="R157" s="752"/>
      <x:c r="S157" s="752"/>
      <x:c r="T157" s="752"/>
      <x:c r="U157" s="752"/>
      <x:c r="V157" s="752"/>
      <x:c r="W157" s="752"/>
      <x:c r="X157" s="752"/>
      <x:c r="Y157" s="752"/>
      <x:c r="Z157" s="752"/>
      <x:c r="AA157" s="752"/>
      <x:c r="AB157" s="752"/>
      <x:c r="AC157" s="752"/>
      <x:c r="AD157" s="752"/>
      <x:c r="AE157" s="752"/>
      <x:c r="AF157" s="752"/>
      <x:c r="AG157" s="752"/>
      <x:c r="AH157" s="752"/>
      <x:c r="AI157" s="752"/>
      <x:c r="AJ157" s="752"/>
      <x:c r="AK157" s="759"/>
      <x:c r="AL157" s="752"/>
      <x:c r="AM157" s="752"/>
      <x:c r="AN157" s="752"/>
      <x:c r="AO157" s="752"/>
      <x:c r="AP157" s="752"/>
      <x:c r="AQ157" s="752"/>
      <x:c r="AR157" s="752"/>
      <x:c r="AS157" s="752"/>
    </x:row>
    <x:row r="158" ht="30" customHeight="1">
      <x:c r="A158" s="751"/>
      <x:c r="B158" s="751"/>
      <x:c r="C158" s="751"/>
      <x:c r="D158" s="751"/>
      <x:c r="E158" s="751" t="str">
        <x:f>IF(A158="","",IF(OR(AJ158="EXCLUDE",COUNTIF(AD158:AH158,"LOW")&gt;0),"EXCLUDE",IF(OR(AJ158&lt;&gt;"INCLUDE",F158&lt;&gt;"SUCCESS",D158&lt;&gt;"STORED",U158="",AP158="",AQ158="",AQ158="UNVERIFIED",AND(AP158="OFFICIAL_WEBSITE",Q158=""),AND(OR(AA158="Equipment manual / OEM instruction",AB158="Asset-specific normative"),OR(Z158&lt;&gt;"Manufacturer / supplier",AS158="",AC158=""))),"PENDING",IF(COUNTIF(AD158:AH158,"HIGH")=5,"INCLUDE","PENDING"))))</x:f>
      </x:c>
      <x:c r="F158" s="751"/>
      <x:c r="G158" s="755"/>
      <x:c r="H158" s="755"/>
      <x:c r="I158" s="751"/>
      <x:c r="J158" s="751"/>
      <x:c r="K158" s="757" t="str">
        <x:f>IF(A158="","",IF(J158="AUTO",H158,IF(J158="MANUAL",AK158,"")))</x:f>
      </x:c>
      <x:c r="L158" s="751"/>
      <x:c r="M158" s="751"/>
      <x:c r="N158" s="751" t="str">
        <x:f>IF(OR(AM158&lt;&gt;"CURRENT",E158="EXCLUDE"),"NO",IF(A158="","",IF(OR(F158="FAIL",F158="PAYWALL_BLOCKED"),IF(AND(AK158&lt;&gt;"",AK158&gt;=INT(G158),D158="STORED",J158="MANUAL",AL158&lt;&gt;""),"NO","YES"),IF(AND(AR158="ROLLING",I158="CHANGED"),IF(AND(AK158&lt;&gt;"",AK158&gt;=INT(IF(H158&lt;&gt;"",H158,G158)),AL158&lt;&gt;""),"NO","YES"),"NO"))))</x:f>
        <x:v>NO</x:v>
      </x:c>
      <x:c r="O158" s="751"/>
      <x:c r="P158" s="752"/>
      <x:c r="Q158" s="752"/>
      <x:c r="R158" s="752"/>
      <x:c r="S158" s="752"/>
      <x:c r="T158" s="752"/>
      <x:c r="U158" s="752"/>
      <x:c r="V158" s="752"/>
      <x:c r="W158" s="752"/>
      <x:c r="X158" s="752"/>
      <x:c r="Y158" s="752"/>
      <x:c r="Z158" s="752"/>
      <x:c r="AA158" s="752"/>
      <x:c r="AB158" s="752"/>
      <x:c r="AC158" s="752"/>
      <x:c r="AD158" s="752"/>
      <x:c r="AE158" s="752"/>
      <x:c r="AF158" s="752"/>
      <x:c r="AG158" s="752"/>
      <x:c r="AH158" s="752"/>
      <x:c r="AI158" s="752"/>
      <x:c r="AJ158" s="752"/>
      <x:c r="AK158" s="759"/>
      <x:c r="AL158" s="752"/>
      <x:c r="AM158" s="752"/>
      <x:c r="AN158" s="752"/>
      <x:c r="AO158" s="752"/>
      <x:c r="AP158" s="752"/>
      <x:c r="AQ158" s="752"/>
      <x:c r="AR158" s="752"/>
      <x:c r="AS158" s="752"/>
    </x:row>
    <x:row r="159" ht="30" customHeight="1">
      <x:c r="A159" s="751"/>
      <x:c r="B159" s="751"/>
      <x:c r="C159" s="751"/>
      <x:c r="D159" s="751"/>
      <x:c r="E159" s="751" t="str">
        <x:f>IF(A159="","",IF(OR(AJ159="EXCLUDE",COUNTIF(AD159:AH159,"LOW")&gt;0),"EXCLUDE",IF(OR(AJ159&lt;&gt;"INCLUDE",F159&lt;&gt;"SUCCESS",D159&lt;&gt;"STORED",U159="",AP159="",AQ159="",AQ159="UNVERIFIED",AND(AP159="OFFICIAL_WEBSITE",Q159=""),AND(OR(AA159="Equipment manual / OEM instruction",AB159="Asset-specific normative"),OR(Z159&lt;&gt;"Manufacturer / supplier",AS159="",AC159=""))),"PENDING",IF(COUNTIF(AD159:AH159,"HIGH")=5,"INCLUDE","PENDING"))))</x:f>
      </x:c>
      <x:c r="F159" s="751"/>
      <x:c r="G159" s="755"/>
      <x:c r="H159" s="755"/>
      <x:c r="I159" s="751"/>
      <x:c r="J159" s="751"/>
      <x:c r="K159" s="757" t="str">
        <x:f>IF(A159="","",IF(J159="AUTO",H159,IF(J159="MANUAL",AK159,"")))</x:f>
      </x:c>
      <x:c r="L159" s="751"/>
      <x:c r="M159" s="751"/>
      <x:c r="N159" s="751" t="str">
        <x:f>IF(OR(AM159&lt;&gt;"CURRENT",E159="EXCLUDE"),"NO",IF(A159="","",IF(OR(F159="FAIL",F159="PAYWALL_BLOCKED"),IF(AND(AK159&lt;&gt;"",AK159&gt;=INT(G159),D159="STORED",J159="MANUAL",AL159&lt;&gt;""),"NO","YES"),IF(AND(AR159="ROLLING",I159="CHANGED"),IF(AND(AK159&lt;&gt;"",AK159&gt;=INT(IF(H159&lt;&gt;"",H159,G159)),AL159&lt;&gt;""),"NO","YES"),"NO"))))</x:f>
        <x:v>NO</x:v>
      </x:c>
      <x:c r="O159" s="751"/>
      <x:c r="P159" s="752"/>
      <x:c r="Q159" s="752"/>
      <x:c r="R159" s="752"/>
      <x:c r="S159" s="752"/>
      <x:c r="T159" s="752"/>
      <x:c r="U159" s="752"/>
      <x:c r="V159" s="752"/>
      <x:c r="W159" s="752"/>
      <x:c r="X159" s="752"/>
      <x:c r="Y159" s="752"/>
      <x:c r="Z159" s="752"/>
      <x:c r="AA159" s="752"/>
      <x:c r="AB159" s="752"/>
      <x:c r="AC159" s="752"/>
      <x:c r="AD159" s="752"/>
      <x:c r="AE159" s="752"/>
      <x:c r="AF159" s="752"/>
      <x:c r="AG159" s="752"/>
      <x:c r="AH159" s="752"/>
      <x:c r="AI159" s="752"/>
      <x:c r="AJ159" s="752"/>
      <x:c r="AK159" s="759"/>
      <x:c r="AL159" s="752"/>
      <x:c r="AM159" s="752"/>
      <x:c r="AN159" s="752"/>
      <x:c r="AO159" s="752"/>
      <x:c r="AP159" s="752"/>
      <x:c r="AQ159" s="752"/>
      <x:c r="AR159" s="752"/>
      <x:c r="AS159" s="752"/>
    </x:row>
    <x:row r="160" ht="30" customHeight="1">
      <x:c r="A160" s="751"/>
      <x:c r="B160" s="751"/>
      <x:c r="C160" s="751"/>
      <x:c r="D160" s="751"/>
      <x:c r="E160" s="751" t="str">
        <x:f>IF(A160="","",IF(OR(AJ160="EXCLUDE",COUNTIF(AD160:AH160,"LOW")&gt;0),"EXCLUDE",IF(OR(AJ160&lt;&gt;"INCLUDE",F160&lt;&gt;"SUCCESS",D160&lt;&gt;"STORED",U160="",AP160="",AQ160="",AQ160="UNVERIFIED",AND(AP160="OFFICIAL_WEBSITE",Q160=""),AND(OR(AA160="Equipment manual / OEM instruction",AB160="Asset-specific normative"),OR(Z160&lt;&gt;"Manufacturer / supplier",AS160="",AC160=""))),"PENDING",IF(COUNTIF(AD160:AH160,"HIGH")=5,"INCLUDE","PENDING"))))</x:f>
      </x:c>
      <x:c r="F160" s="751"/>
      <x:c r="G160" s="755"/>
      <x:c r="H160" s="755"/>
      <x:c r="I160" s="751"/>
      <x:c r="J160" s="751"/>
      <x:c r="K160" s="757" t="str">
        <x:f>IF(A160="","",IF(J160="AUTO",H160,IF(J160="MANUAL",AK160,"")))</x:f>
      </x:c>
      <x:c r="L160" s="751"/>
      <x:c r="M160" s="751"/>
      <x:c r="N160" s="751" t="str">
        <x:f>IF(OR(AM160&lt;&gt;"CURRENT",E160="EXCLUDE"),"NO",IF(A160="","",IF(OR(F160="FAIL",F160="PAYWALL_BLOCKED"),IF(AND(AK160&lt;&gt;"",AK160&gt;=INT(G160),D160="STORED",J160="MANUAL",AL160&lt;&gt;""),"NO","YES"),IF(AND(AR160="ROLLING",I160="CHANGED"),IF(AND(AK160&lt;&gt;"",AK160&gt;=INT(IF(H160&lt;&gt;"",H160,G160)),AL160&lt;&gt;""),"NO","YES"),"NO"))))</x:f>
        <x:v>NO</x:v>
      </x:c>
      <x:c r="O160" s="751"/>
      <x:c r="P160" s="752"/>
      <x:c r="Q160" s="752"/>
      <x:c r="R160" s="752"/>
      <x:c r="S160" s="752"/>
      <x:c r="T160" s="752"/>
      <x:c r="U160" s="752"/>
      <x:c r="V160" s="752"/>
      <x:c r="W160" s="752"/>
      <x:c r="X160" s="752"/>
      <x:c r="Y160" s="752"/>
      <x:c r="Z160" s="752"/>
      <x:c r="AA160" s="752"/>
      <x:c r="AB160" s="752"/>
      <x:c r="AC160" s="752"/>
      <x:c r="AD160" s="752"/>
      <x:c r="AE160" s="752"/>
      <x:c r="AF160" s="752"/>
      <x:c r="AG160" s="752"/>
      <x:c r="AH160" s="752"/>
      <x:c r="AI160" s="752"/>
      <x:c r="AJ160" s="752"/>
      <x:c r="AK160" s="759"/>
      <x:c r="AL160" s="752"/>
      <x:c r="AM160" s="752"/>
      <x:c r="AN160" s="752"/>
      <x:c r="AO160" s="752"/>
      <x:c r="AP160" s="752"/>
      <x:c r="AQ160" s="752"/>
      <x:c r="AR160" s="752"/>
      <x:c r="AS160" s="752"/>
    </x:row>
    <x:row r="161" ht="30" customHeight="1">
      <x:c r="A161" s="751"/>
      <x:c r="B161" s="751"/>
      <x:c r="C161" s="751"/>
      <x:c r="D161" s="751"/>
      <x:c r="E161" s="751" t="str">
        <x:f>IF(A161="","",IF(OR(AJ161="EXCLUDE",COUNTIF(AD161:AH161,"LOW")&gt;0),"EXCLUDE",IF(OR(AJ161&lt;&gt;"INCLUDE",F161&lt;&gt;"SUCCESS",D161&lt;&gt;"STORED",U161="",AP161="",AQ161="",AQ161="UNVERIFIED",AND(AP161="OFFICIAL_WEBSITE",Q161=""),AND(OR(AA161="Equipment manual / OEM instruction",AB161="Asset-specific normative"),OR(Z161&lt;&gt;"Manufacturer / supplier",AS161="",AC161=""))),"PENDING",IF(COUNTIF(AD161:AH161,"HIGH")=5,"INCLUDE","PENDING"))))</x:f>
      </x:c>
      <x:c r="F161" s="751"/>
      <x:c r="G161" s="755"/>
      <x:c r="H161" s="755"/>
      <x:c r="I161" s="751"/>
      <x:c r="J161" s="751"/>
      <x:c r="K161" s="757" t="str">
        <x:f>IF(A161="","",IF(J161="AUTO",H161,IF(J161="MANUAL",AK161,"")))</x:f>
      </x:c>
      <x:c r="L161" s="751"/>
      <x:c r="M161" s="751"/>
      <x:c r="N161" s="751" t="str">
        <x:f>IF(OR(AM161&lt;&gt;"CURRENT",E161="EXCLUDE"),"NO",IF(A161="","",IF(OR(F161="FAIL",F161="PAYWALL_BLOCKED"),IF(AND(AK161&lt;&gt;"",AK161&gt;=INT(G161),D161="STORED",J161="MANUAL",AL161&lt;&gt;""),"NO","YES"),IF(AND(AR161="ROLLING",I161="CHANGED"),IF(AND(AK161&lt;&gt;"",AK161&gt;=INT(IF(H161&lt;&gt;"",H161,G161)),AL161&lt;&gt;""),"NO","YES"),"NO"))))</x:f>
        <x:v>NO</x:v>
      </x:c>
      <x:c r="O161" s="751"/>
      <x:c r="P161" s="752"/>
      <x:c r="Q161" s="752"/>
      <x:c r="R161" s="752"/>
      <x:c r="S161" s="752"/>
      <x:c r="T161" s="752"/>
      <x:c r="U161" s="752"/>
      <x:c r="V161" s="752"/>
      <x:c r="W161" s="752"/>
      <x:c r="X161" s="752"/>
      <x:c r="Y161" s="752"/>
      <x:c r="Z161" s="752"/>
      <x:c r="AA161" s="752"/>
      <x:c r="AB161" s="752"/>
      <x:c r="AC161" s="752"/>
      <x:c r="AD161" s="752"/>
      <x:c r="AE161" s="752"/>
      <x:c r="AF161" s="752"/>
      <x:c r="AG161" s="752"/>
      <x:c r="AH161" s="752"/>
      <x:c r="AI161" s="752"/>
      <x:c r="AJ161" s="752"/>
      <x:c r="AK161" s="759"/>
      <x:c r="AL161" s="752"/>
      <x:c r="AM161" s="752"/>
      <x:c r="AN161" s="752"/>
      <x:c r="AO161" s="752"/>
      <x:c r="AP161" s="752"/>
      <x:c r="AQ161" s="752"/>
      <x:c r="AR161" s="752"/>
      <x:c r="AS161" s="752"/>
    </x:row>
    <x:row r="162" ht="30" customHeight="1">
      <x:c r="A162" s="751"/>
      <x:c r="B162" s="751"/>
      <x:c r="C162" s="751"/>
      <x:c r="D162" s="751"/>
      <x:c r="E162" s="751" t="str">
        <x:f>IF(A162="","",IF(OR(AJ162="EXCLUDE",COUNTIF(AD162:AH162,"LOW")&gt;0),"EXCLUDE",IF(OR(AJ162&lt;&gt;"INCLUDE",F162&lt;&gt;"SUCCESS",D162&lt;&gt;"STORED",U162="",AP162="",AQ162="",AQ162="UNVERIFIED",AND(AP162="OFFICIAL_WEBSITE",Q162=""),AND(OR(AA162="Equipment manual / OEM instruction",AB162="Asset-specific normative"),OR(Z162&lt;&gt;"Manufacturer / supplier",AS162="",AC162=""))),"PENDING",IF(COUNTIF(AD162:AH162,"HIGH")=5,"INCLUDE","PENDING"))))</x:f>
      </x:c>
      <x:c r="F162" s="751"/>
      <x:c r="G162" s="755"/>
      <x:c r="H162" s="755"/>
      <x:c r="I162" s="751"/>
      <x:c r="J162" s="751"/>
      <x:c r="K162" s="757" t="str">
        <x:f>IF(A162="","",IF(J162="AUTO",H162,IF(J162="MANUAL",AK162,"")))</x:f>
      </x:c>
      <x:c r="L162" s="751"/>
      <x:c r="M162" s="751"/>
      <x:c r="N162" s="751" t="str">
        <x:f>IF(OR(AM162&lt;&gt;"CURRENT",E162="EXCLUDE"),"NO",IF(A162="","",IF(OR(F162="FAIL",F162="PAYWALL_BLOCKED"),IF(AND(AK162&lt;&gt;"",AK162&gt;=INT(G162),D162="STORED",J162="MANUAL",AL162&lt;&gt;""),"NO","YES"),IF(AND(AR162="ROLLING",I162="CHANGED"),IF(AND(AK162&lt;&gt;"",AK162&gt;=INT(IF(H162&lt;&gt;"",H162,G162)),AL162&lt;&gt;""),"NO","YES"),"NO"))))</x:f>
        <x:v>NO</x:v>
      </x:c>
      <x:c r="O162" s="751"/>
      <x:c r="P162" s="752"/>
      <x:c r="Q162" s="752"/>
      <x:c r="R162" s="752"/>
      <x:c r="S162" s="752"/>
      <x:c r="T162" s="752"/>
      <x:c r="U162" s="752"/>
      <x:c r="V162" s="752"/>
      <x:c r="W162" s="752"/>
      <x:c r="X162" s="752"/>
      <x:c r="Y162" s="752"/>
      <x:c r="Z162" s="752"/>
      <x:c r="AA162" s="752"/>
      <x:c r="AB162" s="752"/>
      <x:c r="AC162" s="752"/>
      <x:c r="AD162" s="752"/>
      <x:c r="AE162" s="752"/>
      <x:c r="AF162" s="752"/>
      <x:c r="AG162" s="752"/>
      <x:c r="AH162" s="752"/>
      <x:c r="AI162" s="752"/>
      <x:c r="AJ162" s="752"/>
      <x:c r="AK162" s="759"/>
      <x:c r="AL162" s="752"/>
      <x:c r="AM162" s="752"/>
      <x:c r="AN162" s="752"/>
      <x:c r="AO162" s="752"/>
      <x:c r="AP162" s="752"/>
      <x:c r="AQ162" s="752"/>
      <x:c r="AR162" s="752"/>
      <x:c r="AS162" s="752"/>
    </x:row>
    <x:row r="163" ht="30" customHeight="1">
      <x:c r="A163" s="751"/>
      <x:c r="B163" s="751"/>
      <x:c r="C163" s="751"/>
      <x:c r="D163" s="751"/>
      <x:c r="E163" s="751" t="str">
        <x:f>IF(A163="","",IF(OR(AJ163="EXCLUDE",COUNTIF(AD163:AH163,"LOW")&gt;0),"EXCLUDE",IF(OR(AJ163&lt;&gt;"INCLUDE",F163&lt;&gt;"SUCCESS",D163&lt;&gt;"STORED",U163="",AP163="",AQ163="",AQ163="UNVERIFIED",AND(AP163="OFFICIAL_WEBSITE",Q163=""),AND(OR(AA163="Equipment manual / OEM instruction",AB163="Asset-specific normative"),OR(Z163&lt;&gt;"Manufacturer / supplier",AS163="",AC163=""))),"PENDING",IF(COUNTIF(AD163:AH163,"HIGH")=5,"INCLUDE","PENDING"))))</x:f>
      </x:c>
      <x:c r="F163" s="751"/>
      <x:c r="G163" s="755"/>
      <x:c r="H163" s="755"/>
      <x:c r="I163" s="751"/>
      <x:c r="J163" s="751"/>
      <x:c r="K163" s="757" t="str">
        <x:f>IF(A163="","",IF(J163="AUTO",H163,IF(J163="MANUAL",AK163,"")))</x:f>
      </x:c>
      <x:c r="L163" s="751"/>
      <x:c r="M163" s="751"/>
      <x:c r="N163" s="751" t="str">
        <x:f>IF(OR(AM163&lt;&gt;"CURRENT",E163="EXCLUDE"),"NO",IF(A163="","",IF(OR(F163="FAIL",F163="PAYWALL_BLOCKED"),IF(AND(AK163&lt;&gt;"",AK163&gt;=INT(G163),D163="STORED",J163="MANUAL",AL163&lt;&gt;""),"NO","YES"),IF(AND(AR163="ROLLING",I163="CHANGED"),IF(AND(AK163&lt;&gt;"",AK163&gt;=INT(IF(H163&lt;&gt;"",H163,G163)),AL163&lt;&gt;""),"NO","YES"),"NO"))))</x:f>
        <x:v>NO</x:v>
      </x:c>
      <x:c r="O163" s="751"/>
      <x:c r="P163" s="752"/>
      <x:c r="Q163" s="752"/>
      <x:c r="R163" s="752"/>
      <x:c r="S163" s="752"/>
      <x:c r="T163" s="752"/>
      <x:c r="U163" s="752"/>
      <x:c r="V163" s="752"/>
      <x:c r="W163" s="752"/>
      <x:c r="X163" s="752"/>
      <x:c r="Y163" s="752"/>
      <x:c r="Z163" s="752"/>
      <x:c r="AA163" s="752"/>
      <x:c r="AB163" s="752"/>
      <x:c r="AC163" s="752"/>
      <x:c r="AD163" s="752"/>
      <x:c r="AE163" s="752"/>
      <x:c r="AF163" s="752"/>
      <x:c r="AG163" s="752"/>
      <x:c r="AH163" s="752"/>
      <x:c r="AI163" s="752"/>
      <x:c r="AJ163" s="752"/>
      <x:c r="AK163" s="759"/>
      <x:c r="AL163" s="752"/>
      <x:c r="AM163" s="752"/>
      <x:c r="AN163" s="752"/>
      <x:c r="AO163" s="752"/>
      <x:c r="AP163" s="752"/>
      <x:c r="AQ163" s="752"/>
      <x:c r="AR163" s="752"/>
      <x:c r="AS163" s="752"/>
    </x:row>
    <x:row r="164" ht="30" customHeight="1">
      <x:c r="A164" s="751"/>
      <x:c r="B164" s="751"/>
      <x:c r="C164" s="751"/>
      <x:c r="D164" s="751"/>
      <x:c r="E164" s="751" t="str">
        <x:f>IF(A164="","",IF(OR(AJ164="EXCLUDE",COUNTIF(AD164:AH164,"LOW")&gt;0),"EXCLUDE",IF(OR(AJ164&lt;&gt;"INCLUDE",F164&lt;&gt;"SUCCESS",D164&lt;&gt;"STORED",U164="",AP164="",AQ164="",AQ164="UNVERIFIED",AND(AP164="OFFICIAL_WEBSITE",Q164=""),AND(OR(AA164="Equipment manual / OEM instruction",AB164="Asset-specific normative"),OR(Z164&lt;&gt;"Manufacturer / supplier",AS164="",AC164=""))),"PENDING",IF(COUNTIF(AD164:AH164,"HIGH")=5,"INCLUDE","PENDING"))))</x:f>
      </x:c>
      <x:c r="F164" s="751"/>
      <x:c r="G164" s="755"/>
      <x:c r="H164" s="755"/>
      <x:c r="I164" s="751"/>
      <x:c r="J164" s="751"/>
      <x:c r="K164" s="757" t="str">
        <x:f>IF(A164="","",IF(J164="AUTO",H164,IF(J164="MANUAL",AK164,"")))</x:f>
      </x:c>
      <x:c r="L164" s="751"/>
      <x:c r="M164" s="751"/>
      <x:c r="N164" s="751" t="str">
        <x:f>IF(OR(AM164&lt;&gt;"CURRENT",E164="EXCLUDE"),"NO",IF(A164="","",IF(OR(F164="FAIL",F164="PAYWALL_BLOCKED"),IF(AND(AK164&lt;&gt;"",AK164&gt;=INT(G164),D164="STORED",J164="MANUAL",AL164&lt;&gt;""),"NO","YES"),IF(AND(AR164="ROLLING",I164="CHANGED"),IF(AND(AK164&lt;&gt;"",AK164&gt;=INT(IF(H164&lt;&gt;"",H164,G164)),AL164&lt;&gt;""),"NO","YES"),"NO"))))</x:f>
        <x:v>NO</x:v>
      </x:c>
      <x:c r="O164" s="751"/>
      <x:c r="P164" s="752"/>
      <x:c r="Q164" s="752"/>
      <x:c r="R164" s="752"/>
      <x:c r="S164" s="752"/>
      <x:c r="T164" s="752"/>
      <x:c r="U164" s="752"/>
      <x:c r="V164" s="752"/>
      <x:c r="W164" s="752"/>
      <x:c r="X164" s="752"/>
      <x:c r="Y164" s="752"/>
      <x:c r="Z164" s="752"/>
      <x:c r="AA164" s="752"/>
      <x:c r="AB164" s="752"/>
      <x:c r="AC164" s="752"/>
      <x:c r="AD164" s="752"/>
      <x:c r="AE164" s="752"/>
      <x:c r="AF164" s="752"/>
      <x:c r="AG164" s="752"/>
      <x:c r="AH164" s="752"/>
      <x:c r="AI164" s="752"/>
      <x:c r="AJ164" s="752"/>
      <x:c r="AK164" s="759"/>
      <x:c r="AL164" s="752"/>
      <x:c r="AM164" s="752"/>
      <x:c r="AN164" s="752"/>
      <x:c r="AO164" s="752"/>
      <x:c r="AP164" s="752"/>
      <x:c r="AQ164" s="752"/>
      <x:c r="AR164" s="752"/>
      <x:c r="AS164" s="752"/>
    </x:row>
    <x:row r="165" ht="30" customHeight="1">
      <x:c r="A165" s="751"/>
      <x:c r="B165" s="751"/>
      <x:c r="C165" s="751"/>
      <x:c r="D165" s="751"/>
      <x:c r="E165" s="751" t="str">
        <x:f>IF(A165="","",IF(OR(AJ165="EXCLUDE",COUNTIF(AD165:AH165,"LOW")&gt;0),"EXCLUDE",IF(OR(AJ165&lt;&gt;"INCLUDE",F165&lt;&gt;"SUCCESS",D165&lt;&gt;"STORED",U165="",AP165="",AQ165="",AQ165="UNVERIFIED",AND(AP165="OFFICIAL_WEBSITE",Q165=""),AND(OR(AA165="Equipment manual / OEM instruction",AB165="Asset-specific normative"),OR(Z165&lt;&gt;"Manufacturer / supplier",AS165="",AC165=""))),"PENDING",IF(COUNTIF(AD165:AH165,"HIGH")=5,"INCLUDE","PENDING"))))</x:f>
      </x:c>
      <x:c r="F165" s="751"/>
      <x:c r="G165" s="755"/>
      <x:c r="H165" s="755"/>
      <x:c r="I165" s="751"/>
      <x:c r="J165" s="751"/>
      <x:c r="K165" s="757" t="str">
        <x:f>IF(A165="","",IF(J165="AUTO",H165,IF(J165="MANUAL",AK165,"")))</x:f>
      </x:c>
      <x:c r="L165" s="751"/>
      <x:c r="M165" s="751"/>
      <x:c r="N165" s="751" t="str">
        <x:f>IF(OR(AM165&lt;&gt;"CURRENT",E165="EXCLUDE"),"NO",IF(A165="","",IF(OR(F165="FAIL",F165="PAYWALL_BLOCKED"),IF(AND(AK165&lt;&gt;"",AK165&gt;=INT(G165),D165="STORED",J165="MANUAL",AL165&lt;&gt;""),"NO","YES"),IF(AND(AR165="ROLLING",I165="CHANGED"),IF(AND(AK165&lt;&gt;"",AK165&gt;=INT(IF(H165&lt;&gt;"",H165,G165)),AL165&lt;&gt;""),"NO","YES"),"NO"))))</x:f>
        <x:v>NO</x:v>
      </x:c>
      <x:c r="O165" s="751"/>
      <x:c r="P165" s="752"/>
      <x:c r="Q165" s="752"/>
      <x:c r="R165" s="752"/>
      <x:c r="S165" s="752"/>
      <x:c r="T165" s="752"/>
      <x:c r="U165" s="752"/>
      <x:c r="V165" s="752"/>
      <x:c r="W165" s="752"/>
      <x:c r="X165" s="752"/>
      <x:c r="Y165" s="752"/>
      <x:c r="Z165" s="752"/>
      <x:c r="AA165" s="752"/>
      <x:c r="AB165" s="752"/>
      <x:c r="AC165" s="752"/>
      <x:c r="AD165" s="752"/>
      <x:c r="AE165" s="752"/>
      <x:c r="AF165" s="752"/>
      <x:c r="AG165" s="752"/>
      <x:c r="AH165" s="752"/>
      <x:c r="AI165" s="752"/>
      <x:c r="AJ165" s="752"/>
      <x:c r="AK165" s="759"/>
      <x:c r="AL165" s="752"/>
      <x:c r="AM165" s="752"/>
      <x:c r="AN165" s="752"/>
      <x:c r="AO165" s="752"/>
      <x:c r="AP165" s="752"/>
      <x:c r="AQ165" s="752"/>
      <x:c r="AR165" s="752"/>
      <x:c r="AS165" s="752"/>
    </x:row>
    <x:row r="166" ht="30" customHeight="1">
      <x:c r="A166" s="751"/>
      <x:c r="B166" s="751"/>
      <x:c r="C166" s="751"/>
      <x:c r="D166" s="751"/>
      <x:c r="E166" s="751" t="str">
        <x:f>IF(A166="","",IF(OR(AJ166="EXCLUDE",COUNTIF(AD166:AH166,"LOW")&gt;0),"EXCLUDE",IF(OR(AJ166&lt;&gt;"INCLUDE",F166&lt;&gt;"SUCCESS",D166&lt;&gt;"STORED",U166="",AP166="",AQ166="",AQ166="UNVERIFIED",AND(AP166="OFFICIAL_WEBSITE",Q166=""),AND(OR(AA166="Equipment manual / OEM instruction",AB166="Asset-specific normative"),OR(Z166&lt;&gt;"Manufacturer / supplier",AS166="",AC166=""))),"PENDING",IF(COUNTIF(AD166:AH166,"HIGH")=5,"INCLUDE","PENDING"))))</x:f>
      </x:c>
      <x:c r="F166" s="751"/>
      <x:c r="G166" s="755"/>
      <x:c r="H166" s="755"/>
      <x:c r="I166" s="751"/>
      <x:c r="J166" s="751"/>
      <x:c r="K166" s="757" t="str">
        <x:f>IF(A166="","",IF(J166="AUTO",H166,IF(J166="MANUAL",AK166,"")))</x:f>
      </x:c>
      <x:c r="L166" s="751"/>
      <x:c r="M166" s="751"/>
      <x:c r="N166" s="751" t="str">
        <x:f>IF(OR(AM166&lt;&gt;"CURRENT",E166="EXCLUDE"),"NO",IF(A166="","",IF(OR(F166="FAIL",F166="PAYWALL_BLOCKED"),IF(AND(AK166&lt;&gt;"",AK166&gt;=INT(G166),D166="STORED",J166="MANUAL",AL166&lt;&gt;""),"NO","YES"),IF(AND(AR166="ROLLING",I166="CHANGED"),IF(AND(AK166&lt;&gt;"",AK166&gt;=INT(IF(H166&lt;&gt;"",H166,G166)),AL166&lt;&gt;""),"NO","YES"),"NO"))))</x:f>
        <x:v>NO</x:v>
      </x:c>
      <x:c r="O166" s="751"/>
      <x:c r="P166" s="752"/>
      <x:c r="Q166" s="752"/>
      <x:c r="R166" s="752"/>
      <x:c r="S166" s="752"/>
      <x:c r="T166" s="752"/>
      <x:c r="U166" s="752"/>
      <x:c r="V166" s="752"/>
      <x:c r="W166" s="752"/>
      <x:c r="X166" s="752"/>
      <x:c r="Y166" s="752"/>
      <x:c r="Z166" s="752"/>
      <x:c r="AA166" s="752"/>
      <x:c r="AB166" s="752"/>
      <x:c r="AC166" s="752"/>
      <x:c r="AD166" s="752"/>
      <x:c r="AE166" s="752"/>
      <x:c r="AF166" s="752"/>
      <x:c r="AG166" s="752"/>
      <x:c r="AH166" s="752"/>
      <x:c r="AI166" s="752"/>
      <x:c r="AJ166" s="752"/>
      <x:c r="AK166" s="759"/>
      <x:c r="AL166" s="752"/>
      <x:c r="AM166" s="752"/>
      <x:c r="AN166" s="752"/>
      <x:c r="AO166" s="752"/>
      <x:c r="AP166" s="752"/>
      <x:c r="AQ166" s="752"/>
      <x:c r="AR166" s="752"/>
      <x:c r="AS166" s="752"/>
    </x:row>
    <x:row r="167" ht="30" customHeight="1">
      <x:c r="A167" s="751"/>
      <x:c r="B167" s="751"/>
      <x:c r="C167" s="751"/>
      <x:c r="D167" s="751"/>
      <x:c r="E167" s="751" t="str">
        <x:f>IF(A167="","",IF(OR(AJ167="EXCLUDE",COUNTIF(AD167:AH167,"LOW")&gt;0),"EXCLUDE",IF(OR(AJ167&lt;&gt;"INCLUDE",F167&lt;&gt;"SUCCESS",D167&lt;&gt;"STORED",U167="",AP167="",AQ167="",AQ167="UNVERIFIED",AND(AP167="OFFICIAL_WEBSITE",Q167=""),AND(OR(AA167="Equipment manual / OEM instruction",AB167="Asset-specific normative"),OR(Z167&lt;&gt;"Manufacturer / supplier",AS167="",AC167=""))),"PENDING",IF(COUNTIF(AD167:AH167,"HIGH")=5,"INCLUDE","PENDING"))))</x:f>
      </x:c>
      <x:c r="F167" s="751"/>
      <x:c r="G167" s="755"/>
      <x:c r="H167" s="755"/>
      <x:c r="I167" s="751"/>
      <x:c r="J167" s="751"/>
      <x:c r="K167" s="757" t="str">
        <x:f>IF(A167="","",IF(J167="AUTO",H167,IF(J167="MANUAL",AK167,"")))</x:f>
      </x:c>
      <x:c r="L167" s="751"/>
      <x:c r="M167" s="751"/>
      <x:c r="N167" s="751" t="str">
        <x:f>IF(OR(AM167&lt;&gt;"CURRENT",E167="EXCLUDE"),"NO",IF(A167="","",IF(OR(F167="FAIL",F167="PAYWALL_BLOCKED"),IF(AND(AK167&lt;&gt;"",AK167&gt;=INT(G167),D167="STORED",J167="MANUAL",AL167&lt;&gt;""),"NO","YES"),IF(AND(AR167="ROLLING",I167="CHANGED"),IF(AND(AK167&lt;&gt;"",AK167&gt;=INT(IF(H167&lt;&gt;"",H167,G167)),AL167&lt;&gt;""),"NO","YES"),"NO"))))</x:f>
        <x:v>NO</x:v>
      </x:c>
      <x:c r="O167" s="751"/>
      <x:c r="P167" s="752"/>
      <x:c r="Q167" s="752"/>
      <x:c r="R167" s="752"/>
      <x:c r="S167" s="752"/>
      <x:c r="T167" s="752"/>
      <x:c r="U167" s="752"/>
      <x:c r="V167" s="752"/>
      <x:c r="W167" s="752"/>
      <x:c r="X167" s="752"/>
      <x:c r="Y167" s="752"/>
      <x:c r="Z167" s="752"/>
      <x:c r="AA167" s="752"/>
      <x:c r="AB167" s="752"/>
      <x:c r="AC167" s="752"/>
      <x:c r="AD167" s="752"/>
      <x:c r="AE167" s="752"/>
      <x:c r="AF167" s="752"/>
      <x:c r="AG167" s="752"/>
      <x:c r="AH167" s="752"/>
      <x:c r="AI167" s="752"/>
      <x:c r="AJ167" s="752"/>
      <x:c r="AK167" s="759"/>
      <x:c r="AL167" s="752"/>
      <x:c r="AM167" s="752"/>
      <x:c r="AN167" s="752"/>
      <x:c r="AO167" s="752"/>
      <x:c r="AP167" s="752"/>
      <x:c r="AQ167" s="752"/>
      <x:c r="AR167" s="752"/>
      <x:c r="AS167" s="752"/>
    </x:row>
    <x:row r="168" ht="30" customHeight="1">
      <x:c r="A168" s="751"/>
      <x:c r="B168" s="751"/>
      <x:c r="C168" s="751"/>
      <x:c r="D168" s="751"/>
      <x:c r="E168" s="751" t="str">
        <x:f>IF(A168="","",IF(OR(AJ168="EXCLUDE",COUNTIF(AD168:AH168,"LOW")&gt;0),"EXCLUDE",IF(OR(AJ168&lt;&gt;"INCLUDE",F168&lt;&gt;"SUCCESS",D168&lt;&gt;"STORED",U168="",AP168="",AQ168="",AQ168="UNVERIFIED",AND(AP168="OFFICIAL_WEBSITE",Q168=""),AND(OR(AA168="Equipment manual / OEM instruction",AB168="Asset-specific normative"),OR(Z168&lt;&gt;"Manufacturer / supplier",AS168="",AC168=""))),"PENDING",IF(COUNTIF(AD168:AH168,"HIGH")=5,"INCLUDE","PENDING"))))</x:f>
      </x:c>
      <x:c r="F168" s="751"/>
      <x:c r="G168" s="755"/>
      <x:c r="H168" s="755"/>
      <x:c r="I168" s="751"/>
      <x:c r="J168" s="751"/>
      <x:c r="K168" s="757" t="str">
        <x:f>IF(A168="","",IF(J168="AUTO",H168,IF(J168="MANUAL",AK168,"")))</x:f>
      </x:c>
      <x:c r="L168" s="751"/>
      <x:c r="M168" s="751"/>
      <x:c r="N168" s="751" t="str">
        <x:f>IF(OR(AM168&lt;&gt;"CURRENT",E168="EXCLUDE"),"NO",IF(A168="","",IF(OR(F168="FAIL",F168="PAYWALL_BLOCKED"),IF(AND(AK168&lt;&gt;"",AK168&gt;=INT(G168),D168="STORED",J168="MANUAL",AL168&lt;&gt;""),"NO","YES"),IF(AND(AR168="ROLLING",I168="CHANGED"),IF(AND(AK168&lt;&gt;"",AK168&gt;=INT(IF(H168&lt;&gt;"",H168,G168)),AL168&lt;&gt;""),"NO","YES"),"NO"))))</x:f>
        <x:v>NO</x:v>
      </x:c>
      <x:c r="O168" s="751"/>
      <x:c r="P168" s="752"/>
      <x:c r="Q168" s="752"/>
      <x:c r="R168" s="752"/>
      <x:c r="S168" s="752"/>
      <x:c r="T168" s="752"/>
      <x:c r="U168" s="752"/>
      <x:c r="V168" s="752"/>
      <x:c r="W168" s="752"/>
      <x:c r="X168" s="752"/>
      <x:c r="Y168" s="752"/>
      <x:c r="Z168" s="752"/>
      <x:c r="AA168" s="752"/>
      <x:c r="AB168" s="752"/>
      <x:c r="AC168" s="752"/>
      <x:c r="AD168" s="752"/>
      <x:c r="AE168" s="752"/>
      <x:c r="AF168" s="752"/>
      <x:c r="AG168" s="752"/>
      <x:c r="AH168" s="752"/>
      <x:c r="AI168" s="752"/>
      <x:c r="AJ168" s="752"/>
      <x:c r="AK168" s="759"/>
      <x:c r="AL168" s="752"/>
      <x:c r="AM168" s="752"/>
      <x:c r="AN168" s="752"/>
      <x:c r="AO168" s="752"/>
      <x:c r="AP168" s="752"/>
      <x:c r="AQ168" s="752"/>
      <x:c r="AR168" s="752"/>
      <x:c r="AS168" s="752"/>
    </x:row>
    <x:row r="169" ht="30" customHeight="1">
      <x:c r="A169" s="751"/>
      <x:c r="B169" s="751"/>
      <x:c r="C169" s="751"/>
      <x:c r="D169" s="751"/>
      <x:c r="E169" s="751" t="str">
        <x:f>IF(A169="","",IF(OR(AJ169="EXCLUDE",COUNTIF(AD169:AH169,"LOW")&gt;0),"EXCLUDE",IF(OR(AJ169&lt;&gt;"INCLUDE",F169&lt;&gt;"SUCCESS",D169&lt;&gt;"STORED",U169="",AP169="",AQ169="",AQ169="UNVERIFIED",AND(AP169="OFFICIAL_WEBSITE",Q169=""),AND(OR(AA169="Equipment manual / OEM instruction",AB169="Asset-specific normative"),OR(Z169&lt;&gt;"Manufacturer / supplier",AS169="",AC169=""))),"PENDING",IF(COUNTIF(AD169:AH169,"HIGH")=5,"INCLUDE","PENDING"))))</x:f>
      </x:c>
      <x:c r="F169" s="751"/>
      <x:c r="G169" s="755"/>
      <x:c r="H169" s="755"/>
      <x:c r="I169" s="751"/>
      <x:c r="J169" s="751"/>
      <x:c r="K169" s="757" t="str">
        <x:f>IF(A169="","",IF(J169="AUTO",H169,IF(J169="MANUAL",AK169,"")))</x:f>
      </x:c>
      <x:c r="L169" s="751"/>
      <x:c r="M169" s="751"/>
      <x:c r="N169" s="751" t="str">
        <x:f>IF(OR(AM169&lt;&gt;"CURRENT",E169="EXCLUDE"),"NO",IF(A169="","",IF(OR(F169="FAIL",F169="PAYWALL_BLOCKED"),IF(AND(AK169&lt;&gt;"",AK169&gt;=INT(G169),D169="STORED",J169="MANUAL",AL169&lt;&gt;""),"NO","YES"),IF(AND(AR169="ROLLING",I169="CHANGED"),IF(AND(AK169&lt;&gt;"",AK169&gt;=INT(IF(H169&lt;&gt;"",H169,G169)),AL169&lt;&gt;""),"NO","YES"),"NO"))))</x:f>
        <x:v>NO</x:v>
      </x:c>
      <x:c r="O169" s="751"/>
      <x:c r="P169" s="752"/>
      <x:c r="Q169" s="752"/>
      <x:c r="R169" s="752"/>
      <x:c r="S169" s="752"/>
      <x:c r="T169" s="752"/>
      <x:c r="U169" s="752"/>
      <x:c r="V169" s="752"/>
      <x:c r="W169" s="752"/>
      <x:c r="X169" s="752"/>
      <x:c r="Y169" s="752"/>
      <x:c r="Z169" s="752"/>
      <x:c r="AA169" s="752"/>
      <x:c r="AB169" s="752"/>
      <x:c r="AC169" s="752"/>
      <x:c r="AD169" s="752"/>
      <x:c r="AE169" s="752"/>
      <x:c r="AF169" s="752"/>
      <x:c r="AG169" s="752"/>
      <x:c r="AH169" s="752"/>
      <x:c r="AI169" s="752"/>
      <x:c r="AJ169" s="752"/>
      <x:c r="AK169" s="759"/>
      <x:c r="AL169" s="752"/>
      <x:c r="AM169" s="752"/>
      <x:c r="AN169" s="752"/>
      <x:c r="AO169" s="752"/>
      <x:c r="AP169" s="752"/>
      <x:c r="AQ169" s="752"/>
      <x:c r="AR169" s="752"/>
      <x:c r="AS169" s="752"/>
    </x:row>
    <x:row r="170" ht="30" customHeight="1">
      <x:c r="A170" s="751"/>
      <x:c r="B170" s="751"/>
      <x:c r="C170" s="751"/>
      <x:c r="D170" s="751"/>
      <x:c r="E170" s="751" t="str">
        <x:f>IF(A170="","",IF(OR(AJ170="EXCLUDE",COUNTIF(AD170:AH170,"LOW")&gt;0),"EXCLUDE",IF(OR(AJ170&lt;&gt;"INCLUDE",F170&lt;&gt;"SUCCESS",D170&lt;&gt;"STORED",U170="",AP170="",AQ170="",AQ170="UNVERIFIED",AND(AP170="OFFICIAL_WEBSITE",Q170=""),AND(OR(AA170="Equipment manual / OEM instruction",AB170="Asset-specific normative"),OR(Z170&lt;&gt;"Manufacturer / supplier",AS170="",AC170=""))),"PENDING",IF(COUNTIF(AD170:AH170,"HIGH")=5,"INCLUDE","PENDING"))))</x:f>
      </x:c>
      <x:c r="F170" s="751"/>
      <x:c r="G170" s="755"/>
      <x:c r="H170" s="755"/>
      <x:c r="I170" s="751"/>
      <x:c r="J170" s="751"/>
      <x:c r="K170" s="757" t="str">
        <x:f>IF(A170="","",IF(J170="AUTO",H170,IF(J170="MANUAL",AK170,"")))</x:f>
      </x:c>
      <x:c r="L170" s="751"/>
      <x:c r="M170" s="751"/>
      <x:c r="N170" s="751" t="str">
        <x:f>IF(OR(AM170&lt;&gt;"CURRENT",E170="EXCLUDE"),"NO",IF(A170="","",IF(OR(F170="FAIL",F170="PAYWALL_BLOCKED"),IF(AND(AK170&lt;&gt;"",AK170&gt;=INT(G170),D170="STORED",J170="MANUAL",AL170&lt;&gt;""),"NO","YES"),IF(AND(AR170="ROLLING",I170="CHANGED"),IF(AND(AK170&lt;&gt;"",AK170&gt;=INT(IF(H170&lt;&gt;"",H170,G170)),AL170&lt;&gt;""),"NO","YES"),"NO"))))</x:f>
        <x:v>NO</x:v>
      </x:c>
      <x:c r="O170" s="751"/>
      <x:c r="P170" s="752"/>
      <x:c r="Q170" s="752"/>
      <x:c r="R170" s="752"/>
      <x:c r="S170" s="752"/>
      <x:c r="T170" s="752"/>
      <x:c r="U170" s="752"/>
      <x:c r="V170" s="752"/>
      <x:c r="W170" s="752"/>
      <x:c r="X170" s="752"/>
      <x:c r="Y170" s="752"/>
      <x:c r="Z170" s="752"/>
      <x:c r="AA170" s="752"/>
      <x:c r="AB170" s="752"/>
      <x:c r="AC170" s="752"/>
      <x:c r="AD170" s="752"/>
      <x:c r="AE170" s="752"/>
      <x:c r="AF170" s="752"/>
      <x:c r="AG170" s="752"/>
      <x:c r="AH170" s="752"/>
      <x:c r="AI170" s="752"/>
      <x:c r="AJ170" s="752"/>
      <x:c r="AK170" s="759"/>
      <x:c r="AL170" s="752"/>
      <x:c r="AM170" s="752"/>
      <x:c r="AN170" s="752"/>
      <x:c r="AO170" s="752"/>
      <x:c r="AP170" s="752"/>
      <x:c r="AQ170" s="752"/>
      <x:c r="AR170" s="752"/>
      <x:c r="AS170" s="752"/>
    </x:row>
    <x:row r="171" ht="30" customHeight="1">
      <x:c r="A171" s="751"/>
      <x:c r="B171" s="751"/>
      <x:c r="C171" s="751"/>
      <x:c r="D171" s="751"/>
      <x:c r="E171" s="751" t="str">
        <x:f>IF(A171="","",IF(OR(AJ171="EXCLUDE",COUNTIF(AD171:AH171,"LOW")&gt;0),"EXCLUDE",IF(OR(AJ171&lt;&gt;"INCLUDE",F171&lt;&gt;"SUCCESS",D171&lt;&gt;"STORED",U171="",AP171="",AQ171="",AQ171="UNVERIFIED",AND(AP171="OFFICIAL_WEBSITE",Q171=""),AND(OR(AA171="Equipment manual / OEM instruction",AB171="Asset-specific normative"),OR(Z171&lt;&gt;"Manufacturer / supplier",AS171="",AC171=""))),"PENDING",IF(COUNTIF(AD171:AH171,"HIGH")=5,"INCLUDE","PENDING"))))</x:f>
      </x:c>
      <x:c r="F171" s="751"/>
      <x:c r="G171" s="755"/>
      <x:c r="H171" s="755"/>
      <x:c r="I171" s="751"/>
      <x:c r="J171" s="751"/>
      <x:c r="K171" s="757" t="str">
        <x:f>IF(A171="","",IF(J171="AUTO",H171,IF(J171="MANUAL",AK171,"")))</x:f>
      </x:c>
      <x:c r="L171" s="751"/>
      <x:c r="M171" s="751"/>
      <x:c r="N171" s="751" t="str">
        <x:f>IF(OR(AM171&lt;&gt;"CURRENT",E171="EXCLUDE"),"NO",IF(A171="","",IF(OR(F171="FAIL",F171="PAYWALL_BLOCKED"),IF(AND(AK171&lt;&gt;"",AK171&gt;=INT(G171),D171="STORED",J171="MANUAL",AL171&lt;&gt;""),"NO","YES"),IF(AND(AR171="ROLLING",I171="CHANGED"),IF(AND(AK171&lt;&gt;"",AK171&gt;=INT(IF(H171&lt;&gt;"",H171,G171)),AL171&lt;&gt;""),"NO","YES"),"NO"))))</x:f>
        <x:v>NO</x:v>
      </x:c>
      <x:c r="O171" s="751"/>
      <x:c r="P171" s="752"/>
      <x:c r="Q171" s="752"/>
      <x:c r="R171" s="752"/>
      <x:c r="S171" s="752"/>
      <x:c r="T171" s="752"/>
      <x:c r="U171" s="752"/>
      <x:c r="V171" s="752"/>
      <x:c r="W171" s="752"/>
      <x:c r="X171" s="752"/>
      <x:c r="Y171" s="752"/>
      <x:c r="Z171" s="752"/>
      <x:c r="AA171" s="752"/>
      <x:c r="AB171" s="752"/>
      <x:c r="AC171" s="752"/>
      <x:c r="AD171" s="752"/>
      <x:c r="AE171" s="752"/>
      <x:c r="AF171" s="752"/>
      <x:c r="AG171" s="752"/>
      <x:c r="AH171" s="752"/>
      <x:c r="AI171" s="752"/>
      <x:c r="AJ171" s="752"/>
      <x:c r="AK171" s="759"/>
      <x:c r="AL171" s="752"/>
      <x:c r="AM171" s="752"/>
      <x:c r="AN171" s="752"/>
      <x:c r="AO171" s="752"/>
      <x:c r="AP171" s="752"/>
      <x:c r="AQ171" s="752"/>
      <x:c r="AR171" s="752"/>
      <x:c r="AS171" s="752"/>
    </x:row>
    <x:row r="172" ht="30" customHeight="1">
      <x:c r="A172" s="751"/>
      <x:c r="B172" s="751"/>
      <x:c r="C172" s="751"/>
      <x:c r="D172" s="751"/>
      <x:c r="E172" s="751" t="str">
        <x:f>IF(A172="","",IF(OR(AJ172="EXCLUDE",COUNTIF(AD172:AH172,"LOW")&gt;0),"EXCLUDE",IF(OR(AJ172&lt;&gt;"INCLUDE",F172&lt;&gt;"SUCCESS",D172&lt;&gt;"STORED",U172="",AP172="",AQ172="",AQ172="UNVERIFIED",AND(AP172="OFFICIAL_WEBSITE",Q172=""),AND(OR(AA172="Equipment manual / OEM instruction",AB172="Asset-specific normative"),OR(Z172&lt;&gt;"Manufacturer / supplier",AS172="",AC172=""))),"PENDING",IF(COUNTIF(AD172:AH172,"HIGH")=5,"INCLUDE","PENDING"))))</x:f>
      </x:c>
      <x:c r="F172" s="751"/>
      <x:c r="G172" s="755"/>
      <x:c r="H172" s="755"/>
      <x:c r="I172" s="751"/>
      <x:c r="J172" s="751"/>
      <x:c r="K172" s="757" t="str">
        <x:f>IF(A172="","",IF(J172="AUTO",H172,IF(J172="MANUAL",AK172,"")))</x:f>
      </x:c>
      <x:c r="L172" s="751"/>
      <x:c r="M172" s="751"/>
      <x:c r="N172" s="751" t="str">
        <x:f>IF(OR(AM172&lt;&gt;"CURRENT",E172="EXCLUDE"),"NO",IF(A172="","",IF(OR(F172="FAIL",F172="PAYWALL_BLOCKED"),IF(AND(AK172&lt;&gt;"",AK172&gt;=INT(G172),D172="STORED",J172="MANUAL",AL172&lt;&gt;""),"NO","YES"),IF(AND(AR172="ROLLING",I172="CHANGED"),IF(AND(AK172&lt;&gt;"",AK172&gt;=INT(IF(H172&lt;&gt;"",H172,G172)),AL172&lt;&gt;""),"NO","YES"),"NO"))))</x:f>
        <x:v>NO</x:v>
      </x:c>
      <x:c r="O172" s="751"/>
      <x:c r="P172" s="752"/>
      <x:c r="Q172" s="752"/>
      <x:c r="R172" s="752"/>
      <x:c r="S172" s="752"/>
      <x:c r="T172" s="752"/>
      <x:c r="U172" s="752"/>
      <x:c r="V172" s="752"/>
      <x:c r="W172" s="752"/>
      <x:c r="X172" s="752"/>
      <x:c r="Y172" s="752"/>
      <x:c r="Z172" s="752"/>
      <x:c r="AA172" s="752"/>
      <x:c r="AB172" s="752"/>
      <x:c r="AC172" s="752"/>
      <x:c r="AD172" s="752"/>
      <x:c r="AE172" s="752"/>
      <x:c r="AF172" s="752"/>
      <x:c r="AG172" s="752"/>
      <x:c r="AH172" s="752"/>
      <x:c r="AI172" s="752"/>
      <x:c r="AJ172" s="752"/>
      <x:c r="AK172" s="759"/>
      <x:c r="AL172" s="752"/>
      <x:c r="AM172" s="752"/>
      <x:c r="AN172" s="752"/>
      <x:c r="AO172" s="752"/>
      <x:c r="AP172" s="752"/>
      <x:c r="AQ172" s="752"/>
      <x:c r="AR172" s="752"/>
      <x:c r="AS172" s="752"/>
    </x:row>
    <x:row r="173" ht="30" customHeight="1">
      <x:c r="A173" s="751"/>
      <x:c r="B173" s="751"/>
      <x:c r="C173" s="751"/>
      <x:c r="D173" s="751"/>
      <x:c r="E173" s="751" t="str">
        <x:f>IF(A173="","",IF(OR(AJ173="EXCLUDE",COUNTIF(AD173:AH173,"LOW")&gt;0),"EXCLUDE",IF(OR(AJ173&lt;&gt;"INCLUDE",F173&lt;&gt;"SUCCESS",D173&lt;&gt;"STORED",U173="",AP173="",AQ173="",AQ173="UNVERIFIED",AND(AP173="OFFICIAL_WEBSITE",Q173=""),AND(OR(AA173="Equipment manual / OEM instruction",AB173="Asset-specific normative"),OR(Z173&lt;&gt;"Manufacturer / supplier",AS173="",AC173=""))),"PENDING",IF(COUNTIF(AD173:AH173,"HIGH")=5,"INCLUDE","PENDING"))))</x:f>
      </x:c>
      <x:c r="F173" s="751"/>
      <x:c r="G173" s="755"/>
      <x:c r="H173" s="755"/>
      <x:c r="I173" s="751"/>
      <x:c r="J173" s="751"/>
      <x:c r="K173" s="757" t="str">
        <x:f>IF(A173="","",IF(J173="AUTO",H173,IF(J173="MANUAL",AK173,"")))</x:f>
      </x:c>
      <x:c r="L173" s="751"/>
      <x:c r="M173" s="751"/>
      <x:c r="N173" s="751" t="str">
        <x:f>IF(OR(AM173&lt;&gt;"CURRENT",E173="EXCLUDE"),"NO",IF(A173="","",IF(OR(F173="FAIL",F173="PAYWALL_BLOCKED"),IF(AND(AK173&lt;&gt;"",AK173&gt;=INT(G173),D173="STORED",J173="MANUAL",AL173&lt;&gt;""),"NO","YES"),IF(AND(AR173="ROLLING",I173="CHANGED"),IF(AND(AK173&lt;&gt;"",AK173&gt;=INT(IF(H173&lt;&gt;"",H173,G173)),AL173&lt;&gt;""),"NO","YES"),"NO"))))</x:f>
        <x:v>NO</x:v>
      </x:c>
      <x:c r="O173" s="751"/>
      <x:c r="P173" s="752"/>
      <x:c r="Q173" s="752"/>
      <x:c r="R173" s="752"/>
      <x:c r="S173" s="752"/>
      <x:c r="T173" s="752"/>
      <x:c r="U173" s="752"/>
      <x:c r="V173" s="752"/>
      <x:c r="W173" s="752"/>
      <x:c r="X173" s="752"/>
      <x:c r="Y173" s="752"/>
      <x:c r="Z173" s="752"/>
      <x:c r="AA173" s="752"/>
      <x:c r="AB173" s="752"/>
      <x:c r="AC173" s="752"/>
      <x:c r="AD173" s="752"/>
      <x:c r="AE173" s="752"/>
      <x:c r="AF173" s="752"/>
      <x:c r="AG173" s="752"/>
      <x:c r="AH173" s="752"/>
      <x:c r="AI173" s="752"/>
      <x:c r="AJ173" s="752"/>
      <x:c r="AK173" s="759"/>
      <x:c r="AL173" s="752"/>
      <x:c r="AM173" s="752"/>
      <x:c r="AN173" s="752"/>
      <x:c r="AO173" s="752"/>
      <x:c r="AP173" s="752"/>
      <x:c r="AQ173" s="752"/>
      <x:c r="AR173" s="752"/>
      <x:c r="AS173" s="752"/>
    </x:row>
    <x:row r="174" ht="30" customHeight="1">
      <x:c r="A174" s="751"/>
      <x:c r="B174" s="751"/>
      <x:c r="C174" s="751"/>
      <x:c r="D174" s="751"/>
      <x:c r="E174" s="751" t="str">
        <x:f>IF(A174="","",IF(OR(AJ174="EXCLUDE",COUNTIF(AD174:AH174,"LOW")&gt;0),"EXCLUDE",IF(OR(AJ174&lt;&gt;"INCLUDE",F174&lt;&gt;"SUCCESS",D174&lt;&gt;"STORED",U174="",AP174="",AQ174="",AQ174="UNVERIFIED",AND(AP174="OFFICIAL_WEBSITE",Q174=""),AND(OR(AA174="Equipment manual / OEM instruction",AB174="Asset-specific normative"),OR(Z174&lt;&gt;"Manufacturer / supplier",AS174="",AC174=""))),"PENDING",IF(COUNTIF(AD174:AH174,"HIGH")=5,"INCLUDE","PENDING"))))</x:f>
      </x:c>
      <x:c r="F174" s="751"/>
      <x:c r="G174" s="755"/>
      <x:c r="H174" s="755"/>
      <x:c r="I174" s="751"/>
      <x:c r="J174" s="751"/>
      <x:c r="K174" s="757" t="str">
        <x:f>IF(A174="","",IF(J174="AUTO",H174,IF(J174="MANUAL",AK174,"")))</x:f>
      </x:c>
      <x:c r="L174" s="751"/>
      <x:c r="M174" s="751"/>
      <x:c r="N174" s="751" t="str">
        <x:f>IF(OR(AM174&lt;&gt;"CURRENT",E174="EXCLUDE"),"NO",IF(A174="","",IF(OR(F174="FAIL",F174="PAYWALL_BLOCKED"),IF(AND(AK174&lt;&gt;"",AK174&gt;=INT(G174),D174="STORED",J174="MANUAL",AL174&lt;&gt;""),"NO","YES"),IF(AND(AR174="ROLLING",I174="CHANGED"),IF(AND(AK174&lt;&gt;"",AK174&gt;=INT(IF(H174&lt;&gt;"",H174,G174)),AL174&lt;&gt;""),"NO","YES"),"NO"))))</x:f>
        <x:v>NO</x:v>
      </x:c>
      <x:c r="O174" s="751"/>
      <x:c r="P174" s="752"/>
      <x:c r="Q174" s="752"/>
      <x:c r="R174" s="752"/>
      <x:c r="S174" s="752"/>
      <x:c r="T174" s="752"/>
      <x:c r="U174" s="752"/>
      <x:c r="V174" s="752"/>
      <x:c r="W174" s="752"/>
      <x:c r="X174" s="752"/>
      <x:c r="Y174" s="752"/>
      <x:c r="Z174" s="752"/>
      <x:c r="AA174" s="752"/>
      <x:c r="AB174" s="752"/>
      <x:c r="AC174" s="752"/>
      <x:c r="AD174" s="752"/>
      <x:c r="AE174" s="752"/>
      <x:c r="AF174" s="752"/>
      <x:c r="AG174" s="752"/>
      <x:c r="AH174" s="752"/>
      <x:c r="AI174" s="752"/>
      <x:c r="AJ174" s="752"/>
      <x:c r="AK174" s="759"/>
      <x:c r="AL174" s="752"/>
      <x:c r="AM174" s="752"/>
      <x:c r="AN174" s="752"/>
      <x:c r="AO174" s="752"/>
      <x:c r="AP174" s="752"/>
      <x:c r="AQ174" s="752"/>
      <x:c r="AR174" s="752"/>
      <x:c r="AS174" s="752"/>
    </x:row>
    <x:row r="175" ht="30" customHeight="1">
      <x:c r="A175" s="751"/>
      <x:c r="B175" s="751"/>
      <x:c r="C175" s="751"/>
      <x:c r="D175" s="751"/>
      <x:c r="E175" s="751" t="str">
        <x:f>IF(A175="","",IF(OR(AJ175="EXCLUDE",COUNTIF(AD175:AH175,"LOW")&gt;0),"EXCLUDE",IF(OR(AJ175&lt;&gt;"INCLUDE",F175&lt;&gt;"SUCCESS",D175&lt;&gt;"STORED",U175="",AP175="",AQ175="",AQ175="UNVERIFIED",AND(AP175="OFFICIAL_WEBSITE",Q175=""),AND(OR(AA175="Equipment manual / OEM instruction",AB175="Asset-specific normative"),OR(Z175&lt;&gt;"Manufacturer / supplier",AS175="",AC175=""))),"PENDING",IF(COUNTIF(AD175:AH175,"HIGH")=5,"INCLUDE","PENDING"))))</x:f>
      </x:c>
      <x:c r="F175" s="751"/>
      <x:c r="G175" s="755"/>
      <x:c r="H175" s="755"/>
      <x:c r="I175" s="751"/>
      <x:c r="J175" s="751"/>
      <x:c r="K175" s="757" t="str">
        <x:f>IF(A175="","",IF(J175="AUTO",H175,IF(J175="MANUAL",AK175,"")))</x:f>
      </x:c>
      <x:c r="L175" s="751"/>
      <x:c r="M175" s="751"/>
      <x:c r="N175" s="751" t="str">
        <x:f>IF(OR(AM175&lt;&gt;"CURRENT",E175="EXCLUDE"),"NO",IF(A175="","",IF(OR(F175="FAIL",F175="PAYWALL_BLOCKED"),IF(AND(AK175&lt;&gt;"",AK175&gt;=INT(G175),D175="STORED",J175="MANUAL",AL175&lt;&gt;""),"NO","YES"),IF(AND(AR175="ROLLING",I175="CHANGED"),IF(AND(AK175&lt;&gt;"",AK175&gt;=INT(IF(H175&lt;&gt;"",H175,G175)),AL175&lt;&gt;""),"NO","YES"),"NO"))))</x:f>
        <x:v>NO</x:v>
      </x:c>
      <x:c r="O175" s="751"/>
      <x:c r="P175" s="752"/>
      <x:c r="Q175" s="752"/>
      <x:c r="R175" s="752"/>
      <x:c r="S175" s="752"/>
      <x:c r="T175" s="752"/>
      <x:c r="U175" s="752"/>
      <x:c r="V175" s="752"/>
      <x:c r="W175" s="752"/>
      <x:c r="X175" s="752"/>
      <x:c r="Y175" s="752"/>
      <x:c r="Z175" s="752"/>
      <x:c r="AA175" s="752"/>
      <x:c r="AB175" s="752"/>
      <x:c r="AC175" s="752"/>
      <x:c r="AD175" s="752"/>
      <x:c r="AE175" s="752"/>
      <x:c r="AF175" s="752"/>
      <x:c r="AG175" s="752"/>
      <x:c r="AH175" s="752"/>
      <x:c r="AI175" s="752"/>
      <x:c r="AJ175" s="752"/>
      <x:c r="AK175" s="759"/>
      <x:c r="AL175" s="752"/>
      <x:c r="AM175" s="752"/>
      <x:c r="AN175" s="752"/>
      <x:c r="AO175" s="752"/>
      <x:c r="AP175" s="752"/>
      <x:c r="AQ175" s="752"/>
      <x:c r="AR175" s="752"/>
      <x:c r="AS175" s="752"/>
    </x:row>
    <x:row r="176" ht="30" customHeight="1">
      <x:c r="A176" s="751"/>
      <x:c r="B176" s="751"/>
      <x:c r="C176" s="751"/>
      <x:c r="D176" s="751"/>
      <x:c r="E176" s="751" t="str">
        <x:f>IF(A176="","",IF(OR(AJ176="EXCLUDE",COUNTIF(AD176:AH176,"LOW")&gt;0),"EXCLUDE",IF(OR(AJ176&lt;&gt;"INCLUDE",F176&lt;&gt;"SUCCESS",D176&lt;&gt;"STORED",U176="",AP176="",AQ176="",AQ176="UNVERIFIED",AND(AP176="OFFICIAL_WEBSITE",Q176=""),AND(OR(AA176="Equipment manual / OEM instruction",AB176="Asset-specific normative"),OR(Z176&lt;&gt;"Manufacturer / supplier",AS176="",AC176=""))),"PENDING",IF(COUNTIF(AD176:AH176,"HIGH")=5,"INCLUDE","PENDING"))))</x:f>
      </x:c>
      <x:c r="F176" s="751"/>
      <x:c r="G176" s="755"/>
      <x:c r="H176" s="755"/>
      <x:c r="I176" s="751"/>
      <x:c r="J176" s="751"/>
      <x:c r="K176" s="757" t="str">
        <x:f>IF(A176="","",IF(J176="AUTO",H176,IF(J176="MANUAL",AK176,"")))</x:f>
      </x:c>
      <x:c r="L176" s="751"/>
      <x:c r="M176" s="751"/>
      <x:c r="N176" s="751" t="str">
        <x:f>IF(OR(AM176&lt;&gt;"CURRENT",E176="EXCLUDE"),"NO",IF(A176="","",IF(OR(F176="FAIL",F176="PAYWALL_BLOCKED"),IF(AND(AK176&lt;&gt;"",AK176&gt;=INT(G176),D176="STORED",J176="MANUAL",AL176&lt;&gt;""),"NO","YES"),IF(AND(AR176="ROLLING",I176="CHANGED"),IF(AND(AK176&lt;&gt;"",AK176&gt;=INT(IF(H176&lt;&gt;"",H176,G176)),AL176&lt;&gt;""),"NO","YES"),"NO"))))</x:f>
        <x:v>NO</x:v>
      </x:c>
      <x:c r="O176" s="751"/>
      <x:c r="P176" s="752"/>
      <x:c r="Q176" s="752"/>
      <x:c r="R176" s="752"/>
      <x:c r="S176" s="752"/>
      <x:c r="T176" s="752"/>
      <x:c r="U176" s="752"/>
      <x:c r="V176" s="752"/>
      <x:c r="W176" s="752"/>
      <x:c r="X176" s="752"/>
      <x:c r="Y176" s="752"/>
      <x:c r="Z176" s="752"/>
      <x:c r="AA176" s="752"/>
      <x:c r="AB176" s="752"/>
      <x:c r="AC176" s="752"/>
      <x:c r="AD176" s="752"/>
      <x:c r="AE176" s="752"/>
      <x:c r="AF176" s="752"/>
      <x:c r="AG176" s="752"/>
      <x:c r="AH176" s="752"/>
      <x:c r="AI176" s="752"/>
      <x:c r="AJ176" s="752"/>
      <x:c r="AK176" s="759"/>
      <x:c r="AL176" s="752"/>
      <x:c r="AM176" s="752"/>
      <x:c r="AN176" s="752"/>
      <x:c r="AO176" s="752"/>
      <x:c r="AP176" s="752"/>
      <x:c r="AQ176" s="752"/>
      <x:c r="AR176" s="752"/>
      <x:c r="AS176" s="752"/>
    </x:row>
    <x:row r="177" ht="30" customHeight="1">
      <x:c r="A177" s="751"/>
      <x:c r="B177" s="751"/>
      <x:c r="C177" s="751"/>
      <x:c r="D177" s="751"/>
      <x:c r="E177" s="751" t="str">
        <x:f>IF(A177="","",IF(OR(AJ177="EXCLUDE",COUNTIF(AD177:AH177,"LOW")&gt;0),"EXCLUDE",IF(OR(AJ177&lt;&gt;"INCLUDE",F177&lt;&gt;"SUCCESS",D177&lt;&gt;"STORED",U177="",AP177="",AQ177="",AQ177="UNVERIFIED",AND(AP177="OFFICIAL_WEBSITE",Q177=""),AND(OR(AA177="Equipment manual / OEM instruction",AB177="Asset-specific normative"),OR(Z177&lt;&gt;"Manufacturer / supplier",AS177="",AC177=""))),"PENDING",IF(COUNTIF(AD177:AH177,"HIGH")=5,"INCLUDE","PENDING"))))</x:f>
      </x:c>
      <x:c r="F177" s="751"/>
      <x:c r="G177" s="755"/>
      <x:c r="H177" s="755"/>
      <x:c r="I177" s="751"/>
      <x:c r="J177" s="751"/>
      <x:c r="K177" s="757" t="str">
        <x:f>IF(A177="","",IF(J177="AUTO",H177,IF(J177="MANUAL",AK177,"")))</x:f>
      </x:c>
      <x:c r="L177" s="751"/>
      <x:c r="M177" s="751"/>
      <x:c r="N177" s="751" t="str">
        <x:f>IF(OR(AM177&lt;&gt;"CURRENT",E177="EXCLUDE"),"NO",IF(A177="","",IF(OR(F177="FAIL",F177="PAYWALL_BLOCKED"),IF(AND(AK177&lt;&gt;"",AK177&gt;=INT(G177),D177="STORED",J177="MANUAL",AL177&lt;&gt;""),"NO","YES"),IF(AND(AR177="ROLLING",I177="CHANGED"),IF(AND(AK177&lt;&gt;"",AK177&gt;=INT(IF(H177&lt;&gt;"",H177,G177)),AL177&lt;&gt;""),"NO","YES"),"NO"))))</x:f>
        <x:v>NO</x:v>
      </x:c>
      <x:c r="O177" s="751"/>
      <x:c r="P177" s="752"/>
      <x:c r="Q177" s="752"/>
      <x:c r="R177" s="752"/>
      <x:c r="S177" s="752"/>
      <x:c r="T177" s="752"/>
      <x:c r="U177" s="752"/>
      <x:c r="V177" s="752"/>
      <x:c r="W177" s="752"/>
      <x:c r="X177" s="752"/>
      <x:c r="Y177" s="752"/>
      <x:c r="Z177" s="752"/>
      <x:c r="AA177" s="752"/>
      <x:c r="AB177" s="752"/>
      <x:c r="AC177" s="752"/>
      <x:c r="AD177" s="752"/>
      <x:c r="AE177" s="752"/>
      <x:c r="AF177" s="752"/>
      <x:c r="AG177" s="752"/>
      <x:c r="AH177" s="752"/>
      <x:c r="AI177" s="752"/>
      <x:c r="AJ177" s="752"/>
      <x:c r="AK177" s="759"/>
      <x:c r="AL177" s="752"/>
      <x:c r="AM177" s="752"/>
      <x:c r="AN177" s="752"/>
      <x:c r="AO177" s="752"/>
      <x:c r="AP177" s="752"/>
      <x:c r="AQ177" s="752"/>
      <x:c r="AR177" s="752"/>
      <x:c r="AS177" s="752"/>
    </x:row>
    <x:row r="178" ht="30" customHeight="1">
      <x:c r="A178" s="751"/>
      <x:c r="B178" s="751"/>
      <x:c r="C178" s="751"/>
      <x:c r="D178" s="751"/>
      <x:c r="E178" s="751" t="str">
        <x:f>IF(A178="","",IF(OR(AJ178="EXCLUDE",COUNTIF(AD178:AH178,"LOW")&gt;0),"EXCLUDE",IF(OR(AJ178&lt;&gt;"INCLUDE",F178&lt;&gt;"SUCCESS",D178&lt;&gt;"STORED",U178="",AP178="",AQ178="",AQ178="UNVERIFIED",AND(AP178="OFFICIAL_WEBSITE",Q178=""),AND(OR(AA178="Equipment manual / OEM instruction",AB178="Asset-specific normative"),OR(Z178&lt;&gt;"Manufacturer / supplier",AS178="",AC178=""))),"PENDING",IF(COUNTIF(AD178:AH178,"HIGH")=5,"INCLUDE","PENDING"))))</x:f>
      </x:c>
      <x:c r="F178" s="751"/>
      <x:c r="G178" s="755"/>
      <x:c r="H178" s="755"/>
      <x:c r="I178" s="751"/>
      <x:c r="J178" s="751"/>
      <x:c r="K178" s="757" t="str">
        <x:f>IF(A178="","",IF(J178="AUTO",H178,IF(J178="MANUAL",AK178,"")))</x:f>
      </x:c>
      <x:c r="L178" s="751"/>
      <x:c r="M178" s="751"/>
      <x:c r="N178" s="751" t="str">
        <x:f>IF(OR(AM178&lt;&gt;"CURRENT",E178="EXCLUDE"),"NO",IF(A178="","",IF(OR(F178="FAIL",F178="PAYWALL_BLOCKED"),IF(AND(AK178&lt;&gt;"",AK178&gt;=INT(G178),D178="STORED",J178="MANUAL",AL178&lt;&gt;""),"NO","YES"),IF(AND(AR178="ROLLING",I178="CHANGED"),IF(AND(AK178&lt;&gt;"",AK178&gt;=INT(IF(H178&lt;&gt;"",H178,G178)),AL178&lt;&gt;""),"NO","YES"),"NO"))))</x:f>
        <x:v>NO</x:v>
      </x:c>
      <x:c r="O178" s="751"/>
      <x:c r="P178" s="752"/>
      <x:c r="Q178" s="752"/>
      <x:c r="R178" s="752"/>
      <x:c r="S178" s="752"/>
      <x:c r="T178" s="752"/>
      <x:c r="U178" s="752"/>
      <x:c r="V178" s="752"/>
      <x:c r="W178" s="752"/>
      <x:c r="X178" s="752"/>
      <x:c r="Y178" s="752"/>
      <x:c r="Z178" s="752"/>
      <x:c r="AA178" s="752"/>
      <x:c r="AB178" s="752"/>
      <x:c r="AC178" s="752"/>
      <x:c r="AD178" s="752"/>
      <x:c r="AE178" s="752"/>
      <x:c r="AF178" s="752"/>
      <x:c r="AG178" s="752"/>
      <x:c r="AH178" s="752"/>
      <x:c r="AI178" s="752"/>
      <x:c r="AJ178" s="752"/>
      <x:c r="AK178" s="759"/>
      <x:c r="AL178" s="752"/>
      <x:c r="AM178" s="752"/>
      <x:c r="AN178" s="752"/>
      <x:c r="AO178" s="752"/>
      <x:c r="AP178" s="752"/>
      <x:c r="AQ178" s="752"/>
      <x:c r="AR178" s="752"/>
      <x:c r="AS178" s="752"/>
    </x:row>
    <x:row r="179" ht="30" customHeight="1">
      <x:c r="A179" s="751"/>
      <x:c r="B179" s="751"/>
      <x:c r="C179" s="751"/>
      <x:c r="D179" s="751"/>
      <x:c r="E179" s="751" t="str">
        <x:f>IF(A179="","",IF(OR(AJ179="EXCLUDE",COUNTIF(AD179:AH179,"LOW")&gt;0),"EXCLUDE",IF(OR(AJ179&lt;&gt;"INCLUDE",F179&lt;&gt;"SUCCESS",D179&lt;&gt;"STORED",U179="",AP179="",AQ179="",AQ179="UNVERIFIED",AND(AP179="OFFICIAL_WEBSITE",Q179=""),AND(OR(AA179="Equipment manual / OEM instruction",AB179="Asset-specific normative"),OR(Z179&lt;&gt;"Manufacturer / supplier",AS179="",AC179=""))),"PENDING",IF(COUNTIF(AD179:AH179,"HIGH")=5,"INCLUDE","PENDING"))))</x:f>
      </x:c>
      <x:c r="F179" s="751"/>
      <x:c r="G179" s="755"/>
      <x:c r="H179" s="755"/>
      <x:c r="I179" s="751"/>
      <x:c r="J179" s="751"/>
      <x:c r="K179" s="757" t="str">
        <x:f>IF(A179="","",IF(J179="AUTO",H179,IF(J179="MANUAL",AK179,"")))</x:f>
      </x:c>
      <x:c r="L179" s="751"/>
      <x:c r="M179" s="751"/>
      <x:c r="N179" s="751" t="str">
        <x:f>IF(OR(AM179&lt;&gt;"CURRENT",E179="EXCLUDE"),"NO",IF(A179="","",IF(OR(F179="FAIL",F179="PAYWALL_BLOCKED"),IF(AND(AK179&lt;&gt;"",AK179&gt;=INT(G179),D179="STORED",J179="MANUAL",AL179&lt;&gt;""),"NO","YES"),IF(AND(AR179="ROLLING",I179="CHANGED"),IF(AND(AK179&lt;&gt;"",AK179&gt;=INT(IF(H179&lt;&gt;"",H179,G179)),AL179&lt;&gt;""),"NO","YES"),"NO"))))</x:f>
        <x:v>NO</x:v>
      </x:c>
      <x:c r="O179" s="751"/>
      <x:c r="P179" s="752"/>
      <x:c r="Q179" s="752"/>
      <x:c r="R179" s="752"/>
      <x:c r="S179" s="752"/>
      <x:c r="T179" s="752"/>
      <x:c r="U179" s="752"/>
      <x:c r="V179" s="752"/>
      <x:c r="W179" s="752"/>
      <x:c r="X179" s="752"/>
      <x:c r="Y179" s="752"/>
      <x:c r="Z179" s="752"/>
      <x:c r="AA179" s="752"/>
      <x:c r="AB179" s="752"/>
      <x:c r="AC179" s="752"/>
      <x:c r="AD179" s="752"/>
      <x:c r="AE179" s="752"/>
      <x:c r="AF179" s="752"/>
      <x:c r="AG179" s="752"/>
      <x:c r="AH179" s="752"/>
      <x:c r="AI179" s="752"/>
      <x:c r="AJ179" s="752"/>
      <x:c r="AK179" s="759"/>
      <x:c r="AL179" s="752"/>
      <x:c r="AM179" s="752"/>
      <x:c r="AN179" s="752"/>
      <x:c r="AO179" s="752"/>
      <x:c r="AP179" s="752"/>
      <x:c r="AQ179" s="752"/>
      <x:c r="AR179" s="752"/>
      <x:c r="AS179" s="752"/>
    </x:row>
    <x:row r="180" ht="30" customHeight="1">
      <x:c r="A180" s="751"/>
      <x:c r="B180" s="751"/>
      <x:c r="C180" s="751"/>
      <x:c r="D180" s="751"/>
      <x:c r="E180" s="751" t="str">
        <x:f>IF(A180="","",IF(OR(AJ180="EXCLUDE",COUNTIF(AD180:AH180,"LOW")&gt;0),"EXCLUDE",IF(OR(AJ180&lt;&gt;"INCLUDE",F180&lt;&gt;"SUCCESS",D180&lt;&gt;"STORED",U180="",AP180="",AQ180="",AQ180="UNVERIFIED",AND(AP180="OFFICIAL_WEBSITE",Q180=""),AND(OR(AA180="Equipment manual / OEM instruction",AB180="Asset-specific normative"),OR(Z180&lt;&gt;"Manufacturer / supplier",AS180="",AC180=""))),"PENDING",IF(COUNTIF(AD180:AH180,"HIGH")=5,"INCLUDE","PENDING"))))</x:f>
      </x:c>
      <x:c r="F180" s="751"/>
      <x:c r="G180" s="755"/>
      <x:c r="H180" s="755"/>
      <x:c r="I180" s="751"/>
      <x:c r="J180" s="751"/>
      <x:c r="K180" s="757" t="str">
        <x:f>IF(A180="","",IF(J180="AUTO",H180,IF(J180="MANUAL",AK180,"")))</x:f>
      </x:c>
      <x:c r="L180" s="751"/>
      <x:c r="M180" s="751"/>
      <x:c r="N180" s="751" t="str">
        <x:f>IF(OR(AM180&lt;&gt;"CURRENT",E180="EXCLUDE"),"NO",IF(A180="","",IF(OR(F180="FAIL",F180="PAYWALL_BLOCKED"),IF(AND(AK180&lt;&gt;"",AK180&gt;=INT(G180),D180="STORED",J180="MANUAL",AL180&lt;&gt;""),"NO","YES"),IF(AND(AR180="ROLLING",I180="CHANGED"),IF(AND(AK180&lt;&gt;"",AK180&gt;=INT(IF(H180&lt;&gt;"",H180,G180)),AL180&lt;&gt;""),"NO","YES"),"NO"))))</x:f>
        <x:v>NO</x:v>
      </x:c>
      <x:c r="O180" s="751"/>
      <x:c r="P180" s="752"/>
      <x:c r="Q180" s="752"/>
      <x:c r="R180" s="752"/>
      <x:c r="S180" s="752"/>
      <x:c r="T180" s="752"/>
      <x:c r="U180" s="752"/>
      <x:c r="V180" s="752"/>
      <x:c r="W180" s="752"/>
      <x:c r="X180" s="752"/>
      <x:c r="Y180" s="752"/>
      <x:c r="Z180" s="752"/>
      <x:c r="AA180" s="752"/>
      <x:c r="AB180" s="752"/>
      <x:c r="AC180" s="752"/>
      <x:c r="AD180" s="752"/>
      <x:c r="AE180" s="752"/>
      <x:c r="AF180" s="752"/>
      <x:c r="AG180" s="752"/>
      <x:c r="AH180" s="752"/>
      <x:c r="AI180" s="752"/>
      <x:c r="AJ180" s="752"/>
      <x:c r="AK180" s="759"/>
      <x:c r="AL180" s="752"/>
      <x:c r="AM180" s="752"/>
      <x:c r="AN180" s="752"/>
      <x:c r="AO180" s="752"/>
      <x:c r="AP180" s="752"/>
      <x:c r="AQ180" s="752"/>
      <x:c r="AR180" s="752"/>
      <x:c r="AS180" s="752"/>
    </x:row>
    <x:row r="181" ht="30" customHeight="1">
      <x:c r="A181" s="751"/>
      <x:c r="B181" s="751"/>
      <x:c r="C181" s="751"/>
      <x:c r="D181" s="751"/>
      <x:c r="E181" s="751" t="str">
        <x:f>IF(A181="","",IF(OR(AJ181="EXCLUDE",COUNTIF(AD181:AH181,"LOW")&gt;0),"EXCLUDE",IF(OR(AJ181&lt;&gt;"INCLUDE",F181&lt;&gt;"SUCCESS",D181&lt;&gt;"STORED",U181="",AP181="",AQ181="",AQ181="UNVERIFIED",AND(AP181="OFFICIAL_WEBSITE",Q181=""),AND(OR(AA181="Equipment manual / OEM instruction",AB181="Asset-specific normative"),OR(Z181&lt;&gt;"Manufacturer / supplier",AS181="",AC181=""))),"PENDING",IF(COUNTIF(AD181:AH181,"HIGH")=5,"INCLUDE","PENDING"))))</x:f>
      </x:c>
      <x:c r="F181" s="751"/>
      <x:c r="G181" s="755"/>
      <x:c r="H181" s="755"/>
      <x:c r="I181" s="751"/>
      <x:c r="J181" s="751"/>
      <x:c r="K181" s="757" t="str">
        <x:f>IF(A181="","",IF(J181="AUTO",H181,IF(J181="MANUAL",AK181,"")))</x:f>
      </x:c>
      <x:c r="L181" s="751"/>
      <x:c r="M181" s="751"/>
      <x:c r="N181" s="751" t="str">
        <x:f>IF(OR(AM181&lt;&gt;"CURRENT",E181="EXCLUDE"),"NO",IF(A181="","",IF(OR(F181="FAIL",F181="PAYWALL_BLOCKED"),IF(AND(AK181&lt;&gt;"",AK181&gt;=INT(G181),D181="STORED",J181="MANUAL",AL181&lt;&gt;""),"NO","YES"),IF(AND(AR181="ROLLING",I181="CHANGED"),IF(AND(AK181&lt;&gt;"",AK181&gt;=INT(IF(H181&lt;&gt;"",H181,G181)),AL181&lt;&gt;""),"NO","YES"),"NO"))))</x:f>
        <x:v>NO</x:v>
      </x:c>
      <x:c r="O181" s="751"/>
      <x:c r="P181" s="752"/>
      <x:c r="Q181" s="752"/>
      <x:c r="R181" s="752"/>
      <x:c r="S181" s="752"/>
      <x:c r="T181" s="752"/>
      <x:c r="U181" s="752"/>
      <x:c r="V181" s="752"/>
      <x:c r="W181" s="752"/>
      <x:c r="X181" s="752"/>
      <x:c r="Y181" s="752"/>
      <x:c r="Z181" s="752"/>
      <x:c r="AA181" s="752"/>
      <x:c r="AB181" s="752"/>
      <x:c r="AC181" s="752"/>
      <x:c r="AD181" s="752"/>
      <x:c r="AE181" s="752"/>
      <x:c r="AF181" s="752"/>
      <x:c r="AG181" s="752"/>
      <x:c r="AH181" s="752"/>
      <x:c r="AI181" s="752"/>
      <x:c r="AJ181" s="752"/>
      <x:c r="AK181" s="759"/>
      <x:c r="AL181" s="752"/>
      <x:c r="AM181" s="752"/>
      <x:c r="AN181" s="752"/>
      <x:c r="AO181" s="752"/>
      <x:c r="AP181" s="752"/>
      <x:c r="AQ181" s="752"/>
      <x:c r="AR181" s="752"/>
      <x:c r="AS181" s="752"/>
    </x:row>
    <x:row r="182" ht="30" customHeight="1">
      <x:c r="A182" s="751"/>
      <x:c r="B182" s="751"/>
      <x:c r="C182" s="751"/>
      <x:c r="D182" s="751"/>
      <x:c r="E182" s="751" t="str">
        <x:f>IF(A182="","",IF(OR(AJ182="EXCLUDE",COUNTIF(AD182:AH182,"LOW")&gt;0),"EXCLUDE",IF(OR(AJ182&lt;&gt;"INCLUDE",F182&lt;&gt;"SUCCESS",D182&lt;&gt;"STORED",U182="",AP182="",AQ182="",AQ182="UNVERIFIED",AND(AP182="OFFICIAL_WEBSITE",Q182=""),AND(OR(AA182="Equipment manual / OEM instruction",AB182="Asset-specific normative"),OR(Z182&lt;&gt;"Manufacturer / supplier",AS182="",AC182=""))),"PENDING",IF(COUNTIF(AD182:AH182,"HIGH")=5,"INCLUDE","PENDING"))))</x:f>
      </x:c>
      <x:c r="F182" s="751"/>
      <x:c r="G182" s="755"/>
      <x:c r="H182" s="755"/>
      <x:c r="I182" s="751"/>
      <x:c r="J182" s="751"/>
      <x:c r="K182" s="757" t="str">
        <x:f>IF(A182="","",IF(J182="AUTO",H182,IF(J182="MANUAL",AK182,"")))</x:f>
      </x:c>
      <x:c r="L182" s="751"/>
      <x:c r="M182" s="751"/>
      <x:c r="N182" s="751" t="str">
        <x:f>IF(OR(AM182&lt;&gt;"CURRENT",E182="EXCLUDE"),"NO",IF(A182="","",IF(OR(F182="FAIL",F182="PAYWALL_BLOCKED"),IF(AND(AK182&lt;&gt;"",AK182&gt;=INT(G182),D182="STORED",J182="MANUAL",AL182&lt;&gt;""),"NO","YES"),IF(AND(AR182="ROLLING",I182="CHANGED"),IF(AND(AK182&lt;&gt;"",AK182&gt;=INT(IF(H182&lt;&gt;"",H182,G182)),AL182&lt;&gt;""),"NO","YES"),"NO"))))</x:f>
        <x:v>NO</x:v>
      </x:c>
      <x:c r="O182" s="751"/>
      <x:c r="P182" s="752"/>
      <x:c r="Q182" s="752"/>
      <x:c r="R182" s="752"/>
      <x:c r="S182" s="752"/>
      <x:c r="T182" s="752"/>
      <x:c r="U182" s="752"/>
      <x:c r="V182" s="752"/>
      <x:c r="W182" s="752"/>
      <x:c r="X182" s="752"/>
      <x:c r="Y182" s="752"/>
      <x:c r="Z182" s="752"/>
      <x:c r="AA182" s="752"/>
      <x:c r="AB182" s="752"/>
      <x:c r="AC182" s="752"/>
      <x:c r="AD182" s="752"/>
      <x:c r="AE182" s="752"/>
      <x:c r="AF182" s="752"/>
      <x:c r="AG182" s="752"/>
      <x:c r="AH182" s="752"/>
      <x:c r="AI182" s="752"/>
      <x:c r="AJ182" s="752"/>
      <x:c r="AK182" s="759"/>
      <x:c r="AL182" s="752"/>
      <x:c r="AM182" s="752"/>
      <x:c r="AN182" s="752"/>
      <x:c r="AO182" s="752"/>
      <x:c r="AP182" s="752"/>
      <x:c r="AQ182" s="752"/>
      <x:c r="AR182" s="752"/>
      <x:c r="AS182" s="752"/>
    </x:row>
    <x:row r="183" ht="30" customHeight="1">
      <x:c r="A183" s="751"/>
      <x:c r="B183" s="751"/>
      <x:c r="C183" s="751"/>
      <x:c r="D183" s="751"/>
      <x:c r="E183" s="751" t="str">
        <x:f>IF(A183="","",IF(OR(AJ183="EXCLUDE",COUNTIF(AD183:AH183,"LOW")&gt;0),"EXCLUDE",IF(OR(AJ183&lt;&gt;"INCLUDE",F183&lt;&gt;"SUCCESS",D183&lt;&gt;"STORED",U183="",AP183="",AQ183="",AQ183="UNVERIFIED",AND(AP183="OFFICIAL_WEBSITE",Q183=""),AND(OR(AA183="Equipment manual / OEM instruction",AB183="Asset-specific normative"),OR(Z183&lt;&gt;"Manufacturer / supplier",AS183="",AC183=""))),"PENDING",IF(COUNTIF(AD183:AH183,"HIGH")=5,"INCLUDE","PENDING"))))</x:f>
      </x:c>
      <x:c r="F183" s="751"/>
      <x:c r="G183" s="755"/>
      <x:c r="H183" s="755"/>
      <x:c r="I183" s="751"/>
      <x:c r="J183" s="751"/>
      <x:c r="K183" s="757" t="str">
        <x:f>IF(A183="","",IF(J183="AUTO",H183,IF(J183="MANUAL",AK183,"")))</x:f>
      </x:c>
      <x:c r="L183" s="751"/>
      <x:c r="M183" s="751"/>
      <x:c r="N183" s="751" t="str">
        <x:f>IF(OR(AM183&lt;&gt;"CURRENT",E183="EXCLUDE"),"NO",IF(A183="","",IF(OR(F183="FAIL",F183="PAYWALL_BLOCKED"),IF(AND(AK183&lt;&gt;"",AK183&gt;=INT(G183),D183="STORED",J183="MANUAL",AL183&lt;&gt;""),"NO","YES"),IF(AND(AR183="ROLLING",I183="CHANGED"),IF(AND(AK183&lt;&gt;"",AK183&gt;=INT(IF(H183&lt;&gt;"",H183,G183)),AL183&lt;&gt;""),"NO","YES"),"NO"))))</x:f>
        <x:v>NO</x:v>
      </x:c>
      <x:c r="O183" s="751"/>
      <x:c r="P183" s="752"/>
      <x:c r="Q183" s="752"/>
      <x:c r="R183" s="752"/>
      <x:c r="S183" s="752"/>
      <x:c r="T183" s="752"/>
      <x:c r="U183" s="752"/>
      <x:c r="V183" s="752"/>
      <x:c r="W183" s="752"/>
      <x:c r="X183" s="752"/>
      <x:c r="Y183" s="752"/>
      <x:c r="Z183" s="752"/>
      <x:c r="AA183" s="752"/>
      <x:c r="AB183" s="752"/>
      <x:c r="AC183" s="752"/>
      <x:c r="AD183" s="752"/>
      <x:c r="AE183" s="752"/>
      <x:c r="AF183" s="752"/>
      <x:c r="AG183" s="752"/>
      <x:c r="AH183" s="752"/>
      <x:c r="AI183" s="752"/>
      <x:c r="AJ183" s="752"/>
      <x:c r="AK183" s="759"/>
      <x:c r="AL183" s="752"/>
      <x:c r="AM183" s="752"/>
      <x:c r="AN183" s="752"/>
      <x:c r="AO183" s="752"/>
      <x:c r="AP183" s="752"/>
      <x:c r="AQ183" s="752"/>
      <x:c r="AR183" s="752"/>
      <x:c r="AS183" s="752"/>
    </x:row>
    <x:row r="184" ht="30" customHeight="1">
      <x:c r="A184" s="751"/>
      <x:c r="B184" s="751"/>
      <x:c r="C184" s="751"/>
      <x:c r="D184" s="751"/>
      <x:c r="E184" s="751" t="str">
        <x:f>IF(A184="","",IF(OR(AJ184="EXCLUDE",COUNTIF(AD184:AH184,"LOW")&gt;0),"EXCLUDE",IF(OR(AJ184&lt;&gt;"INCLUDE",F184&lt;&gt;"SUCCESS",D184&lt;&gt;"STORED",U184="",AP184="",AQ184="",AQ184="UNVERIFIED",AND(AP184="OFFICIAL_WEBSITE",Q184=""),AND(OR(AA184="Equipment manual / OEM instruction",AB184="Asset-specific normative"),OR(Z184&lt;&gt;"Manufacturer / supplier",AS184="",AC184=""))),"PENDING",IF(COUNTIF(AD184:AH184,"HIGH")=5,"INCLUDE","PENDING"))))</x:f>
      </x:c>
      <x:c r="F184" s="751"/>
      <x:c r="G184" s="755"/>
      <x:c r="H184" s="755"/>
      <x:c r="I184" s="751"/>
      <x:c r="J184" s="751"/>
      <x:c r="K184" s="757" t="str">
        <x:f>IF(A184="","",IF(J184="AUTO",H184,IF(J184="MANUAL",AK184,"")))</x:f>
      </x:c>
      <x:c r="L184" s="751"/>
      <x:c r="M184" s="751"/>
      <x:c r="N184" s="751" t="str">
        <x:f>IF(OR(AM184&lt;&gt;"CURRENT",E184="EXCLUDE"),"NO",IF(A184="","",IF(OR(F184="FAIL",F184="PAYWALL_BLOCKED"),IF(AND(AK184&lt;&gt;"",AK184&gt;=INT(G184),D184="STORED",J184="MANUAL",AL184&lt;&gt;""),"NO","YES"),IF(AND(AR184="ROLLING",I184="CHANGED"),IF(AND(AK184&lt;&gt;"",AK184&gt;=INT(IF(H184&lt;&gt;"",H184,G184)),AL184&lt;&gt;""),"NO","YES"),"NO"))))</x:f>
        <x:v>NO</x:v>
      </x:c>
      <x:c r="O184" s="751"/>
      <x:c r="P184" s="752"/>
      <x:c r="Q184" s="752"/>
      <x:c r="R184" s="752"/>
      <x:c r="S184" s="752"/>
      <x:c r="T184" s="752"/>
      <x:c r="U184" s="752"/>
      <x:c r="V184" s="752"/>
      <x:c r="W184" s="752"/>
      <x:c r="X184" s="752"/>
      <x:c r="Y184" s="752"/>
      <x:c r="Z184" s="752"/>
      <x:c r="AA184" s="752"/>
      <x:c r="AB184" s="752"/>
      <x:c r="AC184" s="752"/>
      <x:c r="AD184" s="752"/>
      <x:c r="AE184" s="752"/>
      <x:c r="AF184" s="752"/>
      <x:c r="AG184" s="752"/>
      <x:c r="AH184" s="752"/>
      <x:c r="AI184" s="752"/>
      <x:c r="AJ184" s="752"/>
      <x:c r="AK184" s="759"/>
      <x:c r="AL184" s="752"/>
      <x:c r="AM184" s="752"/>
      <x:c r="AN184" s="752"/>
      <x:c r="AO184" s="752"/>
      <x:c r="AP184" s="752"/>
      <x:c r="AQ184" s="752"/>
      <x:c r="AR184" s="752"/>
      <x:c r="AS184" s="752"/>
    </x:row>
    <x:row r="185" ht="30" customHeight="1">
      <x:c r="A185" s="751"/>
      <x:c r="B185" s="751"/>
      <x:c r="C185" s="751"/>
      <x:c r="D185" s="751"/>
      <x:c r="E185" s="751" t="str">
        <x:f>IF(A185="","",IF(OR(AJ185="EXCLUDE",COUNTIF(AD185:AH185,"LOW")&gt;0),"EXCLUDE",IF(OR(AJ185&lt;&gt;"INCLUDE",F185&lt;&gt;"SUCCESS",D185&lt;&gt;"STORED",U185="",AP185="",AQ185="",AQ185="UNVERIFIED",AND(AP185="OFFICIAL_WEBSITE",Q185=""),AND(OR(AA185="Equipment manual / OEM instruction",AB185="Asset-specific normative"),OR(Z185&lt;&gt;"Manufacturer / supplier",AS185="",AC185=""))),"PENDING",IF(COUNTIF(AD185:AH185,"HIGH")=5,"INCLUDE","PENDING"))))</x:f>
      </x:c>
      <x:c r="F185" s="751"/>
      <x:c r="G185" s="755"/>
      <x:c r="H185" s="755"/>
      <x:c r="I185" s="751"/>
      <x:c r="J185" s="751"/>
      <x:c r="K185" s="757" t="str">
        <x:f>IF(A185="","",IF(J185="AUTO",H185,IF(J185="MANUAL",AK185,"")))</x:f>
      </x:c>
      <x:c r="L185" s="751"/>
      <x:c r="M185" s="751"/>
      <x:c r="N185" s="751" t="str">
        <x:f>IF(OR(AM185&lt;&gt;"CURRENT",E185="EXCLUDE"),"NO",IF(A185="","",IF(OR(F185="FAIL",F185="PAYWALL_BLOCKED"),IF(AND(AK185&lt;&gt;"",AK185&gt;=INT(G185),D185="STORED",J185="MANUAL",AL185&lt;&gt;""),"NO","YES"),IF(AND(AR185="ROLLING",I185="CHANGED"),IF(AND(AK185&lt;&gt;"",AK185&gt;=INT(IF(H185&lt;&gt;"",H185,G185)),AL185&lt;&gt;""),"NO","YES"),"NO"))))</x:f>
        <x:v>NO</x:v>
      </x:c>
      <x:c r="O185" s="751"/>
      <x:c r="P185" s="752"/>
      <x:c r="Q185" s="752"/>
      <x:c r="R185" s="752"/>
      <x:c r="S185" s="752"/>
      <x:c r="T185" s="752"/>
      <x:c r="U185" s="752"/>
      <x:c r="V185" s="752"/>
      <x:c r="W185" s="752"/>
      <x:c r="X185" s="752"/>
      <x:c r="Y185" s="752"/>
      <x:c r="Z185" s="752"/>
      <x:c r="AA185" s="752"/>
      <x:c r="AB185" s="752"/>
      <x:c r="AC185" s="752"/>
      <x:c r="AD185" s="752"/>
      <x:c r="AE185" s="752"/>
      <x:c r="AF185" s="752"/>
      <x:c r="AG185" s="752"/>
      <x:c r="AH185" s="752"/>
      <x:c r="AI185" s="752"/>
      <x:c r="AJ185" s="752"/>
      <x:c r="AK185" s="759"/>
      <x:c r="AL185" s="752"/>
      <x:c r="AM185" s="752"/>
      <x:c r="AN185" s="752"/>
      <x:c r="AO185" s="752"/>
      <x:c r="AP185" s="752"/>
      <x:c r="AQ185" s="752"/>
      <x:c r="AR185" s="752"/>
      <x:c r="AS185" s="752"/>
    </x:row>
    <x:row r="186" ht="30" customHeight="1">
      <x:c r="A186" s="751"/>
      <x:c r="B186" s="751"/>
      <x:c r="C186" s="751"/>
      <x:c r="D186" s="751"/>
      <x:c r="E186" s="751" t="str">
        <x:f>IF(A186="","",IF(OR(AJ186="EXCLUDE",COUNTIF(AD186:AH186,"LOW")&gt;0),"EXCLUDE",IF(OR(AJ186&lt;&gt;"INCLUDE",F186&lt;&gt;"SUCCESS",D186&lt;&gt;"STORED",U186="",AP186="",AQ186="",AQ186="UNVERIFIED",AND(AP186="OFFICIAL_WEBSITE",Q186=""),AND(OR(AA186="Equipment manual / OEM instruction",AB186="Asset-specific normative"),OR(Z186&lt;&gt;"Manufacturer / supplier",AS186="",AC186=""))),"PENDING",IF(COUNTIF(AD186:AH186,"HIGH")=5,"INCLUDE","PENDING"))))</x:f>
      </x:c>
      <x:c r="F186" s="751"/>
      <x:c r="G186" s="755"/>
      <x:c r="H186" s="755"/>
      <x:c r="I186" s="751"/>
      <x:c r="J186" s="751"/>
      <x:c r="K186" s="757" t="str">
        <x:f>IF(A186="","",IF(J186="AUTO",H186,IF(J186="MANUAL",AK186,"")))</x:f>
      </x:c>
      <x:c r="L186" s="751"/>
      <x:c r="M186" s="751"/>
      <x:c r="N186" s="751" t="str">
        <x:f>IF(OR(AM186&lt;&gt;"CURRENT",E186="EXCLUDE"),"NO",IF(A186="","",IF(OR(F186="FAIL",F186="PAYWALL_BLOCKED"),IF(AND(AK186&lt;&gt;"",AK186&gt;=INT(G186),D186="STORED",J186="MANUAL",AL186&lt;&gt;""),"NO","YES"),IF(AND(AR186="ROLLING",I186="CHANGED"),IF(AND(AK186&lt;&gt;"",AK186&gt;=INT(IF(H186&lt;&gt;"",H186,G186)),AL186&lt;&gt;""),"NO","YES"),"NO"))))</x:f>
        <x:v>NO</x:v>
      </x:c>
      <x:c r="O186" s="751"/>
      <x:c r="P186" s="752"/>
      <x:c r="Q186" s="752"/>
      <x:c r="R186" s="752"/>
      <x:c r="S186" s="752"/>
      <x:c r="T186" s="752"/>
      <x:c r="U186" s="752"/>
      <x:c r="V186" s="752"/>
      <x:c r="W186" s="752"/>
      <x:c r="X186" s="752"/>
      <x:c r="Y186" s="752"/>
      <x:c r="Z186" s="752"/>
      <x:c r="AA186" s="752"/>
      <x:c r="AB186" s="752"/>
      <x:c r="AC186" s="752"/>
      <x:c r="AD186" s="752"/>
      <x:c r="AE186" s="752"/>
      <x:c r="AF186" s="752"/>
      <x:c r="AG186" s="752"/>
      <x:c r="AH186" s="752"/>
      <x:c r="AI186" s="752"/>
      <x:c r="AJ186" s="752"/>
      <x:c r="AK186" s="759"/>
      <x:c r="AL186" s="752"/>
      <x:c r="AM186" s="752"/>
      <x:c r="AN186" s="752"/>
      <x:c r="AO186" s="752"/>
      <x:c r="AP186" s="752"/>
      <x:c r="AQ186" s="752"/>
      <x:c r="AR186" s="752"/>
      <x:c r="AS186" s="752"/>
    </x:row>
    <x:row r="187" ht="30" customHeight="1">
      <x:c r="A187" s="751"/>
      <x:c r="B187" s="751"/>
      <x:c r="C187" s="751"/>
      <x:c r="D187" s="751"/>
      <x:c r="E187" s="751" t="str">
        <x:f>IF(A187="","",IF(OR(AJ187="EXCLUDE",COUNTIF(AD187:AH187,"LOW")&gt;0),"EXCLUDE",IF(OR(AJ187&lt;&gt;"INCLUDE",F187&lt;&gt;"SUCCESS",D187&lt;&gt;"STORED",U187="",AP187="",AQ187="",AQ187="UNVERIFIED",AND(AP187="OFFICIAL_WEBSITE",Q187=""),AND(OR(AA187="Equipment manual / OEM instruction",AB187="Asset-specific normative"),OR(Z187&lt;&gt;"Manufacturer / supplier",AS187="",AC187=""))),"PENDING",IF(COUNTIF(AD187:AH187,"HIGH")=5,"INCLUDE","PENDING"))))</x:f>
      </x:c>
      <x:c r="F187" s="751"/>
      <x:c r="G187" s="755"/>
      <x:c r="H187" s="755"/>
      <x:c r="I187" s="751"/>
      <x:c r="J187" s="751"/>
      <x:c r="K187" s="757" t="str">
        <x:f>IF(A187="","",IF(J187="AUTO",H187,IF(J187="MANUAL",AK187,"")))</x:f>
      </x:c>
      <x:c r="L187" s="751"/>
      <x:c r="M187" s="751"/>
      <x:c r="N187" s="751" t="str">
        <x:f>IF(OR(AM187&lt;&gt;"CURRENT",E187="EXCLUDE"),"NO",IF(A187="","",IF(OR(F187="FAIL",F187="PAYWALL_BLOCKED"),IF(AND(AK187&lt;&gt;"",AK187&gt;=INT(G187),D187="STORED",J187="MANUAL",AL187&lt;&gt;""),"NO","YES"),IF(AND(AR187="ROLLING",I187="CHANGED"),IF(AND(AK187&lt;&gt;"",AK187&gt;=INT(IF(H187&lt;&gt;"",H187,G187)),AL187&lt;&gt;""),"NO","YES"),"NO"))))</x:f>
        <x:v>NO</x:v>
      </x:c>
      <x:c r="O187" s="751"/>
      <x:c r="P187" s="752"/>
      <x:c r="Q187" s="752"/>
      <x:c r="R187" s="752"/>
      <x:c r="S187" s="752"/>
      <x:c r="T187" s="752"/>
      <x:c r="U187" s="752"/>
      <x:c r="V187" s="752"/>
      <x:c r="W187" s="752"/>
      <x:c r="X187" s="752"/>
      <x:c r="Y187" s="752"/>
      <x:c r="Z187" s="752"/>
      <x:c r="AA187" s="752"/>
      <x:c r="AB187" s="752"/>
      <x:c r="AC187" s="752"/>
      <x:c r="AD187" s="752"/>
      <x:c r="AE187" s="752"/>
      <x:c r="AF187" s="752"/>
      <x:c r="AG187" s="752"/>
      <x:c r="AH187" s="752"/>
      <x:c r="AI187" s="752"/>
      <x:c r="AJ187" s="752"/>
      <x:c r="AK187" s="759"/>
      <x:c r="AL187" s="752"/>
      <x:c r="AM187" s="752"/>
      <x:c r="AN187" s="752"/>
      <x:c r="AO187" s="752"/>
      <x:c r="AP187" s="752"/>
      <x:c r="AQ187" s="752"/>
      <x:c r="AR187" s="752"/>
      <x:c r="AS187" s="752"/>
    </x:row>
    <x:row r="188" ht="30" customHeight="1">
      <x:c r="A188" s="751"/>
      <x:c r="B188" s="751"/>
      <x:c r="C188" s="751"/>
      <x:c r="D188" s="751"/>
      <x:c r="E188" s="751" t="str">
        <x:f>IF(A188="","",IF(OR(AJ188="EXCLUDE",COUNTIF(AD188:AH188,"LOW")&gt;0),"EXCLUDE",IF(OR(AJ188&lt;&gt;"INCLUDE",F188&lt;&gt;"SUCCESS",D188&lt;&gt;"STORED",U188="",AP188="",AQ188="",AQ188="UNVERIFIED",AND(AP188="OFFICIAL_WEBSITE",Q188=""),AND(OR(AA188="Equipment manual / OEM instruction",AB188="Asset-specific normative"),OR(Z188&lt;&gt;"Manufacturer / supplier",AS188="",AC188=""))),"PENDING",IF(COUNTIF(AD188:AH188,"HIGH")=5,"INCLUDE","PENDING"))))</x:f>
      </x:c>
      <x:c r="F188" s="751"/>
      <x:c r="G188" s="755"/>
      <x:c r="H188" s="755"/>
      <x:c r="I188" s="751"/>
      <x:c r="J188" s="751"/>
      <x:c r="K188" s="757" t="str">
        <x:f>IF(A188="","",IF(J188="AUTO",H188,IF(J188="MANUAL",AK188,"")))</x:f>
      </x:c>
      <x:c r="L188" s="751"/>
      <x:c r="M188" s="751"/>
      <x:c r="N188" s="751" t="str">
        <x:f>IF(OR(AM188&lt;&gt;"CURRENT",E188="EXCLUDE"),"NO",IF(A188="","",IF(OR(F188="FAIL",F188="PAYWALL_BLOCKED"),IF(AND(AK188&lt;&gt;"",AK188&gt;=INT(G188),D188="STORED",J188="MANUAL",AL188&lt;&gt;""),"NO","YES"),IF(AND(AR188="ROLLING",I188="CHANGED"),IF(AND(AK188&lt;&gt;"",AK188&gt;=INT(IF(H188&lt;&gt;"",H188,G188)),AL188&lt;&gt;""),"NO","YES"),"NO"))))</x:f>
        <x:v>NO</x:v>
      </x:c>
      <x:c r="O188" s="751"/>
      <x:c r="P188" s="752"/>
      <x:c r="Q188" s="752"/>
      <x:c r="R188" s="752"/>
      <x:c r="S188" s="752"/>
      <x:c r="T188" s="752"/>
      <x:c r="U188" s="752"/>
      <x:c r="V188" s="752"/>
      <x:c r="W188" s="752"/>
      <x:c r="X188" s="752"/>
      <x:c r="Y188" s="752"/>
      <x:c r="Z188" s="752"/>
      <x:c r="AA188" s="752"/>
      <x:c r="AB188" s="752"/>
      <x:c r="AC188" s="752"/>
      <x:c r="AD188" s="752"/>
      <x:c r="AE188" s="752"/>
      <x:c r="AF188" s="752"/>
      <x:c r="AG188" s="752"/>
      <x:c r="AH188" s="752"/>
      <x:c r="AI188" s="752"/>
      <x:c r="AJ188" s="752"/>
      <x:c r="AK188" s="759"/>
      <x:c r="AL188" s="752"/>
      <x:c r="AM188" s="752"/>
      <x:c r="AN188" s="752"/>
      <x:c r="AO188" s="752"/>
      <x:c r="AP188" s="752"/>
      <x:c r="AQ188" s="752"/>
      <x:c r="AR188" s="752"/>
      <x:c r="AS188" s="752"/>
    </x:row>
    <x:row r="189" ht="30" customHeight="1">
      <x:c r="A189" s="751"/>
      <x:c r="B189" s="751"/>
      <x:c r="C189" s="751"/>
      <x:c r="D189" s="751"/>
      <x:c r="E189" s="751" t="str">
        <x:f>IF(A189="","",IF(OR(AJ189="EXCLUDE",COUNTIF(AD189:AH189,"LOW")&gt;0),"EXCLUDE",IF(OR(AJ189&lt;&gt;"INCLUDE",F189&lt;&gt;"SUCCESS",D189&lt;&gt;"STORED",U189="",AP189="",AQ189="",AQ189="UNVERIFIED",AND(AP189="OFFICIAL_WEBSITE",Q189=""),AND(OR(AA189="Equipment manual / OEM instruction",AB189="Asset-specific normative"),OR(Z189&lt;&gt;"Manufacturer / supplier",AS189="",AC189=""))),"PENDING",IF(COUNTIF(AD189:AH189,"HIGH")=5,"INCLUDE","PENDING"))))</x:f>
      </x:c>
      <x:c r="F189" s="751"/>
      <x:c r="G189" s="755"/>
      <x:c r="H189" s="755"/>
      <x:c r="I189" s="751"/>
      <x:c r="J189" s="751"/>
      <x:c r="K189" s="757" t="str">
        <x:f>IF(A189="","",IF(J189="AUTO",H189,IF(J189="MANUAL",AK189,"")))</x:f>
      </x:c>
      <x:c r="L189" s="751"/>
      <x:c r="M189" s="751"/>
      <x:c r="N189" s="751" t="str">
        <x:f>IF(OR(AM189&lt;&gt;"CURRENT",E189="EXCLUDE"),"NO",IF(A189="","",IF(OR(F189="FAIL",F189="PAYWALL_BLOCKED"),IF(AND(AK189&lt;&gt;"",AK189&gt;=INT(G189),D189="STORED",J189="MANUAL",AL189&lt;&gt;""),"NO","YES"),IF(AND(AR189="ROLLING",I189="CHANGED"),IF(AND(AK189&lt;&gt;"",AK189&gt;=INT(IF(H189&lt;&gt;"",H189,G189)),AL189&lt;&gt;""),"NO","YES"),"NO"))))</x:f>
        <x:v>NO</x:v>
      </x:c>
      <x:c r="O189" s="751"/>
      <x:c r="P189" s="752"/>
      <x:c r="Q189" s="752"/>
      <x:c r="R189" s="752"/>
      <x:c r="S189" s="752"/>
      <x:c r="T189" s="752"/>
      <x:c r="U189" s="752"/>
      <x:c r="V189" s="752"/>
      <x:c r="W189" s="752"/>
      <x:c r="X189" s="752"/>
      <x:c r="Y189" s="752"/>
      <x:c r="Z189" s="752"/>
      <x:c r="AA189" s="752"/>
      <x:c r="AB189" s="752"/>
      <x:c r="AC189" s="752"/>
      <x:c r="AD189" s="752"/>
      <x:c r="AE189" s="752"/>
      <x:c r="AF189" s="752"/>
      <x:c r="AG189" s="752"/>
      <x:c r="AH189" s="752"/>
      <x:c r="AI189" s="752"/>
      <x:c r="AJ189" s="752"/>
      <x:c r="AK189" s="759"/>
      <x:c r="AL189" s="752"/>
      <x:c r="AM189" s="752"/>
      <x:c r="AN189" s="752"/>
      <x:c r="AO189" s="752"/>
      <x:c r="AP189" s="752"/>
      <x:c r="AQ189" s="752"/>
      <x:c r="AR189" s="752"/>
      <x:c r="AS189" s="752"/>
    </x:row>
    <x:row r="190" ht="30" customHeight="1">
      <x:c r="A190" s="751"/>
      <x:c r="B190" s="751"/>
      <x:c r="C190" s="751"/>
      <x:c r="D190" s="751"/>
      <x:c r="E190" s="751" t="str">
        <x:f>IF(A190="","",IF(OR(AJ190="EXCLUDE",COUNTIF(AD190:AH190,"LOW")&gt;0),"EXCLUDE",IF(OR(AJ190&lt;&gt;"INCLUDE",F190&lt;&gt;"SUCCESS",D190&lt;&gt;"STORED",U190="",AP190="",AQ190="",AQ190="UNVERIFIED",AND(AP190="OFFICIAL_WEBSITE",Q190=""),AND(OR(AA190="Equipment manual / OEM instruction",AB190="Asset-specific normative"),OR(Z190&lt;&gt;"Manufacturer / supplier",AS190="",AC190=""))),"PENDING",IF(COUNTIF(AD190:AH190,"HIGH")=5,"INCLUDE","PENDING"))))</x:f>
      </x:c>
      <x:c r="F190" s="751"/>
      <x:c r="G190" s="755"/>
      <x:c r="H190" s="755"/>
      <x:c r="I190" s="751"/>
      <x:c r="J190" s="751"/>
      <x:c r="K190" s="757" t="str">
        <x:f>IF(A190="","",IF(J190="AUTO",H190,IF(J190="MANUAL",AK190,"")))</x:f>
      </x:c>
      <x:c r="L190" s="751"/>
      <x:c r="M190" s="751"/>
      <x:c r="N190" s="751" t="str">
        <x:f>IF(OR(AM190&lt;&gt;"CURRENT",E190="EXCLUDE"),"NO",IF(A190="","",IF(OR(F190="FAIL",F190="PAYWALL_BLOCKED"),IF(AND(AK190&lt;&gt;"",AK190&gt;=INT(G190),D190="STORED",J190="MANUAL",AL190&lt;&gt;""),"NO","YES"),IF(AND(AR190="ROLLING",I190="CHANGED"),IF(AND(AK190&lt;&gt;"",AK190&gt;=INT(IF(H190&lt;&gt;"",H190,G190)),AL190&lt;&gt;""),"NO","YES"),"NO"))))</x:f>
        <x:v>NO</x:v>
      </x:c>
      <x:c r="O190" s="751"/>
      <x:c r="P190" s="752"/>
      <x:c r="Q190" s="752"/>
      <x:c r="R190" s="752"/>
      <x:c r="S190" s="752"/>
      <x:c r="T190" s="752"/>
      <x:c r="U190" s="752"/>
      <x:c r="V190" s="752"/>
      <x:c r="W190" s="752"/>
      <x:c r="X190" s="752"/>
      <x:c r="Y190" s="752"/>
      <x:c r="Z190" s="752"/>
      <x:c r="AA190" s="752"/>
      <x:c r="AB190" s="752"/>
      <x:c r="AC190" s="752"/>
      <x:c r="AD190" s="752"/>
      <x:c r="AE190" s="752"/>
      <x:c r="AF190" s="752"/>
      <x:c r="AG190" s="752"/>
      <x:c r="AH190" s="752"/>
      <x:c r="AI190" s="752"/>
      <x:c r="AJ190" s="752"/>
      <x:c r="AK190" s="759"/>
      <x:c r="AL190" s="752"/>
      <x:c r="AM190" s="752"/>
      <x:c r="AN190" s="752"/>
      <x:c r="AO190" s="752"/>
      <x:c r="AP190" s="752"/>
      <x:c r="AQ190" s="752"/>
      <x:c r="AR190" s="752"/>
      <x:c r="AS190" s="752"/>
    </x:row>
    <x:row r="191" ht="30" customHeight="1">
      <x:c r="A191" s="751"/>
      <x:c r="B191" s="751"/>
      <x:c r="C191" s="751"/>
      <x:c r="D191" s="751"/>
      <x:c r="E191" s="751" t="str">
        <x:f>IF(A191="","",IF(OR(AJ191="EXCLUDE",COUNTIF(AD191:AH191,"LOW")&gt;0),"EXCLUDE",IF(OR(AJ191&lt;&gt;"INCLUDE",F191&lt;&gt;"SUCCESS",D191&lt;&gt;"STORED",U191="",AP191="",AQ191="",AQ191="UNVERIFIED",AND(AP191="OFFICIAL_WEBSITE",Q191=""),AND(OR(AA191="Equipment manual / OEM instruction",AB191="Asset-specific normative"),OR(Z191&lt;&gt;"Manufacturer / supplier",AS191="",AC191=""))),"PENDING",IF(COUNTIF(AD191:AH191,"HIGH")=5,"INCLUDE","PENDING"))))</x:f>
      </x:c>
      <x:c r="F191" s="751"/>
      <x:c r="G191" s="755"/>
      <x:c r="H191" s="755"/>
      <x:c r="I191" s="751"/>
      <x:c r="J191" s="751"/>
      <x:c r="K191" s="757" t="str">
        <x:f>IF(A191="","",IF(J191="AUTO",H191,IF(J191="MANUAL",AK191,"")))</x:f>
      </x:c>
      <x:c r="L191" s="751"/>
      <x:c r="M191" s="751"/>
      <x:c r="N191" s="751" t="str">
        <x:f>IF(OR(AM191&lt;&gt;"CURRENT",E191="EXCLUDE"),"NO",IF(A191="","",IF(OR(F191="FAIL",F191="PAYWALL_BLOCKED"),IF(AND(AK191&lt;&gt;"",AK191&gt;=INT(G191),D191="STORED",J191="MANUAL",AL191&lt;&gt;""),"NO","YES"),IF(AND(AR191="ROLLING",I191="CHANGED"),IF(AND(AK191&lt;&gt;"",AK191&gt;=INT(IF(H191&lt;&gt;"",H191,G191)),AL191&lt;&gt;""),"NO","YES"),"NO"))))</x:f>
        <x:v>NO</x:v>
      </x:c>
      <x:c r="O191" s="751"/>
      <x:c r="P191" s="752"/>
      <x:c r="Q191" s="752"/>
      <x:c r="R191" s="752"/>
      <x:c r="S191" s="752"/>
      <x:c r="T191" s="752"/>
      <x:c r="U191" s="752"/>
      <x:c r="V191" s="752"/>
      <x:c r="W191" s="752"/>
      <x:c r="X191" s="752"/>
      <x:c r="Y191" s="752"/>
      <x:c r="Z191" s="752"/>
      <x:c r="AA191" s="752"/>
      <x:c r="AB191" s="752"/>
      <x:c r="AC191" s="752"/>
      <x:c r="AD191" s="752"/>
      <x:c r="AE191" s="752"/>
      <x:c r="AF191" s="752"/>
      <x:c r="AG191" s="752"/>
      <x:c r="AH191" s="752"/>
      <x:c r="AI191" s="752"/>
      <x:c r="AJ191" s="752"/>
      <x:c r="AK191" s="759"/>
      <x:c r="AL191" s="752"/>
      <x:c r="AM191" s="752"/>
      <x:c r="AN191" s="752"/>
      <x:c r="AO191" s="752"/>
      <x:c r="AP191" s="752"/>
      <x:c r="AQ191" s="752"/>
      <x:c r="AR191" s="752"/>
      <x:c r="AS191" s="752"/>
    </x:row>
    <x:row r="192" ht="30" customHeight="1">
      <x:c r="A192" s="751"/>
      <x:c r="B192" s="751"/>
      <x:c r="C192" s="751"/>
      <x:c r="D192" s="751"/>
      <x:c r="E192" s="751" t="str">
        <x:f>IF(A192="","",IF(OR(AJ192="EXCLUDE",COUNTIF(AD192:AH192,"LOW")&gt;0),"EXCLUDE",IF(OR(AJ192&lt;&gt;"INCLUDE",F192&lt;&gt;"SUCCESS",D192&lt;&gt;"STORED",U192="",AP192="",AQ192="",AQ192="UNVERIFIED",AND(AP192="OFFICIAL_WEBSITE",Q192=""),AND(OR(AA192="Equipment manual / OEM instruction",AB192="Asset-specific normative"),OR(Z192&lt;&gt;"Manufacturer / supplier",AS192="",AC192=""))),"PENDING",IF(COUNTIF(AD192:AH192,"HIGH")=5,"INCLUDE","PENDING"))))</x:f>
      </x:c>
      <x:c r="F192" s="751"/>
      <x:c r="G192" s="755"/>
      <x:c r="H192" s="755"/>
      <x:c r="I192" s="751"/>
      <x:c r="J192" s="751"/>
      <x:c r="K192" s="757" t="str">
        <x:f>IF(A192="","",IF(J192="AUTO",H192,IF(J192="MANUAL",AK192,"")))</x:f>
      </x:c>
      <x:c r="L192" s="751"/>
      <x:c r="M192" s="751"/>
      <x:c r="N192" s="751" t="str">
        <x:f>IF(OR(AM192&lt;&gt;"CURRENT",E192="EXCLUDE"),"NO",IF(A192="","",IF(OR(F192="FAIL",F192="PAYWALL_BLOCKED"),IF(AND(AK192&lt;&gt;"",AK192&gt;=INT(G192),D192="STORED",J192="MANUAL",AL192&lt;&gt;""),"NO","YES"),IF(AND(AR192="ROLLING",I192="CHANGED"),IF(AND(AK192&lt;&gt;"",AK192&gt;=INT(IF(H192&lt;&gt;"",H192,G192)),AL192&lt;&gt;""),"NO","YES"),"NO"))))</x:f>
        <x:v>NO</x:v>
      </x:c>
      <x:c r="O192" s="751"/>
      <x:c r="P192" s="752"/>
      <x:c r="Q192" s="752"/>
      <x:c r="R192" s="752"/>
      <x:c r="S192" s="752"/>
      <x:c r="T192" s="752"/>
      <x:c r="U192" s="752"/>
      <x:c r="V192" s="752"/>
      <x:c r="W192" s="752"/>
      <x:c r="X192" s="752"/>
      <x:c r="Y192" s="752"/>
      <x:c r="Z192" s="752"/>
      <x:c r="AA192" s="752"/>
      <x:c r="AB192" s="752"/>
      <x:c r="AC192" s="752"/>
      <x:c r="AD192" s="752"/>
      <x:c r="AE192" s="752"/>
      <x:c r="AF192" s="752"/>
      <x:c r="AG192" s="752"/>
      <x:c r="AH192" s="752"/>
      <x:c r="AI192" s="752"/>
      <x:c r="AJ192" s="752"/>
      <x:c r="AK192" s="759"/>
      <x:c r="AL192" s="752"/>
      <x:c r="AM192" s="752"/>
      <x:c r="AN192" s="752"/>
      <x:c r="AO192" s="752"/>
      <x:c r="AP192" s="752"/>
      <x:c r="AQ192" s="752"/>
      <x:c r="AR192" s="752"/>
      <x:c r="AS192" s="752"/>
    </x:row>
    <x:row r="193" ht="30" customHeight="1">
      <x:c r="A193" s="751"/>
      <x:c r="B193" s="751"/>
      <x:c r="C193" s="751"/>
      <x:c r="D193" s="751"/>
      <x:c r="E193" s="751" t="str">
        <x:f>IF(A193="","",IF(OR(AJ193="EXCLUDE",COUNTIF(AD193:AH193,"LOW")&gt;0),"EXCLUDE",IF(OR(AJ193&lt;&gt;"INCLUDE",F193&lt;&gt;"SUCCESS",D193&lt;&gt;"STORED",U193="",AP193="",AQ193="",AQ193="UNVERIFIED",AND(AP193="OFFICIAL_WEBSITE",Q193=""),AND(OR(AA193="Equipment manual / OEM instruction",AB193="Asset-specific normative"),OR(Z193&lt;&gt;"Manufacturer / supplier",AS193="",AC193=""))),"PENDING",IF(COUNTIF(AD193:AH193,"HIGH")=5,"INCLUDE","PENDING"))))</x:f>
      </x:c>
      <x:c r="F193" s="751"/>
      <x:c r="G193" s="755"/>
      <x:c r="H193" s="755"/>
      <x:c r="I193" s="751"/>
      <x:c r="J193" s="751"/>
      <x:c r="K193" s="757" t="str">
        <x:f>IF(A193="","",IF(J193="AUTO",H193,IF(J193="MANUAL",AK193,"")))</x:f>
      </x:c>
      <x:c r="L193" s="751"/>
      <x:c r="M193" s="751"/>
      <x:c r="N193" s="751" t="str">
        <x:f>IF(OR(AM193&lt;&gt;"CURRENT",E193="EXCLUDE"),"NO",IF(A193="","",IF(OR(F193="FAIL",F193="PAYWALL_BLOCKED"),IF(AND(AK193&lt;&gt;"",AK193&gt;=INT(G193),D193="STORED",J193="MANUAL",AL193&lt;&gt;""),"NO","YES"),IF(AND(AR193="ROLLING",I193="CHANGED"),IF(AND(AK193&lt;&gt;"",AK193&gt;=INT(IF(H193&lt;&gt;"",H193,G193)),AL193&lt;&gt;""),"NO","YES"),"NO"))))</x:f>
        <x:v>NO</x:v>
      </x:c>
      <x:c r="O193" s="751"/>
      <x:c r="P193" s="752"/>
      <x:c r="Q193" s="752"/>
      <x:c r="R193" s="752"/>
      <x:c r="S193" s="752"/>
      <x:c r="T193" s="752"/>
      <x:c r="U193" s="752"/>
      <x:c r="V193" s="752"/>
      <x:c r="W193" s="752"/>
      <x:c r="X193" s="752"/>
      <x:c r="Y193" s="752"/>
      <x:c r="Z193" s="752"/>
      <x:c r="AA193" s="752"/>
      <x:c r="AB193" s="752"/>
      <x:c r="AC193" s="752"/>
      <x:c r="AD193" s="752"/>
      <x:c r="AE193" s="752"/>
      <x:c r="AF193" s="752"/>
      <x:c r="AG193" s="752"/>
      <x:c r="AH193" s="752"/>
      <x:c r="AI193" s="752"/>
      <x:c r="AJ193" s="752"/>
      <x:c r="AK193" s="759"/>
      <x:c r="AL193" s="752"/>
      <x:c r="AM193" s="752"/>
      <x:c r="AN193" s="752"/>
      <x:c r="AO193" s="752"/>
      <x:c r="AP193" s="752"/>
      <x:c r="AQ193" s="752"/>
      <x:c r="AR193" s="752"/>
      <x:c r="AS193" s="752"/>
    </x:row>
    <x:row r="194" ht="30" customHeight="1">
      <x:c r="A194" s="751"/>
      <x:c r="B194" s="751"/>
      <x:c r="C194" s="751"/>
      <x:c r="D194" s="751"/>
      <x:c r="E194" s="751" t="str">
        <x:f>IF(A194="","",IF(OR(AJ194="EXCLUDE",COUNTIF(AD194:AH194,"LOW")&gt;0),"EXCLUDE",IF(OR(AJ194&lt;&gt;"INCLUDE",F194&lt;&gt;"SUCCESS",D194&lt;&gt;"STORED",U194="",AP194="",AQ194="",AQ194="UNVERIFIED",AND(AP194="OFFICIAL_WEBSITE",Q194=""),AND(OR(AA194="Equipment manual / OEM instruction",AB194="Asset-specific normative"),OR(Z194&lt;&gt;"Manufacturer / supplier",AS194="",AC194=""))),"PENDING",IF(COUNTIF(AD194:AH194,"HIGH")=5,"INCLUDE","PENDING"))))</x:f>
      </x:c>
      <x:c r="F194" s="751"/>
      <x:c r="G194" s="755"/>
      <x:c r="H194" s="755"/>
      <x:c r="I194" s="751"/>
      <x:c r="J194" s="751"/>
      <x:c r="K194" s="757" t="str">
        <x:f>IF(A194="","",IF(J194="AUTO",H194,IF(J194="MANUAL",AK194,"")))</x:f>
      </x:c>
      <x:c r="L194" s="751"/>
      <x:c r="M194" s="751"/>
      <x:c r="N194" s="751" t="str">
        <x:f>IF(OR(AM194&lt;&gt;"CURRENT",E194="EXCLUDE"),"NO",IF(A194="","",IF(OR(F194="FAIL",F194="PAYWALL_BLOCKED"),IF(AND(AK194&lt;&gt;"",AK194&gt;=INT(G194),D194="STORED",J194="MANUAL",AL194&lt;&gt;""),"NO","YES"),IF(AND(AR194="ROLLING",I194="CHANGED"),IF(AND(AK194&lt;&gt;"",AK194&gt;=INT(IF(H194&lt;&gt;"",H194,G194)),AL194&lt;&gt;""),"NO","YES"),"NO"))))</x:f>
        <x:v>NO</x:v>
      </x:c>
      <x:c r="O194" s="751"/>
      <x:c r="P194" s="752"/>
      <x:c r="Q194" s="752"/>
      <x:c r="R194" s="752"/>
      <x:c r="S194" s="752"/>
      <x:c r="T194" s="752"/>
      <x:c r="U194" s="752"/>
      <x:c r="V194" s="752"/>
      <x:c r="W194" s="752"/>
      <x:c r="X194" s="752"/>
      <x:c r="Y194" s="752"/>
      <x:c r="Z194" s="752"/>
      <x:c r="AA194" s="752"/>
      <x:c r="AB194" s="752"/>
      <x:c r="AC194" s="752"/>
      <x:c r="AD194" s="752"/>
      <x:c r="AE194" s="752"/>
      <x:c r="AF194" s="752"/>
      <x:c r="AG194" s="752"/>
      <x:c r="AH194" s="752"/>
      <x:c r="AI194" s="752"/>
      <x:c r="AJ194" s="752"/>
      <x:c r="AK194" s="759"/>
      <x:c r="AL194" s="752"/>
      <x:c r="AM194" s="752"/>
      <x:c r="AN194" s="752"/>
      <x:c r="AO194" s="752"/>
      <x:c r="AP194" s="752"/>
      <x:c r="AQ194" s="752"/>
      <x:c r="AR194" s="752"/>
      <x:c r="AS194" s="752"/>
    </x:row>
    <x:row r="195" ht="30" customHeight="1">
      <x:c r="A195" s="751"/>
      <x:c r="B195" s="751"/>
      <x:c r="C195" s="751"/>
      <x:c r="D195" s="751"/>
      <x:c r="E195" s="751" t="str">
        <x:f>IF(A195="","",IF(OR(AJ195="EXCLUDE",COUNTIF(AD195:AH195,"LOW")&gt;0),"EXCLUDE",IF(OR(AJ195&lt;&gt;"INCLUDE",F195&lt;&gt;"SUCCESS",D195&lt;&gt;"STORED",U195="",AP195="",AQ195="",AQ195="UNVERIFIED",AND(AP195="OFFICIAL_WEBSITE",Q195=""),AND(OR(AA195="Equipment manual / OEM instruction",AB195="Asset-specific normative"),OR(Z195&lt;&gt;"Manufacturer / supplier",AS195="",AC195=""))),"PENDING",IF(COUNTIF(AD195:AH195,"HIGH")=5,"INCLUDE","PENDING"))))</x:f>
      </x:c>
      <x:c r="F195" s="751"/>
      <x:c r="G195" s="755"/>
      <x:c r="H195" s="755"/>
      <x:c r="I195" s="751"/>
      <x:c r="J195" s="751"/>
      <x:c r="K195" s="757" t="str">
        <x:f>IF(A195="","",IF(J195="AUTO",H195,IF(J195="MANUAL",AK195,"")))</x:f>
      </x:c>
      <x:c r="L195" s="751"/>
      <x:c r="M195" s="751"/>
      <x:c r="N195" s="751" t="str">
        <x:f>IF(OR(AM195&lt;&gt;"CURRENT",E195="EXCLUDE"),"NO",IF(A195="","",IF(OR(F195="FAIL",F195="PAYWALL_BLOCKED"),IF(AND(AK195&lt;&gt;"",AK195&gt;=INT(G195),D195="STORED",J195="MANUAL",AL195&lt;&gt;""),"NO","YES"),IF(AND(AR195="ROLLING",I195="CHANGED"),IF(AND(AK195&lt;&gt;"",AK195&gt;=INT(IF(H195&lt;&gt;"",H195,G195)),AL195&lt;&gt;""),"NO","YES"),"NO"))))</x:f>
        <x:v>NO</x:v>
      </x:c>
      <x:c r="O195" s="751"/>
      <x:c r="P195" s="752"/>
      <x:c r="Q195" s="752"/>
      <x:c r="R195" s="752"/>
      <x:c r="S195" s="752"/>
      <x:c r="T195" s="752"/>
      <x:c r="U195" s="752"/>
      <x:c r="V195" s="752"/>
      <x:c r="W195" s="752"/>
      <x:c r="X195" s="752"/>
      <x:c r="Y195" s="752"/>
      <x:c r="Z195" s="752"/>
      <x:c r="AA195" s="752"/>
      <x:c r="AB195" s="752"/>
      <x:c r="AC195" s="752"/>
      <x:c r="AD195" s="752"/>
      <x:c r="AE195" s="752"/>
      <x:c r="AF195" s="752"/>
      <x:c r="AG195" s="752"/>
      <x:c r="AH195" s="752"/>
      <x:c r="AI195" s="752"/>
      <x:c r="AJ195" s="752"/>
      <x:c r="AK195" s="759"/>
      <x:c r="AL195" s="752"/>
      <x:c r="AM195" s="752"/>
      <x:c r="AN195" s="752"/>
      <x:c r="AO195" s="752"/>
      <x:c r="AP195" s="752"/>
      <x:c r="AQ195" s="752"/>
      <x:c r="AR195" s="752"/>
      <x:c r="AS195" s="752"/>
    </x:row>
    <x:row r="196" ht="30" customHeight="1">
      <x:c r="A196" s="751"/>
      <x:c r="B196" s="751"/>
      <x:c r="C196" s="751"/>
      <x:c r="D196" s="751"/>
      <x:c r="E196" s="751" t="str">
        <x:f>IF(A196="","",IF(OR(AJ196="EXCLUDE",COUNTIF(AD196:AH196,"LOW")&gt;0),"EXCLUDE",IF(OR(AJ196&lt;&gt;"INCLUDE",F196&lt;&gt;"SUCCESS",D196&lt;&gt;"STORED",U196="",AP196="",AQ196="",AQ196="UNVERIFIED",AND(AP196="OFFICIAL_WEBSITE",Q196=""),AND(OR(AA196="Equipment manual / OEM instruction",AB196="Asset-specific normative"),OR(Z196&lt;&gt;"Manufacturer / supplier",AS196="",AC196=""))),"PENDING",IF(COUNTIF(AD196:AH196,"HIGH")=5,"INCLUDE","PENDING"))))</x:f>
      </x:c>
      <x:c r="F196" s="751"/>
      <x:c r="G196" s="755"/>
      <x:c r="H196" s="755"/>
      <x:c r="I196" s="751"/>
      <x:c r="J196" s="751"/>
      <x:c r="K196" s="757" t="str">
        <x:f>IF(A196="","",IF(J196="AUTO",H196,IF(J196="MANUAL",AK196,"")))</x:f>
      </x:c>
      <x:c r="L196" s="751"/>
      <x:c r="M196" s="751"/>
      <x:c r="N196" s="751" t="str">
        <x:f>IF(OR(AM196&lt;&gt;"CURRENT",E196="EXCLUDE"),"NO",IF(A196="","",IF(OR(F196="FAIL",F196="PAYWALL_BLOCKED"),IF(AND(AK196&lt;&gt;"",AK196&gt;=INT(G196),D196="STORED",J196="MANUAL",AL196&lt;&gt;""),"NO","YES"),IF(AND(AR196="ROLLING",I196="CHANGED"),IF(AND(AK196&lt;&gt;"",AK196&gt;=INT(IF(H196&lt;&gt;"",H196,G196)),AL196&lt;&gt;""),"NO","YES"),"NO"))))</x:f>
        <x:v>NO</x:v>
      </x:c>
      <x:c r="O196" s="751"/>
      <x:c r="P196" s="752"/>
      <x:c r="Q196" s="752"/>
      <x:c r="R196" s="752"/>
      <x:c r="S196" s="752"/>
      <x:c r="T196" s="752"/>
      <x:c r="U196" s="752"/>
      <x:c r="V196" s="752"/>
      <x:c r="W196" s="752"/>
      <x:c r="X196" s="752"/>
      <x:c r="Y196" s="752"/>
      <x:c r="Z196" s="752"/>
      <x:c r="AA196" s="752"/>
      <x:c r="AB196" s="752"/>
      <x:c r="AC196" s="752"/>
      <x:c r="AD196" s="752"/>
      <x:c r="AE196" s="752"/>
      <x:c r="AF196" s="752"/>
      <x:c r="AG196" s="752"/>
      <x:c r="AH196" s="752"/>
      <x:c r="AI196" s="752"/>
      <x:c r="AJ196" s="752"/>
      <x:c r="AK196" s="759"/>
      <x:c r="AL196" s="752"/>
      <x:c r="AM196" s="752"/>
      <x:c r="AN196" s="752"/>
      <x:c r="AO196" s="752"/>
      <x:c r="AP196" s="752"/>
      <x:c r="AQ196" s="752"/>
      <x:c r="AR196" s="752"/>
      <x:c r="AS196" s="752"/>
    </x:row>
    <x:row r="197" ht="30" customHeight="1">
      <x:c r="A197" s="751"/>
      <x:c r="B197" s="751"/>
      <x:c r="C197" s="751"/>
      <x:c r="D197" s="751"/>
      <x:c r="E197" s="751" t="str">
        <x:f>IF(A197="","",IF(OR(AJ197="EXCLUDE",COUNTIF(AD197:AH197,"LOW")&gt;0),"EXCLUDE",IF(OR(AJ197&lt;&gt;"INCLUDE",F197&lt;&gt;"SUCCESS",D197&lt;&gt;"STORED",U197="",AP197="",AQ197="",AQ197="UNVERIFIED",AND(AP197="OFFICIAL_WEBSITE",Q197=""),AND(OR(AA197="Equipment manual / OEM instruction",AB197="Asset-specific normative"),OR(Z197&lt;&gt;"Manufacturer / supplier",AS197="",AC197=""))),"PENDING",IF(COUNTIF(AD197:AH197,"HIGH")=5,"INCLUDE","PENDING"))))</x:f>
      </x:c>
      <x:c r="F197" s="751"/>
      <x:c r="G197" s="755"/>
      <x:c r="H197" s="755"/>
      <x:c r="I197" s="751"/>
      <x:c r="J197" s="751"/>
      <x:c r="K197" s="757" t="str">
        <x:f>IF(A197="","",IF(J197="AUTO",H197,IF(J197="MANUAL",AK197,"")))</x:f>
      </x:c>
      <x:c r="L197" s="751"/>
      <x:c r="M197" s="751"/>
      <x:c r="N197" s="751" t="str">
        <x:f>IF(OR(AM197&lt;&gt;"CURRENT",E197="EXCLUDE"),"NO",IF(A197="","",IF(OR(F197="FAIL",F197="PAYWALL_BLOCKED"),IF(AND(AK197&lt;&gt;"",AK197&gt;=INT(G197),D197="STORED",J197="MANUAL",AL197&lt;&gt;""),"NO","YES"),IF(AND(AR197="ROLLING",I197="CHANGED"),IF(AND(AK197&lt;&gt;"",AK197&gt;=INT(IF(H197&lt;&gt;"",H197,G197)),AL197&lt;&gt;""),"NO","YES"),"NO"))))</x:f>
        <x:v>NO</x:v>
      </x:c>
      <x:c r="O197" s="751"/>
      <x:c r="P197" s="752"/>
      <x:c r="Q197" s="752"/>
      <x:c r="R197" s="752"/>
      <x:c r="S197" s="752"/>
      <x:c r="T197" s="752"/>
      <x:c r="U197" s="752"/>
      <x:c r="V197" s="752"/>
      <x:c r="W197" s="752"/>
      <x:c r="X197" s="752"/>
      <x:c r="Y197" s="752"/>
      <x:c r="Z197" s="752"/>
      <x:c r="AA197" s="752"/>
      <x:c r="AB197" s="752"/>
      <x:c r="AC197" s="752"/>
      <x:c r="AD197" s="752"/>
      <x:c r="AE197" s="752"/>
      <x:c r="AF197" s="752"/>
      <x:c r="AG197" s="752"/>
      <x:c r="AH197" s="752"/>
      <x:c r="AI197" s="752"/>
      <x:c r="AJ197" s="752"/>
      <x:c r="AK197" s="759"/>
      <x:c r="AL197" s="752"/>
      <x:c r="AM197" s="752"/>
      <x:c r="AN197" s="752"/>
      <x:c r="AO197" s="752"/>
      <x:c r="AP197" s="752"/>
      <x:c r="AQ197" s="752"/>
      <x:c r="AR197" s="752"/>
      <x:c r="AS197" s="752"/>
    </x:row>
    <x:row r="198" ht="30" customHeight="1">
      <x:c r="A198" s="751"/>
      <x:c r="B198" s="751"/>
      <x:c r="C198" s="751"/>
      <x:c r="D198" s="751"/>
      <x:c r="E198" s="751" t="str">
        <x:f>IF(A198="","",IF(OR(AJ198="EXCLUDE",COUNTIF(AD198:AH198,"LOW")&gt;0),"EXCLUDE",IF(OR(AJ198&lt;&gt;"INCLUDE",F198&lt;&gt;"SUCCESS",D198&lt;&gt;"STORED",U198="",AP198="",AQ198="",AQ198="UNVERIFIED",AND(AP198="OFFICIAL_WEBSITE",Q198=""),AND(OR(AA198="Equipment manual / OEM instruction",AB198="Asset-specific normative"),OR(Z198&lt;&gt;"Manufacturer / supplier",AS198="",AC198=""))),"PENDING",IF(COUNTIF(AD198:AH198,"HIGH")=5,"INCLUDE","PENDING"))))</x:f>
      </x:c>
      <x:c r="F198" s="751"/>
      <x:c r="G198" s="755"/>
      <x:c r="H198" s="755"/>
      <x:c r="I198" s="751"/>
      <x:c r="J198" s="751"/>
      <x:c r="K198" s="757" t="str">
        <x:f>IF(A198="","",IF(J198="AUTO",H198,IF(J198="MANUAL",AK198,"")))</x:f>
      </x:c>
      <x:c r="L198" s="751"/>
      <x:c r="M198" s="751"/>
      <x:c r="N198" s="751" t="str">
        <x:f>IF(OR(AM198&lt;&gt;"CURRENT",E198="EXCLUDE"),"NO",IF(A198="","",IF(OR(F198="FAIL",F198="PAYWALL_BLOCKED"),IF(AND(AK198&lt;&gt;"",AK198&gt;=INT(G198),D198="STORED",J198="MANUAL",AL198&lt;&gt;""),"NO","YES"),IF(AND(AR198="ROLLING",I198="CHANGED"),IF(AND(AK198&lt;&gt;"",AK198&gt;=INT(IF(H198&lt;&gt;"",H198,G198)),AL198&lt;&gt;""),"NO","YES"),"NO"))))</x:f>
        <x:v>NO</x:v>
      </x:c>
      <x:c r="O198" s="751"/>
      <x:c r="P198" s="752"/>
      <x:c r="Q198" s="752"/>
      <x:c r="R198" s="752"/>
      <x:c r="S198" s="752"/>
      <x:c r="T198" s="752"/>
      <x:c r="U198" s="752"/>
      <x:c r="V198" s="752"/>
      <x:c r="W198" s="752"/>
      <x:c r="X198" s="752"/>
      <x:c r="Y198" s="752"/>
      <x:c r="Z198" s="752"/>
      <x:c r="AA198" s="752"/>
      <x:c r="AB198" s="752"/>
      <x:c r="AC198" s="752"/>
      <x:c r="AD198" s="752"/>
      <x:c r="AE198" s="752"/>
      <x:c r="AF198" s="752"/>
      <x:c r="AG198" s="752"/>
      <x:c r="AH198" s="752"/>
      <x:c r="AI198" s="752"/>
      <x:c r="AJ198" s="752"/>
      <x:c r="AK198" s="759"/>
      <x:c r="AL198" s="752"/>
      <x:c r="AM198" s="752"/>
      <x:c r="AN198" s="752"/>
      <x:c r="AO198" s="752"/>
      <x:c r="AP198" s="752"/>
      <x:c r="AQ198" s="752"/>
      <x:c r="AR198" s="752"/>
      <x:c r="AS198" s="752"/>
    </x:row>
    <x:row r="199" ht="30" customHeight="1">
      <x:c r="A199" s="751"/>
      <x:c r="B199" s="751"/>
      <x:c r="C199" s="751"/>
      <x:c r="D199" s="751"/>
      <x:c r="E199" s="751" t="str">
        <x:f>IF(A199="","",IF(OR(AJ199="EXCLUDE",COUNTIF(AD199:AH199,"LOW")&gt;0),"EXCLUDE",IF(OR(AJ199&lt;&gt;"INCLUDE",F199&lt;&gt;"SUCCESS",D199&lt;&gt;"STORED",U199="",AP199="",AQ199="",AQ199="UNVERIFIED",AND(AP199="OFFICIAL_WEBSITE",Q199=""),AND(OR(AA199="Equipment manual / OEM instruction",AB199="Asset-specific normative"),OR(Z199&lt;&gt;"Manufacturer / supplier",AS199="",AC199=""))),"PENDING",IF(COUNTIF(AD199:AH199,"HIGH")=5,"INCLUDE","PENDING"))))</x:f>
      </x:c>
      <x:c r="F199" s="751"/>
      <x:c r="G199" s="755"/>
      <x:c r="H199" s="755"/>
      <x:c r="I199" s="751"/>
      <x:c r="J199" s="751"/>
      <x:c r="K199" s="757" t="str">
        <x:f>IF(A199="","",IF(J199="AUTO",H199,IF(J199="MANUAL",AK199,"")))</x:f>
      </x:c>
      <x:c r="L199" s="751"/>
      <x:c r="M199" s="751"/>
      <x:c r="N199" s="751" t="str">
        <x:f>IF(OR(AM199&lt;&gt;"CURRENT",E199="EXCLUDE"),"NO",IF(A199="","",IF(OR(F199="FAIL",F199="PAYWALL_BLOCKED"),IF(AND(AK199&lt;&gt;"",AK199&gt;=INT(G199),D199="STORED",J199="MANUAL",AL199&lt;&gt;""),"NO","YES"),IF(AND(AR199="ROLLING",I199="CHANGED"),IF(AND(AK199&lt;&gt;"",AK199&gt;=INT(IF(H199&lt;&gt;"",H199,G199)),AL199&lt;&gt;""),"NO","YES"),"NO"))))</x:f>
        <x:v>NO</x:v>
      </x:c>
      <x:c r="O199" s="751"/>
      <x:c r="P199" s="752"/>
      <x:c r="Q199" s="752"/>
      <x:c r="R199" s="752"/>
      <x:c r="S199" s="752"/>
      <x:c r="T199" s="752"/>
      <x:c r="U199" s="752"/>
      <x:c r="V199" s="752"/>
      <x:c r="W199" s="752"/>
      <x:c r="X199" s="752"/>
      <x:c r="Y199" s="752"/>
      <x:c r="Z199" s="752"/>
      <x:c r="AA199" s="752"/>
      <x:c r="AB199" s="752"/>
      <x:c r="AC199" s="752"/>
      <x:c r="AD199" s="752"/>
      <x:c r="AE199" s="752"/>
      <x:c r="AF199" s="752"/>
      <x:c r="AG199" s="752"/>
      <x:c r="AH199" s="752"/>
      <x:c r="AI199" s="752"/>
      <x:c r="AJ199" s="752"/>
      <x:c r="AK199" s="759"/>
      <x:c r="AL199" s="752"/>
      <x:c r="AM199" s="752"/>
      <x:c r="AN199" s="752"/>
      <x:c r="AO199" s="752"/>
      <x:c r="AP199" s="752"/>
      <x:c r="AQ199" s="752"/>
      <x:c r="AR199" s="752"/>
      <x:c r="AS199" s="752"/>
    </x:row>
    <x:row r="200" ht="30" customHeight="1">
      <x:c r="A200" s="751"/>
      <x:c r="B200" s="751"/>
      <x:c r="C200" s="751"/>
      <x:c r="D200" s="751"/>
      <x:c r="E200" s="751" t="str">
        <x:f>IF(A200="","",IF(OR(AJ200="EXCLUDE",COUNTIF(AD200:AH200,"LOW")&gt;0),"EXCLUDE",IF(OR(AJ200&lt;&gt;"INCLUDE",F200&lt;&gt;"SUCCESS",D200&lt;&gt;"STORED",U200="",AP200="",AQ200="",AQ200="UNVERIFIED",AND(AP200="OFFICIAL_WEBSITE",Q200=""),AND(OR(AA200="Equipment manual / OEM instruction",AB200="Asset-specific normative"),OR(Z200&lt;&gt;"Manufacturer / supplier",AS200="",AC200=""))),"PENDING",IF(COUNTIF(AD200:AH200,"HIGH")=5,"INCLUDE","PENDING"))))</x:f>
      </x:c>
      <x:c r="F200" s="751"/>
      <x:c r="G200" s="755"/>
      <x:c r="H200" s="755"/>
      <x:c r="I200" s="751"/>
      <x:c r="J200" s="751"/>
      <x:c r="K200" s="757" t="str">
        <x:f>IF(A200="","",IF(J200="AUTO",H200,IF(J200="MANUAL",AK200,"")))</x:f>
      </x:c>
      <x:c r="L200" s="751"/>
      <x:c r="M200" s="751"/>
      <x:c r="N200" s="751" t="str">
        <x:f>IF(OR(AM200&lt;&gt;"CURRENT",E200="EXCLUDE"),"NO",IF(A200="","",IF(OR(F200="FAIL",F200="PAYWALL_BLOCKED"),IF(AND(AK200&lt;&gt;"",AK200&gt;=INT(G200),D200="STORED",J200="MANUAL",AL200&lt;&gt;""),"NO","YES"),IF(AND(AR200="ROLLING",I200="CHANGED"),IF(AND(AK200&lt;&gt;"",AK200&gt;=INT(IF(H200&lt;&gt;"",H200,G200)),AL200&lt;&gt;""),"NO","YES"),"NO"))))</x:f>
        <x:v>NO</x:v>
      </x:c>
      <x:c r="O200" s="751"/>
      <x:c r="P200" s="752"/>
      <x:c r="Q200" s="752"/>
      <x:c r="R200" s="752"/>
      <x:c r="S200" s="752"/>
      <x:c r="T200" s="752"/>
      <x:c r="U200" s="752"/>
      <x:c r="V200" s="752"/>
      <x:c r="W200" s="752"/>
      <x:c r="X200" s="752"/>
      <x:c r="Y200" s="752"/>
      <x:c r="Z200" s="752"/>
      <x:c r="AA200" s="752"/>
      <x:c r="AB200" s="752"/>
      <x:c r="AC200" s="752"/>
      <x:c r="AD200" s="752"/>
      <x:c r="AE200" s="752"/>
      <x:c r="AF200" s="752"/>
      <x:c r="AG200" s="752"/>
      <x:c r="AH200" s="752"/>
      <x:c r="AI200" s="752"/>
      <x:c r="AJ200" s="752"/>
      <x:c r="AK200" s="759"/>
      <x:c r="AL200" s="752"/>
      <x:c r="AM200" s="752"/>
      <x:c r="AN200" s="752"/>
      <x:c r="AO200" s="752"/>
      <x:c r="AP200" s="752"/>
      <x:c r="AQ200" s="752"/>
      <x:c r="AR200" s="752"/>
      <x:c r="AS200" s="752"/>
    </x:row>
    <x:row r="201" ht="30" customHeight="1">
      <x:c r="A201" s="751"/>
      <x:c r="B201" s="751"/>
      <x:c r="C201" s="751"/>
      <x:c r="D201" s="751"/>
      <x:c r="E201" s="751" t="str">
        <x:f>IF(A201="","",IF(OR(AJ201="EXCLUDE",COUNTIF(AD201:AH201,"LOW")&gt;0),"EXCLUDE",IF(OR(AJ201&lt;&gt;"INCLUDE",F201&lt;&gt;"SUCCESS",D201&lt;&gt;"STORED",U201="",AP201="",AQ201="",AQ201="UNVERIFIED",AND(AP201="OFFICIAL_WEBSITE",Q201=""),AND(OR(AA201="Equipment manual / OEM instruction",AB201="Asset-specific normative"),OR(Z201&lt;&gt;"Manufacturer / supplier",AS201="",AC201=""))),"PENDING",IF(COUNTIF(AD201:AH201,"HIGH")=5,"INCLUDE","PENDING"))))</x:f>
      </x:c>
      <x:c r="F201" s="751"/>
      <x:c r="G201" s="755"/>
      <x:c r="H201" s="755"/>
      <x:c r="I201" s="751"/>
      <x:c r="J201" s="751"/>
      <x:c r="K201" s="757" t="str">
        <x:f>IF(A201="","",IF(J201="AUTO",H201,IF(J201="MANUAL",AK201,"")))</x:f>
      </x:c>
      <x:c r="L201" s="751"/>
      <x:c r="M201" s="751"/>
      <x:c r="N201" s="751" t="str">
        <x:f>IF(OR(AM201&lt;&gt;"CURRENT",E201="EXCLUDE"),"NO",IF(A201="","",IF(OR(F201="FAIL",F201="PAYWALL_BLOCKED"),IF(AND(AK201&lt;&gt;"",AK201&gt;=INT(G201),D201="STORED",J201="MANUAL",AL201&lt;&gt;""),"NO","YES"),IF(AND(AR201="ROLLING",I201="CHANGED"),IF(AND(AK201&lt;&gt;"",AK201&gt;=INT(IF(H201&lt;&gt;"",H201,G201)),AL201&lt;&gt;""),"NO","YES"),"NO"))))</x:f>
        <x:v>NO</x:v>
      </x:c>
      <x:c r="O201" s="751"/>
      <x:c r="P201" s="752"/>
      <x:c r="Q201" s="752"/>
      <x:c r="R201" s="752"/>
      <x:c r="S201" s="752"/>
      <x:c r="T201" s="752"/>
      <x:c r="U201" s="752"/>
      <x:c r="V201" s="752"/>
      <x:c r="W201" s="752"/>
      <x:c r="X201" s="752"/>
      <x:c r="Y201" s="752"/>
      <x:c r="Z201" s="752"/>
      <x:c r="AA201" s="752"/>
      <x:c r="AB201" s="752"/>
      <x:c r="AC201" s="752"/>
      <x:c r="AD201" s="752"/>
      <x:c r="AE201" s="752"/>
      <x:c r="AF201" s="752"/>
      <x:c r="AG201" s="752"/>
      <x:c r="AH201" s="752"/>
      <x:c r="AI201" s="752"/>
      <x:c r="AJ201" s="752"/>
      <x:c r="AK201" s="759"/>
      <x:c r="AL201" s="752"/>
      <x:c r="AM201" s="752"/>
      <x:c r="AN201" s="752"/>
      <x:c r="AO201" s="752"/>
      <x:c r="AP201" s="752"/>
      <x:c r="AQ201" s="752"/>
      <x:c r="AR201" s="752"/>
      <x:c r="AS201" s="752"/>
    </x:row>
    <x:row r="202" ht="30" customHeight="1">
      <x:c r="A202" s="751"/>
      <x:c r="B202" s="751"/>
      <x:c r="C202" s="751"/>
      <x:c r="D202" s="751"/>
      <x:c r="E202" s="751" t="str">
        <x:f>IF(A202="","",IF(OR(AJ202="EXCLUDE",COUNTIF(AD202:AH202,"LOW")&gt;0),"EXCLUDE",IF(OR(AJ202&lt;&gt;"INCLUDE",F202&lt;&gt;"SUCCESS",D202&lt;&gt;"STORED",U202="",AP202="",AQ202="",AQ202="UNVERIFIED",AND(AP202="OFFICIAL_WEBSITE",Q202=""),AND(OR(AA202="Equipment manual / OEM instruction",AB202="Asset-specific normative"),OR(Z202&lt;&gt;"Manufacturer / supplier",AS202="",AC202=""))),"PENDING",IF(COUNTIF(AD202:AH202,"HIGH")=5,"INCLUDE","PENDING"))))</x:f>
      </x:c>
      <x:c r="F202" s="751"/>
      <x:c r="G202" s="755"/>
      <x:c r="H202" s="755"/>
      <x:c r="I202" s="751"/>
      <x:c r="J202" s="751"/>
      <x:c r="K202" s="757" t="str">
        <x:f>IF(A202="","",IF(J202="AUTO",H202,IF(J202="MANUAL",AK202,"")))</x:f>
      </x:c>
      <x:c r="L202" s="751"/>
      <x:c r="M202" s="751"/>
      <x:c r="N202" s="751" t="str">
        <x:f>IF(OR(AM202&lt;&gt;"CURRENT",E202="EXCLUDE"),"NO",IF(A202="","",IF(OR(F202="FAIL",F202="PAYWALL_BLOCKED"),IF(AND(AK202&lt;&gt;"",AK202&gt;=INT(G202),D202="STORED",J202="MANUAL",AL202&lt;&gt;""),"NO","YES"),IF(AND(AR202="ROLLING",I202="CHANGED"),IF(AND(AK202&lt;&gt;"",AK202&gt;=INT(IF(H202&lt;&gt;"",H202,G202)),AL202&lt;&gt;""),"NO","YES"),"NO"))))</x:f>
        <x:v>NO</x:v>
      </x:c>
      <x:c r="O202" s="751"/>
      <x:c r="P202" s="752"/>
      <x:c r="Q202" s="752"/>
      <x:c r="R202" s="752"/>
      <x:c r="S202" s="752"/>
      <x:c r="T202" s="752"/>
      <x:c r="U202" s="752"/>
      <x:c r="V202" s="752"/>
      <x:c r="W202" s="752"/>
      <x:c r="X202" s="752"/>
      <x:c r="Y202" s="752"/>
      <x:c r="Z202" s="752"/>
      <x:c r="AA202" s="752"/>
      <x:c r="AB202" s="752"/>
      <x:c r="AC202" s="752"/>
      <x:c r="AD202" s="752"/>
      <x:c r="AE202" s="752"/>
      <x:c r="AF202" s="752"/>
      <x:c r="AG202" s="752"/>
      <x:c r="AH202" s="752"/>
      <x:c r="AI202" s="752"/>
      <x:c r="AJ202" s="752"/>
      <x:c r="AK202" s="759"/>
      <x:c r="AL202" s="752"/>
      <x:c r="AM202" s="752"/>
      <x:c r="AN202" s="752"/>
      <x:c r="AO202" s="752"/>
      <x:c r="AP202" s="752"/>
      <x:c r="AQ202" s="752"/>
      <x:c r="AR202" s="752"/>
      <x:c r="AS202" s="752"/>
    </x:row>
    <x:row r="203" ht="30" customHeight="1">
      <x:c r="A203" s="751"/>
      <x:c r="B203" s="751"/>
      <x:c r="C203" s="751"/>
      <x:c r="D203" s="751"/>
      <x:c r="E203" s="751" t="str">
        <x:f>IF(A203="","",IF(OR(AJ203="EXCLUDE",COUNTIF(AD203:AH203,"LOW")&gt;0),"EXCLUDE",IF(OR(AJ203&lt;&gt;"INCLUDE",F203&lt;&gt;"SUCCESS",D203&lt;&gt;"STORED",U203="",AP203="",AQ203="",AQ203="UNVERIFIED",AND(AP203="OFFICIAL_WEBSITE",Q203=""),AND(OR(AA203="Equipment manual / OEM instruction",AB203="Asset-specific normative"),OR(Z203&lt;&gt;"Manufacturer / supplier",AS203="",AC203=""))),"PENDING",IF(COUNTIF(AD203:AH203,"HIGH")=5,"INCLUDE","PENDING"))))</x:f>
      </x:c>
      <x:c r="F203" s="751"/>
      <x:c r="G203" s="755"/>
      <x:c r="H203" s="755"/>
      <x:c r="I203" s="751"/>
      <x:c r="J203" s="751"/>
      <x:c r="K203" s="757" t="str">
        <x:f>IF(A203="","",IF(J203="AUTO",H203,IF(J203="MANUAL",AK203,"")))</x:f>
      </x:c>
      <x:c r="L203" s="751"/>
      <x:c r="M203" s="751"/>
      <x:c r="N203" s="751" t="str">
        <x:f>IF(OR(AM203&lt;&gt;"CURRENT",E203="EXCLUDE"),"NO",IF(A203="","",IF(OR(F203="FAIL",F203="PAYWALL_BLOCKED"),IF(AND(AK203&lt;&gt;"",AK203&gt;=INT(G203),D203="STORED",J203="MANUAL",AL203&lt;&gt;""),"NO","YES"),IF(AND(AR203="ROLLING",I203="CHANGED"),IF(AND(AK203&lt;&gt;"",AK203&gt;=INT(IF(H203&lt;&gt;"",H203,G203)),AL203&lt;&gt;""),"NO","YES"),"NO"))))</x:f>
        <x:v>NO</x:v>
      </x:c>
      <x:c r="O203" s="751"/>
      <x:c r="P203" s="752"/>
      <x:c r="Q203" s="752"/>
      <x:c r="R203" s="752"/>
      <x:c r="S203" s="752"/>
      <x:c r="T203" s="752"/>
      <x:c r="U203" s="752"/>
      <x:c r="V203" s="752"/>
      <x:c r="W203" s="752"/>
      <x:c r="X203" s="752"/>
      <x:c r="Y203" s="752"/>
      <x:c r="Z203" s="752"/>
      <x:c r="AA203" s="752"/>
      <x:c r="AB203" s="752"/>
      <x:c r="AC203" s="752"/>
      <x:c r="AD203" s="752"/>
      <x:c r="AE203" s="752"/>
      <x:c r="AF203" s="752"/>
      <x:c r="AG203" s="752"/>
      <x:c r="AH203" s="752"/>
      <x:c r="AI203" s="752"/>
      <x:c r="AJ203" s="752"/>
      <x:c r="AK203" s="759"/>
      <x:c r="AL203" s="752"/>
      <x:c r="AM203" s="752"/>
      <x:c r="AN203" s="752"/>
      <x:c r="AO203" s="752"/>
      <x:c r="AP203" s="752"/>
      <x:c r="AQ203" s="752"/>
      <x:c r="AR203" s="752"/>
      <x:c r="AS203" s="752"/>
    </x:row>
    <x:row r="204" ht="30" customHeight="1">
      <x:c r="A204" s="751"/>
      <x:c r="B204" s="751"/>
      <x:c r="C204" s="751"/>
      <x:c r="D204" s="751"/>
      <x:c r="E204" s="751" t="str">
        <x:f>IF(A204="","",IF(OR(AJ204="EXCLUDE",COUNTIF(AD204:AH204,"LOW")&gt;0),"EXCLUDE",IF(OR(AJ204&lt;&gt;"INCLUDE",F204&lt;&gt;"SUCCESS",D204&lt;&gt;"STORED",U204="",AP204="",AQ204="",AQ204="UNVERIFIED",AND(AP204="OFFICIAL_WEBSITE",Q204=""),AND(OR(AA204="Equipment manual / OEM instruction",AB204="Asset-specific normative"),OR(Z204&lt;&gt;"Manufacturer / supplier",AS204="",AC204=""))),"PENDING",IF(COUNTIF(AD204:AH204,"HIGH")=5,"INCLUDE","PENDING"))))</x:f>
      </x:c>
      <x:c r="F204" s="751"/>
      <x:c r="G204" s="755"/>
      <x:c r="H204" s="755"/>
      <x:c r="I204" s="751"/>
      <x:c r="J204" s="751"/>
      <x:c r="K204" s="757" t="str">
        <x:f>IF(A204="","",IF(J204="AUTO",H204,IF(J204="MANUAL",AK204,"")))</x:f>
      </x:c>
      <x:c r="L204" s="751"/>
      <x:c r="M204" s="751"/>
      <x:c r="N204" s="751" t="str">
        <x:f>IF(OR(AM204&lt;&gt;"CURRENT",E204="EXCLUDE"),"NO",IF(A204="","",IF(OR(F204="FAIL",F204="PAYWALL_BLOCKED"),IF(AND(AK204&lt;&gt;"",AK204&gt;=INT(G204),D204="STORED",J204="MANUAL",AL204&lt;&gt;""),"NO","YES"),IF(AND(AR204="ROLLING",I204="CHANGED"),IF(AND(AK204&lt;&gt;"",AK204&gt;=INT(IF(H204&lt;&gt;"",H204,G204)),AL204&lt;&gt;""),"NO","YES"),"NO"))))</x:f>
        <x:v>NO</x:v>
      </x:c>
      <x:c r="O204" s="751"/>
      <x:c r="P204" s="752"/>
      <x:c r="Q204" s="752"/>
      <x:c r="R204" s="752"/>
      <x:c r="S204" s="752"/>
      <x:c r="T204" s="752"/>
      <x:c r="U204" s="752"/>
      <x:c r="V204" s="752"/>
      <x:c r="W204" s="752"/>
      <x:c r="X204" s="752"/>
      <x:c r="Y204" s="752"/>
      <x:c r="Z204" s="752"/>
      <x:c r="AA204" s="752"/>
      <x:c r="AB204" s="752"/>
      <x:c r="AC204" s="752"/>
      <x:c r="AD204" s="752"/>
      <x:c r="AE204" s="752"/>
      <x:c r="AF204" s="752"/>
      <x:c r="AG204" s="752"/>
      <x:c r="AH204" s="752"/>
      <x:c r="AI204" s="752"/>
      <x:c r="AJ204" s="752"/>
      <x:c r="AK204" s="759"/>
      <x:c r="AL204" s="752"/>
      <x:c r="AM204" s="752"/>
      <x:c r="AN204" s="752"/>
      <x:c r="AO204" s="752"/>
      <x:c r="AP204" s="752"/>
      <x:c r="AQ204" s="752"/>
      <x:c r="AR204" s="752"/>
      <x:c r="AS204" s="752"/>
    </x:row>
    <x:row r="205" ht="30" customHeight="1">
      <x:c r="A205" s="751"/>
      <x:c r="B205" s="751"/>
      <x:c r="C205" s="751"/>
      <x:c r="D205" s="751"/>
      <x:c r="E205" s="751" t="str">
        <x:f>IF(A205="","",IF(OR(AJ205="EXCLUDE",COUNTIF(AD205:AH205,"LOW")&gt;0),"EXCLUDE",IF(OR(AJ205&lt;&gt;"INCLUDE",F205&lt;&gt;"SUCCESS",D205&lt;&gt;"STORED",U205="",AP205="",AQ205="",AQ205="UNVERIFIED",AND(AP205="OFFICIAL_WEBSITE",Q205=""),AND(OR(AA205="Equipment manual / OEM instruction",AB205="Asset-specific normative"),OR(Z205&lt;&gt;"Manufacturer / supplier",AS205="",AC205=""))),"PENDING",IF(COUNTIF(AD205:AH205,"HIGH")=5,"INCLUDE","PENDING"))))</x:f>
      </x:c>
      <x:c r="F205" s="751"/>
      <x:c r="G205" s="755"/>
      <x:c r="H205" s="755"/>
      <x:c r="I205" s="751"/>
      <x:c r="J205" s="751"/>
      <x:c r="K205" s="757" t="str">
        <x:f>IF(A205="","",IF(J205="AUTO",H205,IF(J205="MANUAL",AK205,"")))</x:f>
      </x:c>
      <x:c r="L205" s="751"/>
      <x:c r="M205" s="751"/>
      <x:c r="N205" s="751" t="str">
        <x:f>IF(OR(AM205&lt;&gt;"CURRENT",E205="EXCLUDE"),"NO",IF(A205="","",IF(OR(F205="FAIL",F205="PAYWALL_BLOCKED"),IF(AND(AK205&lt;&gt;"",AK205&gt;=INT(G205),D205="STORED",J205="MANUAL",AL205&lt;&gt;""),"NO","YES"),IF(AND(AR205="ROLLING",I205="CHANGED"),IF(AND(AK205&lt;&gt;"",AK205&gt;=INT(IF(H205&lt;&gt;"",H205,G205)),AL205&lt;&gt;""),"NO","YES"),"NO"))))</x:f>
        <x:v>NO</x:v>
      </x:c>
      <x:c r="O205" s="751"/>
      <x:c r="P205" s="752"/>
      <x:c r="Q205" s="752"/>
      <x:c r="R205" s="752"/>
      <x:c r="S205" s="752"/>
      <x:c r="T205" s="752"/>
      <x:c r="U205" s="752"/>
      <x:c r="V205" s="752"/>
      <x:c r="W205" s="752"/>
      <x:c r="X205" s="752"/>
      <x:c r="Y205" s="752"/>
      <x:c r="Z205" s="752"/>
      <x:c r="AA205" s="752"/>
      <x:c r="AB205" s="752"/>
      <x:c r="AC205" s="752"/>
      <x:c r="AD205" s="752"/>
      <x:c r="AE205" s="752"/>
      <x:c r="AF205" s="752"/>
      <x:c r="AG205" s="752"/>
      <x:c r="AH205" s="752"/>
      <x:c r="AI205" s="752"/>
      <x:c r="AJ205" s="752"/>
      <x:c r="AK205" s="759"/>
      <x:c r="AL205" s="752"/>
      <x:c r="AM205" s="752"/>
      <x:c r="AN205" s="752"/>
      <x:c r="AO205" s="752"/>
      <x:c r="AP205" s="752"/>
      <x:c r="AQ205" s="752"/>
      <x:c r="AR205" s="752"/>
      <x:c r="AS205" s="752"/>
    </x:row>
    <x:row r="206" ht="30" customHeight="1">
      <x:c r="A206" s="751"/>
      <x:c r="B206" s="751"/>
      <x:c r="C206" s="751"/>
      <x:c r="D206" s="751"/>
      <x:c r="E206" s="751" t="str">
        <x:f>IF(A206="","",IF(OR(AJ206="EXCLUDE",COUNTIF(AD206:AH206,"LOW")&gt;0),"EXCLUDE",IF(OR(AJ206&lt;&gt;"INCLUDE",F206&lt;&gt;"SUCCESS",D206&lt;&gt;"STORED",U206="",AP206="",AQ206="",AQ206="UNVERIFIED",AND(AP206="OFFICIAL_WEBSITE",Q206=""),AND(OR(AA206="Equipment manual / OEM instruction",AB206="Asset-specific normative"),OR(Z206&lt;&gt;"Manufacturer / supplier",AS206="",AC206=""))),"PENDING",IF(COUNTIF(AD206:AH206,"HIGH")=5,"INCLUDE","PENDING"))))</x:f>
      </x:c>
      <x:c r="F206" s="751"/>
      <x:c r="G206" s="755"/>
      <x:c r="H206" s="755"/>
      <x:c r="I206" s="751"/>
      <x:c r="J206" s="751"/>
      <x:c r="K206" s="757" t="str">
        <x:f>IF(A206="","",IF(J206="AUTO",H206,IF(J206="MANUAL",AK206,"")))</x:f>
      </x:c>
      <x:c r="L206" s="751"/>
      <x:c r="M206" s="751"/>
      <x:c r="N206" s="751" t="str">
        <x:f>IF(OR(AM206&lt;&gt;"CURRENT",E206="EXCLUDE"),"NO",IF(A206="","",IF(OR(F206="FAIL",F206="PAYWALL_BLOCKED"),IF(AND(AK206&lt;&gt;"",AK206&gt;=INT(G206),D206="STORED",J206="MANUAL",AL206&lt;&gt;""),"NO","YES"),IF(AND(AR206="ROLLING",I206="CHANGED"),IF(AND(AK206&lt;&gt;"",AK206&gt;=INT(IF(H206&lt;&gt;"",H206,G206)),AL206&lt;&gt;""),"NO","YES"),"NO"))))</x:f>
        <x:v>NO</x:v>
      </x:c>
      <x:c r="O206" s="751"/>
      <x:c r="P206" s="752"/>
      <x:c r="Q206" s="752"/>
      <x:c r="R206" s="752"/>
      <x:c r="S206" s="752"/>
      <x:c r="T206" s="752"/>
      <x:c r="U206" s="752"/>
      <x:c r="V206" s="752"/>
      <x:c r="W206" s="752"/>
      <x:c r="X206" s="752"/>
      <x:c r="Y206" s="752"/>
      <x:c r="Z206" s="752"/>
      <x:c r="AA206" s="752"/>
      <x:c r="AB206" s="752"/>
      <x:c r="AC206" s="752"/>
      <x:c r="AD206" s="752"/>
      <x:c r="AE206" s="752"/>
      <x:c r="AF206" s="752"/>
      <x:c r="AG206" s="752"/>
      <x:c r="AH206" s="752"/>
      <x:c r="AI206" s="752"/>
      <x:c r="AJ206" s="752"/>
      <x:c r="AK206" s="759"/>
      <x:c r="AL206" s="752"/>
      <x:c r="AM206" s="752"/>
      <x:c r="AN206" s="752"/>
      <x:c r="AO206" s="752"/>
      <x:c r="AP206" s="752"/>
      <x:c r="AQ206" s="752"/>
      <x:c r="AR206" s="752"/>
      <x:c r="AS206" s="752"/>
    </x:row>
    <x:row r="207" ht="30" customHeight="1">
      <x:c r="A207" s="751"/>
      <x:c r="B207" s="751"/>
      <x:c r="C207" s="751"/>
      <x:c r="D207" s="751"/>
      <x:c r="E207" s="751" t="str">
        <x:f>IF(A207="","",IF(OR(AJ207="EXCLUDE",COUNTIF(AD207:AH207,"LOW")&gt;0),"EXCLUDE",IF(OR(AJ207&lt;&gt;"INCLUDE",F207&lt;&gt;"SUCCESS",D207&lt;&gt;"STORED",U207="",AP207="",AQ207="",AQ207="UNVERIFIED",AND(AP207="OFFICIAL_WEBSITE",Q207=""),AND(OR(AA207="Equipment manual / OEM instruction",AB207="Asset-specific normative"),OR(Z207&lt;&gt;"Manufacturer / supplier",AS207="",AC207=""))),"PENDING",IF(COUNTIF(AD207:AH207,"HIGH")=5,"INCLUDE","PENDING"))))</x:f>
      </x:c>
      <x:c r="F207" s="751"/>
      <x:c r="G207" s="755"/>
      <x:c r="H207" s="755"/>
      <x:c r="I207" s="751"/>
      <x:c r="J207" s="751"/>
      <x:c r="K207" s="757" t="str">
        <x:f>IF(A207="","",IF(J207="AUTO",H207,IF(J207="MANUAL",AK207,"")))</x:f>
      </x:c>
      <x:c r="L207" s="751"/>
      <x:c r="M207" s="751"/>
      <x:c r="N207" s="751" t="str">
        <x:f>IF(OR(AM207&lt;&gt;"CURRENT",E207="EXCLUDE"),"NO",IF(A207="","",IF(OR(F207="FAIL",F207="PAYWALL_BLOCKED"),IF(AND(AK207&lt;&gt;"",AK207&gt;=INT(G207),D207="STORED",J207="MANUAL",AL207&lt;&gt;""),"NO","YES"),IF(AND(AR207="ROLLING",I207="CHANGED"),IF(AND(AK207&lt;&gt;"",AK207&gt;=INT(IF(H207&lt;&gt;"",H207,G207)),AL207&lt;&gt;""),"NO","YES"),"NO"))))</x:f>
        <x:v>NO</x:v>
      </x:c>
      <x:c r="O207" s="751"/>
      <x:c r="P207" s="752"/>
      <x:c r="Q207" s="752"/>
      <x:c r="R207" s="752"/>
      <x:c r="S207" s="752"/>
      <x:c r="T207" s="752"/>
      <x:c r="U207" s="752"/>
      <x:c r="V207" s="752"/>
      <x:c r="W207" s="752"/>
      <x:c r="X207" s="752"/>
      <x:c r="Y207" s="752"/>
      <x:c r="Z207" s="752"/>
      <x:c r="AA207" s="752"/>
      <x:c r="AB207" s="752"/>
      <x:c r="AC207" s="752"/>
      <x:c r="AD207" s="752"/>
      <x:c r="AE207" s="752"/>
      <x:c r="AF207" s="752"/>
      <x:c r="AG207" s="752"/>
      <x:c r="AH207" s="752"/>
      <x:c r="AI207" s="752"/>
      <x:c r="AJ207" s="752"/>
      <x:c r="AK207" s="759"/>
      <x:c r="AL207" s="752"/>
      <x:c r="AM207" s="752"/>
      <x:c r="AN207" s="752"/>
      <x:c r="AO207" s="752"/>
      <x:c r="AP207" s="752"/>
      <x:c r="AQ207" s="752"/>
      <x:c r="AR207" s="752"/>
      <x:c r="AS207" s="752"/>
    </x:row>
    <x:row r="208" ht="30" customHeight="1">
      <x:c r="A208" s="751"/>
      <x:c r="B208" s="751"/>
      <x:c r="C208" s="751"/>
      <x:c r="D208" s="751"/>
      <x:c r="E208" s="751" t="str">
        <x:f>IF(A208="","",IF(OR(AJ208="EXCLUDE",COUNTIF(AD208:AH208,"LOW")&gt;0),"EXCLUDE",IF(OR(AJ208&lt;&gt;"INCLUDE",F208&lt;&gt;"SUCCESS",D208&lt;&gt;"STORED",U208="",AP208="",AQ208="",AQ208="UNVERIFIED",AND(AP208="OFFICIAL_WEBSITE",Q208=""),AND(OR(AA208="Equipment manual / OEM instruction",AB208="Asset-specific normative"),OR(Z208&lt;&gt;"Manufacturer / supplier",AS208="",AC208=""))),"PENDING",IF(COUNTIF(AD208:AH208,"HIGH")=5,"INCLUDE","PENDING"))))</x:f>
      </x:c>
      <x:c r="F208" s="751"/>
      <x:c r="G208" s="755"/>
      <x:c r="H208" s="755"/>
      <x:c r="I208" s="751"/>
      <x:c r="J208" s="751"/>
      <x:c r="K208" s="757" t="str">
        <x:f>IF(A208="","",IF(J208="AUTO",H208,IF(J208="MANUAL",AK208,"")))</x:f>
      </x:c>
      <x:c r="L208" s="751"/>
      <x:c r="M208" s="751"/>
      <x:c r="N208" s="751" t="str">
        <x:f>IF(OR(AM208&lt;&gt;"CURRENT",E208="EXCLUDE"),"NO",IF(A208="","",IF(OR(F208="FAIL",F208="PAYWALL_BLOCKED"),IF(AND(AK208&lt;&gt;"",AK208&gt;=INT(G208),D208="STORED",J208="MANUAL",AL208&lt;&gt;""),"NO","YES"),IF(AND(AR208="ROLLING",I208="CHANGED"),IF(AND(AK208&lt;&gt;"",AK208&gt;=INT(IF(H208&lt;&gt;"",H208,G208)),AL208&lt;&gt;""),"NO","YES"),"NO"))))</x:f>
        <x:v>NO</x:v>
      </x:c>
      <x:c r="O208" s="751"/>
      <x:c r="P208" s="752"/>
      <x:c r="Q208" s="752"/>
      <x:c r="R208" s="752"/>
      <x:c r="S208" s="752"/>
      <x:c r="T208" s="752"/>
      <x:c r="U208" s="752"/>
      <x:c r="V208" s="752"/>
      <x:c r="W208" s="752"/>
      <x:c r="X208" s="752"/>
      <x:c r="Y208" s="752"/>
      <x:c r="Z208" s="752"/>
      <x:c r="AA208" s="752"/>
      <x:c r="AB208" s="752"/>
      <x:c r="AC208" s="752"/>
      <x:c r="AD208" s="752"/>
      <x:c r="AE208" s="752"/>
      <x:c r="AF208" s="752"/>
      <x:c r="AG208" s="752"/>
      <x:c r="AH208" s="752"/>
      <x:c r="AI208" s="752"/>
      <x:c r="AJ208" s="752"/>
      <x:c r="AK208" s="759"/>
      <x:c r="AL208" s="752"/>
      <x:c r="AM208" s="752"/>
      <x:c r="AN208" s="752"/>
      <x:c r="AO208" s="752"/>
      <x:c r="AP208" s="752"/>
      <x:c r="AQ208" s="752"/>
      <x:c r="AR208" s="752"/>
      <x:c r="AS208" s="752"/>
    </x:row>
    <x:row r="209" ht="30" customHeight="1">
      <x:c r="A209" s="751"/>
      <x:c r="B209" s="751"/>
      <x:c r="C209" s="751"/>
      <x:c r="D209" s="751"/>
      <x:c r="E209" s="751" t="str">
        <x:f>IF(A209="","",IF(OR(AJ209="EXCLUDE",COUNTIF(AD209:AH209,"LOW")&gt;0),"EXCLUDE",IF(OR(AJ209&lt;&gt;"INCLUDE",F209&lt;&gt;"SUCCESS",D209&lt;&gt;"STORED",U209="",AP209="",AQ209="",AQ209="UNVERIFIED",AND(AP209="OFFICIAL_WEBSITE",Q209=""),AND(OR(AA209="Equipment manual / OEM instruction",AB209="Asset-specific normative"),OR(Z209&lt;&gt;"Manufacturer / supplier",AS209="",AC209=""))),"PENDING",IF(COUNTIF(AD209:AH209,"HIGH")=5,"INCLUDE","PENDING"))))</x:f>
      </x:c>
      <x:c r="F209" s="751"/>
      <x:c r="G209" s="755"/>
      <x:c r="H209" s="755"/>
      <x:c r="I209" s="751"/>
      <x:c r="J209" s="751"/>
      <x:c r="K209" s="757" t="str">
        <x:f>IF(A209="","",IF(J209="AUTO",H209,IF(J209="MANUAL",AK209,"")))</x:f>
      </x:c>
      <x:c r="L209" s="751"/>
      <x:c r="M209" s="751"/>
      <x:c r="N209" s="751" t="str">
        <x:f>IF(OR(AM209&lt;&gt;"CURRENT",E209="EXCLUDE"),"NO",IF(A209="","",IF(OR(F209="FAIL",F209="PAYWALL_BLOCKED"),IF(AND(AK209&lt;&gt;"",AK209&gt;=INT(G209),D209="STORED",J209="MANUAL",AL209&lt;&gt;""),"NO","YES"),IF(AND(AR209="ROLLING",I209="CHANGED"),IF(AND(AK209&lt;&gt;"",AK209&gt;=INT(IF(H209&lt;&gt;"",H209,G209)),AL209&lt;&gt;""),"NO","YES"),"NO"))))</x:f>
        <x:v>NO</x:v>
      </x:c>
      <x:c r="O209" s="751"/>
      <x:c r="P209" s="752"/>
      <x:c r="Q209" s="752"/>
      <x:c r="R209" s="752"/>
      <x:c r="S209" s="752"/>
      <x:c r="T209" s="752"/>
      <x:c r="U209" s="752"/>
      <x:c r="V209" s="752"/>
      <x:c r="W209" s="752"/>
      <x:c r="X209" s="752"/>
      <x:c r="Y209" s="752"/>
      <x:c r="Z209" s="752"/>
      <x:c r="AA209" s="752"/>
      <x:c r="AB209" s="752"/>
      <x:c r="AC209" s="752"/>
      <x:c r="AD209" s="752"/>
      <x:c r="AE209" s="752"/>
      <x:c r="AF209" s="752"/>
      <x:c r="AG209" s="752"/>
      <x:c r="AH209" s="752"/>
      <x:c r="AI209" s="752"/>
      <x:c r="AJ209" s="752"/>
      <x:c r="AK209" s="759"/>
      <x:c r="AL209" s="752"/>
      <x:c r="AM209" s="752"/>
      <x:c r="AN209" s="752"/>
      <x:c r="AO209" s="752"/>
      <x:c r="AP209" s="752"/>
      <x:c r="AQ209" s="752"/>
      <x:c r="AR209" s="752"/>
      <x:c r="AS209" s="752"/>
    </x:row>
    <x:row r="210" ht="30" customHeight="1">
      <x:c r="A210" s="751"/>
      <x:c r="B210" s="751"/>
      <x:c r="C210" s="751"/>
      <x:c r="D210" s="751"/>
      <x:c r="E210" s="751" t="str">
        <x:f>IF(A210="","",IF(OR(AJ210="EXCLUDE",COUNTIF(AD210:AH210,"LOW")&gt;0),"EXCLUDE",IF(OR(AJ210&lt;&gt;"INCLUDE",F210&lt;&gt;"SUCCESS",D210&lt;&gt;"STORED",U210="",AP210="",AQ210="",AQ210="UNVERIFIED",AND(AP210="OFFICIAL_WEBSITE",Q210=""),AND(OR(AA210="Equipment manual / OEM instruction",AB210="Asset-specific normative"),OR(Z210&lt;&gt;"Manufacturer / supplier",AS210="",AC210=""))),"PENDING",IF(COUNTIF(AD210:AH210,"HIGH")=5,"INCLUDE","PENDING"))))</x:f>
      </x:c>
      <x:c r="F210" s="751"/>
      <x:c r="G210" s="755"/>
      <x:c r="H210" s="755"/>
      <x:c r="I210" s="751"/>
      <x:c r="J210" s="751"/>
      <x:c r="K210" s="757" t="str">
        <x:f>IF(A210="","",IF(J210="AUTO",H210,IF(J210="MANUAL",AK210,"")))</x:f>
      </x:c>
      <x:c r="L210" s="751"/>
      <x:c r="M210" s="751"/>
      <x:c r="N210" s="751" t="str">
        <x:f>IF(OR(AM210&lt;&gt;"CURRENT",E210="EXCLUDE"),"NO",IF(A210="","",IF(OR(F210="FAIL",F210="PAYWALL_BLOCKED"),IF(AND(AK210&lt;&gt;"",AK210&gt;=INT(G210),D210="STORED",J210="MANUAL",AL210&lt;&gt;""),"NO","YES"),IF(AND(AR210="ROLLING",I210="CHANGED"),IF(AND(AK210&lt;&gt;"",AK210&gt;=INT(IF(H210&lt;&gt;"",H210,G210)),AL210&lt;&gt;""),"NO","YES"),"NO"))))</x:f>
        <x:v>NO</x:v>
      </x:c>
      <x:c r="O210" s="751"/>
      <x:c r="P210" s="752"/>
      <x:c r="Q210" s="752"/>
      <x:c r="R210" s="752"/>
      <x:c r="S210" s="752"/>
      <x:c r="T210" s="752"/>
      <x:c r="U210" s="752"/>
      <x:c r="V210" s="752"/>
      <x:c r="W210" s="752"/>
      <x:c r="X210" s="752"/>
      <x:c r="Y210" s="752"/>
      <x:c r="Z210" s="752"/>
      <x:c r="AA210" s="752"/>
      <x:c r="AB210" s="752"/>
      <x:c r="AC210" s="752"/>
      <x:c r="AD210" s="752"/>
      <x:c r="AE210" s="752"/>
      <x:c r="AF210" s="752"/>
      <x:c r="AG210" s="752"/>
      <x:c r="AH210" s="752"/>
      <x:c r="AI210" s="752"/>
      <x:c r="AJ210" s="752"/>
      <x:c r="AK210" s="759"/>
      <x:c r="AL210" s="752"/>
      <x:c r="AM210" s="752"/>
      <x:c r="AN210" s="752"/>
      <x:c r="AO210" s="752"/>
      <x:c r="AP210" s="752"/>
      <x:c r="AQ210" s="752"/>
      <x:c r="AR210" s="752"/>
      <x:c r="AS210" s="752"/>
    </x:row>
    <x:row r="211" ht="30" customHeight="1">
      <x:c r="A211" s="751"/>
      <x:c r="B211" s="751"/>
      <x:c r="C211" s="751"/>
      <x:c r="D211" s="751"/>
      <x:c r="E211" s="751" t="str">
        <x:f>IF(A211="","",IF(OR(AJ211="EXCLUDE",COUNTIF(AD211:AH211,"LOW")&gt;0),"EXCLUDE",IF(OR(AJ211&lt;&gt;"INCLUDE",F211&lt;&gt;"SUCCESS",D211&lt;&gt;"STORED",U211="",AP211="",AQ211="",AQ211="UNVERIFIED",AND(AP211="OFFICIAL_WEBSITE",Q211=""),AND(OR(AA211="Equipment manual / OEM instruction",AB211="Asset-specific normative"),OR(Z211&lt;&gt;"Manufacturer / supplier",AS211="",AC211=""))),"PENDING",IF(COUNTIF(AD211:AH211,"HIGH")=5,"INCLUDE","PENDING"))))</x:f>
      </x:c>
      <x:c r="F211" s="751"/>
      <x:c r="G211" s="755"/>
      <x:c r="H211" s="755"/>
      <x:c r="I211" s="751"/>
      <x:c r="J211" s="751"/>
      <x:c r="K211" s="757" t="str">
        <x:f>IF(A211="","",IF(J211="AUTO",H211,IF(J211="MANUAL",AK211,"")))</x:f>
      </x:c>
      <x:c r="L211" s="751"/>
      <x:c r="M211" s="751"/>
      <x:c r="N211" s="751" t="str">
        <x:f>IF(OR(AM211&lt;&gt;"CURRENT",E211="EXCLUDE"),"NO",IF(A211="","",IF(OR(F211="FAIL",F211="PAYWALL_BLOCKED"),IF(AND(AK211&lt;&gt;"",AK211&gt;=INT(G211),D211="STORED",J211="MANUAL",AL211&lt;&gt;""),"NO","YES"),IF(AND(AR211="ROLLING",I211="CHANGED"),IF(AND(AK211&lt;&gt;"",AK211&gt;=INT(IF(H211&lt;&gt;"",H211,G211)),AL211&lt;&gt;""),"NO","YES"),"NO"))))</x:f>
        <x:v>NO</x:v>
      </x:c>
      <x:c r="O211" s="751"/>
      <x:c r="P211" s="752"/>
      <x:c r="Q211" s="752"/>
      <x:c r="R211" s="752"/>
      <x:c r="S211" s="752"/>
      <x:c r="T211" s="752"/>
      <x:c r="U211" s="752"/>
      <x:c r="V211" s="752"/>
      <x:c r="W211" s="752"/>
      <x:c r="X211" s="752"/>
      <x:c r="Y211" s="752"/>
      <x:c r="Z211" s="752"/>
      <x:c r="AA211" s="752"/>
      <x:c r="AB211" s="752"/>
      <x:c r="AC211" s="752"/>
      <x:c r="AD211" s="752"/>
      <x:c r="AE211" s="752"/>
      <x:c r="AF211" s="752"/>
      <x:c r="AG211" s="752"/>
      <x:c r="AH211" s="752"/>
      <x:c r="AI211" s="752"/>
      <x:c r="AJ211" s="752"/>
      <x:c r="AK211" s="759"/>
      <x:c r="AL211" s="752"/>
      <x:c r="AM211" s="752"/>
      <x:c r="AN211" s="752"/>
      <x:c r="AO211" s="752"/>
      <x:c r="AP211" s="752"/>
      <x:c r="AQ211" s="752"/>
      <x:c r="AR211" s="752"/>
      <x:c r="AS211" s="752"/>
    </x:row>
    <x:row r="212" ht="30" customHeight="1">
      <x:c r="A212" s="751"/>
      <x:c r="B212" s="751"/>
      <x:c r="C212" s="751"/>
      <x:c r="D212" s="751"/>
      <x:c r="E212" s="751" t="str">
        <x:f>IF(A212="","",IF(OR(AJ212="EXCLUDE",COUNTIF(AD212:AH212,"LOW")&gt;0),"EXCLUDE",IF(OR(AJ212&lt;&gt;"INCLUDE",F212&lt;&gt;"SUCCESS",D212&lt;&gt;"STORED",U212="",AP212="",AQ212="",AQ212="UNVERIFIED",AND(AP212="OFFICIAL_WEBSITE",Q212=""),AND(OR(AA212="Equipment manual / OEM instruction",AB212="Asset-specific normative"),OR(Z212&lt;&gt;"Manufacturer / supplier",AS212="",AC212=""))),"PENDING",IF(COUNTIF(AD212:AH212,"HIGH")=5,"INCLUDE","PENDING"))))</x:f>
      </x:c>
      <x:c r="F212" s="751"/>
      <x:c r="G212" s="755"/>
      <x:c r="H212" s="755"/>
      <x:c r="I212" s="751"/>
      <x:c r="J212" s="751"/>
      <x:c r="K212" s="757" t="str">
        <x:f>IF(A212="","",IF(J212="AUTO",H212,IF(J212="MANUAL",AK212,"")))</x:f>
      </x:c>
      <x:c r="L212" s="751"/>
      <x:c r="M212" s="751"/>
      <x:c r="N212" s="751" t="str">
        <x:f>IF(OR(AM212&lt;&gt;"CURRENT",E212="EXCLUDE"),"NO",IF(A212="","",IF(OR(F212="FAIL",F212="PAYWALL_BLOCKED"),IF(AND(AK212&lt;&gt;"",AK212&gt;=INT(G212),D212="STORED",J212="MANUAL",AL212&lt;&gt;""),"NO","YES"),IF(AND(AR212="ROLLING",I212="CHANGED"),IF(AND(AK212&lt;&gt;"",AK212&gt;=INT(IF(H212&lt;&gt;"",H212,G212)),AL212&lt;&gt;""),"NO","YES"),"NO"))))</x:f>
        <x:v>NO</x:v>
      </x:c>
      <x:c r="O212" s="751"/>
      <x:c r="P212" s="752"/>
      <x:c r="Q212" s="752"/>
      <x:c r="R212" s="752"/>
      <x:c r="S212" s="752"/>
      <x:c r="T212" s="752"/>
      <x:c r="U212" s="752"/>
      <x:c r="V212" s="752"/>
      <x:c r="W212" s="752"/>
      <x:c r="X212" s="752"/>
      <x:c r="Y212" s="752"/>
      <x:c r="Z212" s="752"/>
      <x:c r="AA212" s="752"/>
      <x:c r="AB212" s="752"/>
      <x:c r="AC212" s="752"/>
      <x:c r="AD212" s="752"/>
      <x:c r="AE212" s="752"/>
      <x:c r="AF212" s="752"/>
      <x:c r="AG212" s="752"/>
      <x:c r="AH212" s="752"/>
      <x:c r="AI212" s="752"/>
      <x:c r="AJ212" s="752"/>
      <x:c r="AK212" s="759"/>
      <x:c r="AL212" s="752"/>
      <x:c r="AM212" s="752"/>
      <x:c r="AN212" s="752"/>
      <x:c r="AO212" s="752"/>
      <x:c r="AP212" s="752"/>
      <x:c r="AQ212" s="752"/>
      <x:c r="AR212" s="752"/>
      <x:c r="AS212" s="752"/>
    </x:row>
    <x:row r="213" ht="30" customHeight="1">
      <x:c r="A213" s="751"/>
      <x:c r="B213" s="751"/>
      <x:c r="C213" s="751"/>
      <x:c r="D213" s="751"/>
      <x:c r="E213" s="751" t="str">
        <x:f>IF(A213="","",IF(OR(AJ213="EXCLUDE",COUNTIF(AD213:AH213,"LOW")&gt;0),"EXCLUDE",IF(OR(AJ213&lt;&gt;"INCLUDE",F213&lt;&gt;"SUCCESS",D213&lt;&gt;"STORED",U213="",AP213="",AQ213="",AQ213="UNVERIFIED",AND(AP213="OFFICIAL_WEBSITE",Q213=""),AND(OR(AA213="Equipment manual / OEM instruction",AB213="Asset-specific normative"),OR(Z213&lt;&gt;"Manufacturer / supplier",AS213="",AC213=""))),"PENDING",IF(COUNTIF(AD213:AH213,"HIGH")=5,"INCLUDE","PENDING"))))</x:f>
      </x:c>
      <x:c r="F213" s="751"/>
      <x:c r="G213" s="755"/>
      <x:c r="H213" s="755"/>
      <x:c r="I213" s="751"/>
      <x:c r="J213" s="751"/>
      <x:c r="K213" s="757" t="str">
        <x:f>IF(A213="","",IF(J213="AUTO",H213,IF(J213="MANUAL",AK213,"")))</x:f>
      </x:c>
      <x:c r="L213" s="751"/>
      <x:c r="M213" s="751"/>
      <x:c r="N213" s="751" t="str">
        <x:f>IF(OR(AM213&lt;&gt;"CURRENT",E213="EXCLUDE"),"NO",IF(A213="","",IF(OR(F213="FAIL",F213="PAYWALL_BLOCKED"),IF(AND(AK213&lt;&gt;"",AK213&gt;=INT(G213),D213="STORED",J213="MANUAL",AL213&lt;&gt;""),"NO","YES"),IF(AND(AR213="ROLLING",I213="CHANGED"),IF(AND(AK213&lt;&gt;"",AK213&gt;=INT(IF(H213&lt;&gt;"",H213,G213)),AL213&lt;&gt;""),"NO","YES"),"NO"))))</x:f>
        <x:v>NO</x:v>
      </x:c>
      <x:c r="O213" s="751"/>
      <x:c r="P213" s="752"/>
      <x:c r="Q213" s="752"/>
      <x:c r="R213" s="752"/>
      <x:c r="S213" s="752"/>
      <x:c r="T213" s="752"/>
      <x:c r="U213" s="752"/>
      <x:c r="V213" s="752"/>
      <x:c r="W213" s="752"/>
      <x:c r="X213" s="752"/>
      <x:c r="Y213" s="752"/>
      <x:c r="Z213" s="752"/>
      <x:c r="AA213" s="752"/>
      <x:c r="AB213" s="752"/>
      <x:c r="AC213" s="752"/>
      <x:c r="AD213" s="752"/>
      <x:c r="AE213" s="752"/>
      <x:c r="AF213" s="752"/>
      <x:c r="AG213" s="752"/>
      <x:c r="AH213" s="752"/>
      <x:c r="AI213" s="752"/>
      <x:c r="AJ213" s="752"/>
      <x:c r="AK213" s="759"/>
      <x:c r="AL213" s="752"/>
      <x:c r="AM213" s="752"/>
      <x:c r="AN213" s="752"/>
      <x:c r="AO213" s="752"/>
      <x:c r="AP213" s="752"/>
      <x:c r="AQ213" s="752"/>
      <x:c r="AR213" s="752"/>
      <x:c r="AS213" s="752"/>
    </x:row>
    <x:row r="214" ht="30" customHeight="1">
      <x:c r="A214" s="751"/>
      <x:c r="B214" s="751"/>
      <x:c r="C214" s="751"/>
      <x:c r="D214" s="751"/>
      <x:c r="E214" s="751" t="str">
        <x:f>IF(A214="","",IF(OR(AJ214="EXCLUDE",COUNTIF(AD214:AH214,"LOW")&gt;0),"EXCLUDE",IF(OR(AJ214&lt;&gt;"INCLUDE",F214&lt;&gt;"SUCCESS",D214&lt;&gt;"STORED",U214="",AP214="",AQ214="",AQ214="UNVERIFIED",AND(AP214="OFFICIAL_WEBSITE",Q214=""),AND(OR(AA214="Equipment manual / OEM instruction",AB214="Asset-specific normative"),OR(Z214&lt;&gt;"Manufacturer / supplier",AS214="",AC214=""))),"PENDING",IF(COUNTIF(AD214:AH214,"HIGH")=5,"INCLUDE","PENDING"))))</x:f>
      </x:c>
      <x:c r="F214" s="751"/>
      <x:c r="G214" s="755"/>
      <x:c r="H214" s="755"/>
      <x:c r="I214" s="751"/>
      <x:c r="J214" s="751"/>
      <x:c r="K214" s="757" t="str">
        <x:f>IF(A214="","",IF(J214="AUTO",H214,IF(J214="MANUAL",AK214,"")))</x:f>
      </x:c>
      <x:c r="L214" s="751"/>
      <x:c r="M214" s="751"/>
      <x:c r="N214" s="751" t="str">
        <x:f>IF(OR(AM214&lt;&gt;"CURRENT",E214="EXCLUDE"),"NO",IF(A214="","",IF(OR(F214="FAIL",F214="PAYWALL_BLOCKED"),IF(AND(AK214&lt;&gt;"",AK214&gt;=INT(G214),D214="STORED",J214="MANUAL",AL214&lt;&gt;""),"NO","YES"),IF(AND(AR214="ROLLING",I214="CHANGED"),IF(AND(AK214&lt;&gt;"",AK214&gt;=INT(IF(H214&lt;&gt;"",H214,G214)),AL214&lt;&gt;""),"NO","YES"),"NO"))))</x:f>
        <x:v>NO</x:v>
      </x:c>
      <x:c r="O214" s="751"/>
      <x:c r="P214" s="752"/>
      <x:c r="Q214" s="752"/>
      <x:c r="R214" s="752"/>
      <x:c r="S214" s="752"/>
      <x:c r="T214" s="752"/>
      <x:c r="U214" s="752"/>
      <x:c r="V214" s="752"/>
      <x:c r="W214" s="752"/>
      <x:c r="X214" s="752"/>
      <x:c r="Y214" s="752"/>
      <x:c r="Z214" s="752"/>
      <x:c r="AA214" s="752"/>
      <x:c r="AB214" s="752"/>
      <x:c r="AC214" s="752"/>
      <x:c r="AD214" s="752"/>
      <x:c r="AE214" s="752"/>
      <x:c r="AF214" s="752"/>
      <x:c r="AG214" s="752"/>
      <x:c r="AH214" s="752"/>
      <x:c r="AI214" s="752"/>
      <x:c r="AJ214" s="752"/>
      <x:c r="AK214" s="759"/>
      <x:c r="AL214" s="752"/>
      <x:c r="AM214" s="752"/>
      <x:c r="AN214" s="752"/>
      <x:c r="AO214" s="752"/>
      <x:c r="AP214" s="752"/>
      <x:c r="AQ214" s="752"/>
      <x:c r="AR214" s="752"/>
      <x:c r="AS214" s="752"/>
    </x:row>
    <x:row r="215" ht="30" customHeight="1">
      <x:c r="A215" s="751"/>
      <x:c r="B215" s="751"/>
      <x:c r="C215" s="751"/>
      <x:c r="D215" s="751"/>
      <x:c r="E215" s="751" t="str">
        <x:f>IF(A215="","",IF(OR(AJ215="EXCLUDE",COUNTIF(AD215:AH215,"LOW")&gt;0),"EXCLUDE",IF(OR(AJ215&lt;&gt;"INCLUDE",F215&lt;&gt;"SUCCESS",D215&lt;&gt;"STORED",U215="",AP215="",AQ215="",AQ215="UNVERIFIED",AND(AP215="OFFICIAL_WEBSITE",Q215=""),AND(OR(AA215="Equipment manual / OEM instruction",AB215="Asset-specific normative"),OR(Z215&lt;&gt;"Manufacturer / supplier",AS215="",AC215=""))),"PENDING",IF(COUNTIF(AD215:AH215,"HIGH")=5,"INCLUDE","PENDING"))))</x:f>
      </x:c>
      <x:c r="F215" s="751"/>
      <x:c r="G215" s="755"/>
      <x:c r="H215" s="755"/>
      <x:c r="I215" s="751"/>
      <x:c r="J215" s="751"/>
      <x:c r="K215" s="757" t="str">
        <x:f>IF(A215="","",IF(J215="AUTO",H215,IF(J215="MANUAL",AK215,"")))</x:f>
      </x:c>
      <x:c r="L215" s="751"/>
      <x:c r="M215" s="751"/>
      <x:c r="N215" s="751" t="str">
        <x:f>IF(OR(AM215&lt;&gt;"CURRENT",E215="EXCLUDE"),"NO",IF(A215="","",IF(OR(F215="FAIL",F215="PAYWALL_BLOCKED"),IF(AND(AK215&lt;&gt;"",AK215&gt;=INT(G215),D215="STORED",J215="MANUAL",AL215&lt;&gt;""),"NO","YES"),IF(AND(AR215="ROLLING",I215="CHANGED"),IF(AND(AK215&lt;&gt;"",AK215&gt;=INT(IF(H215&lt;&gt;"",H215,G215)),AL215&lt;&gt;""),"NO","YES"),"NO"))))</x:f>
        <x:v>NO</x:v>
      </x:c>
      <x:c r="O215" s="751"/>
      <x:c r="P215" s="752"/>
      <x:c r="Q215" s="752"/>
      <x:c r="R215" s="752"/>
      <x:c r="S215" s="752"/>
      <x:c r="T215" s="752"/>
      <x:c r="U215" s="752"/>
      <x:c r="V215" s="752"/>
      <x:c r="W215" s="752"/>
      <x:c r="X215" s="752"/>
      <x:c r="Y215" s="752"/>
      <x:c r="Z215" s="752"/>
      <x:c r="AA215" s="752"/>
      <x:c r="AB215" s="752"/>
      <x:c r="AC215" s="752"/>
      <x:c r="AD215" s="752"/>
      <x:c r="AE215" s="752"/>
      <x:c r="AF215" s="752"/>
      <x:c r="AG215" s="752"/>
      <x:c r="AH215" s="752"/>
      <x:c r="AI215" s="752"/>
      <x:c r="AJ215" s="752"/>
      <x:c r="AK215" s="759"/>
      <x:c r="AL215" s="752"/>
      <x:c r="AM215" s="752"/>
      <x:c r="AN215" s="752"/>
      <x:c r="AO215" s="752"/>
      <x:c r="AP215" s="752"/>
      <x:c r="AQ215" s="752"/>
      <x:c r="AR215" s="752"/>
      <x:c r="AS215" s="752"/>
    </x:row>
    <x:row r="216" ht="30" customHeight="1">
      <x:c r="A216" s="751"/>
      <x:c r="B216" s="751"/>
      <x:c r="C216" s="751"/>
      <x:c r="D216" s="751"/>
      <x:c r="E216" s="751" t="str">
        <x:f>IF(A216="","",IF(OR(AJ216="EXCLUDE",COUNTIF(AD216:AH216,"LOW")&gt;0),"EXCLUDE",IF(OR(AJ216&lt;&gt;"INCLUDE",F216&lt;&gt;"SUCCESS",D216&lt;&gt;"STORED",U216="",AP216="",AQ216="",AQ216="UNVERIFIED",AND(AP216="OFFICIAL_WEBSITE",Q216=""),AND(OR(AA216="Equipment manual / OEM instruction",AB216="Asset-specific normative"),OR(Z216&lt;&gt;"Manufacturer / supplier",AS216="",AC216=""))),"PENDING",IF(COUNTIF(AD216:AH216,"HIGH")=5,"INCLUDE","PENDING"))))</x:f>
      </x:c>
      <x:c r="F216" s="751"/>
      <x:c r="G216" s="755"/>
      <x:c r="H216" s="755"/>
      <x:c r="I216" s="751"/>
      <x:c r="J216" s="751"/>
      <x:c r="K216" s="757" t="str">
        <x:f>IF(A216="","",IF(J216="AUTO",H216,IF(J216="MANUAL",AK216,"")))</x:f>
      </x:c>
      <x:c r="L216" s="751"/>
      <x:c r="M216" s="751"/>
      <x:c r="N216" s="751" t="str">
        <x:f>IF(OR(AM216&lt;&gt;"CURRENT",E216="EXCLUDE"),"NO",IF(A216="","",IF(OR(F216="FAIL",F216="PAYWALL_BLOCKED"),IF(AND(AK216&lt;&gt;"",AK216&gt;=INT(G216),D216="STORED",J216="MANUAL",AL216&lt;&gt;""),"NO","YES"),IF(AND(AR216="ROLLING",I216="CHANGED"),IF(AND(AK216&lt;&gt;"",AK216&gt;=INT(IF(H216&lt;&gt;"",H216,G216)),AL216&lt;&gt;""),"NO","YES"),"NO"))))</x:f>
        <x:v>NO</x:v>
      </x:c>
      <x:c r="O216" s="751"/>
      <x:c r="P216" s="752"/>
      <x:c r="Q216" s="752"/>
      <x:c r="R216" s="752"/>
      <x:c r="S216" s="752"/>
      <x:c r="T216" s="752"/>
      <x:c r="U216" s="752"/>
      <x:c r="V216" s="752"/>
      <x:c r="W216" s="752"/>
      <x:c r="X216" s="752"/>
      <x:c r="Y216" s="752"/>
      <x:c r="Z216" s="752"/>
      <x:c r="AA216" s="752"/>
      <x:c r="AB216" s="752"/>
      <x:c r="AC216" s="752"/>
      <x:c r="AD216" s="752"/>
      <x:c r="AE216" s="752"/>
      <x:c r="AF216" s="752"/>
      <x:c r="AG216" s="752"/>
      <x:c r="AH216" s="752"/>
      <x:c r="AI216" s="752"/>
      <x:c r="AJ216" s="752"/>
      <x:c r="AK216" s="759"/>
      <x:c r="AL216" s="752"/>
      <x:c r="AM216" s="752"/>
      <x:c r="AN216" s="752"/>
      <x:c r="AO216" s="752"/>
      <x:c r="AP216" s="752"/>
      <x:c r="AQ216" s="752"/>
      <x:c r="AR216" s="752"/>
      <x:c r="AS216" s="752"/>
    </x:row>
    <x:row r="217" ht="30" customHeight="1">
      <x:c r="A217" s="751"/>
      <x:c r="B217" s="751"/>
      <x:c r="C217" s="751"/>
      <x:c r="D217" s="751"/>
      <x:c r="E217" s="751" t="str">
        <x:f>IF(A217="","",IF(OR(AJ217="EXCLUDE",COUNTIF(AD217:AH217,"LOW")&gt;0),"EXCLUDE",IF(OR(AJ217&lt;&gt;"INCLUDE",F217&lt;&gt;"SUCCESS",D217&lt;&gt;"STORED",U217="",AP217="",AQ217="",AQ217="UNVERIFIED",AND(AP217="OFFICIAL_WEBSITE",Q217=""),AND(OR(AA217="Equipment manual / OEM instruction",AB217="Asset-specific normative"),OR(Z217&lt;&gt;"Manufacturer / supplier",AS217="",AC217=""))),"PENDING",IF(COUNTIF(AD217:AH217,"HIGH")=5,"INCLUDE","PENDING"))))</x:f>
      </x:c>
      <x:c r="F217" s="751"/>
      <x:c r="G217" s="755"/>
      <x:c r="H217" s="755"/>
      <x:c r="I217" s="751"/>
      <x:c r="J217" s="751"/>
      <x:c r="K217" s="757" t="str">
        <x:f>IF(A217="","",IF(J217="AUTO",H217,IF(J217="MANUAL",AK217,"")))</x:f>
      </x:c>
      <x:c r="L217" s="751"/>
      <x:c r="M217" s="751"/>
      <x:c r="N217" s="751" t="str">
        <x:f>IF(OR(AM217&lt;&gt;"CURRENT",E217="EXCLUDE"),"NO",IF(A217="","",IF(OR(F217="FAIL",F217="PAYWALL_BLOCKED"),IF(AND(AK217&lt;&gt;"",AK217&gt;=INT(G217),D217="STORED",J217="MANUAL",AL217&lt;&gt;""),"NO","YES"),IF(AND(AR217="ROLLING",I217="CHANGED"),IF(AND(AK217&lt;&gt;"",AK217&gt;=INT(IF(H217&lt;&gt;"",H217,G217)),AL217&lt;&gt;""),"NO","YES"),"NO"))))</x:f>
        <x:v>NO</x:v>
      </x:c>
      <x:c r="O217" s="751"/>
      <x:c r="P217" s="752"/>
      <x:c r="Q217" s="752"/>
      <x:c r="R217" s="752"/>
      <x:c r="S217" s="752"/>
      <x:c r="T217" s="752"/>
      <x:c r="U217" s="752"/>
      <x:c r="V217" s="752"/>
      <x:c r="W217" s="752"/>
      <x:c r="X217" s="752"/>
      <x:c r="Y217" s="752"/>
      <x:c r="Z217" s="752"/>
      <x:c r="AA217" s="752"/>
      <x:c r="AB217" s="752"/>
      <x:c r="AC217" s="752"/>
      <x:c r="AD217" s="752"/>
      <x:c r="AE217" s="752"/>
      <x:c r="AF217" s="752"/>
      <x:c r="AG217" s="752"/>
      <x:c r="AH217" s="752"/>
      <x:c r="AI217" s="752"/>
      <x:c r="AJ217" s="752"/>
      <x:c r="AK217" s="759"/>
      <x:c r="AL217" s="752"/>
      <x:c r="AM217" s="752"/>
      <x:c r="AN217" s="752"/>
      <x:c r="AO217" s="752"/>
      <x:c r="AP217" s="752"/>
      <x:c r="AQ217" s="752"/>
      <x:c r="AR217" s="752"/>
      <x:c r="AS217" s="752"/>
    </x:row>
    <x:row r="218" ht="30" customHeight="1">
      <x:c r="A218" s="751"/>
      <x:c r="B218" s="751"/>
      <x:c r="C218" s="751"/>
      <x:c r="D218" s="751"/>
      <x:c r="E218" s="751" t="str">
        <x:f>IF(A218="","",IF(OR(AJ218="EXCLUDE",COUNTIF(AD218:AH218,"LOW")&gt;0),"EXCLUDE",IF(OR(AJ218&lt;&gt;"INCLUDE",F218&lt;&gt;"SUCCESS",D218&lt;&gt;"STORED",U218="",AP218="",AQ218="",AQ218="UNVERIFIED",AND(AP218="OFFICIAL_WEBSITE",Q218=""),AND(OR(AA218="Equipment manual / OEM instruction",AB218="Asset-specific normative"),OR(Z218&lt;&gt;"Manufacturer / supplier",AS218="",AC218=""))),"PENDING",IF(COUNTIF(AD218:AH218,"HIGH")=5,"INCLUDE","PENDING"))))</x:f>
      </x:c>
      <x:c r="F218" s="751"/>
      <x:c r="G218" s="755"/>
      <x:c r="H218" s="755"/>
      <x:c r="I218" s="751"/>
      <x:c r="J218" s="751"/>
      <x:c r="K218" s="757" t="str">
        <x:f>IF(A218="","",IF(J218="AUTO",H218,IF(J218="MANUAL",AK218,"")))</x:f>
      </x:c>
      <x:c r="L218" s="751"/>
      <x:c r="M218" s="751"/>
      <x:c r="N218" s="751" t="str">
        <x:f>IF(OR(AM218&lt;&gt;"CURRENT",E218="EXCLUDE"),"NO",IF(A218="","",IF(OR(F218="FAIL",F218="PAYWALL_BLOCKED"),IF(AND(AK218&lt;&gt;"",AK218&gt;=INT(G218),D218="STORED",J218="MANUAL",AL218&lt;&gt;""),"NO","YES"),IF(AND(AR218="ROLLING",I218="CHANGED"),IF(AND(AK218&lt;&gt;"",AK218&gt;=INT(IF(H218&lt;&gt;"",H218,G218)),AL218&lt;&gt;""),"NO","YES"),"NO"))))</x:f>
        <x:v>NO</x:v>
      </x:c>
      <x:c r="O218" s="751"/>
      <x:c r="P218" s="752"/>
      <x:c r="Q218" s="752"/>
      <x:c r="R218" s="752"/>
      <x:c r="S218" s="752"/>
      <x:c r="T218" s="752"/>
      <x:c r="U218" s="752"/>
      <x:c r="V218" s="752"/>
      <x:c r="W218" s="752"/>
      <x:c r="X218" s="752"/>
      <x:c r="Y218" s="752"/>
      <x:c r="Z218" s="752"/>
      <x:c r="AA218" s="752"/>
      <x:c r="AB218" s="752"/>
      <x:c r="AC218" s="752"/>
      <x:c r="AD218" s="752"/>
      <x:c r="AE218" s="752"/>
      <x:c r="AF218" s="752"/>
      <x:c r="AG218" s="752"/>
      <x:c r="AH218" s="752"/>
      <x:c r="AI218" s="752"/>
      <x:c r="AJ218" s="752"/>
      <x:c r="AK218" s="759"/>
      <x:c r="AL218" s="752"/>
      <x:c r="AM218" s="752"/>
      <x:c r="AN218" s="752"/>
      <x:c r="AO218" s="752"/>
      <x:c r="AP218" s="752"/>
      <x:c r="AQ218" s="752"/>
      <x:c r="AR218" s="752"/>
      <x:c r="AS218" s="752"/>
    </x:row>
    <x:row r="219" ht="30" customHeight="1">
      <x:c r="A219" s="751"/>
      <x:c r="B219" s="751"/>
      <x:c r="C219" s="751"/>
      <x:c r="D219" s="751"/>
      <x:c r="E219" s="751" t="str">
        <x:f>IF(A219="","",IF(OR(AJ219="EXCLUDE",COUNTIF(AD219:AH219,"LOW")&gt;0),"EXCLUDE",IF(OR(AJ219&lt;&gt;"INCLUDE",F219&lt;&gt;"SUCCESS",D219&lt;&gt;"STORED",U219="",AP219="",AQ219="",AQ219="UNVERIFIED",AND(AP219="OFFICIAL_WEBSITE",Q219=""),AND(OR(AA219="Equipment manual / OEM instruction",AB219="Asset-specific normative"),OR(Z219&lt;&gt;"Manufacturer / supplier",AS219="",AC219=""))),"PENDING",IF(COUNTIF(AD219:AH219,"HIGH")=5,"INCLUDE","PENDING"))))</x:f>
      </x:c>
      <x:c r="F219" s="751"/>
      <x:c r="G219" s="755"/>
      <x:c r="H219" s="755"/>
      <x:c r="I219" s="751"/>
      <x:c r="J219" s="751"/>
      <x:c r="K219" s="757" t="str">
        <x:f>IF(A219="","",IF(J219="AUTO",H219,IF(J219="MANUAL",AK219,"")))</x:f>
      </x:c>
      <x:c r="L219" s="751"/>
      <x:c r="M219" s="751"/>
      <x:c r="N219" s="751" t="str">
        <x:f>IF(OR(AM219&lt;&gt;"CURRENT",E219="EXCLUDE"),"NO",IF(A219="","",IF(OR(F219="FAIL",F219="PAYWALL_BLOCKED"),IF(AND(AK219&lt;&gt;"",AK219&gt;=INT(G219),D219="STORED",J219="MANUAL",AL219&lt;&gt;""),"NO","YES"),IF(AND(AR219="ROLLING",I219="CHANGED"),IF(AND(AK219&lt;&gt;"",AK219&gt;=INT(IF(H219&lt;&gt;"",H219,G219)),AL219&lt;&gt;""),"NO","YES"),"NO"))))</x:f>
        <x:v>NO</x:v>
      </x:c>
      <x:c r="O219" s="751"/>
      <x:c r="P219" s="752"/>
      <x:c r="Q219" s="752"/>
      <x:c r="R219" s="752"/>
      <x:c r="S219" s="752"/>
      <x:c r="T219" s="752"/>
      <x:c r="U219" s="752"/>
      <x:c r="V219" s="752"/>
      <x:c r="W219" s="752"/>
      <x:c r="X219" s="752"/>
      <x:c r="Y219" s="752"/>
      <x:c r="Z219" s="752"/>
      <x:c r="AA219" s="752"/>
      <x:c r="AB219" s="752"/>
      <x:c r="AC219" s="752"/>
      <x:c r="AD219" s="752"/>
      <x:c r="AE219" s="752"/>
      <x:c r="AF219" s="752"/>
      <x:c r="AG219" s="752"/>
      <x:c r="AH219" s="752"/>
      <x:c r="AI219" s="752"/>
      <x:c r="AJ219" s="752"/>
      <x:c r="AK219" s="759"/>
      <x:c r="AL219" s="752"/>
      <x:c r="AM219" s="752"/>
      <x:c r="AN219" s="752"/>
      <x:c r="AO219" s="752"/>
      <x:c r="AP219" s="752"/>
      <x:c r="AQ219" s="752"/>
      <x:c r="AR219" s="752"/>
      <x:c r="AS219" s="752"/>
    </x:row>
    <x:row r="220" ht="30" customHeight="1">
      <x:c r="A220" s="751"/>
      <x:c r="B220" s="751"/>
      <x:c r="C220" s="751"/>
      <x:c r="D220" s="751"/>
      <x:c r="E220" s="751" t="str">
        <x:f>IF(A220="","",IF(OR(AJ220="EXCLUDE",COUNTIF(AD220:AH220,"LOW")&gt;0),"EXCLUDE",IF(OR(AJ220&lt;&gt;"INCLUDE",F220&lt;&gt;"SUCCESS",D220&lt;&gt;"STORED",U220="",AP220="",AQ220="",AQ220="UNVERIFIED",AND(AP220="OFFICIAL_WEBSITE",Q220=""),AND(OR(AA220="Equipment manual / OEM instruction",AB220="Asset-specific normative"),OR(Z220&lt;&gt;"Manufacturer / supplier",AS220="",AC220=""))),"PENDING",IF(COUNTIF(AD220:AH220,"HIGH")=5,"INCLUDE","PENDING"))))</x:f>
      </x:c>
      <x:c r="F220" s="751"/>
      <x:c r="G220" s="755"/>
      <x:c r="H220" s="755"/>
      <x:c r="I220" s="751"/>
      <x:c r="J220" s="751"/>
      <x:c r="K220" s="757" t="str">
        <x:f>IF(A220="","",IF(J220="AUTO",H220,IF(J220="MANUAL",AK220,"")))</x:f>
      </x:c>
      <x:c r="L220" s="751"/>
      <x:c r="M220" s="751"/>
      <x:c r="N220" s="751" t="str">
        <x:f>IF(OR(AM220&lt;&gt;"CURRENT",E220="EXCLUDE"),"NO",IF(A220="","",IF(OR(F220="FAIL",F220="PAYWALL_BLOCKED"),IF(AND(AK220&lt;&gt;"",AK220&gt;=INT(G220),D220="STORED",J220="MANUAL",AL220&lt;&gt;""),"NO","YES"),IF(AND(AR220="ROLLING",I220="CHANGED"),IF(AND(AK220&lt;&gt;"",AK220&gt;=INT(IF(H220&lt;&gt;"",H220,G220)),AL220&lt;&gt;""),"NO","YES"),"NO"))))</x:f>
        <x:v>NO</x:v>
      </x:c>
      <x:c r="O220" s="751"/>
      <x:c r="P220" s="752"/>
      <x:c r="Q220" s="752"/>
      <x:c r="R220" s="752"/>
      <x:c r="S220" s="752"/>
      <x:c r="T220" s="752"/>
      <x:c r="U220" s="752"/>
      <x:c r="V220" s="752"/>
      <x:c r="W220" s="752"/>
      <x:c r="X220" s="752"/>
      <x:c r="Y220" s="752"/>
      <x:c r="Z220" s="752"/>
      <x:c r="AA220" s="752"/>
      <x:c r="AB220" s="752"/>
      <x:c r="AC220" s="752"/>
      <x:c r="AD220" s="752"/>
      <x:c r="AE220" s="752"/>
      <x:c r="AF220" s="752"/>
      <x:c r="AG220" s="752"/>
      <x:c r="AH220" s="752"/>
      <x:c r="AI220" s="752"/>
      <x:c r="AJ220" s="752"/>
      <x:c r="AK220" s="759"/>
      <x:c r="AL220" s="752"/>
      <x:c r="AM220" s="752"/>
      <x:c r="AN220" s="752"/>
      <x:c r="AO220" s="752"/>
      <x:c r="AP220" s="752"/>
      <x:c r="AQ220" s="752"/>
      <x:c r="AR220" s="752"/>
      <x:c r="AS220" s="752"/>
    </x:row>
    <x:row r="221" ht="30" customHeight="1">
      <x:c r="A221" s="751"/>
      <x:c r="B221" s="751"/>
      <x:c r="C221" s="751"/>
      <x:c r="D221" s="751"/>
      <x:c r="E221" s="751" t="str">
        <x:f>IF(A221="","",IF(OR(AJ221="EXCLUDE",COUNTIF(AD221:AH221,"LOW")&gt;0),"EXCLUDE",IF(OR(AJ221&lt;&gt;"INCLUDE",F221&lt;&gt;"SUCCESS",D221&lt;&gt;"STORED",U221="",AP221="",AQ221="",AQ221="UNVERIFIED",AND(AP221="OFFICIAL_WEBSITE",Q221=""),AND(OR(AA221="Equipment manual / OEM instruction",AB221="Asset-specific normative"),OR(Z221&lt;&gt;"Manufacturer / supplier",AS221="",AC221=""))),"PENDING",IF(COUNTIF(AD221:AH221,"HIGH")=5,"INCLUDE","PENDING"))))</x:f>
      </x:c>
      <x:c r="F221" s="751"/>
      <x:c r="G221" s="755"/>
      <x:c r="H221" s="755"/>
      <x:c r="I221" s="751"/>
      <x:c r="J221" s="751"/>
      <x:c r="K221" s="757" t="str">
        <x:f>IF(A221="","",IF(J221="AUTO",H221,IF(J221="MANUAL",AK221,"")))</x:f>
      </x:c>
      <x:c r="L221" s="751"/>
      <x:c r="M221" s="751"/>
      <x:c r="N221" s="751" t="str">
        <x:f>IF(OR(AM221&lt;&gt;"CURRENT",E221="EXCLUDE"),"NO",IF(A221="","",IF(OR(F221="FAIL",F221="PAYWALL_BLOCKED"),IF(AND(AK221&lt;&gt;"",AK221&gt;=INT(G221),D221="STORED",J221="MANUAL",AL221&lt;&gt;""),"NO","YES"),IF(AND(AR221="ROLLING",I221="CHANGED"),IF(AND(AK221&lt;&gt;"",AK221&gt;=INT(IF(H221&lt;&gt;"",H221,G221)),AL221&lt;&gt;""),"NO","YES"),"NO"))))</x:f>
        <x:v>NO</x:v>
      </x:c>
      <x:c r="O221" s="751"/>
      <x:c r="P221" s="752"/>
      <x:c r="Q221" s="752"/>
      <x:c r="R221" s="752"/>
      <x:c r="S221" s="752"/>
      <x:c r="T221" s="752"/>
      <x:c r="U221" s="752"/>
      <x:c r="V221" s="752"/>
      <x:c r="W221" s="752"/>
      <x:c r="X221" s="752"/>
      <x:c r="Y221" s="752"/>
      <x:c r="Z221" s="752"/>
      <x:c r="AA221" s="752"/>
      <x:c r="AB221" s="752"/>
      <x:c r="AC221" s="752"/>
      <x:c r="AD221" s="752"/>
      <x:c r="AE221" s="752"/>
      <x:c r="AF221" s="752"/>
      <x:c r="AG221" s="752"/>
      <x:c r="AH221" s="752"/>
      <x:c r="AI221" s="752"/>
      <x:c r="AJ221" s="752"/>
      <x:c r="AK221" s="759"/>
      <x:c r="AL221" s="752"/>
      <x:c r="AM221" s="752"/>
      <x:c r="AN221" s="752"/>
      <x:c r="AO221" s="752"/>
      <x:c r="AP221" s="752"/>
      <x:c r="AQ221" s="752"/>
      <x:c r="AR221" s="752"/>
      <x:c r="AS221" s="752"/>
    </x:row>
    <x:row r="222" ht="30" customHeight="1">
      <x:c r="A222" s="751"/>
      <x:c r="B222" s="751"/>
      <x:c r="C222" s="751"/>
      <x:c r="D222" s="751"/>
      <x:c r="E222" s="751" t="str">
        <x:f>IF(A222="","",IF(OR(AJ222="EXCLUDE",COUNTIF(AD222:AH222,"LOW")&gt;0),"EXCLUDE",IF(OR(AJ222&lt;&gt;"INCLUDE",F222&lt;&gt;"SUCCESS",D222&lt;&gt;"STORED",U222="",AP222="",AQ222="",AQ222="UNVERIFIED",AND(AP222="OFFICIAL_WEBSITE",Q222=""),AND(OR(AA222="Equipment manual / OEM instruction",AB222="Asset-specific normative"),OR(Z222&lt;&gt;"Manufacturer / supplier",AS222="",AC222=""))),"PENDING",IF(COUNTIF(AD222:AH222,"HIGH")=5,"INCLUDE","PENDING"))))</x:f>
      </x:c>
      <x:c r="F222" s="751"/>
      <x:c r="G222" s="755"/>
      <x:c r="H222" s="755"/>
      <x:c r="I222" s="751"/>
      <x:c r="J222" s="751"/>
      <x:c r="K222" s="757" t="str">
        <x:f>IF(A222="","",IF(J222="AUTO",H222,IF(J222="MANUAL",AK222,"")))</x:f>
      </x:c>
      <x:c r="L222" s="751"/>
      <x:c r="M222" s="751"/>
      <x:c r="N222" s="751" t="str">
        <x:f>IF(OR(AM222&lt;&gt;"CURRENT",E222="EXCLUDE"),"NO",IF(A222="","",IF(OR(F222="FAIL",F222="PAYWALL_BLOCKED"),IF(AND(AK222&lt;&gt;"",AK222&gt;=INT(G222),D222="STORED",J222="MANUAL",AL222&lt;&gt;""),"NO","YES"),IF(AND(AR222="ROLLING",I222="CHANGED"),IF(AND(AK222&lt;&gt;"",AK222&gt;=INT(IF(H222&lt;&gt;"",H222,G222)),AL222&lt;&gt;""),"NO","YES"),"NO"))))</x:f>
        <x:v>NO</x:v>
      </x:c>
      <x:c r="O222" s="751"/>
      <x:c r="P222" s="752"/>
      <x:c r="Q222" s="752"/>
      <x:c r="R222" s="752"/>
      <x:c r="S222" s="752"/>
      <x:c r="T222" s="752"/>
      <x:c r="U222" s="752"/>
      <x:c r="V222" s="752"/>
      <x:c r="W222" s="752"/>
      <x:c r="X222" s="752"/>
      <x:c r="Y222" s="752"/>
      <x:c r="Z222" s="752"/>
      <x:c r="AA222" s="752"/>
      <x:c r="AB222" s="752"/>
      <x:c r="AC222" s="752"/>
      <x:c r="AD222" s="752"/>
      <x:c r="AE222" s="752"/>
      <x:c r="AF222" s="752"/>
      <x:c r="AG222" s="752"/>
      <x:c r="AH222" s="752"/>
      <x:c r="AI222" s="752"/>
      <x:c r="AJ222" s="752"/>
      <x:c r="AK222" s="759"/>
      <x:c r="AL222" s="752"/>
      <x:c r="AM222" s="752"/>
      <x:c r="AN222" s="752"/>
      <x:c r="AO222" s="752"/>
      <x:c r="AP222" s="752"/>
      <x:c r="AQ222" s="752"/>
      <x:c r="AR222" s="752"/>
      <x:c r="AS222" s="752"/>
    </x:row>
    <x:row r="223" ht="30" customHeight="1">
      <x:c r="A223" s="751"/>
      <x:c r="B223" s="751"/>
      <x:c r="C223" s="751"/>
      <x:c r="D223" s="751"/>
      <x:c r="E223" s="751" t="str">
        <x:f>IF(A223="","",IF(OR(AJ223="EXCLUDE",COUNTIF(AD223:AH223,"LOW")&gt;0),"EXCLUDE",IF(OR(AJ223&lt;&gt;"INCLUDE",F223&lt;&gt;"SUCCESS",D223&lt;&gt;"STORED",U223="",AP223="",AQ223="",AQ223="UNVERIFIED",AND(AP223="OFFICIAL_WEBSITE",Q223=""),AND(OR(AA223="Equipment manual / OEM instruction",AB223="Asset-specific normative"),OR(Z223&lt;&gt;"Manufacturer / supplier",AS223="",AC223=""))),"PENDING",IF(COUNTIF(AD223:AH223,"HIGH")=5,"INCLUDE","PENDING"))))</x:f>
      </x:c>
      <x:c r="F223" s="751"/>
      <x:c r="G223" s="755"/>
      <x:c r="H223" s="755"/>
      <x:c r="I223" s="751"/>
      <x:c r="J223" s="751"/>
      <x:c r="K223" s="757" t="str">
        <x:f>IF(A223="","",IF(J223="AUTO",H223,IF(J223="MANUAL",AK223,"")))</x:f>
      </x:c>
      <x:c r="L223" s="751"/>
      <x:c r="M223" s="751"/>
      <x:c r="N223" s="751" t="str">
        <x:f>IF(OR(AM223&lt;&gt;"CURRENT",E223="EXCLUDE"),"NO",IF(A223="","",IF(OR(F223="FAIL",F223="PAYWALL_BLOCKED"),IF(AND(AK223&lt;&gt;"",AK223&gt;=INT(G223),D223="STORED",J223="MANUAL",AL223&lt;&gt;""),"NO","YES"),IF(AND(AR223="ROLLING",I223="CHANGED"),IF(AND(AK223&lt;&gt;"",AK223&gt;=INT(IF(H223&lt;&gt;"",H223,G223)),AL223&lt;&gt;""),"NO","YES"),"NO"))))</x:f>
        <x:v>NO</x:v>
      </x:c>
      <x:c r="O223" s="751"/>
      <x:c r="P223" s="752"/>
      <x:c r="Q223" s="752"/>
      <x:c r="R223" s="752"/>
      <x:c r="S223" s="752"/>
      <x:c r="T223" s="752"/>
      <x:c r="U223" s="752"/>
      <x:c r="V223" s="752"/>
      <x:c r="W223" s="752"/>
      <x:c r="X223" s="752"/>
      <x:c r="Y223" s="752"/>
      <x:c r="Z223" s="752"/>
      <x:c r="AA223" s="752"/>
      <x:c r="AB223" s="752"/>
      <x:c r="AC223" s="752"/>
      <x:c r="AD223" s="752"/>
      <x:c r="AE223" s="752"/>
      <x:c r="AF223" s="752"/>
      <x:c r="AG223" s="752"/>
      <x:c r="AH223" s="752"/>
      <x:c r="AI223" s="752"/>
      <x:c r="AJ223" s="752"/>
      <x:c r="AK223" s="759"/>
      <x:c r="AL223" s="752"/>
      <x:c r="AM223" s="752"/>
      <x:c r="AN223" s="752"/>
      <x:c r="AO223" s="752"/>
      <x:c r="AP223" s="752"/>
      <x:c r="AQ223" s="752"/>
      <x:c r="AR223" s="752"/>
      <x:c r="AS223" s="752"/>
    </x:row>
    <x:row r="224" ht="30" customHeight="1">
      <x:c r="A224" s="751"/>
      <x:c r="B224" s="751"/>
      <x:c r="C224" s="751"/>
      <x:c r="D224" s="751"/>
      <x:c r="E224" s="751" t="str">
        <x:f>IF(A224="","",IF(OR(AJ224="EXCLUDE",COUNTIF(AD224:AH224,"LOW")&gt;0),"EXCLUDE",IF(OR(AJ224&lt;&gt;"INCLUDE",F224&lt;&gt;"SUCCESS",D224&lt;&gt;"STORED",U224="",AP224="",AQ224="",AQ224="UNVERIFIED",AND(AP224="OFFICIAL_WEBSITE",Q224=""),AND(OR(AA224="Equipment manual / OEM instruction",AB224="Asset-specific normative"),OR(Z224&lt;&gt;"Manufacturer / supplier",AS224="",AC224=""))),"PENDING",IF(COUNTIF(AD224:AH224,"HIGH")=5,"INCLUDE","PENDING"))))</x:f>
      </x:c>
      <x:c r="F224" s="751"/>
      <x:c r="G224" s="755"/>
      <x:c r="H224" s="755"/>
      <x:c r="I224" s="751"/>
      <x:c r="J224" s="751"/>
      <x:c r="K224" s="757" t="str">
        <x:f>IF(A224="","",IF(J224="AUTO",H224,IF(J224="MANUAL",AK224,"")))</x:f>
      </x:c>
      <x:c r="L224" s="751"/>
      <x:c r="M224" s="751"/>
      <x:c r="N224" s="751" t="str">
        <x:f>IF(OR(AM224&lt;&gt;"CURRENT",E224="EXCLUDE"),"NO",IF(A224="","",IF(OR(F224="FAIL",F224="PAYWALL_BLOCKED"),IF(AND(AK224&lt;&gt;"",AK224&gt;=INT(G224),D224="STORED",J224="MANUAL",AL224&lt;&gt;""),"NO","YES"),IF(AND(AR224="ROLLING",I224="CHANGED"),IF(AND(AK224&lt;&gt;"",AK224&gt;=INT(IF(H224&lt;&gt;"",H224,G224)),AL224&lt;&gt;""),"NO","YES"),"NO"))))</x:f>
        <x:v>NO</x:v>
      </x:c>
      <x:c r="O224" s="751"/>
      <x:c r="P224" s="752"/>
      <x:c r="Q224" s="752"/>
      <x:c r="R224" s="752"/>
      <x:c r="S224" s="752"/>
      <x:c r="T224" s="752"/>
      <x:c r="U224" s="752"/>
      <x:c r="V224" s="752"/>
      <x:c r="W224" s="752"/>
      <x:c r="X224" s="752"/>
      <x:c r="Y224" s="752"/>
      <x:c r="Z224" s="752"/>
      <x:c r="AA224" s="752"/>
      <x:c r="AB224" s="752"/>
      <x:c r="AC224" s="752"/>
      <x:c r="AD224" s="752"/>
      <x:c r="AE224" s="752"/>
      <x:c r="AF224" s="752"/>
      <x:c r="AG224" s="752"/>
      <x:c r="AH224" s="752"/>
      <x:c r="AI224" s="752"/>
      <x:c r="AJ224" s="752"/>
      <x:c r="AK224" s="759"/>
      <x:c r="AL224" s="752"/>
      <x:c r="AM224" s="752"/>
      <x:c r="AN224" s="752"/>
      <x:c r="AO224" s="752"/>
      <x:c r="AP224" s="752"/>
      <x:c r="AQ224" s="752"/>
      <x:c r="AR224" s="752"/>
      <x:c r="AS224" s="752"/>
    </x:row>
    <x:row r="225" ht="30" customHeight="1">
      <x:c r="A225" s="751"/>
      <x:c r="B225" s="751"/>
      <x:c r="C225" s="751"/>
      <x:c r="D225" s="751"/>
      <x:c r="E225" s="751" t="str">
        <x:f>IF(A225="","",IF(OR(AJ225="EXCLUDE",COUNTIF(AD225:AH225,"LOW")&gt;0),"EXCLUDE",IF(OR(AJ225&lt;&gt;"INCLUDE",F225&lt;&gt;"SUCCESS",D225&lt;&gt;"STORED",U225="",AP225="",AQ225="",AQ225="UNVERIFIED",AND(AP225="OFFICIAL_WEBSITE",Q225=""),AND(OR(AA225="Equipment manual / OEM instruction",AB225="Asset-specific normative"),OR(Z225&lt;&gt;"Manufacturer / supplier",AS225="",AC225=""))),"PENDING",IF(COUNTIF(AD225:AH225,"HIGH")=5,"INCLUDE","PENDING"))))</x:f>
      </x:c>
      <x:c r="F225" s="751"/>
      <x:c r="G225" s="755"/>
      <x:c r="H225" s="755"/>
      <x:c r="I225" s="751"/>
      <x:c r="J225" s="751"/>
      <x:c r="K225" s="757" t="str">
        <x:f>IF(A225="","",IF(J225="AUTO",H225,IF(J225="MANUAL",AK225,"")))</x:f>
      </x:c>
      <x:c r="L225" s="751"/>
      <x:c r="M225" s="751"/>
      <x:c r="N225" s="751" t="str">
        <x:f>IF(OR(AM225&lt;&gt;"CURRENT",E225="EXCLUDE"),"NO",IF(A225="","",IF(OR(F225="FAIL",F225="PAYWALL_BLOCKED"),IF(AND(AK225&lt;&gt;"",AK225&gt;=INT(G225),D225="STORED",J225="MANUAL",AL225&lt;&gt;""),"NO","YES"),IF(AND(AR225="ROLLING",I225="CHANGED"),IF(AND(AK225&lt;&gt;"",AK225&gt;=INT(IF(H225&lt;&gt;"",H225,G225)),AL225&lt;&gt;""),"NO","YES"),"NO"))))</x:f>
        <x:v>NO</x:v>
      </x:c>
      <x:c r="O225" s="751"/>
      <x:c r="P225" s="752"/>
      <x:c r="Q225" s="752"/>
      <x:c r="R225" s="752"/>
      <x:c r="S225" s="752"/>
      <x:c r="T225" s="752"/>
      <x:c r="U225" s="752"/>
      <x:c r="V225" s="752"/>
      <x:c r="W225" s="752"/>
      <x:c r="X225" s="752"/>
      <x:c r="Y225" s="752"/>
      <x:c r="Z225" s="752"/>
      <x:c r="AA225" s="752"/>
      <x:c r="AB225" s="752"/>
      <x:c r="AC225" s="752"/>
      <x:c r="AD225" s="752"/>
      <x:c r="AE225" s="752"/>
      <x:c r="AF225" s="752"/>
      <x:c r="AG225" s="752"/>
      <x:c r="AH225" s="752"/>
      <x:c r="AI225" s="752"/>
      <x:c r="AJ225" s="752"/>
      <x:c r="AK225" s="759"/>
      <x:c r="AL225" s="752"/>
      <x:c r="AM225" s="752"/>
      <x:c r="AN225" s="752"/>
      <x:c r="AO225" s="752"/>
      <x:c r="AP225" s="752"/>
      <x:c r="AQ225" s="752"/>
      <x:c r="AR225" s="752"/>
      <x:c r="AS225" s="752"/>
    </x:row>
    <x:row r="226" ht="30" customHeight="1">
      <x:c r="A226" s="751"/>
      <x:c r="B226" s="751"/>
      <x:c r="C226" s="751"/>
      <x:c r="D226" s="751"/>
      <x:c r="E226" s="751" t="str">
        <x:f>IF(A226="","",IF(OR(AJ226="EXCLUDE",COUNTIF(AD226:AH226,"LOW")&gt;0),"EXCLUDE",IF(OR(AJ226&lt;&gt;"INCLUDE",F226&lt;&gt;"SUCCESS",D226&lt;&gt;"STORED",U226="",AP226="",AQ226="",AQ226="UNVERIFIED",AND(AP226="OFFICIAL_WEBSITE",Q226=""),AND(OR(AA226="Equipment manual / OEM instruction",AB226="Asset-specific normative"),OR(Z226&lt;&gt;"Manufacturer / supplier",AS226="",AC226=""))),"PENDING",IF(COUNTIF(AD226:AH226,"HIGH")=5,"INCLUDE","PENDING"))))</x:f>
      </x:c>
      <x:c r="F226" s="751"/>
      <x:c r="G226" s="755"/>
      <x:c r="H226" s="755"/>
      <x:c r="I226" s="751"/>
      <x:c r="J226" s="751"/>
      <x:c r="K226" s="757" t="str">
        <x:f>IF(A226="","",IF(J226="AUTO",H226,IF(J226="MANUAL",AK226,"")))</x:f>
      </x:c>
      <x:c r="L226" s="751"/>
      <x:c r="M226" s="751"/>
      <x:c r="N226" s="751" t="str">
        <x:f>IF(OR(AM226&lt;&gt;"CURRENT",E226="EXCLUDE"),"NO",IF(A226="","",IF(OR(F226="FAIL",F226="PAYWALL_BLOCKED"),IF(AND(AK226&lt;&gt;"",AK226&gt;=INT(G226),D226="STORED",J226="MANUAL",AL226&lt;&gt;""),"NO","YES"),IF(AND(AR226="ROLLING",I226="CHANGED"),IF(AND(AK226&lt;&gt;"",AK226&gt;=INT(IF(H226&lt;&gt;"",H226,G226)),AL226&lt;&gt;""),"NO","YES"),"NO"))))</x:f>
        <x:v>NO</x:v>
      </x:c>
      <x:c r="O226" s="751"/>
      <x:c r="P226" s="752"/>
      <x:c r="Q226" s="752"/>
      <x:c r="R226" s="752"/>
      <x:c r="S226" s="752"/>
      <x:c r="T226" s="752"/>
      <x:c r="U226" s="752"/>
      <x:c r="V226" s="752"/>
      <x:c r="W226" s="752"/>
      <x:c r="X226" s="752"/>
      <x:c r="Y226" s="752"/>
      <x:c r="Z226" s="752"/>
      <x:c r="AA226" s="752"/>
      <x:c r="AB226" s="752"/>
      <x:c r="AC226" s="752"/>
      <x:c r="AD226" s="752"/>
      <x:c r="AE226" s="752"/>
      <x:c r="AF226" s="752"/>
      <x:c r="AG226" s="752"/>
      <x:c r="AH226" s="752"/>
      <x:c r="AI226" s="752"/>
      <x:c r="AJ226" s="752"/>
      <x:c r="AK226" s="759"/>
      <x:c r="AL226" s="752"/>
      <x:c r="AM226" s="752"/>
      <x:c r="AN226" s="752"/>
      <x:c r="AO226" s="752"/>
      <x:c r="AP226" s="752"/>
      <x:c r="AQ226" s="752"/>
      <x:c r="AR226" s="752"/>
      <x:c r="AS226" s="752"/>
    </x:row>
    <x:row r="227" ht="30" customHeight="1">
      <x:c r="A227" s="751"/>
      <x:c r="B227" s="751"/>
      <x:c r="C227" s="751"/>
      <x:c r="D227" s="751"/>
      <x:c r="E227" s="751" t="str">
        <x:f>IF(A227="","",IF(OR(AJ227="EXCLUDE",COUNTIF(AD227:AH227,"LOW")&gt;0),"EXCLUDE",IF(OR(AJ227&lt;&gt;"INCLUDE",F227&lt;&gt;"SUCCESS",D227&lt;&gt;"STORED",U227="",AP227="",AQ227="",AQ227="UNVERIFIED",AND(AP227="OFFICIAL_WEBSITE",Q227=""),AND(OR(AA227="Equipment manual / OEM instruction",AB227="Asset-specific normative"),OR(Z227&lt;&gt;"Manufacturer / supplier",AS227="",AC227=""))),"PENDING",IF(COUNTIF(AD227:AH227,"HIGH")=5,"INCLUDE","PENDING"))))</x:f>
      </x:c>
      <x:c r="F227" s="751"/>
      <x:c r="G227" s="755"/>
      <x:c r="H227" s="755"/>
      <x:c r="I227" s="751"/>
      <x:c r="J227" s="751"/>
      <x:c r="K227" s="757" t="str">
        <x:f>IF(A227="","",IF(J227="AUTO",H227,IF(J227="MANUAL",AK227,"")))</x:f>
      </x:c>
      <x:c r="L227" s="751"/>
      <x:c r="M227" s="751"/>
      <x:c r="N227" s="751" t="str">
        <x:f>IF(OR(AM227&lt;&gt;"CURRENT",E227="EXCLUDE"),"NO",IF(A227="","",IF(OR(F227="FAIL",F227="PAYWALL_BLOCKED"),IF(AND(AK227&lt;&gt;"",AK227&gt;=INT(G227),D227="STORED",J227="MANUAL",AL227&lt;&gt;""),"NO","YES"),IF(AND(AR227="ROLLING",I227="CHANGED"),IF(AND(AK227&lt;&gt;"",AK227&gt;=INT(IF(H227&lt;&gt;"",H227,G227)),AL227&lt;&gt;""),"NO","YES"),"NO"))))</x:f>
        <x:v>NO</x:v>
      </x:c>
      <x:c r="O227" s="751"/>
      <x:c r="P227" s="752"/>
      <x:c r="Q227" s="752"/>
      <x:c r="R227" s="752"/>
      <x:c r="S227" s="752"/>
      <x:c r="T227" s="752"/>
      <x:c r="U227" s="752"/>
      <x:c r="V227" s="752"/>
      <x:c r="W227" s="752"/>
      <x:c r="X227" s="752"/>
      <x:c r="Y227" s="752"/>
      <x:c r="Z227" s="752"/>
      <x:c r="AA227" s="752"/>
      <x:c r="AB227" s="752"/>
      <x:c r="AC227" s="752"/>
      <x:c r="AD227" s="752"/>
      <x:c r="AE227" s="752"/>
      <x:c r="AF227" s="752"/>
      <x:c r="AG227" s="752"/>
      <x:c r="AH227" s="752"/>
      <x:c r="AI227" s="752"/>
      <x:c r="AJ227" s="752"/>
      <x:c r="AK227" s="759"/>
      <x:c r="AL227" s="752"/>
      <x:c r="AM227" s="752"/>
      <x:c r="AN227" s="752"/>
      <x:c r="AO227" s="752"/>
      <x:c r="AP227" s="752"/>
      <x:c r="AQ227" s="752"/>
      <x:c r="AR227" s="752"/>
      <x:c r="AS227" s="752"/>
    </x:row>
    <x:row r="228" ht="30" customHeight="1">
      <x:c r="A228" s="751"/>
      <x:c r="B228" s="751"/>
      <x:c r="C228" s="751"/>
      <x:c r="D228" s="751"/>
      <x:c r="E228" s="751" t="str">
        <x:f>IF(A228="","",IF(OR(AJ228="EXCLUDE",COUNTIF(AD228:AH228,"LOW")&gt;0),"EXCLUDE",IF(OR(AJ228&lt;&gt;"INCLUDE",F228&lt;&gt;"SUCCESS",D228&lt;&gt;"STORED",U228="",AP228="",AQ228="",AQ228="UNVERIFIED",AND(AP228="OFFICIAL_WEBSITE",Q228=""),AND(OR(AA228="Equipment manual / OEM instruction",AB228="Asset-specific normative"),OR(Z228&lt;&gt;"Manufacturer / supplier",AS228="",AC228=""))),"PENDING",IF(COUNTIF(AD228:AH228,"HIGH")=5,"INCLUDE","PENDING"))))</x:f>
      </x:c>
      <x:c r="F228" s="751"/>
      <x:c r="G228" s="755"/>
      <x:c r="H228" s="755"/>
      <x:c r="I228" s="751"/>
      <x:c r="J228" s="751"/>
      <x:c r="K228" s="757" t="str">
        <x:f>IF(A228="","",IF(J228="AUTO",H228,IF(J228="MANUAL",AK228,"")))</x:f>
      </x:c>
      <x:c r="L228" s="751"/>
      <x:c r="M228" s="751"/>
      <x:c r="N228" s="751" t="str">
        <x:f>IF(OR(AM228&lt;&gt;"CURRENT",E228="EXCLUDE"),"NO",IF(A228="","",IF(OR(F228="FAIL",F228="PAYWALL_BLOCKED"),IF(AND(AK228&lt;&gt;"",AK228&gt;=INT(G228),D228="STORED",J228="MANUAL",AL228&lt;&gt;""),"NO","YES"),IF(AND(AR228="ROLLING",I228="CHANGED"),IF(AND(AK228&lt;&gt;"",AK228&gt;=INT(IF(H228&lt;&gt;"",H228,G228)),AL228&lt;&gt;""),"NO","YES"),"NO"))))</x:f>
        <x:v>NO</x:v>
      </x:c>
      <x:c r="O228" s="751"/>
      <x:c r="P228" s="752"/>
      <x:c r="Q228" s="752"/>
      <x:c r="R228" s="752"/>
      <x:c r="S228" s="752"/>
      <x:c r="T228" s="752"/>
      <x:c r="U228" s="752"/>
      <x:c r="V228" s="752"/>
      <x:c r="W228" s="752"/>
      <x:c r="X228" s="752"/>
      <x:c r="Y228" s="752"/>
      <x:c r="Z228" s="752"/>
      <x:c r="AA228" s="752"/>
      <x:c r="AB228" s="752"/>
      <x:c r="AC228" s="752"/>
      <x:c r="AD228" s="752"/>
      <x:c r="AE228" s="752"/>
      <x:c r="AF228" s="752"/>
      <x:c r="AG228" s="752"/>
      <x:c r="AH228" s="752"/>
      <x:c r="AI228" s="752"/>
      <x:c r="AJ228" s="752"/>
      <x:c r="AK228" s="759"/>
      <x:c r="AL228" s="752"/>
      <x:c r="AM228" s="752"/>
      <x:c r="AN228" s="752"/>
      <x:c r="AO228" s="752"/>
      <x:c r="AP228" s="752"/>
      <x:c r="AQ228" s="752"/>
      <x:c r="AR228" s="752"/>
      <x:c r="AS228" s="752"/>
    </x:row>
    <x:row r="229" ht="30" customHeight="1">
      <x:c r="A229" s="751"/>
      <x:c r="B229" s="751"/>
      <x:c r="C229" s="751"/>
      <x:c r="D229" s="751"/>
      <x:c r="E229" s="751" t="str">
        <x:f>IF(A229="","",IF(OR(AJ229="EXCLUDE",COUNTIF(AD229:AH229,"LOW")&gt;0),"EXCLUDE",IF(OR(AJ229&lt;&gt;"INCLUDE",F229&lt;&gt;"SUCCESS",D229&lt;&gt;"STORED",U229="",AP229="",AQ229="",AQ229="UNVERIFIED",AND(AP229="OFFICIAL_WEBSITE",Q229=""),AND(OR(AA229="Equipment manual / OEM instruction",AB229="Asset-specific normative"),OR(Z229&lt;&gt;"Manufacturer / supplier",AS229="",AC229=""))),"PENDING",IF(COUNTIF(AD229:AH229,"HIGH")=5,"INCLUDE","PENDING"))))</x:f>
      </x:c>
      <x:c r="F229" s="751"/>
      <x:c r="G229" s="755"/>
      <x:c r="H229" s="755"/>
      <x:c r="I229" s="751"/>
      <x:c r="J229" s="751"/>
      <x:c r="K229" s="757" t="str">
        <x:f>IF(A229="","",IF(J229="AUTO",H229,IF(J229="MANUAL",AK229,"")))</x:f>
      </x:c>
      <x:c r="L229" s="751"/>
      <x:c r="M229" s="751"/>
      <x:c r="N229" s="751" t="str">
        <x:f>IF(OR(AM229&lt;&gt;"CURRENT",E229="EXCLUDE"),"NO",IF(A229="","",IF(OR(F229="FAIL",F229="PAYWALL_BLOCKED"),IF(AND(AK229&lt;&gt;"",AK229&gt;=INT(G229),D229="STORED",J229="MANUAL",AL229&lt;&gt;""),"NO","YES"),IF(AND(AR229="ROLLING",I229="CHANGED"),IF(AND(AK229&lt;&gt;"",AK229&gt;=INT(IF(H229&lt;&gt;"",H229,G229)),AL229&lt;&gt;""),"NO","YES"),"NO"))))</x:f>
        <x:v>NO</x:v>
      </x:c>
      <x:c r="O229" s="751"/>
      <x:c r="P229" s="752"/>
      <x:c r="Q229" s="752"/>
      <x:c r="R229" s="752"/>
      <x:c r="S229" s="752"/>
      <x:c r="T229" s="752"/>
      <x:c r="U229" s="752"/>
      <x:c r="V229" s="752"/>
      <x:c r="W229" s="752"/>
      <x:c r="X229" s="752"/>
      <x:c r="Y229" s="752"/>
      <x:c r="Z229" s="752"/>
      <x:c r="AA229" s="752"/>
      <x:c r="AB229" s="752"/>
      <x:c r="AC229" s="752"/>
      <x:c r="AD229" s="752"/>
      <x:c r="AE229" s="752"/>
      <x:c r="AF229" s="752"/>
      <x:c r="AG229" s="752"/>
      <x:c r="AH229" s="752"/>
      <x:c r="AI229" s="752"/>
      <x:c r="AJ229" s="752"/>
      <x:c r="AK229" s="759"/>
      <x:c r="AL229" s="752"/>
      <x:c r="AM229" s="752"/>
      <x:c r="AN229" s="752"/>
      <x:c r="AO229" s="752"/>
      <x:c r="AP229" s="752"/>
      <x:c r="AQ229" s="752"/>
      <x:c r="AR229" s="752"/>
      <x:c r="AS229" s="752"/>
    </x:row>
    <x:row r="230" ht="30" customHeight="1">
      <x:c r="A230" s="751"/>
      <x:c r="B230" s="751"/>
      <x:c r="C230" s="751"/>
      <x:c r="D230" s="751"/>
      <x:c r="E230" s="751" t="str">
        <x:f>IF(A230="","",IF(OR(AJ230="EXCLUDE",COUNTIF(AD230:AH230,"LOW")&gt;0),"EXCLUDE",IF(OR(AJ230&lt;&gt;"INCLUDE",F230&lt;&gt;"SUCCESS",D230&lt;&gt;"STORED",U230="",AP230="",AQ230="",AQ230="UNVERIFIED",AND(AP230="OFFICIAL_WEBSITE",Q230=""),AND(OR(AA230="Equipment manual / OEM instruction",AB230="Asset-specific normative"),OR(Z230&lt;&gt;"Manufacturer / supplier",AS230="",AC230=""))),"PENDING",IF(COUNTIF(AD230:AH230,"HIGH")=5,"INCLUDE","PENDING"))))</x:f>
      </x:c>
      <x:c r="F230" s="751"/>
      <x:c r="G230" s="755"/>
      <x:c r="H230" s="755"/>
      <x:c r="I230" s="751"/>
      <x:c r="J230" s="751"/>
      <x:c r="K230" s="757" t="str">
        <x:f>IF(A230="","",IF(J230="AUTO",H230,IF(J230="MANUAL",AK230,"")))</x:f>
      </x:c>
      <x:c r="L230" s="751"/>
      <x:c r="M230" s="751"/>
      <x:c r="N230" s="751" t="str">
        <x:f>IF(OR(AM230&lt;&gt;"CURRENT",E230="EXCLUDE"),"NO",IF(A230="","",IF(OR(F230="FAIL",F230="PAYWALL_BLOCKED"),IF(AND(AK230&lt;&gt;"",AK230&gt;=INT(G230),D230="STORED",J230="MANUAL",AL230&lt;&gt;""),"NO","YES"),IF(AND(AR230="ROLLING",I230="CHANGED"),IF(AND(AK230&lt;&gt;"",AK230&gt;=INT(IF(H230&lt;&gt;"",H230,G230)),AL230&lt;&gt;""),"NO","YES"),"NO"))))</x:f>
        <x:v>NO</x:v>
      </x:c>
      <x:c r="O230" s="751"/>
      <x:c r="P230" s="752"/>
      <x:c r="Q230" s="752"/>
      <x:c r="R230" s="752"/>
      <x:c r="S230" s="752"/>
      <x:c r="T230" s="752"/>
      <x:c r="U230" s="752"/>
      <x:c r="V230" s="752"/>
      <x:c r="W230" s="752"/>
      <x:c r="X230" s="752"/>
      <x:c r="Y230" s="752"/>
      <x:c r="Z230" s="752"/>
      <x:c r="AA230" s="752"/>
      <x:c r="AB230" s="752"/>
      <x:c r="AC230" s="752"/>
      <x:c r="AD230" s="752"/>
      <x:c r="AE230" s="752"/>
      <x:c r="AF230" s="752"/>
      <x:c r="AG230" s="752"/>
      <x:c r="AH230" s="752"/>
      <x:c r="AI230" s="752"/>
      <x:c r="AJ230" s="752"/>
      <x:c r="AK230" s="759"/>
      <x:c r="AL230" s="752"/>
      <x:c r="AM230" s="752"/>
      <x:c r="AN230" s="752"/>
      <x:c r="AO230" s="752"/>
      <x:c r="AP230" s="752"/>
      <x:c r="AQ230" s="752"/>
      <x:c r="AR230" s="752"/>
      <x:c r="AS230" s="752"/>
    </x:row>
    <x:row r="231" ht="30" customHeight="1">
      <x:c r="A231" s="751"/>
      <x:c r="B231" s="751"/>
      <x:c r="C231" s="751"/>
      <x:c r="D231" s="751"/>
      <x:c r="E231" s="751" t="str">
        <x:f>IF(A231="","",IF(OR(AJ231="EXCLUDE",COUNTIF(AD231:AH231,"LOW")&gt;0),"EXCLUDE",IF(OR(AJ231&lt;&gt;"INCLUDE",F231&lt;&gt;"SUCCESS",D231&lt;&gt;"STORED",U231="",AP231="",AQ231="",AQ231="UNVERIFIED",AND(AP231="OFFICIAL_WEBSITE",Q231=""),AND(OR(AA231="Equipment manual / OEM instruction",AB231="Asset-specific normative"),OR(Z231&lt;&gt;"Manufacturer / supplier",AS231="",AC231=""))),"PENDING",IF(COUNTIF(AD231:AH231,"HIGH")=5,"INCLUDE","PENDING"))))</x:f>
      </x:c>
      <x:c r="F231" s="751"/>
      <x:c r="G231" s="755"/>
      <x:c r="H231" s="755"/>
      <x:c r="I231" s="751"/>
      <x:c r="J231" s="751"/>
      <x:c r="K231" s="757" t="str">
        <x:f>IF(A231="","",IF(J231="AUTO",H231,IF(J231="MANUAL",AK231,"")))</x:f>
      </x:c>
      <x:c r="L231" s="751"/>
      <x:c r="M231" s="751"/>
      <x:c r="N231" s="751" t="str">
        <x:f>IF(OR(AM231&lt;&gt;"CURRENT",E231="EXCLUDE"),"NO",IF(A231="","",IF(OR(F231="FAIL",F231="PAYWALL_BLOCKED"),IF(AND(AK231&lt;&gt;"",AK231&gt;=INT(G231),D231="STORED",J231="MANUAL",AL231&lt;&gt;""),"NO","YES"),IF(AND(AR231="ROLLING",I231="CHANGED"),IF(AND(AK231&lt;&gt;"",AK231&gt;=INT(IF(H231&lt;&gt;"",H231,G231)),AL231&lt;&gt;""),"NO","YES"),"NO"))))</x:f>
        <x:v>NO</x:v>
      </x:c>
      <x:c r="O231" s="751"/>
      <x:c r="P231" s="752"/>
      <x:c r="Q231" s="752"/>
      <x:c r="R231" s="752"/>
      <x:c r="S231" s="752"/>
      <x:c r="T231" s="752"/>
      <x:c r="U231" s="752"/>
      <x:c r="V231" s="752"/>
      <x:c r="W231" s="752"/>
      <x:c r="X231" s="752"/>
      <x:c r="Y231" s="752"/>
      <x:c r="Z231" s="752"/>
      <x:c r="AA231" s="752"/>
      <x:c r="AB231" s="752"/>
      <x:c r="AC231" s="752"/>
      <x:c r="AD231" s="752"/>
      <x:c r="AE231" s="752"/>
      <x:c r="AF231" s="752"/>
      <x:c r="AG231" s="752"/>
      <x:c r="AH231" s="752"/>
      <x:c r="AI231" s="752"/>
      <x:c r="AJ231" s="752"/>
      <x:c r="AK231" s="759"/>
      <x:c r="AL231" s="752"/>
      <x:c r="AM231" s="752"/>
      <x:c r="AN231" s="752"/>
      <x:c r="AO231" s="752"/>
      <x:c r="AP231" s="752"/>
      <x:c r="AQ231" s="752"/>
      <x:c r="AR231" s="752"/>
      <x:c r="AS231" s="752"/>
    </x:row>
    <x:row r="232" ht="30" customHeight="1">
      <x:c r="A232" s="751"/>
      <x:c r="B232" s="751"/>
      <x:c r="C232" s="751"/>
      <x:c r="D232" s="751"/>
      <x:c r="E232" s="751" t="str">
        <x:f>IF(A232="","",IF(OR(AJ232="EXCLUDE",COUNTIF(AD232:AH232,"LOW")&gt;0),"EXCLUDE",IF(OR(AJ232&lt;&gt;"INCLUDE",F232&lt;&gt;"SUCCESS",D232&lt;&gt;"STORED",U232="",AP232="",AQ232="",AQ232="UNVERIFIED",AND(AP232="OFFICIAL_WEBSITE",Q232=""),AND(OR(AA232="Equipment manual / OEM instruction",AB232="Asset-specific normative"),OR(Z232&lt;&gt;"Manufacturer / supplier",AS232="",AC232=""))),"PENDING",IF(COUNTIF(AD232:AH232,"HIGH")=5,"INCLUDE","PENDING"))))</x:f>
      </x:c>
      <x:c r="F232" s="751"/>
      <x:c r="G232" s="755"/>
      <x:c r="H232" s="755"/>
      <x:c r="I232" s="751"/>
      <x:c r="J232" s="751"/>
      <x:c r="K232" s="757" t="str">
        <x:f>IF(A232="","",IF(J232="AUTO",H232,IF(J232="MANUAL",AK232,"")))</x:f>
      </x:c>
      <x:c r="L232" s="751"/>
      <x:c r="M232" s="751"/>
      <x:c r="N232" s="751" t="str">
        <x:f>IF(OR(AM232&lt;&gt;"CURRENT",E232="EXCLUDE"),"NO",IF(A232="","",IF(OR(F232="FAIL",F232="PAYWALL_BLOCKED"),IF(AND(AK232&lt;&gt;"",AK232&gt;=INT(G232),D232="STORED",J232="MANUAL",AL232&lt;&gt;""),"NO","YES"),IF(AND(AR232="ROLLING",I232="CHANGED"),IF(AND(AK232&lt;&gt;"",AK232&gt;=INT(IF(H232&lt;&gt;"",H232,G232)),AL232&lt;&gt;""),"NO","YES"),"NO"))))</x:f>
        <x:v>NO</x:v>
      </x:c>
      <x:c r="O232" s="751"/>
      <x:c r="P232" s="752"/>
      <x:c r="Q232" s="752"/>
      <x:c r="R232" s="752"/>
      <x:c r="S232" s="752"/>
      <x:c r="T232" s="752"/>
      <x:c r="U232" s="752"/>
      <x:c r="V232" s="752"/>
      <x:c r="W232" s="752"/>
      <x:c r="X232" s="752"/>
      <x:c r="Y232" s="752"/>
      <x:c r="Z232" s="752"/>
      <x:c r="AA232" s="752"/>
      <x:c r="AB232" s="752"/>
      <x:c r="AC232" s="752"/>
      <x:c r="AD232" s="752"/>
      <x:c r="AE232" s="752"/>
      <x:c r="AF232" s="752"/>
      <x:c r="AG232" s="752"/>
      <x:c r="AH232" s="752"/>
      <x:c r="AI232" s="752"/>
      <x:c r="AJ232" s="752"/>
      <x:c r="AK232" s="759"/>
      <x:c r="AL232" s="752"/>
      <x:c r="AM232" s="752"/>
      <x:c r="AN232" s="752"/>
      <x:c r="AO232" s="752"/>
      <x:c r="AP232" s="752"/>
      <x:c r="AQ232" s="752"/>
      <x:c r="AR232" s="752"/>
      <x:c r="AS232" s="752"/>
    </x:row>
    <x:row r="233" ht="30" customHeight="1">
      <x:c r="A233" s="751"/>
      <x:c r="B233" s="751"/>
      <x:c r="C233" s="751"/>
      <x:c r="D233" s="751"/>
      <x:c r="E233" s="751" t="str">
        <x:f>IF(A233="","",IF(OR(AJ233="EXCLUDE",COUNTIF(AD233:AH233,"LOW")&gt;0),"EXCLUDE",IF(OR(AJ233&lt;&gt;"INCLUDE",F233&lt;&gt;"SUCCESS",D233&lt;&gt;"STORED",U233="",AP233="",AQ233="",AQ233="UNVERIFIED",AND(AP233="OFFICIAL_WEBSITE",Q233=""),AND(OR(AA233="Equipment manual / OEM instruction",AB233="Asset-specific normative"),OR(Z233&lt;&gt;"Manufacturer / supplier",AS233="",AC233=""))),"PENDING",IF(COUNTIF(AD233:AH233,"HIGH")=5,"INCLUDE","PENDING"))))</x:f>
      </x:c>
      <x:c r="F233" s="751"/>
      <x:c r="G233" s="755"/>
      <x:c r="H233" s="755"/>
      <x:c r="I233" s="751"/>
      <x:c r="J233" s="751"/>
      <x:c r="K233" s="757" t="str">
        <x:f>IF(A233="","",IF(J233="AUTO",H233,IF(J233="MANUAL",AK233,"")))</x:f>
      </x:c>
      <x:c r="L233" s="751"/>
      <x:c r="M233" s="751"/>
      <x:c r="N233" s="751" t="str">
        <x:f>IF(OR(AM233&lt;&gt;"CURRENT",E233="EXCLUDE"),"NO",IF(A233="","",IF(OR(F233="FAIL",F233="PAYWALL_BLOCKED"),IF(AND(AK233&lt;&gt;"",AK233&gt;=INT(G233),D233="STORED",J233="MANUAL",AL233&lt;&gt;""),"NO","YES"),IF(AND(AR233="ROLLING",I233="CHANGED"),IF(AND(AK233&lt;&gt;"",AK233&gt;=INT(IF(H233&lt;&gt;"",H233,G233)),AL233&lt;&gt;""),"NO","YES"),"NO"))))</x:f>
        <x:v>NO</x:v>
      </x:c>
      <x:c r="O233" s="751"/>
      <x:c r="P233" s="752"/>
      <x:c r="Q233" s="752"/>
      <x:c r="R233" s="752"/>
      <x:c r="S233" s="752"/>
      <x:c r="T233" s="752"/>
      <x:c r="U233" s="752"/>
      <x:c r="V233" s="752"/>
      <x:c r="W233" s="752"/>
      <x:c r="X233" s="752"/>
      <x:c r="Y233" s="752"/>
      <x:c r="Z233" s="752"/>
      <x:c r="AA233" s="752"/>
      <x:c r="AB233" s="752"/>
      <x:c r="AC233" s="752"/>
      <x:c r="AD233" s="752"/>
      <x:c r="AE233" s="752"/>
      <x:c r="AF233" s="752"/>
      <x:c r="AG233" s="752"/>
      <x:c r="AH233" s="752"/>
      <x:c r="AI233" s="752"/>
      <x:c r="AJ233" s="752"/>
      <x:c r="AK233" s="759"/>
      <x:c r="AL233" s="752"/>
      <x:c r="AM233" s="752"/>
      <x:c r="AN233" s="752"/>
      <x:c r="AO233" s="752"/>
      <x:c r="AP233" s="752"/>
      <x:c r="AQ233" s="752"/>
      <x:c r="AR233" s="752"/>
      <x:c r="AS233" s="752"/>
    </x:row>
    <x:row r="234" ht="30" customHeight="1">
      <x:c r="A234" s="751"/>
      <x:c r="B234" s="751"/>
      <x:c r="C234" s="751"/>
      <x:c r="D234" s="751"/>
      <x:c r="E234" s="751" t="str">
        <x:f>IF(A234="","",IF(OR(AJ234="EXCLUDE",COUNTIF(AD234:AH234,"LOW")&gt;0),"EXCLUDE",IF(OR(AJ234&lt;&gt;"INCLUDE",F234&lt;&gt;"SUCCESS",D234&lt;&gt;"STORED",U234="",AP234="",AQ234="",AQ234="UNVERIFIED",AND(AP234="OFFICIAL_WEBSITE",Q234=""),AND(OR(AA234="Equipment manual / OEM instruction",AB234="Asset-specific normative"),OR(Z234&lt;&gt;"Manufacturer / supplier",AS234="",AC234=""))),"PENDING",IF(COUNTIF(AD234:AH234,"HIGH")=5,"INCLUDE","PENDING"))))</x:f>
      </x:c>
      <x:c r="F234" s="751"/>
      <x:c r="G234" s="755"/>
      <x:c r="H234" s="755"/>
      <x:c r="I234" s="751"/>
      <x:c r="J234" s="751"/>
      <x:c r="K234" s="757" t="str">
        <x:f>IF(A234="","",IF(J234="AUTO",H234,IF(J234="MANUAL",AK234,"")))</x:f>
      </x:c>
      <x:c r="L234" s="751"/>
      <x:c r="M234" s="751"/>
      <x:c r="N234" s="751" t="str">
        <x:f>IF(OR(AM234&lt;&gt;"CURRENT",E234="EXCLUDE"),"NO",IF(A234="","",IF(OR(F234="FAIL",F234="PAYWALL_BLOCKED"),IF(AND(AK234&lt;&gt;"",AK234&gt;=INT(G234),D234="STORED",J234="MANUAL",AL234&lt;&gt;""),"NO","YES"),IF(AND(AR234="ROLLING",I234="CHANGED"),IF(AND(AK234&lt;&gt;"",AK234&gt;=INT(IF(H234&lt;&gt;"",H234,G234)),AL234&lt;&gt;""),"NO","YES"),"NO"))))</x:f>
        <x:v>NO</x:v>
      </x:c>
      <x:c r="O234" s="751"/>
      <x:c r="P234" s="752"/>
      <x:c r="Q234" s="752"/>
      <x:c r="R234" s="752"/>
      <x:c r="S234" s="752"/>
      <x:c r="T234" s="752"/>
      <x:c r="U234" s="752"/>
      <x:c r="V234" s="752"/>
      <x:c r="W234" s="752"/>
      <x:c r="X234" s="752"/>
      <x:c r="Y234" s="752"/>
      <x:c r="Z234" s="752"/>
      <x:c r="AA234" s="752"/>
      <x:c r="AB234" s="752"/>
      <x:c r="AC234" s="752"/>
      <x:c r="AD234" s="752"/>
      <x:c r="AE234" s="752"/>
      <x:c r="AF234" s="752"/>
      <x:c r="AG234" s="752"/>
      <x:c r="AH234" s="752"/>
      <x:c r="AI234" s="752"/>
      <x:c r="AJ234" s="752"/>
      <x:c r="AK234" s="759"/>
      <x:c r="AL234" s="752"/>
      <x:c r="AM234" s="752"/>
      <x:c r="AN234" s="752"/>
      <x:c r="AO234" s="752"/>
      <x:c r="AP234" s="752"/>
      <x:c r="AQ234" s="752"/>
      <x:c r="AR234" s="752"/>
      <x:c r="AS234" s="752"/>
    </x:row>
    <x:row r="235" ht="30" customHeight="1">
      <x:c r="A235" s="751"/>
      <x:c r="B235" s="751"/>
      <x:c r="C235" s="751"/>
      <x:c r="D235" s="751"/>
      <x:c r="E235" s="751" t="str">
        <x:f>IF(A235="","",IF(OR(AJ235="EXCLUDE",COUNTIF(AD235:AH235,"LOW")&gt;0),"EXCLUDE",IF(OR(AJ235&lt;&gt;"INCLUDE",F235&lt;&gt;"SUCCESS",D235&lt;&gt;"STORED",U235="",AP235="",AQ235="",AQ235="UNVERIFIED",AND(AP235="OFFICIAL_WEBSITE",Q235=""),AND(OR(AA235="Equipment manual / OEM instruction",AB235="Asset-specific normative"),OR(Z235&lt;&gt;"Manufacturer / supplier",AS235="",AC235=""))),"PENDING",IF(COUNTIF(AD235:AH235,"HIGH")=5,"INCLUDE","PENDING"))))</x:f>
      </x:c>
      <x:c r="F235" s="751"/>
      <x:c r="G235" s="755"/>
      <x:c r="H235" s="755"/>
      <x:c r="I235" s="751"/>
      <x:c r="J235" s="751"/>
      <x:c r="K235" s="757" t="str">
        <x:f>IF(A235="","",IF(J235="AUTO",H235,IF(J235="MANUAL",AK235,"")))</x:f>
      </x:c>
      <x:c r="L235" s="751"/>
      <x:c r="M235" s="751"/>
      <x:c r="N235" s="751" t="str">
        <x:f>IF(OR(AM235&lt;&gt;"CURRENT",E235="EXCLUDE"),"NO",IF(A235="","",IF(OR(F235="FAIL",F235="PAYWALL_BLOCKED"),IF(AND(AK235&lt;&gt;"",AK235&gt;=INT(G235),D235="STORED",J235="MANUAL",AL235&lt;&gt;""),"NO","YES"),IF(AND(AR235="ROLLING",I235="CHANGED"),IF(AND(AK235&lt;&gt;"",AK235&gt;=INT(IF(H235&lt;&gt;"",H235,G235)),AL235&lt;&gt;""),"NO","YES"),"NO"))))</x:f>
        <x:v>NO</x:v>
      </x:c>
      <x:c r="O235" s="751"/>
      <x:c r="P235" s="752"/>
      <x:c r="Q235" s="752"/>
      <x:c r="R235" s="752"/>
      <x:c r="S235" s="752"/>
      <x:c r="T235" s="752"/>
      <x:c r="U235" s="752"/>
      <x:c r="V235" s="752"/>
      <x:c r="W235" s="752"/>
      <x:c r="X235" s="752"/>
      <x:c r="Y235" s="752"/>
      <x:c r="Z235" s="752"/>
      <x:c r="AA235" s="752"/>
      <x:c r="AB235" s="752"/>
      <x:c r="AC235" s="752"/>
      <x:c r="AD235" s="752"/>
      <x:c r="AE235" s="752"/>
      <x:c r="AF235" s="752"/>
      <x:c r="AG235" s="752"/>
      <x:c r="AH235" s="752"/>
      <x:c r="AI235" s="752"/>
      <x:c r="AJ235" s="752"/>
      <x:c r="AK235" s="759"/>
      <x:c r="AL235" s="752"/>
      <x:c r="AM235" s="752"/>
      <x:c r="AN235" s="752"/>
      <x:c r="AO235" s="752"/>
      <x:c r="AP235" s="752"/>
      <x:c r="AQ235" s="752"/>
      <x:c r="AR235" s="752"/>
      <x:c r="AS235" s="752"/>
    </x:row>
    <x:row r="236" ht="30" customHeight="1">
      <x:c r="A236" s="751"/>
      <x:c r="B236" s="751"/>
      <x:c r="C236" s="751"/>
      <x:c r="D236" s="751"/>
      <x:c r="E236" s="751" t="str">
        <x:f>IF(A236="","",IF(OR(AJ236="EXCLUDE",COUNTIF(AD236:AH236,"LOW")&gt;0),"EXCLUDE",IF(OR(AJ236&lt;&gt;"INCLUDE",F236&lt;&gt;"SUCCESS",D236&lt;&gt;"STORED",U236="",AP236="",AQ236="",AQ236="UNVERIFIED",AND(AP236="OFFICIAL_WEBSITE",Q236=""),AND(OR(AA236="Equipment manual / OEM instruction",AB236="Asset-specific normative"),OR(Z236&lt;&gt;"Manufacturer / supplier",AS236="",AC236=""))),"PENDING",IF(COUNTIF(AD236:AH236,"HIGH")=5,"INCLUDE","PENDING"))))</x:f>
      </x:c>
      <x:c r="F236" s="751"/>
      <x:c r="G236" s="755"/>
      <x:c r="H236" s="755"/>
      <x:c r="I236" s="751"/>
      <x:c r="J236" s="751"/>
      <x:c r="K236" s="757" t="str">
        <x:f>IF(A236="","",IF(J236="AUTO",H236,IF(J236="MANUAL",AK236,"")))</x:f>
      </x:c>
      <x:c r="L236" s="751"/>
      <x:c r="M236" s="751"/>
      <x:c r="N236" s="751" t="str">
        <x:f>IF(OR(AM236&lt;&gt;"CURRENT",E236="EXCLUDE"),"NO",IF(A236="","",IF(OR(F236="FAIL",F236="PAYWALL_BLOCKED"),IF(AND(AK236&lt;&gt;"",AK236&gt;=INT(G236),D236="STORED",J236="MANUAL",AL236&lt;&gt;""),"NO","YES"),IF(AND(AR236="ROLLING",I236="CHANGED"),IF(AND(AK236&lt;&gt;"",AK236&gt;=INT(IF(H236&lt;&gt;"",H236,G236)),AL236&lt;&gt;""),"NO","YES"),"NO"))))</x:f>
        <x:v>NO</x:v>
      </x:c>
      <x:c r="O236" s="751"/>
      <x:c r="P236" s="752"/>
      <x:c r="Q236" s="752"/>
      <x:c r="R236" s="752"/>
      <x:c r="S236" s="752"/>
      <x:c r="T236" s="752"/>
      <x:c r="U236" s="752"/>
      <x:c r="V236" s="752"/>
      <x:c r="W236" s="752"/>
      <x:c r="X236" s="752"/>
      <x:c r="Y236" s="752"/>
      <x:c r="Z236" s="752"/>
      <x:c r="AA236" s="752"/>
      <x:c r="AB236" s="752"/>
      <x:c r="AC236" s="752"/>
      <x:c r="AD236" s="752"/>
      <x:c r="AE236" s="752"/>
      <x:c r="AF236" s="752"/>
      <x:c r="AG236" s="752"/>
      <x:c r="AH236" s="752"/>
      <x:c r="AI236" s="752"/>
      <x:c r="AJ236" s="752"/>
      <x:c r="AK236" s="759"/>
      <x:c r="AL236" s="752"/>
      <x:c r="AM236" s="752"/>
      <x:c r="AN236" s="752"/>
      <x:c r="AO236" s="752"/>
      <x:c r="AP236" s="752"/>
      <x:c r="AQ236" s="752"/>
      <x:c r="AR236" s="752"/>
      <x:c r="AS236" s="752"/>
    </x:row>
    <x:row r="237" ht="30" customHeight="1">
      <x:c r="A237" s="751"/>
      <x:c r="B237" s="751"/>
      <x:c r="C237" s="751"/>
      <x:c r="D237" s="751"/>
      <x:c r="E237" s="751" t="str">
        <x:f>IF(A237="","",IF(OR(AJ237="EXCLUDE",COUNTIF(AD237:AH237,"LOW")&gt;0),"EXCLUDE",IF(OR(AJ237&lt;&gt;"INCLUDE",F237&lt;&gt;"SUCCESS",D237&lt;&gt;"STORED",U237="",AP237="",AQ237="",AQ237="UNVERIFIED",AND(AP237="OFFICIAL_WEBSITE",Q237=""),AND(OR(AA237="Equipment manual / OEM instruction",AB237="Asset-specific normative"),OR(Z237&lt;&gt;"Manufacturer / supplier",AS237="",AC237=""))),"PENDING",IF(COUNTIF(AD237:AH237,"HIGH")=5,"INCLUDE","PENDING"))))</x:f>
      </x:c>
      <x:c r="F237" s="751"/>
      <x:c r="G237" s="755"/>
      <x:c r="H237" s="755"/>
      <x:c r="I237" s="751"/>
      <x:c r="J237" s="751"/>
      <x:c r="K237" s="757" t="str">
        <x:f>IF(A237="","",IF(J237="AUTO",H237,IF(J237="MANUAL",AK237,"")))</x:f>
      </x:c>
      <x:c r="L237" s="751"/>
      <x:c r="M237" s="751"/>
      <x:c r="N237" s="751" t="str">
        <x:f>IF(OR(AM237&lt;&gt;"CURRENT",E237="EXCLUDE"),"NO",IF(A237="","",IF(OR(F237="FAIL",F237="PAYWALL_BLOCKED"),IF(AND(AK237&lt;&gt;"",AK237&gt;=INT(G237),D237="STORED",J237="MANUAL",AL237&lt;&gt;""),"NO","YES"),IF(AND(AR237="ROLLING",I237="CHANGED"),IF(AND(AK237&lt;&gt;"",AK237&gt;=INT(IF(H237&lt;&gt;"",H237,G237)),AL237&lt;&gt;""),"NO","YES"),"NO"))))</x:f>
        <x:v>NO</x:v>
      </x:c>
      <x:c r="O237" s="751"/>
      <x:c r="P237" s="752"/>
      <x:c r="Q237" s="752"/>
      <x:c r="R237" s="752"/>
      <x:c r="S237" s="752"/>
      <x:c r="T237" s="752"/>
      <x:c r="U237" s="752"/>
      <x:c r="V237" s="752"/>
      <x:c r="W237" s="752"/>
      <x:c r="X237" s="752"/>
      <x:c r="Y237" s="752"/>
      <x:c r="Z237" s="752"/>
      <x:c r="AA237" s="752"/>
      <x:c r="AB237" s="752"/>
      <x:c r="AC237" s="752"/>
      <x:c r="AD237" s="752"/>
      <x:c r="AE237" s="752"/>
      <x:c r="AF237" s="752"/>
      <x:c r="AG237" s="752"/>
      <x:c r="AH237" s="752"/>
      <x:c r="AI237" s="752"/>
      <x:c r="AJ237" s="752"/>
      <x:c r="AK237" s="759"/>
      <x:c r="AL237" s="752"/>
      <x:c r="AM237" s="752"/>
      <x:c r="AN237" s="752"/>
      <x:c r="AO237" s="752"/>
      <x:c r="AP237" s="752"/>
      <x:c r="AQ237" s="752"/>
      <x:c r="AR237" s="752"/>
      <x:c r="AS237" s="752"/>
    </x:row>
    <x:row r="238" ht="30" customHeight="1">
      <x:c r="A238" s="751"/>
      <x:c r="B238" s="751"/>
      <x:c r="C238" s="751"/>
      <x:c r="D238" s="751"/>
      <x:c r="E238" s="751" t="str">
        <x:f>IF(A238="","",IF(OR(AJ238="EXCLUDE",COUNTIF(AD238:AH238,"LOW")&gt;0),"EXCLUDE",IF(OR(AJ238&lt;&gt;"INCLUDE",F238&lt;&gt;"SUCCESS",D238&lt;&gt;"STORED",U238="",AP238="",AQ238="",AQ238="UNVERIFIED",AND(AP238="OFFICIAL_WEBSITE",Q238=""),AND(OR(AA238="Equipment manual / OEM instruction",AB238="Asset-specific normative"),OR(Z238&lt;&gt;"Manufacturer / supplier",AS238="",AC238=""))),"PENDING",IF(COUNTIF(AD238:AH238,"HIGH")=5,"INCLUDE","PENDING"))))</x:f>
      </x:c>
      <x:c r="F238" s="751"/>
      <x:c r="G238" s="755"/>
      <x:c r="H238" s="755"/>
      <x:c r="I238" s="751"/>
      <x:c r="J238" s="751"/>
      <x:c r="K238" s="757" t="str">
        <x:f>IF(A238="","",IF(J238="AUTO",H238,IF(J238="MANUAL",AK238,"")))</x:f>
      </x:c>
      <x:c r="L238" s="751"/>
      <x:c r="M238" s="751"/>
      <x:c r="N238" s="751" t="str">
        <x:f>IF(OR(AM238&lt;&gt;"CURRENT",E238="EXCLUDE"),"NO",IF(A238="","",IF(OR(F238="FAIL",F238="PAYWALL_BLOCKED"),IF(AND(AK238&lt;&gt;"",AK238&gt;=INT(G238),D238="STORED",J238="MANUAL",AL238&lt;&gt;""),"NO","YES"),IF(AND(AR238="ROLLING",I238="CHANGED"),IF(AND(AK238&lt;&gt;"",AK238&gt;=INT(IF(H238&lt;&gt;"",H238,G238)),AL238&lt;&gt;""),"NO","YES"),"NO"))))</x:f>
        <x:v>NO</x:v>
      </x:c>
      <x:c r="O238" s="751"/>
      <x:c r="P238" s="752"/>
      <x:c r="Q238" s="752"/>
      <x:c r="R238" s="752"/>
      <x:c r="S238" s="752"/>
      <x:c r="T238" s="752"/>
      <x:c r="U238" s="752"/>
      <x:c r="V238" s="752"/>
      <x:c r="W238" s="752"/>
      <x:c r="X238" s="752"/>
      <x:c r="Y238" s="752"/>
      <x:c r="Z238" s="752"/>
      <x:c r="AA238" s="752"/>
      <x:c r="AB238" s="752"/>
      <x:c r="AC238" s="752"/>
      <x:c r="AD238" s="752"/>
      <x:c r="AE238" s="752"/>
      <x:c r="AF238" s="752"/>
      <x:c r="AG238" s="752"/>
      <x:c r="AH238" s="752"/>
      <x:c r="AI238" s="752"/>
      <x:c r="AJ238" s="752"/>
      <x:c r="AK238" s="759"/>
      <x:c r="AL238" s="752"/>
      <x:c r="AM238" s="752"/>
      <x:c r="AN238" s="752"/>
      <x:c r="AO238" s="752"/>
      <x:c r="AP238" s="752"/>
      <x:c r="AQ238" s="752"/>
      <x:c r="AR238" s="752"/>
      <x:c r="AS238" s="752"/>
    </x:row>
    <x:row r="239" ht="30" customHeight="1">
      <x:c r="A239" s="751"/>
      <x:c r="B239" s="751"/>
      <x:c r="C239" s="751"/>
      <x:c r="D239" s="751"/>
      <x:c r="E239" s="751" t="str">
        <x:f>IF(A239="","",IF(OR(AJ239="EXCLUDE",COUNTIF(AD239:AH239,"LOW")&gt;0),"EXCLUDE",IF(OR(AJ239&lt;&gt;"INCLUDE",F239&lt;&gt;"SUCCESS",D239&lt;&gt;"STORED",U239="",AP239="",AQ239="",AQ239="UNVERIFIED",AND(AP239="OFFICIAL_WEBSITE",Q239=""),AND(OR(AA239="Equipment manual / OEM instruction",AB239="Asset-specific normative"),OR(Z239&lt;&gt;"Manufacturer / supplier",AS239="",AC239=""))),"PENDING",IF(COUNTIF(AD239:AH239,"HIGH")=5,"INCLUDE","PENDING"))))</x:f>
      </x:c>
      <x:c r="F239" s="751"/>
      <x:c r="G239" s="755"/>
      <x:c r="H239" s="755"/>
      <x:c r="I239" s="751"/>
      <x:c r="J239" s="751"/>
      <x:c r="K239" s="757" t="str">
        <x:f>IF(A239="","",IF(J239="AUTO",H239,IF(J239="MANUAL",AK239,"")))</x:f>
      </x:c>
      <x:c r="L239" s="751"/>
      <x:c r="M239" s="751"/>
      <x:c r="N239" s="751" t="str">
        <x:f>IF(OR(AM239&lt;&gt;"CURRENT",E239="EXCLUDE"),"NO",IF(A239="","",IF(OR(F239="FAIL",F239="PAYWALL_BLOCKED"),IF(AND(AK239&lt;&gt;"",AK239&gt;=INT(G239),D239="STORED",J239="MANUAL",AL239&lt;&gt;""),"NO","YES"),IF(AND(AR239="ROLLING",I239="CHANGED"),IF(AND(AK239&lt;&gt;"",AK239&gt;=INT(IF(H239&lt;&gt;"",H239,G239)),AL239&lt;&gt;""),"NO","YES"),"NO"))))</x:f>
        <x:v>NO</x:v>
      </x:c>
      <x:c r="O239" s="751"/>
      <x:c r="P239" s="752"/>
      <x:c r="Q239" s="752"/>
      <x:c r="R239" s="752"/>
      <x:c r="S239" s="752"/>
      <x:c r="T239" s="752"/>
      <x:c r="U239" s="752"/>
      <x:c r="V239" s="752"/>
      <x:c r="W239" s="752"/>
      <x:c r="X239" s="752"/>
      <x:c r="Y239" s="752"/>
      <x:c r="Z239" s="752"/>
      <x:c r="AA239" s="752"/>
      <x:c r="AB239" s="752"/>
      <x:c r="AC239" s="752"/>
      <x:c r="AD239" s="752"/>
      <x:c r="AE239" s="752"/>
      <x:c r="AF239" s="752"/>
      <x:c r="AG239" s="752"/>
      <x:c r="AH239" s="752"/>
      <x:c r="AI239" s="752"/>
      <x:c r="AJ239" s="752"/>
      <x:c r="AK239" s="759"/>
      <x:c r="AL239" s="752"/>
      <x:c r="AM239" s="752"/>
      <x:c r="AN239" s="752"/>
      <x:c r="AO239" s="752"/>
      <x:c r="AP239" s="752"/>
      <x:c r="AQ239" s="752"/>
      <x:c r="AR239" s="752"/>
      <x:c r="AS239" s="752"/>
    </x:row>
    <x:row r="240" ht="30" customHeight="1">
      <x:c r="A240" s="751"/>
      <x:c r="B240" s="751"/>
      <x:c r="C240" s="751"/>
      <x:c r="D240" s="751"/>
      <x:c r="E240" s="751" t="str">
        <x:f>IF(A240="","",IF(OR(AJ240="EXCLUDE",COUNTIF(AD240:AH240,"LOW")&gt;0),"EXCLUDE",IF(OR(AJ240&lt;&gt;"INCLUDE",F240&lt;&gt;"SUCCESS",D240&lt;&gt;"STORED",U240="",AP240="",AQ240="",AQ240="UNVERIFIED",AND(AP240="OFFICIAL_WEBSITE",Q240=""),AND(OR(AA240="Equipment manual / OEM instruction",AB240="Asset-specific normative"),OR(Z240&lt;&gt;"Manufacturer / supplier",AS240="",AC240=""))),"PENDING",IF(COUNTIF(AD240:AH240,"HIGH")=5,"INCLUDE","PENDING"))))</x:f>
      </x:c>
      <x:c r="F240" s="751"/>
      <x:c r="G240" s="755"/>
      <x:c r="H240" s="755"/>
      <x:c r="I240" s="751"/>
      <x:c r="J240" s="751"/>
      <x:c r="K240" s="757" t="str">
        <x:f>IF(A240="","",IF(J240="AUTO",H240,IF(J240="MANUAL",AK240,"")))</x:f>
      </x:c>
      <x:c r="L240" s="751"/>
      <x:c r="M240" s="751"/>
      <x:c r="N240" s="751" t="str">
        <x:f>IF(OR(AM240&lt;&gt;"CURRENT",E240="EXCLUDE"),"NO",IF(A240="","",IF(OR(F240="FAIL",F240="PAYWALL_BLOCKED"),IF(AND(AK240&lt;&gt;"",AK240&gt;=INT(G240),D240="STORED",J240="MANUAL",AL240&lt;&gt;""),"NO","YES"),IF(AND(AR240="ROLLING",I240="CHANGED"),IF(AND(AK240&lt;&gt;"",AK240&gt;=INT(IF(H240&lt;&gt;"",H240,G240)),AL240&lt;&gt;""),"NO","YES"),"NO"))))</x:f>
        <x:v>NO</x:v>
      </x:c>
      <x:c r="O240" s="751"/>
      <x:c r="P240" s="752"/>
      <x:c r="Q240" s="752"/>
      <x:c r="R240" s="752"/>
      <x:c r="S240" s="752"/>
      <x:c r="T240" s="752"/>
      <x:c r="U240" s="752"/>
      <x:c r="V240" s="752"/>
      <x:c r="W240" s="752"/>
      <x:c r="X240" s="752"/>
      <x:c r="Y240" s="752"/>
      <x:c r="Z240" s="752"/>
      <x:c r="AA240" s="752"/>
      <x:c r="AB240" s="752"/>
      <x:c r="AC240" s="752"/>
      <x:c r="AD240" s="752"/>
      <x:c r="AE240" s="752"/>
      <x:c r="AF240" s="752"/>
      <x:c r="AG240" s="752"/>
      <x:c r="AH240" s="752"/>
      <x:c r="AI240" s="752"/>
      <x:c r="AJ240" s="752"/>
      <x:c r="AK240" s="759"/>
      <x:c r="AL240" s="752"/>
      <x:c r="AM240" s="752"/>
      <x:c r="AN240" s="752"/>
      <x:c r="AO240" s="752"/>
      <x:c r="AP240" s="752"/>
      <x:c r="AQ240" s="752"/>
      <x:c r="AR240" s="752"/>
      <x:c r="AS240" s="752"/>
    </x:row>
    <x:row r="241" ht="30" customHeight="1">
      <x:c r="A241" s="751"/>
      <x:c r="B241" s="751"/>
      <x:c r="C241" s="751"/>
      <x:c r="D241" s="751"/>
      <x:c r="E241" s="751" t="str">
        <x:f>IF(A241="","",IF(OR(AJ241="EXCLUDE",COUNTIF(AD241:AH241,"LOW")&gt;0),"EXCLUDE",IF(OR(AJ241&lt;&gt;"INCLUDE",F241&lt;&gt;"SUCCESS",D241&lt;&gt;"STORED",U241="",AP241="",AQ241="",AQ241="UNVERIFIED",AND(AP241="OFFICIAL_WEBSITE",Q241=""),AND(OR(AA241="Equipment manual / OEM instruction",AB241="Asset-specific normative"),OR(Z241&lt;&gt;"Manufacturer / supplier",AS241="",AC241=""))),"PENDING",IF(COUNTIF(AD241:AH241,"HIGH")=5,"INCLUDE","PENDING"))))</x:f>
      </x:c>
      <x:c r="F241" s="751"/>
      <x:c r="G241" s="755"/>
      <x:c r="H241" s="755"/>
      <x:c r="I241" s="751"/>
      <x:c r="J241" s="751"/>
      <x:c r="K241" s="757" t="str">
        <x:f>IF(A241="","",IF(J241="AUTO",H241,IF(J241="MANUAL",AK241,"")))</x:f>
      </x:c>
      <x:c r="L241" s="751"/>
      <x:c r="M241" s="751"/>
      <x:c r="N241" s="751" t="str">
        <x:f>IF(OR(AM241&lt;&gt;"CURRENT",E241="EXCLUDE"),"NO",IF(A241="","",IF(OR(F241="FAIL",F241="PAYWALL_BLOCKED"),IF(AND(AK241&lt;&gt;"",AK241&gt;=INT(G241),D241="STORED",J241="MANUAL",AL241&lt;&gt;""),"NO","YES"),IF(AND(AR241="ROLLING",I241="CHANGED"),IF(AND(AK241&lt;&gt;"",AK241&gt;=INT(IF(H241&lt;&gt;"",H241,G241)),AL241&lt;&gt;""),"NO","YES"),"NO"))))</x:f>
        <x:v>NO</x:v>
      </x:c>
      <x:c r="O241" s="751"/>
      <x:c r="P241" s="752"/>
      <x:c r="Q241" s="752"/>
      <x:c r="R241" s="752"/>
      <x:c r="S241" s="752"/>
      <x:c r="T241" s="752"/>
      <x:c r="U241" s="752"/>
      <x:c r="V241" s="752"/>
      <x:c r="W241" s="752"/>
      <x:c r="X241" s="752"/>
      <x:c r="Y241" s="752"/>
      <x:c r="Z241" s="752"/>
      <x:c r="AA241" s="752"/>
      <x:c r="AB241" s="752"/>
      <x:c r="AC241" s="752"/>
      <x:c r="AD241" s="752"/>
      <x:c r="AE241" s="752"/>
      <x:c r="AF241" s="752"/>
      <x:c r="AG241" s="752"/>
      <x:c r="AH241" s="752"/>
      <x:c r="AI241" s="752"/>
      <x:c r="AJ241" s="752"/>
      <x:c r="AK241" s="759"/>
      <x:c r="AL241" s="752"/>
      <x:c r="AM241" s="752"/>
      <x:c r="AN241" s="752"/>
      <x:c r="AO241" s="752"/>
      <x:c r="AP241" s="752"/>
      <x:c r="AQ241" s="752"/>
      <x:c r="AR241" s="752"/>
      <x:c r="AS241" s="752"/>
    </x:row>
    <x:row r="242" ht="30" customHeight="1">
      <x:c r="A242" s="751"/>
      <x:c r="B242" s="751"/>
      <x:c r="C242" s="751"/>
      <x:c r="D242" s="751"/>
      <x:c r="E242" s="751" t="str">
        <x:f>IF(A242="","",IF(OR(AJ242="EXCLUDE",COUNTIF(AD242:AH242,"LOW")&gt;0),"EXCLUDE",IF(OR(AJ242&lt;&gt;"INCLUDE",F242&lt;&gt;"SUCCESS",D242&lt;&gt;"STORED",U242="",AP242="",AQ242="",AQ242="UNVERIFIED",AND(AP242="OFFICIAL_WEBSITE",Q242=""),AND(OR(AA242="Equipment manual / OEM instruction",AB242="Asset-specific normative"),OR(Z242&lt;&gt;"Manufacturer / supplier",AS242="",AC242=""))),"PENDING",IF(COUNTIF(AD242:AH242,"HIGH")=5,"INCLUDE","PENDING"))))</x:f>
      </x:c>
      <x:c r="F242" s="751"/>
      <x:c r="G242" s="755"/>
      <x:c r="H242" s="755"/>
      <x:c r="I242" s="751"/>
      <x:c r="J242" s="751"/>
      <x:c r="K242" s="757" t="str">
        <x:f>IF(A242="","",IF(J242="AUTO",H242,IF(J242="MANUAL",AK242,"")))</x:f>
      </x:c>
      <x:c r="L242" s="751"/>
      <x:c r="M242" s="751"/>
      <x:c r="N242" s="751" t="str">
        <x:f>IF(OR(AM242&lt;&gt;"CURRENT",E242="EXCLUDE"),"NO",IF(A242="","",IF(OR(F242="FAIL",F242="PAYWALL_BLOCKED"),IF(AND(AK242&lt;&gt;"",AK242&gt;=INT(G242),D242="STORED",J242="MANUAL",AL242&lt;&gt;""),"NO","YES"),IF(AND(AR242="ROLLING",I242="CHANGED"),IF(AND(AK242&lt;&gt;"",AK242&gt;=INT(IF(H242&lt;&gt;"",H242,G242)),AL242&lt;&gt;""),"NO","YES"),"NO"))))</x:f>
        <x:v>NO</x:v>
      </x:c>
      <x:c r="O242" s="751"/>
      <x:c r="P242" s="752"/>
      <x:c r="Q242" s="752"/>
      <x:c r="R242" s="752"/>
      <x:c r="S242" s="752"/>
      <x:c r="T242" s="752"/>
      <x:c r="U242" s="752"/>
      <x:c r="V242" s="752"/>
      <x:c r="W242" s="752"/>
      <x:c r="X242" s="752"/>
      <x:c r="Y242" s="752"/>
      <x:c r="Z242" s="752"/>
      <x:c r="AA242" s="752"/>
      <x:c r="AB242" s="752"/>
      <x:c r="AC242" s="752"/>
      <x:c r="AD242" s="752"/>
      <x:c r="AE242" s="752"/>
      <x:c r="AF242" s="752"/>
      <x:c r="AG242" s="752"/>
      <x:c r="AH242" s="752"/>
      <x:c r="AI242" s="752"/>
      <x:c r="AJ242" s="752"/>
      <x:c r="AK242" s="759"/>
      <x:c r="AL242" s="752"/>
      <x:c r="AM242" s="752"/>
      <x:c r="AN242" s="752"/>
      <x:c r="AO242" s="752"/>
      <x:c r="AP242" s="752"/>
      <x:c r="AQ242" s="752"/>
      <x:c r="AR242" s="752"/>
      <x:c r="AS242" s="752"/>
    </x:row>
    <x:row r="243" ht="30" customHeight="1">
      <x:c r="A243" s="751"/>
      <x:c r="B243" s="751"/>
      <x:c r="C243" s="751"/>
      <x:c r="D243" s="751"/>
      <x:c r="E243" s="751" t="str">
        <x:f>IF(A243="","",IF(OR(AJ243="EXCLUDE",COUNTIF(AD243:AH243,"LOW")&gt;0),"EXCLUDE",IF(OR(AJ243&lt;&gt;"INCLUDE",F243&lt;&gt;"SUCCESS",D243&lt;&gt;"STORED",U243="",AP243="",AQ243="",AQ243="UNVERIFIED",AND(AP243="OFFICIAL_WEBSITE",Q243=""),AND(OR(AA243="Equipment manual / OEM instruction",AB243="Asset-specific normative"),OR(Z243&lt;&gt;"Manufacturer / supplier",AS243="",AC243=""))),"PENDING",IF(COUNTIF(AD243:AH243,"HIGH")=5,"INCLUDE","PENDING"))))</x:f>
      </x:c>
      <x:c r="F243" s="751"/>
      <x:c r="G243" s="755"/>
      <x:c r="H243" s="755"/>
      <x:c r="I243" s="751"/>
      <x:c r="J243" s="751"/>
      <x:c r="K243" s="757" t="str">
        <x:f>IF(A243="","",IF(J243="AUTO",H243,IF(J243="MANUAL",AK243,"")))</x:f>
      </x:c>
      <x:c r="L243" s="751"/>
      <x:c r="M243" s="751"/>
      <x:c r="N243" s="751" t="str">
        <x:f>IF(OR(AM243&lt;&gt;"CURRENT",E243="EXCLUDE"),"NO",IF(A243="","",IF(OR(F243="FAIL",F243="PAYWALL_BLOCKED"),IF(AND(AK243&lt;&gt;"",AK243&gt;=INT(G243),D243="STORED",J243="MANUAL",AL243&lt;&gt;""),"NO","YES"),IF(AND(AR243="ROLLING",I243="CHANGED"),IF(AND(AK243&lt;&gt;"",AK243&gt;=INT(IF(H243&lt;&gt;"",H243,G243)),AL243&lt;&gt;""),"NO","YES"),"NO"))))</x:f>
        <x:v>NO</x:v>
      </x:c>
      <x:c r="O243" s="751"/>
      <x:c r="P243" s="752"/>
      <x:c r="Q243" s="752"/>
      <x:c r="R243" s="752"/>
      <x:c r="S243" s="752"/>
      <x:c r="T243" s="752"/>
      <x:c r="U243" s="752"/>
      <x:c r="V243" s="752"/>
      <x:c r="W243" s="752"/>
      <x:c r="X243" s="752"/>
      <x:c r="Y243" s="752"/>
      <x:c r="Z243" s="752"/>
      <x:c r="AA243" s="752"/>
      <x:c r="AB243" s="752"/>
      <x:c r="AC243" s="752"/>
      <x:c r="AD243" s="752"/>
      <x:c r="AE243" s="752"/>
      <x:c r="AF243" s="752"/>
      <x:c r="AG243" s="752"/>
      <x:c r="AH243" s="752"/>
      <x:c r="AI243" s="752"/>
      <x:c r="AJ243" s="752"/>
      <x:c r="AK243" s="759"/>
      <x:c r="AL243" s="752"/>
      <x:c r="AM243" s="752"/>
      <x:c r="AN243" s="752"/>
      <x:c r="AO243" s="752"/>
      <x:c r="AP243" s="752"/>
      <x:c r="AQ243" s="752"/>
      <x:c r="AR243" s="752"/>
      <x:c r="AS243" s="752"/>
    </x:row>
    <x:row r="244" ht="30" customHeight="1">
      <x:c r="A244" s="751"/>
      <x:c r="B244" s="751"/>
      <x:c r="C244" s="751"/>
      <x:c r="D244" s="751"/>
      <x:c r="E244" s="751" t="str">
        <x:f>IF(A244="","",IF(OR(AJ244="EXCLUDE",COUNTIF(AD244:AH244,"LOW")&gt;0),"EXCLUDE",IF(OR(AJ244&lt;&gt;"INCLUDE",F244&lt;&gt;"SUCCESS",D244&lt;&gt;"STORED",U244="",AP244="",AQ244="",AQ244="UNVERIFIED",AND(AP244="OFFICIAL_WEBSITE",Q244=""),AND(OR(AA244="Equipment manual / OEM instruction",AB244="Asset-specific normative"),OR(Z244&lt;&gt;"Manufacturer / supplier",AS244="",AC244=""))),"PENDING",IF(COUNTIF(AD244:AH244,"HIGH")=5,"INCLUDE","PENDING"))))</x:f>
      </x:c>
      <x:c r="F244" s="751"/>
      <x:c r="G244" s="755"/>
      <x:c r="H244" s="755"/>
      <x:c r="I244" s="751"/>
      <x:c r="J244" s="751"/>
      <x:c r="K244" s="757" t="str">
        <x:f>IF(A244="","",IF(J244="AUTO",H244,IF(J244="MANUAL",AK244,"")))</x:f>
      </x:c>
      <x:c r="L244" s="751"/>
      <x:c r="M244" s="751"/>
      <x:c r="N244" s="751" t="str">
        <x:f>IF(OR(AM244&lt;&gt;"CURRENT",E244="EXCLUDE"),"NO",IF(A244="","",IF(OR(F244="FAIL",F244="PAYWALL_BLOCKED"),IF(AND(AK244&lt;&gt;"",AK244&gt;=INT(G244),D244="STORED",J244="MANUAL",AL244&lt;&gt;""),"NO","YES"),IF(AND(AR244="ROLLING",I244="CHANGED"),IF(AND(AK244&lt;&gt;"",AK244&gt;=INT(IF(H244&lt;&gt;"",H244,G244)),AL244&lt;&gt;""),"NO","YES"),"NO"))))</x:f>
        <x:v>NO</x:v>
      </x:c>
      <x:c r="O244" s="751"/>
      <x:c r="P244" s="752"/>
      <x:c r="Q244" s="752"/>
      <x:c r="R244" s="752"/>
      <x:c r="S244" s="752"/>
      <x:c r="T244" s="752"/>
      <x:c r="U244" s="752"/>
      <x:c r="V244" s="752"/>
      <x:c r="W244" s="752"/>
      <x:c r="X244" s="752"/>
      <x:c r="Y244" s="752"/>
      <x:c r="Z244" s="752"/>
      <x:c r="AA244" s="752"/>
      <x:c r="AB244" s="752"/>
      <x:c r="AC244" s="752"/>
      <x:c r="AD244" s="752"/>
      <x:c r="AE244" s="752"/>
      <x:c r="AF244" s="752"/>
      <x:c r="AG244" s="752"/>
      <x:c r="AH244" s="752"/>
      <x:c r="AI244" s="752"/>
      <x:c r="AJ244" s="752"/>
      <x:c r="AK244" s="759"/>
      <x:c r="AL244" s="752"/>
      <x:c r="AM244" s="752"/>
      <x:c r="AN244" s="752"/>
      <x:c r="AO244" s="752"/>
      <x:c r="AP244" s="752"/>
      <x:c r="AQ244" s="752"/>
      <x:c r="AR244" s="752"/>
      <x:c r="AS244" s="752"/>
    </x:row>
    <x:row r="245" ht="30" customHeight="1">
      <x:c r="A245" s="751"/>
      <x:c r="B245" s="751"/>
      <x:c r="C245" s="751"/>
      <x:c r="D245" s="751"/>
      <x:c r="E245" s="751" t="str">
        <x:f>IF(A245="","",IF(OR(AJ245="EXCLUDE",COUNTIF(AD245:AH245,"LOW")&gt;0),"EXCLUDE",IF(OR(AJ245&lt;&gt;"INCLUDE",F245&lt;&gt;"SUCCESS",D245&lt;&gt;"STORED",U245="",AP245="",AQ245="",AQ245="UNVERIFIED",AND(AP245="OFFICIAL_WEBSITE",Q245=""),AND(OR(AA245="Equipment manual / OEM instruction",AB245="Asset-specific normative"),OR(Z245&lt;&gt;"Manufacturer / supplier",AS245="",AC245=""))),"PENDING",IF(COUNTIF(AD245:AH245,"HIGH")=5,"INCLUDE","PENDING"))))</x:f>
      </x:c>
      <x:c r="F245" s="751"/>
      <x:c r="G245" s="755"/>
      <x:c r="H245" s="755"/>
      <x:c r="I245" s="751"/>
      <x:c r="J245" s="751"/>
      <x:c r="K245" s="757" t="str">
        <x:f>IF(A245="","",IF(J245="AUTO",H245,IF(J245="MANUAL",AK245,"")))</x:f>
      </x:c>
      <x:c r="L245" s="751"/>
      <x:c r="M245" s="751"/>
      <x:c r="N245" s="751" t="str">
        <x:f>IF(OR(AM245&lt;&gt;"CURRENT",E245="EXCLUDE"),"NO",IF(A245="","",IF(OR(F245="FAIL",F245="PAYWALL_BLOCKED"),IF(AND(AK245&lt;&gt;"",AK245&gt;=INT(G245),D245="STORED",J245="MANUAL",AL245&lt;&gt;""),"NO","YES"),IF(AND(AR245="ROLLING",I245="CHANGED"),IF(AND(AK245&lt;&gt;"",AK245&gt;=INT(IF(H245&lt;&gt;"",H245,G245)),AL245&lt;&gt;""),"NO","YES"),"NO"))))</x:f>
        <x:v>NO</x:v>
      </x:c>
      <x:c r="O245" s="751"/>
      <x:c r="P245" s="752"/>
      <x:c r="Q245" s="752"/>
      <x:c r="R245" s="752"/>
      <x:c r="S245" s="752"/>
      <x:c r="T245" s="752"/>
      <x:c r="U245" s="752"/>
      <x:c r="V245" s="752"/>
      <x:c r="W245" s="752"/>
      <x:c r="X245" s="752"/>
      <x:c r="Y245" s="752"/>
      <x:c r="Z245" s="752"/>
      <x:c r="AA245" s="752"/>
      <x:c r="AB245" s="752"/>
      <x:c r="AC245" s="752"/>
      <x:c r="AD245" s="752"/>
      <x:c r="AE245" s="752"/>
      <x:c r="AF245" s="752"/>
      <x:c r="AG245" s="752"/>
      <x:c r="AH245" s="752"/>
      <x:c r="AI245" s="752"/>
      <x:c r="AJ245" s="752"/>
      <x:c r="AK245" s="759"/>
      <x:c r="AL245" s="752"/>
      <x:c r="AM245" s="752"/>
      <x:c r="AN245" s="752"/>
      <x:c r="AO245" s="752"/>
      <x:c r="AP245" s="752"/>
      <x:c r="AQ245" s="752"/>
      <x:c r="AR245" s="752"/>
      <x:c r="AS245" s="752"/>
    </x:row>
    <x:row r="246" ht="30" customHeight="1">
      <x:c r="A246" s="751"/>
      <x:c r="B246" s="751"/>
      <x:c r="C246" s="751"/>
      <x:c r="D246" s="751"/>
      <x:c r="E246" s="751" t="str">
        <x:f>IF(A246="","",IF(OR(AJ246="EXCLUDE",COUNTIF(AD246:AH246,"LOW")&gt;0),"EXCLUDE",IF(OR(AJ246&lt;&gt;"INCLUDE",F246&lt;&gt;"SUCCESS",D246&lt;&gt;"STORED",U246="",AP246="",AQ246="",AQ246="UNVERIFIED",AND(AP246="OFFICIAL_WEBSITE",Q246=""),AND(OR(AA246="Equipment manual / OEM instruction",AB246="Asset-specific normative"),OR(Z246&lt;&gt;"Manufacturer / supplier",AS246="",AC246=""))),"PENDING",IF(COUNTIF(AD246:AH246,"HIGH")=5,"INCLUDE","PENDING"))))</x:f>
      </x:c>
      <x:c r="F246" s="751"/>
      <x:c r="G246" s="755"/>
      <x:c r="H246" s="755"/>
      <x:c r="I246" s="751"/>
      <x:c r="J246" s="751"/>
      <x:c r="K246" s="757" t="str">
        <x:f>IF(A246="","",IF(J246="AUTO",H246,IF(J246="MANUAL",AK246,"")))</x:f>
      </x:c>
      <x:c r="L246" s="751"/>
      <x:c r="M246" s="751"/>
      <x:c r="N246" s="751" t="str">
        <x:f>IF(OR(AM246&lt;&gt;"CURRENT",E246="EXCLUDE"),"NO",IF(A246="","",IF(OR(F246="FAIL",F246="PAYWALL_BLOCKED"),IF(AND(AK246&lt;&gt;"",AK246&gt;=INT(G246),D246="STORED",J246="MANUAL",AL246&lt;&gt;""),"NO","YES"),IF(AND(AR246="ROLLING",I246="CHANGED"),IF(AND(AK246&lt;&gt;"",AK246&gt;=INT(IF(H246&lt;&gt;"",H246,G246)),AL246&lt;&gt;""),"NO","YES"),"NO"))))</x:f>
        <x:v>NO</x:v>
      </x:c>
      <x:c r="O246" s="751"/>
      <x:c r="P246" s="752"/>
      <x:c r="Q246" s="752"/>
      <x:c r="R246" s="752"/>
      <x:c r="S246" s="752"/>
      <x:c r="T246" s="752"/>
      <x:c r="U246" s="752"/>
      <x:c r="V246" s="752"/>
      <x:c r="W246" s="752"/>
      <x:c r="X246" s="752"/>
      <x:c r="Y246" s="752"/>
      <x:c r="Z246" s="752"/>
      <x:c r="AA246" s="752"/>
      <x:c r="AB246" s="752"/>
      <x:c r="AC246" s="752"/>
      <x:c r="AD246" s="752"/>
      <x:c r="AE246" s="752"/>
      <x:c r="AF246" s="752"/>
      <x:c r="AG246" s="752"/>
      <x:c r="AH246" s="752"/>
      <x:c r="AI246" s="752"/>
      <x:c r="AJ246" s="752"/>
      <x:c r="AK246" s="759"/>
      <x:c r="AL246" s="752"/>
      <x:c r="AM246" s="752"/>
      <x:c r="AN246" s="752"/>
      <x:c r="AO246" s="752"/>
      <x:c r="AP246" s="752"/>
      <x:c r="AQ246" s="752"/>
      <x:c r="AR246" s="752"/>
      <x:c r="AS246" s="752"/>
    </x:row>
    <x:row r="247" ht="30" customHeight="1">
      <x:c r="A247" s="751"/>
      <x:c r="B247" s="751"/>
      <x:c r="C247" s="751"/>
      <x:c r="D247" s="751"/>
      <x:c r="E247" s="751" t="str">
        <x:f>IF(A247="","",IF(OR(AJ247="EXCLUDE",COUNTIF(AD247:AH247,"LOW")&gt;0),"EXCLUDE",IF(OR(AJ247&lt;&gt;"INCLUDE",F247&lt;&gt;"SUCCESS",D247&lt;&gt;"STORED",U247="",AP247="",AQ247="",AQ247="UNVERIFIED",AND(AP247="OFFICIAL_WEBSITE",Q247=""),AND(OR(AA247="Equipment manual / OEM instruction",AB247="Asset-specific normative"),OR(Z247&lt;&gt;"Manufacturer / supplier",AS247="",AC247=""))),"PENDING",IF(COUNTIF(AD247:AH247,"HIGH")=5,"INCLUDE","PENDING"))))</x:f>
      </x:c>
      <x:c r="F247" s="751"/>
      <x:c r="G247" s="755"/>
      <x:c r="H247" s="755"/>
      <x:c r="I247" s="751"/>
      <x:c r="J247" s="751"/>
      <x:c r="K247" s="757" t="str">
        <x:f>IF(A247="","",IF(J247="AUTO",H247,IF(J247="MANUAL",AK247,"")))</x:f>
      </x:c>
      <x:c r="L247" s="751"/>
      <x:c r="M247" s="751"/>
      <x:c r="N247" s="751" t="str">
        <x:f>IF(OR(AM247&lt;&gt;"CURRENT",E247="EXCLUDE"),"NO",IF(A247="","",IF(OR(F247="FAIL",F247="PAYWALL_BLOCKED"),IF(AND(AK247&lt;&gt;"",AK247&gt;=INT(G247),D247="STORED",J247="MANUAL",AL247&lt;&gt;""),"NO","YES"),IF(AND(AR247="ROLLING",I247="CHANGED"),IF(AND(AK247&lt;&gt;"",AK247&gt;=INT(IF(H247&lt;&gt;"",H247,G247)),AL247&lt;&gt;""),"NO","YES"),"NO"))))</x:f>
        <x:v>NO</x:v>
      </x:c>
      <x:c r="O247" s="751"/>
      <x:c r="P247" s="752"/>
      <x:c r="Q247" s="752"/>
      <x:c r="R247" s="752"/>
      <x:c r="S247" s="752"/>
      <x:c r="T247" s="752"/>
      <x:c r="U247" s="752"/>
      <x:c r="V247" s="752"/>
      <x:c r="W247" s="752"/>
      <x:c r="X247" s="752"/>
      <x:c r="Y247" s="752"/>
      <x:c r="Z247" s="752"/>
      <x:c r="AA247" s="752"/>
      <x:c r="AB247" s="752"/>
      <x:c r="AC247" s="752"/>
      <x:c r="AD247" s="752"/>
      <x:c r="AE247" s="752"/>
      <x:c r="AF247" s="752"/>
      <x:c r="AG247" s="752"/>
      <x:c r="AH247" s="752"/>
      <x:c r="AI247" s="752"/>
      <x:c r="AJ247" s="752"/>
      <x:c r="AK247" s="759"/>
      <x:c r="AL247" s="752"/>
      <x:c r="AM247" s="752"/>
      <x:c r="AN247" s="752"/>
      <x:c r="AO247" s="752"/>
      <x:c r="AP247" s="752"/>
      <x:c r="AQ247" s="752"/>
      <x:c r="AR247" s="752"/>
      <x:c r="AS247" s="752"/>
    </x:row>
    <x:row r="248" ht="30" customHeight="1">
      <x:c r="A248" s="751"/>
      <x:c r="B248" s="751"/>
      <x:c r="C248" s="751"/>
      <x:c r="D248" s="751"/>
      <x:c r="E248" s="751" t="str">
        <x:f>IF(A248="","",IF(OR(AJ248="EXCLUDE",COUNTIF(AD248:AH248,"LOW")&gt;0),"EXCLUDE",IF(OR(AJ248&lt;&gt;"INCLUDE",F248&lt;&gt;"SUCCESS",D248&lt;&gt;"STORED",U248="",AP248="",AQ248="",AQ248="UNVERIFIED",AND(AP248="OFFICIAL_WEBSITE",Q248=""),AND(OR(AA248="Equipment manual / OEM instruction",AB248="Asset-specific normative"),OR(Z248&lt;&gt;"Manufacturer / supplier",AS248="",AC248=""))),"PENDING",IF(COUNTIF(AD248:AH248,"HIGH")=5,"INCLUDE","PENDING"))))</x:f>
      </x:c>
      <x:c r="F248" s="751"/>
      <x:c r="G248" s="755"/>
      <x:c r="H248" s="755"/>
      <x:c r="I248" s="751"/>
      <x:c r="J248" s="751"/>
      <x:c r="K248" s="757" t="str">
        <x:f>IF(A248="","",IF(J248="AUTO",H248,IF(J248="MANUAL",AK248,"")))</x:f>
      </x:c>
      <x:c r="L248" s="751"/>
      <x:c r="M248" s="751"/>
      <x:c r="N248" s="751" t="str">
        <x:f>IF(OR(AM248&lt;&gt;"CURRENT",E248="EXCLUDE"),"NO",IF(A248="","",IF(OR(F248="FAIL",F248="PAYWALL_BLOCKED"),IF(AND(AK248&lt;&gt;"",AK248&gt;=INT(G248),D248="STORED",J248="MANUAL",AL248&lt;&gt;""),"NO","YES"),IF(AND(AR248="ROLLING",I248="CHANGED"),IF(AND(AK248&lt;&gt;"",AK248&gt;=INT(IF(H248&lt;&gt;"",H248,G248)),AL248&lt;&gt;""),"NO","YES"),"NO"))))</x:f>
        <x:v>NO</x:v>
      </x:c>
      <x:c r="O248" s="751"/>
      <x:c r="P248" s="752"/>
      <x:c r="Q248" s="752"/>
      <x:c r="R248" s="752"/>
      <x:c r="S248" s="752"/>
      <x:c r="T248" s="752"/>
      <x:c r="U248" s="752"/>
      <x:c r="V248" s="752"/>
      <x:c r="W248" s="752"/>
      <x:c r="X248" s="752"/>
      <x:c r="Y248" s="752"/>
      <x:c r="Z248" s="752"/>
      <x:c r="AA248" s="752"/>
      <x:c r="AB248" s="752"/>
      <x:c r="AC248" s="752"/>
      <x:c r="AD248" s="752"/>
      <x:c r="AE248" s="752"/>
      <x:c r="AF248" s="752"/>
      <x:c r="AG248" s="752"/>
      <x:c r="AH248" s="752"/>
      <x:c r="AI248" s="752"/>
      <x:c r="AJ248" s="752"/>
      <x:c r="AK248" s="759"/>
      <x:c r="AL248" s="752"/>
      <x:c r="AM248" s="752"/>
      <x:c r="AN248" s="752"/>
      <x:c r="AO248" s="752"/>
      <x:c r="AP248" s="752"/>
      <x:c r="AQ248" s="752"/>
      <x:c r="AR248" s="752"/>
      <x:c r="AS248" s="752"/>
    </x:row>
    <x:row r="249" ht="30" customHeight="1">
      <x:c r="A249" s="751"/>
      <x:c r="B249" s="751"/>
      <x:c r="C249" s="751"/>
      <x:c r="D249" s="751"/>
      <x:c r="E249" s="751" t="str">
        <x:f>IF(A249="","",IF(OR(AJ249="EXCLUDE",COUNTIF(AD249:AH249,"LOW")&gt;0),"EXCLUDE",IF(OR(AJ249&lt;&gt;"INCLUDE",F249&lt;&gt;"SUCCESS",D249&lt;&gt;"STORED",U249="",AP249="",AQ249="",AQ249="UNVERIFIED",AND(AP249="OFFICIAL_WEBSITE",Q249=""),AND(OR(AA249="Equipment manual / OEM instruction",AB249="Asset-specific normative"),OR(Z249&lt;&gt;"Manufacturer / supplier",AS249="",AC249=""))),"PENDING",IF(COUNTIF(AD249:AH249,"HIGH")=5,"INCLUDE","PENDING"))))</x:f>
      </x:c>
      <x:c r="F249" s="751"/>
      <x:c r="G249" s="755"/>
      <x:c r="H249" s="755"/>
      <x:c r="I249" s="751"/>
      <x:c r="J249" s="751"/>
      <x:c r="K249" s="757" t="str">
        <x:f>IF(A249="","",IF(J249="AUTO",H249,IF(J249="MANUAL",AK249,"")))</x:f>
      </x:c>
      <x:c r="L249" s="751"/>
      <x:c r="M249" s="751"/>
      <x:c r="N249" s="751" t="str">
        <x:f>IF(OR(AM249&lt;&gt;"CURRENT",E249="EXCLUDE"),"NO",IF(A249="","",IF(OR(F249="FAIL",F249="PAYWALL_BLOCKED"),IF(AND(AK249&lt;&gt;"",AK249&gt;=INT(G249),D249="STORED",J249="MANUAL",AL249&lt;&gt;""),"NO","YES"),IF(AND(AR249="ROLLING",I249="CHANGED"),IF(AND(AK249&lt;&gt;"",AK249&gt;=INT(IF(H249&lt;&gt;"",H249,G249)),AL249&lt;&gt;""),"NO","YES"),"NO"))))</x:f>
        <x:v>NO</x:v>
      </x:c>
      <x:c r="O249" s="751"/>
      <x:c r="P249" s="752"/>
      <x:c r="Q249" s="752"/>
      <x:c r="R249" s="752"/>
      <x:c r="S249" s="752"/>
      <x:c r="T249" s="752"/>
      <x:c r="U249" s="752"/>
      <x:c r="V249" s="752"/>
      <x:c r="W249" s="752"/>
      <x:c r="X249" s="752"/>
      <x:c r="Y249" s="752"/>
      <x:c r="Z249" s="752"/>
      <x:c r="AA249" s="752"/>
      <x:c r="AB249" s="752"/>
      <x:c r="AC249" s="752"/>
      <x:c r="AD249" s="752"/>
      <x:c r="AE249" s="752"/>
      <x:c r="AF249" s="752"/>
      <x:c r="AG249" s="752"/>
      <x:c r="AH249" s="752"/>
      <x:c r="AI249" s="752"/>
      <x:c r="AJ249" s="752"/>
      <x:c r="AK249" s="759"/>
      <x:c r="AL249" s="752"/>
      <x:c r="AM249" s="752"/>
      <x:c r="AN249" s="752"/>
      <x:c r="AO249" s="752"/>
      <x:c r="AP249" s="752"/>
      <x:c r="AQ249" s="752"/>
      <x:c r="AR249" s="752"/>
      <x:c r="AS249" s="752"/>
    </x:row>
    <x:row r="250" ht="30" customHeight="1">
      <x:c r="A250" s="751"/>
      <x:c r="B250" s="751"/>
      <x:c r="C250" s="751"/>
      <x:c r="D250" s="751"/>
      <x:c r="E250" s="751" t="str">
        <x:f>IF(A250="","",IF(OR(AJ250="EXCLUDE",COUNTIF(AD250:AH250,"LOW")&gt;0),"EXCLUDE",IF(OR(AJ250&lt;&gt;"INCLUDE",F250&lt;&gt;"SUCCESS",D250&lt;&gt;"STORED",U250="",AP250="",AQ250="",AQ250="UNVERIFIED",AND(AP250="OFFICIAL_WEBSITE",Q250=""),AND(OR(AA250="Equipment manual / OEM instruction",AB250="Asset-specific normative"),OR(Z250&lt;&gt;"Manufacturer / supplier",AS250="",AC250=""))),"PENDING",IF(COUNTIF(AD250:AH250,"HIGH")=5,"INCLUDE","PENDING"))))</x:f>
      </x:c>
      <x:c r="F250" s="751"/>
      <x:c r="G250" s="755"/>
      <x:c r="H250" s="755"/>
      <x:c r="I250" s="751"/>
      <x:c r="J250" s="751"/>
      <x:c r="K250" s="757" t="str">
        <x:f>IF(A250="","",IF(J250="AUTO",H250,IF(J250="MANUAL",AK250,"")))</x:f>
      </x:c>
      <x:c r="L250" s="751"/>
      <x:c r="M250" s="751"/>
      <x:c r="N250" s="751" t="str">
        <x:f>IF(OR(AM250&lt;&gt;"CURRENT",E250="EXCLUDE"),"NO",IF(A250="","",IF(OR(F250="FAIL",F250="PAYWALL_BLOCKED"),IF(AND(AK250&lt;&gt;"",AK250&gt;=INT(G250),D250="STORED",J250="MANUAL",AL250&lt;&gt;""),"NO","YES"),IF(AND(AR250="ROLLING",I250="CHANGED"),IF(AND(AK250&lt;&gt;"",AK250&gt;=INT(IF(H250&lt;&gt;"",H250,G250)),AL250&lt;&gt;""),"NO","YES"),"NO"))))</x:f>
        <x:v>NO</x:v>
      </x:c>
      <x:c r="O250" s="751"/>
      <x:c r="P250" s="752"/>
      <x:c r="Q250" s="752"/>
      <x:c r="R250" s="752"/>
      <x:c r="S250" s="752"/>
      <x:c r="T250" s="752"/>
      <x:c r="U250" s="752"/>
      <x:c r="V250" s="752"/>
      <x:c r="W250" s="752"/>
      <x:c r="X250" s="752"/>
      <x:c r="Y250" s="752"/>
      <x:c r="Z250" s="752"/>
      <x:c r="AA250" s="752"/>
      <x:c r="AB250" s="752"/>
      <x:c r="AC250" s="752"/>
      <x:c r="AD250" s="752"/>
      <x:c r="AE250" s="752"/>
      <x:c r="AF250" s="752"/>
      <x:c r="AG250" s="752"/>
      <x:c r="AH250" s="752"/>
      <x:c r="AI250" s="752"/>
      <x:c r="AJ250" s="752"/>
      <x:c r="AK250" s="759"/>
      <x:c r="AL250" s="752"/>
      <x:c r="AM250" s="752"/>
      <x:c r="AN250" s="752"/>
      <x:c r="AO250" s="752"/>
      <x:c r="AP250" s="752"/>
      <x:c r="AQ250" s="752"/>
      <x:c r="AR250" s="752"/>
      <x:c r="AS250" s="752"/>
    </x:row>
    <x:row r="251" ht="30" customHeight="1">
      <x:c r="A251" s="751"/>
      <x:c r="B251" s="751"/>
      <x:c r="C251" s="751"/>
      <x:c r="D251" s="751"/>
      <x:c r="E251" s="751" t="str">
        <x:f>IF(A251="","",IF(OR(AJ251="EXCLUDE",COUNTIF(AD251:AH251,"LOW")&gt;0),"EXCLUDE",IF(OR(AJ251&lt;&gt;"INCLUDE",F251&lt;&gt;"SUCCESS",D251&lt;&gt;"STORED",U251="",AP251="",AQ251="",AQ251="UNVERIFIED",AND(AP251="OFFICIAL_WEBSITE",Q251=""),AND(OR(AA251="Equipment manual / OEM instruction",AB251="Asset-specific normative"),OR(Z251&lt;&gt;"Manufacturer / supplier",AS251="",AC251=""))),"PENDING",IF(COUNTIF(AD251:AH251,"HIGH")=5,"INCLUDE","PENDING"))))</x:f>
      </x:c>
      <x:c r="F251" s="751"/>
      <x:c r="G251" s="755"/>
      <x:c r="H251" s="755"/>
      <x:c r="I251" s="751"/>
      <x:c r="J251" s="751"/>
      <x:c r="K251" s="757" t="str">
        <x:f>IF(A251="","",IF(J251="AUTO",H251,IF(J251="MANUAL",AK251,"")))</x:f>
      </x:c>
      <x:c r="L251" s="751"/>
      <x:c r="M251" s="751"/>
      <x:c r="N251" s="751" t="str">
        <x:f>IF(OR(AM251&lt;&gt;"CURRENT",E251="EXCLUDE"),"NO",IF(A251="","",IF(OR(F251="FAIL",F251="PAYWALL_BLOCKED"),IF(AND(AK251&lt;&gt;"",AK251&gt;=INT(G251),D251="STORED",J251="MANUAL",AL251&lt;&gt;""),"NO","YES"),IF(AND(AR251="ROLLING",I251="CHANGED"),IF(AND(AK251&lt;&gt;"",AK251&gt;=INT(IF(H251&lt;&gt;"",H251,G251)),AL251&lt;&gt;""),"NO","YES"),"NO"))))</x:f>
        <x:v>NO</x:v>
      </x:c>
      <x:c r="O251" s="751"/>
      <x:c r="P251" s="752"/>
      <x:c r="Q251" s="752"/>
      <x:c r="R251" s="752"/>
      <x:c r="S251" s="752"/>
      <x:c r="T251" s="752"/>
      <x:c r="U251" s="752"/>
      <x:c r="V251" s="752"/>
      <x:c r="W251" s="752"/>
      <x:c r="X251" s="752"/>
      <x:c r="Y251" s="752"/>
      <x:c r="Z251" s="752"/>
      <x:c r="AA251" s="752"/>
      <x:c r="AB251" s="752"/>
      <x:c r="AC251" s="752"/>
      <x:c r="AD251" s="752"/>
      <x:c r="AE251" s="752"/>
      <x:c r="AF251" s="752"/>
      <x:c r="AG251" s="752"/>
      <x:c r="AH251" s="752"/>
      <x:c r="AI251" s="752"/>
      <x:c r="AJ251" s="752"/>
      <x:c r="AK251" s="759"/>
      <x:c r="AL251" s="752"/>
      <x:c r="AM251" s="752"/>
      <x:c r="AN251" s="752"/>
      <x:c r="AO251" s="752"/>
      <x:c r="AP251" s="752"/>
      <x:c r="AQ251" s="752"/>
      <x:c r="AR251" s="752"/>
      <x:c r="AS251" s="752"/>
    </x:row>
    <x:row r="252" ht="30" customHeight="1">
      <x:c r="A252" s="751"/>
      <x:c r="B252" s="751"/>
      <x:c r="C252" s="751"/>
      <x:c r="D252" s="751"/>
      <x:c r="E252" s="751" t="str">
        <x:f>IF(A252="","",IF(OR(AJ252="EXCLUDE",COUNTIF(AD252:AH252,"LOW")&gt;0),"EXCLUDE",IF(OR(AJ252&lt;&gt;"INCLUDE",F252&lt;&gt;"SUCCESS",D252&lt;&gt;"STORED",U252="",AP252="",AQ252="",AQ252="UNVERIFIED",AND(AP252="OFFICIAL_WEBSITE",Q252=""),AND(OR(AA252="Equipment manual / OEM instruction",AB252="Asset-specific normative"),OR(Z252&lt;&gt;"Manufacturer / supplier",AS252="",AC252=""))),"PENDING",IF(COUNTIF(AD252:AH252,"HIGH")=5,"INCLUDE","PENDING"))))</x:f>
      </x:c>
      <x:c r="F252" s="751"/>
      <x:c r="G252" s="755"/>
      <x:c r="H252" s="755"/>
      <x:c r="I252" s="751"/>
      <x:c r="J252" s="751"/>
      <x:c r="K252" s="757" t="str">
        <x:f>IF(A252="","",IF(J252="AUTO",H252,IF(J252="MANUAL",AK252,"")))</x:f>
      </x:c>
      <x:c r="L252" s="751"/>
      <x:c r="M252" s="751"/>
      <x:c r="N252" s="751" t="str">
        <x:f>IF(OR(AM252&lt;&gt;"CURRENT",E252="EXCLUDE"),"NO",IF(A252="","",IF(OR(F252="FAIL",F252="PAYWALL_BLOCKED"),IF(AND(AK252&lt;&gt;"",AK252&gt;=INT(G252),D252="STORED",J252="MANUAL",AL252&lt;&gt;""),"NO","YES"),IF(AND(AR252="ROLLING",I252="CHANGED"),IF(AND(AK252&lt;&gt;"",AK252&gt;=INT(IF(H252&lt;&gt;"",H252,G252)),AL252&lt;&gt;""),"NO","YES"),"NO"))))</x:f>
        <x:v>NO</x:v>
      </x:c>
      <x:c r="O252" s="751"/>
      <x:c r="P252" s="752"/>
      <x:c r="Q252" s="752"/>
      <x:c r="R252" s="752"/>
      <x:c r="S252" s="752"/>
      <x:c r="T252" s="752"/>
      <x:c r="U252" s="752"/>
      <x:c r="V252" s="752"/>
      <x:c r="W252" s="752"/>
      <x:c r="X252" s="752"/>
      <x:c r="Y252" s="752"/>
      <x:c r="Z252" s="752"/>
      <x:c r="AA252" s="752"/>
      <x:c r="AB252" s="752"/>
      <x:c r="AC252" s="752"/>
      <x:c r="AD252" s="752"/>
      <x:c r="AE252" s="752"/>
      <x:c r="AF252" s="752"/>
      <x:c r="AG252" s="752"/>
      <x:c r="AH252" s="752"/>
      <x:c r="AI252" s="752"/>
      <x:c r="AJ252" s="752"/>
      <x:c r="AK252" s="759"/>
      <x:c r="AL252" s="752"/>
      <x:c r="AM252" s="752"/>
      <x:c r="AN252" s="752"/>
      <x:c r="AO252" s="752"/>
      <x:c r="AP252" s="752"/>
      <x:c r="AQ252" s="752"/>
      <x:c r="AR252" s="752"/>
      <x:c r="AS252" s="752"/>
    </x:row>
    <x:row r="253" ht="30" customHeight="1">
      <x:c r="A253" s="751"/>
      <x:c r="B253" s="751"/>
      <x:c r="C253" s="751"/>
      <x:c r="D253" s="751"/>
      <x:c r="E253" s="751" t="str">
        <x:f>IF(A253="","",IF(OR(AJ253="EXCLUDE",COUNTIF(AD253:AH253,"LOW")&gt;0),"EXCLUDE",IF(OR(AJ253&lt;&gt;"INCLUDE",F253&lt;&gt;"SUCCESS",D253&lt;&gt;"STORED",U253="",AP253="",AQ253="",AQ253="UNVERIFIED",AND(AP253="OFFICIAL_WEBSITE",Q253=""),AND(OR(AA253="Equipment manual / OEM instruction",AB253="Asset-specific normative"),OR(Z253&lt;&gt;"Manufacturer / supplier",AS253="",AC253=""))),"PENDING",IF(COUNTIF(AD253:AH253,"HIGH")=5,"INCLUDE","PENDING"))))</x:f>
      </x:c>
      <x:c r="F253" s="751"/>
      <x:c r="G253" s="755"/>
      <x:c r="H253" s="755"/>
      <x:c r="I253" s="751"/>
      <x:c r="J253" s="751"/>
      <x:c r="K253" s="757" t="str">
        <x:f>IF(A253="","",IF(J253="AUTO",H253,IF(J253="MANUAL",AK253,"")))</x:f>
      </x:c>
      <x:c r="L253" s="751"/>
      <x:c r="M253" s="751"/>
      <x:c r="N253" s="751" t="str">
        <x:f>IF(OR(AM253&lt;&gt;"CURRENT",E253="EXCLUDE"),"NO",IF(A253="","",IF(OR(F253="FAIL",F253="PAYWALL_BLOCKED"),IF(AND(AK253&lt;&gt;"",AK253&gt;=INT(G253),D253="STORED",J253="MANUAL",AL253&lt;&gt;""),"NO","YES"),IF(AND(AR253="ROLLING",I253="CHANGED"),IF(AND(AK253&lt;&gt;"",AK253&gt;=INT(IF(H253&lt;&gt;"",H253,G253)),AL253&lt;&gt;""),"NO","YES"),"NO"))))</x:f>
        <x:v>NO</x:v>
      </x:c>
      <x:c r="O253" s="751"/>
      <x:c r="P253" s="752"/>
      <x:c r="Q253" s="752"/>
      <x:c r="R253" s="752"/>
      <x:c r="S253" s="752"/>
      <x:c r="T253" s="752"/>
      <x:c r="U253" s="752"/>
      <x:c r="V253" s="752"/>
      <x:c r="W253" s="752"/>
      <x:c r="X253" s="752"/>
      <x:c r="Y253" s="752"/>
      <x:c r="Z253" s="752"/>
      <x:c r="AA253" s="752"/>
      <x:c r="AB253" s="752"/>
      <x:c r="AC253" s="752"/>
      <x:c r="AD253" s="752"/>
      <x:c r="AE253" s="752"/>
      <x:c r="AF253" s="752"/>
      <x:c r="AG253" s="752"/>
      <x:c r="AH253" s="752"/>
      <x:c r="AI253" s="752"/>
      <x:c r="AJ253" s="752"/>
      <x:c r="AK253" s="759"/>
      <x:c r="AL253" s="752"/>
      <x:c r="AM253" s="752"/>
      <x:c r="AN253" s="752"/>
      <x:c r="AO253" s="752"/>
      <x:c r="AP253" s="752"/>
      <x:c r="AQ253" s="752"/>
      <x:c r="AR253" s="752"/>
      <x:c r="AS253" s="752"/>
    </x:row>
    <x:row r="254" ht="30" customHeight="1">
      <x:c r="A254" s="751"/>
      <x:c r="B254" s="751"/>
      <x:c r="C254" s="751"/>
      <x:c r="D254" s="751"/>
      <x:c r="E254" s="751" t="str">
        <x:f>IF(A254="","",IF(OR(AJ254="EXCLUDE",COUNTIF(AD254:AH254,"LOW")&gt;0),"EXCLUDE",IF(OR(AJ254&lt;&gt;"INCLUDE",F254&lt;&gt;"SUCCESS",D254&lt;&gt;"STORED",U254="",AP254="",AQ254="",AQ254="UNVERIFIED",AND(AP254="OFFICIAL_WEBSITE",Q254=""),AND(OR(AA254="Equipment manual / OEM instruction",AB254="Asset-specific normative"),OR(Z254&lt;&gt;"Manufacturer / supplier",AS254="",AC254=""))),"PENDING",IF(COUNTIF(AD254:AH254,"HIGH")=5,"INCLUDE","PENDING"))))</x:f>
      </x:c>
      <x:c r="F254" s="751"/>
      <x:c r="G254" s="755"/>
      <x:c r="H254" s="755"/>
      <x:c r="I254" s="751"/>
      <x:c r="J254" s="751"/>
      <x:c r="K254" s="757" t="str">
        <x:f>IF(A254="","",IF(J254="AUTO",H254,IF(J254="MANUAL",AK254,"")))</x:f>
      </x:c>
      <x:c r="L254" s="751"/>
      <x:c r="M254" s="751"/>
      <x:c r="N254" s="751" t="str">
        <x:f>IF(OR(AM254&lt;&gt;"CURRENT",E254="EXCLUDE"),"NO",IF(A254="","",IF(OR(F254="FAIL",F254="PAYWALL_BLOCKED"),IF(AND(AK254&lt;&gt;"",AK254&gt;=INT(G254),D254="STORED",J254="MANUAL",AL254&lt;&gt;""),"NO","YES"),IF(AND(AR254="ROLLING",I254="CHANGED"),IF(AND(AK254&lt;&gt;"",AK254&gt;=INT(IF(H254&lt;&gt;"",H254,G254)),AL254&lt;&gt;""),"NO","YES"),"NO"))))</x:f>
        <x:v>NO</x:v>
      </x:c>
      <x:c r="O254" s="751"/>
      <x:c r="P254" s="752"/>
      <x:c r="Q254" s="752"/>
      <x:c r="R254" s="752"/>
      <x:c r="S254" s="752"/>
      <x:c r="T254" s="752"/>
      <x:c r="U254" s="752"/>
      <x:c r="V254" s="752"/>
      <x:c r="W254" s="752"/>
      <x:c r="X254" s="752"/>
      <x:c r="Y254" s="752"/>
      <x:c r="Z254" s="752"/>
      <x:c r="AA254" s="752"/>
      <x:c r="AB254" s="752"/>
      <x:c r="AC254" s="752"/>
      <x:c r="AD254" s="752"/>
      <x:c r="AE254" s="752"/>
      <x:c r="AF254" s="752"/>
      <x:c r="AG254" s="752"/>
      <x:c r="AH254" s="752"/>
      <x:c r="AI254" s="752"/>
      <x:c r="AJ254" s="752"/>
      <x:c r="AK254" s="759"/>
      <x:c r="AL254" s="752"/>
      <x:c r="AM254" s="752"/>
      <x:c r="AN254" s="752"/>
      <x:c r="AO254" s="752"/>
      <x:c r="AP254" s="752"/>
      <x:c r="AQ254" s="752"/>
      <x:c r="AR254" s="752"/>
      <x:c r="AS254" s="752"/>
    </x:row>
    <x:row r="255" ht="30" customHeight="1">
      <x:c r="A255" s="751"/>
      <x:c r="B255" s="751"/>
      <x:c r="C255" s="751"/>
      <x:c r="D255" s="751"/>
      <x:c r="E255" s="751" t="str">
        <x:f>IF(A255="","",IF(OR(AJ255="EXCLUDE",COUNTIF(AD255:AH255,"LOW")&gt;0),"EXCLUDE",IF(OR(AJ255&lt;&gt;"INCLUDE",F255&lt;&gt;"SUCCESS",D255&lt;&gt;"STORED",U255="",AP255="",AQ255="",AQ255="UNVERIFIED",AND(AP255="OFFICIAL_WEBSITE",Q255=""),AND(OR(AA255="Equipment manual / OEM instruction",AB255="Asset-specific normative"),OR(Z255&lt;&gt;"Manufacturer / supplier",AS255="",AC255=""))),"PENDING",IF(COUNTIF(AD255:AH255,"HIGH")=5,"INCLUDE","PENDING"))))</x:f>
      </x:c>
      <x:c r="F255" s="751"/>
      <x:c r="G255" s="755"/>
      <x:c r="H255" s="755"/>
      <x:c r="I255" s="751"/>
      <x:c r="J255" s="751"/>
      <x:c r="K255" s="757" t="str">
        <x:f>IF(A255="","",IF(J255="AUTO",H255,IF(J255="MANUAL",AK255,"")))</x:f>
      </x:c>
      <x:c r="L255" s="751"/>
      <x:c r="M255" s="751"/>
      <x:c r="N255" s="751" t="str">
        <x:f>IF(OR(AM255&lt;&gt;"CURRENT",E255="EXCLUDE"),"NO",IF(A255="","",IF(OR(F255="FAIL",F255="PAYWALL_BLOCKED"),IF(AND(AK255&lt;&gt;"",AK255&gt;=INT(G255),D255="STORED",J255="MANUAL",AL255&lt;&gt;""),"NO","YES"),IF(AND(AR255="ROLLING",I255="CHANGED"),IF(AND(AK255&lt;&gt;"",AK255&gt;=INT(IF(H255&lt;&gt;"",H255,G255)),AL255&lt;&gt;""),"NO","YES"),"NO"))))</x:f>
        <x:v>NO</x:v>
      </x:c>
      <x:c r="O255" s="751"/>
      <x:c r="P255" s="752"/>
      <x:c r="Q255" s="752"/>
      <x:c r="R255" s="752"/>
      <x:c r="S255" s="752"/>
      <x:c r="T255" s="752"/>
      <x:c r="U255" s="752"/>
      <x:c r="V255" s="752"/>
      <x:c r="W255" s="752"/>
      <x:c r="X255" s="752"/>
      <x:c r="Y255" s="752"/>
      <x:c r="Z255" s="752"/>
      <x:c r="AA255" s="752"/>
      <x:c r="AB255" s="752"/>
      <x:c r="AC255" s="752"/>
      <x:c r="AD255" s="752"/>
      <x:c r="AE255" s="752"/>
      <x:c r="AF255" s="752"/>
      <x:c r="AG255" s="752"/>
      <x:c r="AH255" s="752"/>
      <x:c r="AI255" s="752"/>
      <x:c r="AJ255" s="752"/>
      <x:c r="AK255" s="759"/>
      <x:c r="AL255" s="752"/>
      <x:c r="AM255" s="752"/>
      <x:c r="AN255" s="752"/>
      <x:c r="AO255" s="752"/>
      <x:c r="AP255" s="752"/>
      <x:c r="AQ255" s="752"/>
      <x:c r="AR255" s="752"/>
      <x:c r="AS255" s="752"/>
    </x:row>
    <x:row r="256" ht="30" customHeight="1">
      <x:c r="A256" s="751"/>
      <x:c r="B256" s="751"/>
      <x:c r="C256" s="751"/>
      <x:c r="D256" s="751"/>
      <x:c r="E256" s="751" t="str">
        <x:f>IF(A256="","",IF(OR(AJ256="EXCLUDE",COUNTIF(AD256:AH256,"LOW")&gt;0),"EXCLUDE",IF(OR(AJ256&lt;&gt;"INCLUDE",F256&lt;&gt;"SUCCESS",D256&lt;&gt;"STORED",U256="",AP256="",AQ256="",AQ256="UNVERIFIED",AND(AP256="OFFICIAL_WEBSITE",Q256=""),AND(OR(AA256="Equipment manual / OEM instruction",AB256="Asset-specific normative"),OR(Z256&lt;&gt;"Manufacturer / supplier",AS256="",AC256=""))),"PENDING",IF(COUNTIF(AD256:AH256,"HIGH")=5,"INCLUDE","PENDING"))))</x:f>
      </x:c>
      <x:c r="F256" s="751"/>
      <x:c r="G256" s="755"/>
      <x:c r="H256" s="755"/>
      <x:c r="I256" s="751"/>
      <x:c r="J256" s="751"/>
      <x:c r="K256" s="757" t="str">
        <x:f>IF(A256="","",IF(J256="AUTO",H256,IF(J256="MANUAL",AK256,"")))</x:f>
      </x:c>
      <x:c r="L256" s="751"/>
      <x:c r="M256" s="751"/>
      <x:c r="N256" s="751" t="str">
        <x:f>IF(OR(AM256&lt;&gt;"CURRENT",E256="EXCLUDE"),"NO",IF(A256="","",IF(OR(F256="FAIL",F256="PAYWALL_BLOCKED"),IF(AND(AK256&lt;&gt;"",AK256&gt;=INT(G256),D256="STORED",J256="MANUAL",AL256&lt;&gt;""),"NO","YES"),IF(AND(AR256="ROLLING",I256="CHANGED"),IF(AND(AK256&lt;&gt;"",AK256&gt;=INT(IF(H256&lt;&gt;"",H256,G256)),AL256&lt;&gt;""),"NO","YES"),"NO"))))</x:f>
        <x:v>NO</x:v>
      </x:c>
      <x:c r="O256" s="751"/>
      <x:c r="P256" s="752"/>
      <x:c r="Q256" s="752"/>
      <x:c r="R256" s="752"/>
      <x:c r="S256" s="752"/>
      <x:c r="T256" s="752"/>
      <x:c r="U256" s="752"/>
      <x:c r="V256" s="752"/>
      <x:c r="W256" s="752"/>
      <x:c r="X256" s="752"/>
      <x:c r="Y256" s="752"/>
      <x:c r="Z256" s="752"/>
      <x:c r="AA256" s="752"/>
      <x:c r="AB256" s="752"/>
      <x:c r="AC256" s="752"/>
      <x:c r="AD256" s="752"/>
      <x:c r="AE256" s="752"/>
      <x:c r="AF256" s="752"/>
      <x:c r="AG256" s="752"/>
      <x:c r="AH256" s="752"/>
      <x:c r="AI256" s="752"/>
      <x:c r="AJ256" s="752"/>
      <x:c r="AK256" s="759"/>
      <x:c r="AL256" s="752"/>
      <x:c r="AM256" s="752"/>
      <x:c r="AN256" s="752"/>
      <x:c r="AO256" s="752"/>
      <x:c r="AP256" s="752"/>
      <x:c r="AQ256" s="752"/>
      <x:c r="AR256" s="752"/>
      <x:c r="AS256" s="752"/>
    </x:row>
    <x:row r="257" ht="30" customHeight="1">
      <x:c r="A257" s="751"/>
      <x:c r="B257" s="751"/>
      <x:c r="C257" s="751"/>
      <x:c r="D257" s="751"/>
      <x:c r="E257" s="751" t="str">
        <x:f>IF(A257="","",IF(OR(AJ257="EXCLUDE",COUNTIF(AD257:AH257,"LOW")&gt;0),"EXCLUDE",IF(OR(AJ257&lt;&gt;"INCLUDE",F257&lt;&gt;"SUCCESS",D257&lt;&gt;"STORED",U257="",AP257="",AQ257="",AQ257="UNVERIFIED",AND(AP257="OFFICIAL_WEBSITE",Q257=""),AND(OR(AA257="Equipment manual / OEM instruction",AB257="Asset-specific normative"),OR(Z257&lt;&gt;"Manufacturer / supplier",AS257="",AC257=""))),"PENDING",IF(COUNTIF(AD257:AH257,"HIGH")=5,"INCLUDE","PENDING"))))</x:f>
      </x:c>
      <x:c r="F257" s="751"/>
      <x:c r="G257" s="755"/>
      <x:c r="H257" s="755"/>
      <x:c r="I257" s="751"/>
      <x:c r="J257" s="751"/>
      <x:c r="K257" s="757" t="str">
        <x:f>IF(A257="","",IF(J257="AUTO",H257,IF(J257="MANUAL",AK257,"")))</x:f>
      </x:c>
      <x:c r="L257" s="751"/>
      <x:c r="M257" s="751"/>
      <x:c r="N257" s="751" t="str">
        <x:f>IF(OR(AM257&lt;&gt;"CURRENT",E257="EXCLUDE"),"NO",IF(A257="","",IF(OR(F257="FAIL",F257="PAYWALL_BLOCKED"),IF(AND(AK257&lt;&gt;"",AK257&gt;=INT(G257),D257="STORED",J257="MANUAL",AL257&lt;&gt;""),"NO","YES"),IF(AND(AR257="ROLLING",I257="CHANGED"),IF(AND(AK257&lt;&gt;"",AK257&gt;=INT(IF(H257&lt;&gt;"",H257,G257)),AL257&lt;&gt;""),"NO","YES"),"NO"))))</x:f>
        <x:v>NO</x:v>
      </x:c>
      <x:c r="O257" s="751"/>
      <x:c r="P257" s="752"/>
      <x:c r="Q257" s="752"/>
      <x:c r="R257" s="752"/>
      <x:c r="S257" s="752"/>
      <x:c r="T257" s="752"/>
      <x:c r="U257" s="752"/>
      <x:c r="V257" s="752"/>
      <x:c r="W257" s="752"/>
      <x:c r="X257" s="752"/>
      <x:c r="Y257" s="752"/>
      <x:c r="Z257" s="752"/>
      <x:c r="AA257" s="752"/>
      <x:c r="AB257" s="752"/>
      <x:c r="AC257" s="752"/>
      <x:c r="AD257" s="752"/>
      <x:c r="AE257" s="752"/>
      <x:c r="AF257" s="752"/>
      <x:c r="AG257" s="752"/>
      <x:c r="AH257" s="752"/>
      <x:c r="AI257" s="752"/>
      <x:c r="AJ257" s="752"/>
      <x:c r="AK257" s="759"/>
      <x:c r="AL257" s="752"/>
      <x:c r="AM257" s="752"/>
      <x:c r="AN257" s="752"/>
      <x:c r="AO257" s="752"/>
      <x:c r="AP257" s="752"/>
      <x:c r="AQ257" s="752"/>
      <x:c r="AR257" s="752"/>
      <x:c r="AS257" s="752"/>
    </x:row>
    <x:row r="258" ht="30" customHeight="1">
      <x:c r="A258" s="751"/>
      <x:c r="B258" s="751"/>
      <x:c r="C258" s="751"/>
      <x:c r="D258" s="751"/>
      <x:c r="E258" s="751" t="str">
        <x:f>IF(A258="","",IF(OR(AJ258="EXCLUDE",COUNTIF(AD258:AH258,"LOW")&gt;0),"EXCLUDE",IF(OR(AJ258&lt;&gt;"INCLUDE",F258&lt;&gt;"SUCCESS",D258&lt;&gt;"STORED",U258="",AP258="",AQ258="",AQ258="UNVERIFIED",AND(AP258="OFFICIAL_WEBSITE",Q258=""),AND(OR(AA258="Equipment manual / OEM instruction",AB258="Asset-specific normative"),OR(Z258&lt;&gt;"Manufacturer / supplier",AS258="",AC258=""))),"PENDING",IF(COUNTIF(AD258:AH258,"HIGH")=5,"INCLUDE","PENDING"))))</x:f>
      </x:c>
      <x:c r="F258" s="751"/>
      <x:c r="G258" s="755"/>
      <x:c r="H258" s="755"/>
      <x:c r="I258" s="751"/>
      <x:c r="J258" s="751"/>
      <x:c r="K258" s="757" t="str">
        <x:f>IF(A258="","",IF(J258="AUTO",H258,IF(J258="MANUAL",AK258,"")))</x:f>
      </x:c>
      <x:c r="L258" s="751"/>
      <x:c r="M258" s="751"/>
      <x:c r="N258" s="751" t="str">
        <x:f>IF(OR(AM258&lt;&gt;"CURRENT",E258="EXCLUDE"),"NO",IF(A258="","",IF(OR(F258="FAIL",F258="PAYWALL_BLOCKED"),IF(AND(AK258&lt;&gt;"",AK258&gt;=INT(G258),D258="STORED",J258="MANUAL",AL258&lt;&gt;""),"NO","YES"),IF(AND(AR258="ROLLING",I258="CHANGED"),IF(AND(AK258&lt;&gt;"",AK258&gt;=INT(IF(H258&lt;&gt;"",H258,G258)),AL258&lt;&gt;""),"NO","YES"),"NO"))))</x:f>
        <x:v>NO</x:v>
      </x:c>
      <x:c r="O258" s="751"/>
      <x:c r="P258" s="752"/>
      <x:c r="Q258" s="752"/>
      <x:c r="R258" s="752"/>
      <x:c r="S258" s="752"/>
      <x:c r="T258" s="752"/>
      <x:c r="U258" s="752"/>
      <x:c r="V258" s="752"/>
      <x:c r="W258" s="752"/>
      <x:c r="X258" s="752"/>
      <x:c r="Y258" s="752"/>
      <x:c r="Z258" s="752"/>
      <x:c r="AA258" s="752"/>
      <x:c r="AB258" s="752"/>
      <x:c r="AC258" s="752"/>
      <x:c r="AD258" s="752"/>
      <x:c r="AE258" s="752"/>
      <x:c r="AF258" s="752"/>
      <x:c r="AG258" s="752"/>
      <x:c r="AH258" s="752"/>
      <x:c r="AI258" s="752"/>
      <x:c r="AJ258" s="752"/>
      <x:c r="AK258" s="759"/>
      <x:c r="AL258" s="752"/>
      <x:c r="AM258" s="752"/>
      <x:c r="AN258" s="752"/>
      <x:c r="AO258" s="752"/>
      <x:c r="AP258" s="752"/>
      <x:c r="AQ258" s="752"/>
      <x:c r="AR258" s="752"/>
      <x:c r="AS258" s="752"/>
    </x:row>
    <x:row r="259" ht="30" customHeight="1">
      <x:c r="A259" s="751"/>
      <x:c r="B259" s="751"/>
      <x:c r="C259" s="751"/>
      <x:c r="D259" s="751"/>
      <x:c r="E259" s="751" t="str">
        <x:f>IF(A259="","",IF(OR(AJ259="EXCLUDE",COUNTIF(AD259:AH259,"LOW")&gt;0),"EXCLUDE",IF(OR(AJ259&lt;&gt;"INCLUDE",F259&lt;&gt;"SUCCESS",D259&lt;&gt;"STORED",U259="",AP259="",AQ259="",AQ259="UNVERIFIED",AND(AP259="OFFICIAL_WEBSITE",Q259=""),AND(OR(AA259="Equipment manual / OEM instruction",AB259="Asset-specific normative"),OR(Z259&lt;&gt;"Manufacturer / supplier",AS259="",AC259=""))),"PENDING",IF(COUNTIF(AD259:AH259,"HIGH")=5,"INCLUDE","PENDING"))))</x:f>
      </x:c>
      <x:c r="F259" s="751"/>
      <x:c r="G259" s="755"/>
      <x:c r="H259" s="755"/>
      <x:c r="I259" s="751"/>
      <x:c r="J259" s="751"/>
      <x:c r="K259" s="757" t="str">
        <x:f>IF(A259="","",IF(J259="AUTO",H259,IF(J259="MANUAL",AK259,"")))</x:f>
      </x:c>
      <x:c r="L259" s="751"/>
      <x:c r="M259" s="751"/>
      <x:c r="N259" s="751" t="str">
        <x:f>IF(OR(AM259&lt;&gt;"CURRENT",E259="EXCLUDE"),"NO",IF(A259="","",IF(OR(F259="FAIL",F259="PAYWALL_BLOCKED"),IF(AND(AK259&lt;&gt;"",AK259&gt;=INT(G259),D259="STORED",J259="MANUAL",AL259&lt;&gt;""),"NO","YES"),IF(AND(AR259="ROLLING",I259="CHANGED"),IF(AND(AK259&lt;&gt;"",AK259&gt;=INT(IF(H259&lt;&gt;"",H259,G259)),AL259&lt;&gt;""),"NO","YES"),"NO"))))</x:f>
        <x:v>NO</x:v>
      </x:c>
      <x:c r="O259" s="751"/>
      <x:c r="P259" s="752"/>
      <x:c r="Q259" s="752"/>
      <x:c r="R259" s="752"/>
      <x:c r="S259" s="752"/>
      <x:c r="T259" s="752"/>
      <x:c r="U259" s="752"/>
      <x:c r="V259" s="752"/>
      <x:c r="W259" s="752"/>
      <x:c r="X259" s="752"/>
      <x:c r="Y259" s="752"/>
      <x:c r="Z259" s="752"/>
      <x:c r="AA259" s="752"/>
      <x:c r="AB259" s="752"/>
      <x:c r="AC259" s="752"/>
      <x:c r="AD259" s="752"/>
      <x:c r="AE259" s="752"/>
      <x:c r="AF259" s="752"/>
      <x:c r="AG259" s="752"/>
      <x:c r="AH259" s="752"/>
      <x:c r="AI259" s="752"/>
      <x:c r="AJ259" s="752"/>
      <x:c r="AK259" s="759"/>
      <x:c r="AL259" s="752"/>
      <x:c r="AM259" s="752"/>
      <x:c r="AN259" s="752"/>
      <x:c r="AO259" s="752"/>
      <x:c r="AP259" s="752"/>
      <x:c r="AQ259" s="752"/>
      <x:c r="AR259" s="752"/>
      <x:c r="AS259" s="752"/>
    </x:row>
    <x:row r="260" ht="30" customHeight="1">
      <x:c r="A260" s="751"/>
      <x:c r="B260" s="751"/>
      <x:c r="C260" s="751"/>
      <x:c r="D260" s="751"/>
      <x:c r="E260" s="751" t="str">
        <x:f>IF(A260="","",IF(OR(AJ260="EXCLUDE",COUNTIF(AD260:AH260,"LOW")&gt;0),"EXCLUDE",IF(OR(AJ260&lt;&gt;"INCLUDE",F260&lt;&gt;"SUCCESS",D260&lt;&gt;"STORED",U260="",AP260="",AQ260="",AQ260="UNVERIFIED",AND(AP260="OFFICIAL_WEBSITE",Q260=""),AND(OR(AA260="Equipment manual / OEM instruction",AB260="Asset-specific normative"),OR(Z260&lt;&gt;"Manufacturer / supplier",AS260="",AC260=""))),"PENDING",IF(COUNTIF(AD260:AH260,"HIGH")=5,"INCLUDE","PENDING"))))</x:f>
      </x:c>
      <x:c r="F260" s="751"/>
      <x:c r="G260" s="755"/>
      <x:c r="H260" s="755"/>
      <x:c r="I260" s="751"/>
      <x:c r="J260" s="751"/>
      <x:c r="K260" s="757" t="str">
        <x:f>IF(A260="","",IF(J260="AUTO",H260,IF(J260="MANUAL",AK260,"")))</x:f>
      </x:c>
      <x:c r="L260" s="751"/>
      <x:c r="M260" s="751"/>
      <x:c r="N260" s="751" t="str">
        <x:f>IF(OR(AM260&lt;&gt;"CURRENT",E260="EXCLUDE"),"NO",IF(A260="","",IF(OR(F260="FAIL",F260="PAYWALL_BLOCKED"),IF(AND(AK260&lt;&gt;"",AK260&gt;=INT(G260),D260="STORED",J260="MANUAL",AL260&lt;&gt;""),"NO","YES"),IF(AND(AR260="ROLLING",I260="CHANGED"),IF(AND(AK260&lt;&gt;"",AK260&gt;=INT(IF(H260&lt;&gt;"",H260,G260)),AL260&lt;&gt;""),"NO","YES"),"NO"))))</x:f>
        <x:v>NO</x:v>
      </x:c>
      <x:c r="O260" s="751"/>
      <x:c r="P260" s="752"/>
      <x:c r="Q260" s="752"/>
      <x:c r="R260" s="752"/>
      <x:c r="S260" s="752"/>
      <x:c r="T260" s="752"/>
      <x:c r="U260" s="752"/>
      <x:c r="V260" s="752"/>
      <x:c r="W260" s="752"/>
      <x:c r="X260" s="752"/>
      <x:c r="Y260" s="752"/>
      <x:c r="Z260" s="752"/>
      <x:c r="AA260" s="752"/>
      <x:c r="AB260" s="752"/>
      <x:c r="AC260" s="752"/>
      <x:c r="AD260" s="752"/>
      <x:c r="AE260" s="752"/>
      <x:c r="AF260" s="752"/>
      <x:c r="AG260" s="752"/>
      <x:c r="AH260" s="752"/>
      <x:c r="AI260" s="752"/>
      <x:c r="AJ260" s="752"/>
      <x:c r="AK260" s="759"/>
      <x:c r="AL260" s="752"/>
      <x:c r="AM260" s="752"/>
      <x:c r="AN260" s="752"/>
      <x:c r="AO260" s="752"/>
      <x:c r="AP260" s="752"/>
      <x:c r="AQ260" s="752"/>
      <x:c r="AR260" s="752"/>
      <x:c r="AS260" s="752"/>
    </x:row>
    <x:row r="261" ht="30" customHeight="1">
      <x:c r="A261" s="751"/>
      <x:c r="B261" s="751"/>
      <x:c r="C261" s="751"/>
      <x:c r="D261" s="751"/>
      <x:c r="E261" s="751" t="str">
        <x:f>IF(A261="","",IF(OR(AJ261="EXCLUDE",COUNTIF(AD261:AH261,"LOW")&gt;0),"EXCLUDE",IF(OR(AJ261&lt;&gt;"INCLUDE",F261&lt;&gt;"SUCCESS",D261&lt;&gt;"STORED",U261="",AP261="",AQ261="",AQ261="UNVERIFIED",AND(AP261="OFFICIAL_WEBSITE",Q261=""),AND(OR(AA261="Equipment manual / OEM instruction",AB261="Asset-specific normative"),OR(Z261&lt;&gt;"Manufacturer / supplier",AS261="",AC261=""))),"PENDING",IF(COUNTIF(AD261:AH261,"HIGH")=5,"INCLUDE","PENDING"))))</x:f>
      </x:c>
      <x:c r="F261" s="751"/>
      <x:c r="G261" s="755"/>
      <x:c r="H261" s="755"/>
      <x:c r="I261" s="751"/>
      <x:c r="J261" s="751"/>
      <x:c r="K261" s="757" t="str">
        <x:f>IF(A261="","",IF(J261="AUTO",H261,IF(J261="MANUAL",AK261,"")))</x:f>
      </x:c>
      <x:c r="L261" s="751"/>
      <x:c r="M261" s="751"/>
      <x:c r="N261" s="751" t="str">
        <x:f>IF(OR(AM261&lt;&gt;"CURRENT",E261="EXCLUDE"),"NO",IF(A261="","",IF(OR(F261="FAIL",F261="PAYWALL_BLOCKED"),IF(AND(AK261&lt;&gt;"",AK261&gt;=INT(G261),D261="STORED",J261="MANUAL",AL261&lt;&gt;""),"NO","YES"),IF(AND(AR261="ROLLING",I261="CHANGED"),IF(AND(AK261&lt;&gt;"",AK261&gt;=INT(IF(H261&lt;&gt;"",H261,G261)),AL261&lt;&gt;""),"NO","YES"),"NO"))))</x:f>
        <x:v>NO</x:v>
      </x:c>
      <x:c r="O261" s="751"/>
      <x:c r="P261" s="752"/>
      <x:c r="Q261" s="752"/>
      <x:c r="R261" s="752"/>
      <x:c r="S261" s="752"/>
      <x:c r="T261" s="752"/>
      <x:c r="U261" s="752"/>
      <x:c r="V261" s="752"/>
      <x:c r="W261" s="752"/>
      <x:c r="X261" s="752"/>
      <x:c r="Y261" s="752"/>
      <x:c r="Z261" s="752"/>
      <x:c r="AA261" s="752"/>
      <x:c r="AB261" s="752"/>
      <x:c r="AC261" s="752"/>
      <x:c r="AD261" s="752"/>
      <x:c r="AE261" s="752"/>
      <x:c r="AF261" s="752"/>
      <x:c r="AG261" s="752"/>
      <x:c r="AH261" s="752"/>
      <x:c r="AI261" s="752"/>
      <x:c r="AJ261" s="752"/>
      <x:c r="AK261" s="759"/>
      <x:c r="AL261" s="752"/>
      <x:c r="AM261" s="752"/>
      <x:c r="AN261" s="752"/>
      <x:c r="AO261" s="752"/>
      <x:c r="AP261" s="752"/>
      <x:c r="AQ261" s="752"/>
      <x:c r="AR261" s="752"/>
      <x:c r="AS261" s="752"/>
    </x:row>
    <x:row r="262" ht="30" customHeight="1">
      <x:c r="A262" s="751"/>
      <x:c r="B262" s="751"/>
      <x:c r="C262" s="751"/>
      <x:c r="D262" s="751"/>
      <x:c r="E262" s="751" t="str">
        <x:f>IF(A262="","",IF(OR(AJ262="EXCLUDE",COUNTIF(AD262:AH262,"LOW")&gt;0),"EXCLUDE",IF(OR(AJ262&lt;&gt;"INCLUDE",F262&lt;&gt;"SUCCESS",D262&lt;&gt;"STORED",U262="",AP262="",AQ262="",AQ262="UNVERIFIED",AND(AP262="OFFICIAL_WEBSITE",Q262=""),AND(OR(AA262="Equipment manual / OEM instruction",AB262="Asset-specific normative"),OR(Z262&lt;&gt;"Manufacturer / supplier",AS262="",AC262=""))),"PENDING",IF(COUNTIF(AD262:AH262,"HIGH")=5,"INCLUDE","PENDING"))))</x:f>
      </x:c>
      <x:c r="F262" s="751"/>
      <x:c r="G262" s="755"/>
      <x:c r="H262" s="755"/>
      <x:c r="I262" s="751"/>
      <x:c r="J262" s="751"/>
      <x:c r="K262" s="757" t="str">
        <x:f>IF(A262="","",IF(J262="AUTO",H262,IF(J262="MANUAL",AK262,"")))</x:f>
      </x:c>
      <x:c r="L262" s="751"/>
      <x:c r="M262" s="751"/>
      <x:c r="N262" s="751" t="str">
        <x:f>IF(OR(AM262&lt;&gt;"CURRENT",E262="EXCLUDE"),"NO",IF(A262="","",IF(OR(F262="FAIL",F262="PAYWALL_BLOCKED"),IF(AND(AK262&lt;&gt;"",AK262&gt;=INT(G262),D262="STORED",J262="MANUAL",AL262&lt;&gt;""),"NO","YES"),IF(AND(AR262="ROLLING",I262="CHANGED"),IF(AND(AK262&lt;&gt;"",AK262&gt;=INT(IF(H262&lt;&gt;"",H262,G262)),AL262&lt;&gt;""),"NO","YES"),"NO"))))</x:f>
        <x:v>NO</x:v>
      </x:c>
      <x:c r="O262" s="751"/>
      <x:c r="P262" s="752"/>
      <x:c r="Q262" s="752"/>
      <x:c r="R262" s="752"/>
      <x:c r="S262" s="752"/>
      <x:c r="T262" s="752"/>
      <x:c r="U262" s="752"/>
      <x:c r="V262" s="752"/>
      <x:c r="W262" s="752"/>
      <x:c r="X262" s="752"/>
      <x:c r="Y262" s="752"/>
      <x:c r="Z262" s="752"/>
      <x:c r="AA262" s="752"/>
      <x:c r="AB262" s="752"/>
      <x:c r="AC262" s="752"/>
      <x:c r="AD262" s="752"/>
      <x:c r="AE262" s="752"/>
      <x:c r="AF262" s="752"/>
      <x:c r="AG262" s="752"/>
      <x:c r="AH262" s="752"/>
      <x:c r="AI262" s="752"/>
      <x:c r="AJ262" s="752"/>
      <x:c r="AK262" s="759"/>
      <x:c r="AL262" s="752"/>
      <x:c r="AM262" s="752"/>
      <x:c r="AN262" s="752"/>
      <x:c r="AO262" s="752"/>
      <x:c r="AP262" s="752"/>
      <x:c r="AQ262" s="752"/>
      <x:c r="AR262" s="752"/>
      <x:c r="AS262" s="752"/>
    </x:row>
    <x:row r="263" ht="30" customHeight="1">
      <x:c r="A263" s="751"/>
      <x:c r="B263" s="751"/>
      <x:c r="C263" s="751"/>
      <x:c r="D263" s="751"/>
      <x:c r="E263" s="751" t="str">
        <x:f>IF(A263="","",IF(OR(AJ263="EXCLUDE",COUNTIF(AD263:AH263,"LOW")&gt;0),"EXCLUDE",IF(OR(AJ263&lt;&gt;"INCLUDE",F263&lt;&gt;"SUCCESS",D263&lt;&gt;"STORED",U263="",AP263="",AQ263="",AQ263="UNVERIFIED",AND(AP263="OFFICIAL_WEBSITE",Q263=""),AND(OR(AA263="Equipment manual / OEM instruction",AB263="Asset-specific normative"),OR(Z263&lt;&gt;"Manufacturer / supplier",AS263="",AC263=""))),"PENDING",IF(COUNTIF(AD263:AH263,"HIGH")=5,"INCLUDE","PENDING"))))</x:f>
      </x:c>
      <x:c r="F263" s="751"/>
      <x:c r="G263" s="755"/>
      <x:c r="H263" s="755"/>
      <x:c r="I263" s="751"/>
      <x:c r="J263" s="751"/>
      <x:c r="K263" s="757" t="str">
        <x:f>IF(A263="","",IF(J263="AUTO",H263,IF(J263="MANUAL",AK263,"")))</x:f>
      </x:c>
      <x:c r="L263" s="751"/>
      <x:c r="M263" s="751"/>
      <x:c r="N263" s="751" t="str">
        <x:f>IF(OR(AM263&lt;&gt;"CURRENT",E263="EXCLUDE"),"NO",IF(A263="","",IF(OR(F263="FAIL",F263="PAYWALL_BLOCKED"),IF(AND(AK263&lt;&gt;"",AK263&gt;=INT(G263),D263="STORED",J263="MANUAL",AL263&lt;&gt;""),"NO","YES"),IF(AND(AR263="ROLLING",I263="CHANGED"),IF(AND(AK263&lt;&gt;"",AK263&gt;=INT(IF(H263&lt;&gt;"",H263,G263)),AL263&lt;&gt;""),"NO","YES"),"NO"))))</x:f>
        <x:v>NO</x:v>
      </x:c>
      <x:c r="O263" s="751"/>
      <x:c r="P263" s="752"/>
      <x:c r="Q263" s="752"/>
      <x:c r="R263" s="752"/>
      <x:c r="S263" s="752"/>
      <x:c r="T263" s="752"/>
      <x:c r="U263" s="752"/>
      <x:c r="V263" s="752"/>
      <x:c r="W263" s="752"/>
      <x:c r="X263" s="752"/>
      <x:c r="Y263" s="752"/>
      <x:c r="Z263" s="752"/>
      <x:c r="AA263" s="752"/>
      <x:c r="AB263" s="752"/>
      <x:c r="AC263" s="752"/>
      <x:c r="AD263" s="752"/>
      <x:c r="AE263" s="752"/>
      <x:c r="AF263" s="752"/>
      <x:c r="AG263" s="752"/>
      <x:c r="AH263" s="752"/>
      <x:c r="AI263" s="752"/>
      <x:c r="AJ263" s="752"/>
      <x:c r="AK263" s="759"/>
      <x:c r="AL263" s="752"/>
      <x:c r="AM263" s="752"/>
      <x:c r="AN263" s="752"/>
      <x:c r="AO263" s="752"/>
      <x:c r="AP263" s="752"/>
      <x:c r="AQ263" s="752"/>
      <x:c r="AR263" s="752"/>
      <x:c r="AS263" s="752"/>
    </x:row>
    <x:row r="264" ht="30" customHeight="1">
      <x:c r="A264" s="751"/>
      <x:c r="B264" s="751"/>
      <x:c r="C264" s="751"/>
      <x:c r="D264" s="751"/>
      <x:c r="E264" s="751" t="str">
        <x:f>IF(A264="","",IF(OR(AJ264="EXCLUDE",COUNTIF(AD264:AH264,"LOW")&gt;0),"EXCLUDE",IF(OR(AJ264&lt;&gt;"INCLUDE",F264&lt;&gt;"SUCCESS",D264&lt;&gt;"STORED",U264="",AP264="",AQ264="",AQ264="UNVERIFIED",AND(AP264="OFFICIAL_WEBSITE",Q264=""),AND(OR(AA264="Equipment manual / OEM instruction",AB264="Asset-specific normative"),OR(Z264&lt;&gt;"Manufacturer / supplier",AS264="",AC264=""))),"PENDING",IF(COUNTIF(AD264:AH264,"HIGH")=5,"INCLUDE","PENDING"))))</x:f>
      </x:c>
      <x:c r="F264" s="751"/>
      <x:c r="G264" s="755"/>
      <x:c r="H264" s="755"/>
      <x:c r="I264" s="751"/>
      <x:c r="J264" s="751"/>
      <x:c r="K264" s="757" t="str">
        <x:f>IF(A264="","",IF(J264="AUTO",H264,IF(J264="MANUAL",AK264,"")))</x:f>
      </x:c>
      <x:c r="L264" s="751"/>
      <x:c r="M264" s="751"/>
      <x:c r="N264" s="751" t="str">
        <x:f>IF(OR(AM264&lt;&gt;"CURRENT",E264="EXCLUDE"),"NO",IF(A264="","",IF(OR(F264="FAIL",F264="PAYWALL_BLOCKED"),IF(AND(AK264&lt;&gt;"",AK264&gt;=INT(G264),D264="STORED",J264="MANUAL",AL264&lt;&gt;""),"NO","YES"),IF(AND(AR264="ROLLING",I264="CHANGED"),IF(AND(AK264&lt;&gt;"",AK264&gt;=INT(IF(H264&lt;&gt;"",H264,G264)),AL264&lt;&gt;""),"NO","YES"),"NO"))))</x:f>
        <x:v>NO</x:v>
      </x:c>
      <x:c r="O264" s="751"/>
      <x:c r="P264" s="752"/>
      <x:c r="Q264" s="752"/>
      <x:c r="R264" s="752"/>
      <x:c r="S264" s="752"/>
      <x:c r="T264" s="752"/>
      <x:c r="U264" s="752"/>
      <x:c r="V264" s="752"/>
      <x:c r="W264" s="752"/>
      <x:c r="X264" s="752"/>
      <x:c r="Y264" s="752"/>
      <x:c r="Z264" s="752"/>
      <x:c r="AA264" s="752"/>
      <x:c r="AB264" s="752"/>
      <x:c r="AC264" s="752"/>
      <x:c r="AD264" s="752"/>
      <x:c r="AE264" s="752"/>
      <x:c r="AF264" s="752"/>
      <x:c r="AG264" s="752"/>
      <x:c r="AH264" s="752"/>
      <x:c r="AI264" s="752"/>
      <x:c r="AJ264" s="752"/>
      <x:c r="AK264" s="759"/>
      <x:c r="AL264" s="752"/>
      <x:c r="AM264" s="752"/>
      <x:c r="AN264" s="752"/>
      <x:c r="AO264" s="752"/>
      <x:c r="AP264" s="752"/>
      <x:c r="AQ264" s="752"/>
      <x:c r="AR264" s="752"/>
      <x:c r="AS264" s="752"/>
    </x:row>
    <x:row r="265" ht="30" customHeight="1">
      <x:c r="A265" s="751"/>
      <x:c r="B265" s="751"/>
      <x:c r="C265" s="751"/>
      <x:c r="D265" s="751"/>
      <x:c r="E265" s="751" t="str">
        <x:f>IF(A265="","",IF(OR(AJ265="EXCLUDE",COUNTIF(AD265:AH265,"LOW")&gt;0),"EXCLUDE",IF(OR(AJ265&lt;&gt;"INCLUDE",F265&lt;&gt;"SUCCESS",D265&lt;&gt;"STORED",U265="",AP265="",AQ265="",AQ265="UNVERIFIED",AND(AP265="OFFICIAL_WEBSITE",Q265=""),AND(OR(AA265="Equipment manual / OEM instruction",AB265="Asset-specific normative"),OR(Z265&lt;&gt;"Manufacturer / supplier",AS265="",AC265=""))),"PENDING",IF(COUNTIF(AD265:AH265,"HIGH")=5,"INCLUDE","PENDING"))))</x:f>
      </x:c>
      <x:c r="F265" s="751"/>
      <x:c r="G265" s="755"/>
      <x:c r="H265" s="755"/>
      <x:c r="I265" s="751"/>
      <x:c r="J265" s="751"/>
      <x:c r="K265" s="757" t="str">
        <x:f>IF(A265="","",IF(J265="AUTO",H265,IF(J265="MANUAL",AK265,"")))</x:f>
      </x:c>
      <x:c r="L265" s="751"/>
      <x:c r="M265" s="751"/>
      <x:c r="N265" s="751" t="str">
        <x:f>IF(OR(AM265&lt;&gt;"CURRENT",E265="EXCLUDE"),"NO",IF(A265="","",IF(OR(F265="FAIL",F265="PAYWALL_BLOCKED"),IF(AND(AK265&lt;&gt;"",AK265&gt;=INT(G265),D265="STORED",J265="MANUAL",AL265&lt;&gt;""),"NO","YES"),IF(AND(AR265="ROLLING",I265="CHANGED"),IF(AND(AK265&lt;&gt;"",AK265&gt;=INT(IF(H265&lt;&gt;"",H265,G265)),AL265&lt;&gt;""),"NO","YES"),"NO"))))</x:f>
        <x:v>NO</x:v>
      </x:c>
      <x:c r="O265" s="751"/>
      <x:c r="P265" s="752"/>
      <x:c r="Q265" s="752"/>
      <x:c r="R265" s="752"/>
      <x:c r="S265" s="752"/>
      <x:c r="T265" s="752"/>
      <x:c r="U265" s="752"/>
      <x:c r="V265" s="752"/>
      <x:c r="W265" s="752"/>
      <x:c r="X265" s="752"/>
      <x:c r="Y265" s="752"/>
      <x:c r="Z265" s="752"/>
      <x:c r="AA265" s="752"/>
      <x:c r="AB265" s="752"/>
      <x:c r="AC265" s="752"/>
      <x:c r="AD265" s="752"/>
      <x:c r="AE265" s="752"/>
      <x:c r="AF265" s="752"/>
      <x:c r="AG265" s="752"/>
      <x:c r="AH265" s="752"/>
      <x:c r="AI265" s="752"/>
      <x:c r="AJ265" s="752"/>
      <x:c r="AK265" s="759"/>
      <x:c r="AL265" s="752"/>
      <x:c r="AM265" s="752"/>
      <x:c r="AN265" s="752"/>
      <x:c r="AO265" s="752"/>
      <x:c r="AP265" s="752"/>
      <x:c r="AQ265" s="752"/>
      <x:c r="AR265" s="752"/>
      <x:c r="AS265" s="752"/>
    </x:row>
    <x:row r="266" ht="30" customHeight="1">
      <x:c r="A266" s="751"/>
      <x:c r="B266" s="751"/>
      <x:c r="C266" s="751"/>
      <x:c r="D266" s="751"/>
      <x:c r="E266" s="751" t="str">
        <x:f>IF(A266="","",IF(OR(AJ266="EXCLUDE",COUNTIF(AD266:AH266,"LOW")&gt;0),"EXCLUDE",IF(OR(AJ266&lt;&gt;"INCLUDE",F266&lt;&gt;"SUCCESS",D266&lt;&gt;"STORED",U266="",AP266="",AQ266="",AQ266="UNVERIFIED",AND(AP266="OFFICIAL_WEBSITE",Q266=""),AND(OR(AA266="Equipment manual / OEM instruction",AB266="Asset-specific normative"),OR(Z266&lt;&gt;"Manufacturer / supplier",AS266="",AC266=""))),"PENDING",IF(COUNTIF(AD266:AH266,"HIGH")=5,"INCLUDE","PENDING"))))</x:f>
      </x:c>
      <x:c r="F266" s="751"/>
      <x:c r="G266" s="755"/>
      <x:c r="H266" s="755"/>
      <x:c r="I266" s="751"/>
      <x:c r="J266" s="751"/>
      <x:c r="K266" s="757" t="str">
        <x:f>IF(A266="","",IF(J266="AUTO",H266,IF(J266="MANUAL",AK266,"")))</x:f>
      </x:c>
      <x:c r="L266" s="751"/>
      <x:c r="M266" s="751"/>
      <x:c r="N266" s="751" t="str">
        <x:f>IF(OR(AM266&lt;&gt;"CURRENT",E266="EXCLUDE"),"NO",IF(A266="","",IF(OR(F266="FAIL",F266="PAYWALL_BLOCKED"),IF(AND(AK266&lt;&gt;"",AK266&gt;=INT(G266),D266="STORED",J266="MANUAL",AL266&lt;&gt;""),"NO","YES"),IF(AND(AR266="ROLLING",I266="CHANGED"),IF(AND(AK266&lt;&gt;"",AK266&gt;=INT(IF(H266&lt;&gt;"",H266,G266)),AL266&lt;&gt;""),"NO","YES"),"NO"))))</x:f>
        <x:v>NO</x:v>
      </x:c>
      <x:c r="O266" s="751"/>
      <x:c r="P266" s="752"/>
      <x:c r="Q266" s="752"/>
      <x:c r="R266" s="752"/>
      <x:c r="S266" s="752"/>
      <x:c r="T266" s="752"/>
      <x:c r="U266" s="752"/>
      <x:c r="V266" s="752"/>
      <x:c r="W266" s="752"/>
      <x:c r="X266" s="752"/>
      <x:c r="Y266" s="752"/>
      <x:c r="Z266" s="752"/>
      <x:c r="AA266" s="752"/>
      <x:c r="AB266" s="752"/>
      <x:c r="AC266" s="752"/>
      <x:c r="AD266" s="752"/>
      <x:c r="AE266" s="752"/>
      <x:c r="AF266" s="752"/>
      <x:c r="AG266" s="752"/>
      <x:c r="AH266" s="752"/>
      <x:c r="AI266" s="752"/>
      <x:c r="AJ266" s="752"/>
      <x:c r="AK266" s="759"/>
      <x:c r="AL266" s="752"/>
      <x:c r="AM266" s="752"/>
      <x:c r="AN266" s="752"/>
      <x:c r="AO266" s="752"/>
      <x:c r="AP266" s="752"/>
      <x:c r="AQ266" s="752"/>
      <x:c r="AR266" s="752"/>
      <x:c r="AS266" s="752"/>
    </x:row>
    <x:row r="267" ht="30" customHeight="1">
      <x:c r="A267" s="751"/>
      <x:c r="B267" s="751"/>
      <x:c r="C267" s="751"/>
      <x:c r="D267" s="751"/>
      <x:c r="E267" s="751" t="str">
        <x:f>IF(A267="","",IF(OR(AJ267="EXCLUDE",COUNTIF(AD267:AH267,"LOW")&gt;0),"EXCLUDE",IF(OR(AJ267&lt;&gt;"INCLUDE",F267&lt;&gt;"SUCCESS",D267&lt;&gt;"STORED",U267="",AP267="",AQ267="",AQ267="UNVERIFIED",AND(AP267="OFFICIAL_WEBSITE",Q267=""),AND(OR(AA267="Equipment manual / OEM instruction",AB267="Asset-specific normative"),OR(Z267&lt;&gt;"Manufacturer / supplier",AS267="",AC267=""))),"PENDING",IF(COUNTIF(AD267:AH267,"HIGH")=5,"INCLUDE","PENDING"))))</x:f>
      </x:c>
      <x:c r="F267" s="751"/>
      <x:c r="G267" s="755"/>
      <x:c r="H267" s="755"/>
      <x:c r="I267" s="751"/>
      <x:c r="J267" s="751"/>
      <x:c r="K267" s="757" t="str">
        <x:f>IF(A267="","",IF(J267="AUTO",H267,IF(J267="MANUAL",AK267,"")))</x:f>
      </x:c>
      <x:c r="L267" s="751"/>
      <x:c r="M267" s="751"/>
      <x:c r="N267" s="751" t="str">
        <x:f>IF(OR(AM267&lt;&gt;"CURRENT",E267="EXCLUDE"),"NO",IF(A267="","",IF(OR(F267="FAIL",F267="PAYWALL_BLOCKED"),IF(AND(AK267&lt;&gt;"",AK267&gt;=INT(G267),D267="STORED",J267="MANUAL",AL267&lt;&gt;""),"NO","YES"),IF(AND(AR267="ROLLING",I267="CHANGED"),IF(AND(AK267&lt;&gt;"",AK267&gt;=INT(IF(H267&lt;&gt;"",H267,G267)),AL267&lt;&gt;""),"NO","YES"),"NO"))))</x:f>
        <x:v>NO</x:v>
      </x:c>
      <x:c r="O267" s="751"/>
      <x:c r="P267" s="752"/>
      <x:c r="Q267" s="752"/>
      <x:c r="R267" s="752"/>
      <x:c r="S267" s="752"/>
      <x:c r="T267" s="752"/>
      <x:c r="U267" s="752"/>
      <x:c r="V267" s="752"/>
      <x:c r="W267" s="752"/>
      <x:c r="X267" s="752"/>
      <x:c r="Y267" s="752"/>
      <x:c r="Z267" s="752"/>
      <x:c r="AA267" s="752"/>
      <x:c r="AB267" s="752"/>
      <x:c r="AC267" s="752"/>
      <x:c r="AD267" s="752"/>
      <x:c r="AE267" s="752"/>
      <x:c r="AF267" s="752"/>
      <x:c r="AG267" s="752"/>
      <x:c r="AH267" s="752"/>
      <x:c r="AI267" s="752"/>
      <x:c r="AJ267" s="752"/>
      <x:c r="AK267" s="759"/>
      <x:c r="AL267" s="752"/>
      <x:c r="AM267" s="752"/>
      <x:c r="AN267" s="752"/>
      <x:c r="AO267" s="752"/>
      <x:c r="AP267" s="752"/>
      <x:c r="AQ267" s="752"/>
      <x:c r="AR267" s="752"/>
      <x:c r="AS267" s="752"/>
    </x:row>
    <x:row r="268" ht="30" customHeight="1">
      <x:c r="A268" s="751"/>
      <x:c r="B268" s="751"/>
      <x:c r="C268" s="751"/>
      <x:c r="D268" s="751"/>
      <x:c r="E268" s="751" t="str">
        <x:f>IF(A268="","",IF(OR(AJ268="EXCLUDE",COUNTIF(AD268:AH268,"LOW")&gt;0),"EXCLUDE",IF(OR(AJ268&lt;&gt;"INCLUDE",F268&lt;&gt;"SUCCESS",D268&lt;&gt;"STORED",U268="",AP268="",AQ268="",AQ268="UNVERIFIED",AND(AP268="OFFICIAL_WEBSITE",Q268=""),AND(OR(AA268="Equipment manual / OEM instruction",AB268="Asset-specific normative"),OR(Z268&lt;&gt;"Manufacturer / supplier",AS268="",AC268=""))),"PENDING",IF(COUNTIF(AD268:AH268,"HIGH")=5,"INCLUDE","PENDING"))))</x:f>
      </x:c>
      <x:c r="F268" s="751"/>
      <x:c r="G268" s="755"/>
      <x:c r="H268" s="755"/>
      <x:c r="I268" s="751"/>
      <x:c r="J268" s="751"/>
      <x:c r="K268" s="757" t="str">
        <x:f>IF(A268="","",IF(J268="AUTO",H268,IF(J268="MANUAL",AK268,"")))</x:f>
      </x:c>
      <x:c r="L268" s="751"/>
      <x:c r="M268" s="751"/>
      <x:c r="N268" s="751" t="str">
        <x:f>IF(OR(AM268&lt;&gt;"CURRENT",E268="EXCLUDE"),"NO",IF(A268="","",IF(OR(F268="FAIL",F268="PAYWALL_BLOCKED"),IF(AND(AK268&lt;&gt;"",AK268&gt;=INT(G268),D268="STORED",J268="MANUAL",AL268&lt;&gt;""),"NO","YES"),IF(AND(AR268="ROLLING",I268="CHANGED"),IF(AND(AK268&lt;&gt;"",AK268&gt;=INT(IF(H268&lt;&gt;"",H268,G268)),AL268&lt;&gt;""),"NO","YES"),"NO"))))</x:f>
        <x:v>NO</x:v>
      </x:c>
      <x:c r="O268" s="751"/>
      <x:c r="P268" s="752"/>
      <x:c r="Q268" s="752"/>
      <x:c r="R268" s="752"/>
      <x:c r="S268" s="752"/>
      <x:c r="T268" s="752"/>
      <x:c r="U268" s="752"/>
      <x:c r="V268" s="752"/>
      <x:c r="W268" s="752"/>
      <x:c r="X268" s="752"/>
      <x:c r="Y268" s="752"/>
      <x:c r="Z268" s="752"/>
      <x:c r="AA268" s="752"/>
      <x:c r="AB268" s="752"/>
      <x:c r="AC268" s="752"/>
      <x:c r="AD268" s="752"/>
      <x:c r="AE268" s="752"/>
      <x:c r="AF268" s="752"/>
      <x:c r="AG268" s="752"/>
      <x:c r="AH268" s="752"/>
      <x:c r="AI268" s="752"/>
      <x:c r="AJ268" s="752"/>
      <x:c r="AK268" s="759"/>
      <x:c r="AL268" s="752"/>
      <x:c r="AM268" s="752"/>
      <x:c r="AN268" s="752"/>
      <x:c r="AO268" s="752"/>
      <x:c r="AP268" s="752"/>
      <x:c r="AQ268" s="752"/>
      <x:c r="AR268" s="752"/>
      <x:c r="AS268" s="752"/>
    </x:row>
    <x:row r="269" ht="30" customHeight="1">
      <x:c r="A269" s="751"/>
      <x:c r="B269" s="751"/>
      <x:c r="C269" s="751"/>
      <x:c r="D269" s="751"/>
      <x:c r="E269" s="751" t="str">
        <x:f>IF(A269="","",IF(OR(AJ269="EXCLUDE",COUNTIF(AD269:AH269,"LOW")&gt;0),"EXCLUDE",IF(OR(AJ269&lt;&gt;"INCLUDE",F269&lt;&gt;"SUCCESS",D269&lt;&gt;"STORED",U269="",AP269="",AQ269="",AQ269="UNVERIFIED",AND(AP269="OFFICIAL_WEBSITE",Q269=""),AND(OR(AA269="Equipment manual / OEM instruction",AB269="Asset-specific normative"),OR(Z269&lt;&gt;"Manufacturer / supplier",AS269="",AC269=""))),"PENDING",IF(COUNTIF(AD269:AH269,"HIGH")=5,"INCLUDE","PENDING"))))</x:f>
      </x:c>
      <x:c r="F269" s="751"/>
      <x:c r="G269" s="755"/>
      <x:c r="H269" s="755"/>
      <x:c r="I269" s="751"/>
      <x:c r="J269" s="751"/>
      <x:c r="K269" s="757" t="str">
        <x:f>IF(A269="","",IF(J269="AUTO",H269,IF(J269="MANUAL",AK269,"")))</x:f>
      </x:c>
      <x:c r="L269" s="751"/>
      <x:c r="M269" s="751"/>
      <x:c r="N269" s="751" t="str">
        <x:f>IF(OR(AM269&lt;&gt;"CURRENT",E269="EXCLUDE"),"NO",IF(A269="","",IF(OR(F269="FAIL",F269="PAYWALL_BLOCKED"),IF(AND(AK269&lt;&gt;"",AK269&gt;=INT(G269),D269="STORED",J269="MANUAL",AL269&lt;&gt;""),"NO","YES"),IF(AND(AR269="ROLLING",I269="CHANGED"),IF(AND(AK269&lt;&gt;"",AK269&gt;=INT(IF(H269&lt;&gt;"",H269,G269)),AL269&lt;&gt;""),"NO","YES"),"NO"))))</x:f>
        <x:v>NO</x:v>
      </x:c>
      <x:c r="O269" s="751"/>
      <x:c r="P269" s="752"/>
      <x:c r="Q269" s="752"/>
      <x:c r="R269" s="752"/>
      <x:c r="S269" s="752"/>
      <x:c r="T269" s="752"/>
      <x:c r="U269" s="752"/>
      <x:c r="V269" s="752"/>
      <x:c r="W269" s="752"/>
      <x:c r="X269" s="752"/>
      <x:c r="Y269" s="752"/>
      <x:c r="Z269" s="752"/>
      <x:c r="AA269" s="752"/>
      <x:c r="AB269" s="752"/>
      <x:c r="AC269" s="752"/>
      <x:c r="AD269" s="752"/>
      <x:c r="AE269" s="752"/>
      <x:c r="AF269" s="752"/>
      <x:c r="AG269" s="752"/>
      <x:c r="AH269" s="752"/>
      <x:c r="AI269" s="752"/>
      <x:c r="AJ269" s="752"/>
      <x:c r="AK269" s="759"/>
      <x:c r="AL269" s="752"/>
      <x:c r="AM269" s="752"/>
      <x:c r="AN269" s="752"/>
      <x:c r="AO269" s="752"/>
      <x:c r="AP269" s="752"/>
      <x:c r="AQ269" s="752"/>
      <x:c r="AR269" s="752"/>
      <x:c r="AS269" s="752"/>
    </x:row>
    <x:row r="270" ht="30" customHeight="1">
      <x:c r="A270" s="751"/>
      <x:c r="B270" s="751"/>
      <x:c r="C270" s="751"/>
      <x:c r="D270" s="751"/>
      <x:c r="E270" s="751" t="str">
        <x:f>IF(A270="","",IF(OR(AJ270="EXCLUDE",COUNTIF(AD270:AH270,"LOW")&gt;0),"EXCLUDE",IF(OR(AJ270&lt;&gt;"INCLUDE",F270&lt;&gt;"SUCCESS",D270&lt;&gt;"STORED",U270="",AP270="",AQ270="",AQ270="UNVERIFIED",AND(AP270="OFFICIAL_WEBSITE",Q270=""),AND(OR(AA270="Equipment manual / OEM instruction",AB270="Asset-specific normative"),OR(Z270&lt;&gt;"Manufacturer / supplier",AS270="",AC270=""))),"PENDING",IF(COUNTIF(AD270:AH270,"HIGH")=5,"INCLUDE","PENDING"))))</x:f>
      </x:c>
      <x:c r="F270" s="751"/>
      <x:c r="G270" s="755"/>
      <x:c r="H270" s="755"/>
      <x:c r="I270" s="751"/>
      <x:c r="J270" s="751"/>
      <x:c r="K270" s="757" t="str">
        <x:f>IF(A270="","",IF(J270="AUTO",H270,IF(J270="MANUAL",AK270,"")))</x:f>
      </x:c>
      <x:c r="L270" s="751"/>
      <x:c r="M270" s="751"/>
      <x:c r="N270" s="751" t="str">
        <x:f>IF(OR(AM270&lt;&gt;"CURRENT",E270="EXCLUDE"),"NO",IF(A270="","",IF(OR(F270="FAIL",F270="PAYWALL_BLOCKED"),IF(AND(AK270&lt;&gt;"",AK270&gt;=INT(G270),D270="STORED",J270="MANUAL",AL270&lt;&gt;""),"NO","YES"),IF(AND(AR270="ROLLING",I270="CHANGED"),IF(AND(AK270&lt;&gt;"",AK270&gt;=INT(IF(H270&lt;&gt;"",H270,G270)),AL270&lt;&gt;""),"NO","YES"),"NO"))))</x:f>
        <x:v>NO</x:v>
      </x:c>
      <x:c r="O270" s="751"/>
      <x:c r="P270" s="752"/>
      <x:c r="Q270" s="752"/>
      <x:c r="R270" s="752"/>
      <x:c r="S270" s="752"/>
      <x:c r="T270" s="752"/>
      <x:c r="U270" s="752"/>
      <x:c r="V270" s="752"/>
      <x:c r="W270" s="752"/>
      <x:c r="X270" s="752"/>
      <x:c r="Y270" s="752"/>
      <x:c r="Z270" s="752"/>
      <x:c r="AA270" s="752"/>
      <x:c r="AB270" s="752"/>
      <x:c r="AC270" s="752"/>
      <x:c r="AD270" s="752"/>
      <x:c r="AE270" s="752"/>
      <x:c r="AF270" s="752"/>
      <x:c r="AG270" s="752"/>
      <x:c r="AH270" s="752"/>
      <x:c r="AI270" s="752"/>
      <x:c r="AJ270" s="752"/>
      <x:c r="AK270" s="759"/>
      <x:c r="AL270" s="752"/>
      <x:c r="AM270" s="752"/>
      <x:c r="AN270" s="752"/>
      <x:c r="AO270" s="752"/>
      <x:c r="AP270" s="752"/>
      <x:c r="AQ270" s="752"/>
      <x:c r="AR270" s="752"/>
      <x:c r="AS270" s="752"/>
    </x:row>
    <x:row r="271" ht="30" customHeight="1">
      <x:c r="A271" s="751"/>
      <x:c r="B271" s="751"/>
      <x:c r="C271" s="751"/>
      <x:c r="D271" s="751"/>
      <x:c r="E271" s="751" t="str">
        <x:f>IF(A271="","",IF(OR(AJ271="EXCLUDE",COUNTIF(AD271:AH271,"LOW")&gt;0),"EXCLUDE",IF(OR(AJ271&lt;&gt;"INCLUDE",F271&lt;&gt;"SUCCESS",D271&lt;&gt;"STORED",U271="",AP271="",AQ271="",AQ271="UNVERIFIED",AND(AP271="OFFICIAL_WEBSITE",Q271=""),AND(OR(AA271="Equipment manual / OEM instruction",AB271="Asset-specific normative"),OR(Z271&lt;&gt;"Manufacturer / supplier",AS271="",AC271=""))),"PENDING",IF(COUNTIF(AD271:AH271,"HIGH")=5,"INCLUDE","PENDING"))))</x:f>
      </x:c>
      <x:c r="F271" s="751"/>
      <x:c r="G271" s="755"/>
      <x:c r="H271" s="755"/>
      <x:c r="I271" s="751"/>
      <x:c r="J271" s="751"/>
      <x:c r="K271" s="757" t="str">
        <x:f>IF(A271="","",IF(J271="AUTO",H271,IF(J271="MANUAL",AK271,"")))</x:f>
      </x:c>
      <x:c r="L271" s="751"/>
      <x:c r="M271" s="751"/>
      <x:c r="N271" s="751" t="str">
        <x:f>IF(OR(AM271&lt;&gt;"CURRENT",E271="EXCLUDE"),"NO",IF(A271="","",IF(OR(F271="FAIL",F271="PAYWALL_BLOCKED"),IF(AND(AK271&lt;&gt;"",AK271&gt;=INT(G271),D271="STORED",J271="MANUAL",AL271&lt;&gt;""),"NO","YES"),IF(AND(AR271="ROLLING",I271="CHANGED"),IF(AND(AK271&lt;&gt;"",AK271&gt;=INT(IF(H271&lt;&gt;"",H271,G271)),AL271&lt;&gt;""),"NO","YES"),"NO"))))</x:f>
        <x:v>NO</x:v>
      </x:c>
      <x:c r="O271" s="751"/>
      <x:c r="P271" s="752"/>
      <x:c r="Q271" s="752"/>
      <x:c r="R271" s="752"/>
      <x:c r="S271" s="752"/>
      <x:c r="T271" s="752"/>
      <x:c r="U271" s="752"/>
      <x:c r="V271" s="752"/>
      <x:c r="W271" s="752"/>
      <x:c r="X271" s="752"/>
      <x:c r="Y271" s="752"/>
      <x:c r="Z271" s="752"/>
      <x:c r="AA271" s="752"/>
      <x:c r="AB271" s="752"/>
      <x:c r="AC271" s="752"/>
      <x:c r="AD271" s="752"/>
      <x:c r="AE271" s="752"/>
      <x:c r="AF271" s="752"/>
      <x:c r="AG271" s="752"/>
      <x:c r="AH271" s="752"/>
      <x:c r="AI271" s="752"/>
      <x:c r="AJ271" s="752"/>
      <x:c r="AK271" s="759"/>
      <x:c r="AL271" s="752"/>
      <x:c r="AM271" s="752"/>
      <x:c r="AN271" s="752"/>
      <x:c r="AO271" s="752"/>
      <x:c r="AP271" s="752"/>
      <x:c r="AQ271" s="752"/>
      <x:c r="AR271" s="752"/>
      <x:c r="AS271" s="752"/>
    </x:row>
    <x:row r="272" ht="30" customHeight="1">
      <x:c r="A272" s="751"/>
      <x:c r="B272" s="751"/>
      <x:c r="C272" s="751"/>
      <x:c r="D272" s="751"/>
      <x:c r="E272" s="751" t="str">
        <x:f>IF(A272="","",IF(OR(AJ272="EXCLUDE",COUNTIF(AD272:AH272,"LOW")&gt;0),"EXCLUDE",IF(OR(AJ272&lt;&gt;"INCLUDE",F272&lt;&gt;"SUCCESS",D272&lt;&gt;"STORED",U272="",AP272="",AQ272="",AQ272="UNVERIFIED",AND(AP272="OFFICIAL_WEBSITE",Q272=""),AND(OR(AA272="Equipment manual / OEM instruction",AB272="Asset-specific normative"),OR(Z272&lt;&gt;"Manufacturer / supplier",AS272="",AC272=""))),"PENDING",IF(COUNTIF(AD272:AH272,"HIGH")=5,"INCLUDE","PENDING"))))</x:f>
      </x:c>
      <x:c r="F272" s="751"/>
      <x:c r="G272" s="755"/>
      <x:c r="H272" s="755"/>
      <x:c r="I272" s="751"/>
      <x:c r="J272" s="751"/>
      <x:c r="K272" s="757" t="str">
        <x:f>IF(A272="","",IF(J272="AUTO",H272,IF(J272="MANUAL",AK272,"")))</x:f>
      </x:c>
      <x:c r="L272" s="751"/>
      <x:c r="M272" s="751"/>
      <x:c r="N272" s="751" t="str">
        <x:f>IF(OR(AM272&lt;&gt;"CURRENT",E272="EXCLUDE"),"NO",IF(A272="","",IF(OR(F272="FAIL",F272="PAYWALL_BLOCKED"),IF(AND(AK272&lt;&gt;"",AK272&gt;=INT(G272),D272="STORED",J272="MANUAL",AL272&lt;&gt;""),"NO","YES"),IF(AND(AR272="ROLLING",I272="CHANGED"),IF(AND(AK272&lt;&gt;"",AK272&gt;=INT(IF(H272&lt;&gt;"",H272,G272)),AL272&lt;&gt;""),"NO","YES"),"NO"))))</x:f>
        <x:v>NO</x:v>
      </x:c>
      <x:c r="O272" s="751"/>
      <x:c r="P272" s="752"/>
      <x:c r="Q272" s="752"/>
      <x:c r="R272" s="752"/>
      <x:c r="S272" s="752"/>
      <x:c r="T272" s="752"/>
      <x:c r="U272" s="752"/>
      <x:c r="V272" s="752"/>
      <x:c r="W272" s="752"/>
      <x:c r="X272" s="752"/>
      <x:c r="Y272" s="752"/>
      <x:c r="Z272" s="752"/>
      <x:c r="AA272" s="752"/>
      <x:c r="AB272" s="752"/>
      <x:c r="AC272" s="752"/>
      <x:c r="AD272" s="752"/>
      <x:c r="AE272" s="752"/>
      <x:c r="AF272" s="752"/>
      <x:c r="AG272" s="752"/>
      <x:c r="AH272" s="752"/>
      <x:c r="AI272" s="752"/>
      <x:c r="AJ272" s="752"/>
      <x:c r="AK272" s="759"/>
      <x:c r="AL272" s="752"/>
      <x:c r="AM272" s="752"/>
      <x:c r="AN272" s="752"/>
      <x:c r="AO272" s="752"/>
      <x:c r="AP272" s="752"/>
      <x:c r="AQ272" s="752"/>
      <x:c r="AR272" s="752"/>
      <x:c r="AS272" s="752"/>
    </x:row>
    <x:row r="273" ht="30" customHeight="1">
      <x:c r="A273" s="751"/>
      <x:c r="B273" s="751"/>
      <x:c r="C273" s="751"/>
      <x:c r="D273" s="751"/>
      <x:c r="E273" s="751" t="str">
        <x:f>IF(A273="","",IF(OR(AJ273="EXCLUDE",COUNTIF(AD273:AH273,"LOW")&gt;0),"EXCLUDE",IF(OR(AJ273&lt;&gt;"INCLUDE",F273&lt;&gt;"SUCCESS",D273&lt;&gt;"STORED",U273="",AP273="",AQ273="",AQ273="UNVERIFIED",AND(AP273="OFFICIAL_WEBSITE",Q273=""),AND(OR(AA273="Equipment manual / OEM instruction",AB273="Asset-specific normative"),OR(Z273&lt;&gt;"Manufacturer / supplier",AS273="",AC273=""))),"PENDING",IF(COUNTIF(AD273:AH273,"HIGH")=5,"INCLUDE","PENDING"))))</x:f>
      </x:c>
      <x:c r="F273" s="751"/>
      <x:c r="G273" s="755"/>
      <x:c r="H273" s="755"/>
      <x:c r="I273" s="751"/>
      <x:c r="J273" s="751"/>
      <x:c r="K273" s="757" t="str">
        <x:f>IF(A273="","",IF(J273="AUTO",H273,IF(J273="MANUAL",AK273,"")))</x:f>
      </x:c>
      <x:c r="L273" s="751"/>
      <x:c r="M273" s="751"/>
      <x:c r="N273" s="751" t="str">
        <x:f>IF(OR(AM273&lt;&gt;"CURRENT",E273="EXCLUDE"),"NO",IF(A273="","",IF(OR(F273="FAIL",F273="PAYWALL_BLOCKED"),IF(AND(AK273&lt;&gt;"",AK273&gt;=INT(G273),D273="STORED",J273="MANUAL",AL273&lt;&gt;""),"NO","YES"),IF(AND(AR273="ROLLING",I273="CHANGED"),IF(AND(AK273&lt;&gt;"",AK273&gt;=INT(IF(H273&lt;&gt;"",H273,G273)),AL273&lt;&gt;""),"NO","YES"),"NO"))))</x:f>
        <x:v>NO</x:v>
      </x:c>
      <x:c r="O273" s="751"/>
      <x:c r="P273" s="752"/>
      <x:c r="Q273" s="752"/>
      <x:c r="R273" s="752"/>
      <x:c r="S273" s="752"/>
      <x:c r="T273" s="752"/>
      <x:c r="U273" s="752"/>
      <x:c r="V273" s="752"/>
      <x:c r="W273" s="752"/>
      <x:c r="X273" s="752"/>
      <x:c r="Y273" s="752"/>
      <x:c r="Z273" s="752"/>
      <x:c r="AA273" s="752"/>
      <x:c r="AB273" s="752"/>
      <x:c r="AC273" s="752"/>
      <x:c r="AD273" s="752"/>
      <x:c r="AE273" s="752"/>
      <x:c r="AF273" s="752"/>
      <x:c r="AG273" s="752"/>
      <x:c r="AH273" s="752"/>
      <x:c r="AI273" s="752"/>
      <x:c r="AJ273" s="752"/>
      <x:c r="AK273" s="759"/>
      <x:c r="AL273" s="752"/>
      <x:c r="AM273" s="752"/>
      <x:c r="AN273" s="752"/>
      <x:c r="AO273" s="752"/>
      <x:c r="AP273" s="752"/>
      <x:c r="AQ273" s="752"/>
      <x:c r="AR273" s="752"/>
      <x:c r="AS273" s="752"/>
    </x:row>
    <x:row r="274" ht="30" customHeight="1">
      <x:c r="A274" s="751"/>
      <x:c r="B274" s="751"/>
      <x:c r="C274" s="751"/>
      <x:c r="D274" s="751"/>
      <x:c r="E274" s="751" t="str">
        <x:f>IF(A274="","",IF(OR(AJ274="EXCLUDE",COUNTIF(AD274:AH274,"LOW")&gt;0),"EXCLUDE",IF(OR(AJ274&lt;&gt;"INCLUDE",F274&lt;&gt;"SUCCESS",D274&lt;&gt;"STORED",U274="",AP274="",AQ274="",AQ274="UNVERIFIED",AND(AP274="OFFICIAL_WEBSITE",Q274=""),AND(OR(AA274="Equipment manual / OEM instruction",AB274="Asset-specific normative"),OR(Z274&lt;&gt;"Manufacturer / supplier",AS274="",AC274=""))),"PENDING",IF(COUNTIF(AD274:AH274,"HIGH")=5,"INCLUDE","PENDING"))))</x:f>
      </x:c>
      <x:c r="F274" s="751"/>
      <x:c r="G274" s="755"/>
      <x:c r="H274" s="755"/>
      <x:c r="I274" s="751"/>
      <x:c r="J274" s="751"/>
      <x:c r="K274" s="757" t="str">
        <x:f>IF(A274="","",IF(J274="AUTO",H274,IF(J274="MANUAL",AK274,"")))</x:f>
      </x:c>
      <x:c r="L274" s="751"/>
      <x:c r="M274" s="751"/>
      <x:c r="N274" s="751" t="str">
        <x:f>IF(OR(AM274&lt;&gt;"CURRENT",E274="EXCLUDE"),"NO",IF(A274="","",IF(OR(F274="FAIL",F274="PAYWALL_BLOCKED"),IF(AND(AK274&lt;&gt;"",AK274&gt;=INT(G274),D274="STORED",J274="MANUAL",AL274&lt;&gt;""),"NO","YES"),IF(AND(AR274="ROLLING",I274="CHANGED"),IF(AND(AK274&lt;&gt;"",AK274&gt;=INT(IF(H274&lt;&gt;"",H274,G274)),AL274&lt;&gt;""),"NO","YES"),"NO"))))</x:f>
        <x:v>NO</x:v>
      </x:c>
      <x:c r="O274" s="751"/>
      <x:c r="P274" s="752"/>
      <x:c r="Q274" s="752"/>
      <x:c r="R274" s="752"/>
      <x:c r="S274" s="752"/>
      <x:c r="T274" s="752"/>
      <x:c r="U274" s="752"/>
      <x:c r="V274" s="752"/>
      <x:c r="W274" s="752"/>
      <x:c r="X274" s="752"/>
      <x:c r="Y274" s="752"/>
      <x:c r="Z274" s="752"/>
      <x:c r="AA274" s="752"/>
      <x:c r="AB274" s="752"/>
      <x:c r="AC274" s="752"/>
      <x:c r="AD274" s="752"/>
      <x:c r="AE274" s="752"/>
      <x:c r="AF274" s="752"/>
      <x:c r="AG274" s="752"/>
      <x:c r="AH274" s="752"/>
      <x:c r="AI274" s="752"/>
      <x:c r="AJ274" s="752"/>
      <x:c r="AK274" s="759"/>
      <x:c r="AL274" s="752"/>
      <x:c r="AM274" s="752"/>
      <x:c r="AN274" s="752"/>
      <x:c r="AO274" s="752"/>
      <x:c r="AP274" s="752"/>
      <x:c r="AQ274" s="752"/>
      <x:c r="AR274" s="752"/>
      <x:c r="AS274" s="752"/>
    </x:row>
    <x:row r="275" ht="30" customHeight="1">
      <x:c r="A275" s="751"/>
      <x:c r="B275" s="751"/>
      <x:c r="C275" s="751"/>
      <x:c r="D275" s="751"/>
      <x:c r="E275" s="751" t="str">
        <x:f>IF(A275="","",IF(OR(AJ275="EXCLUDE",COUNTIF(AD275:AH275,"LOW")&gt;0),"EXCLUDE",IF(OR(AJ275&lt;&gt;"INCLUDE",F275&lt;&gt;"SUCCESS",D275&lt;&gt;"STORED",U275="",AP275="",AQ275="",AQ275="UNVERIFIED",AND(AP275="OFFICIAL_WEBSITE",Q275=""),AND(OR(AA275="Equipment manual / OEM instruction",AB275="Asset-specific normative"),OR(Z275&lt;&gt;"Manufacturer / supplier",AS275="",AC275=""))),"PENDING",IF(COUNTIF(AD275:AH275,"HIGH")=5,"INCLUDE","PENDING"))))</x:f>
      </x:c>
      <x:c r="F275" s="751"/>
      <x:c r="G275" s="755"/>
      <x:c r="H275" s="755"/>
      <x:c r="I275" s="751"/>
      <x:c r="J275" s="751"/>
      <x:c r="K275" s="757" t="str">
        <x:f>IF(A275="","",IF(J275="AUTO",H275,IF(J275="MANUAL",AK275,"")))</x:f>
      </x:c>
      <x:c r="L275" s="751"/>
      <x:c r="M275" s="751"/>
      <x:c r="N275" s="751" t="str">
        <x:f>IF(OR(AM275&lt;&gt;"CURRENT",E275="EXCLUDE"),"NO",IF(A275="","",IF(OR(F275="FAIL",F275="PAYWALL_BLOCKED"),IF(AND(AK275&lt;&gt;"",AK275&gt;=INT(G275),D275="STORED",J275="MANUAL",AL275&lt;&gt;""),"NO","YES"),IF(AND(AR275="ROLLING",I275="CHANGED"),IF(AND(AK275&lt;&gt;"",AK275&gt;=INT(IF(H275&lt;&gt;"",H275,G275)),AL275&lt;&gt;""),"NO","YES"),"NO"))))</x:f>
        <x:v>NO</x:v>
      </x:c>
      <x:c r="O275" s="751"/>
      <x:c r="P275" s="752"/>
      <x:c r="Q275" s="752"/>
      <x:c r="R275" s="752"/>
      <x:c r="S275" s="752"/>
      <x:c r="T275" s="752"/>
      <x:c r="U275" s="752"/>
      <x:c r="V275" s="752"/>
      <x:c r="W275" s="752"/>
      <x:c r="X275" s="752"/>
      <x:c r="Y275" s="752"/>
      <x:c r="Z275" s="752"/>
      <x:c r="AA275" s="752"/>
      <x:c r="AB275" s="752"/>
      <x:c r="AC275" s="752"/>
      <x:c r="AD275" s="752"/>
      <x:c r="AE275" s="752"/>
      <x:c r="AF275" s="752"/>
      <x:c r="AG275" s="752"/>
      <x:c r="AH275" s="752"/>
      <x:c r="AI275" s="752"/>
      <x:c r="AJ275" s="752"/>
      <x:c r="AK275" s="759"/>
      <x:c r="AL275" s="752"/>
      <x:c r="AM275" s="752"/>
      <x:c r="AN275" s="752"/>
      <x:c r="AO275" s="752"/>
      <x:c r="AP275" s="752"/>
      <x:c r="AQ275" s="752"/>
      <x:c r="AR275" s="752"/>
      <x:c r="AS275" s="752"/>
    </x:row>
    <x:row r="276" ht="30" customHeight="1">
      <x:c r="A276" s="751"/>
      <x:c r="B276" s="751"/>
      <x:c r="C276" s="751"/>
      <x:c r="D276" s="751"/>
      <x:c r="E276" s="751" t="str">
        <x:f>IF(A276="","",IF(OR(AJ276="EXCLUDE",COUNTIF(AD276:AH276,"LOW")&gt;0),"EXCLUDE",IF(OR(AJ276&lt;&gt;"INCLUDE",F276&lt;&gt;"SUCCESS",D276&lt;&gt;"STORED",U276="",AP276="",AQ276="",AQ276="UNVERIFIED",AND(AP276="OFFICIAL_WEBSITE",Q276=""),AND(OR(AA276="Equipment manual / OEM instruction",AB276="Asset-specific normative"),OR(Z276&lt;&gt;"Manufacturer / supplier",AS276="",AC276=""))),"PENDING",IF(COUNTIF(AD276:AH276,"HIGH")=5,"INCLUDE","PENDING"))))</x:f>
      </x:c>
      <x:c r="F276" s="751"/>
      <x:c r="G276" s="755"/>
      <x:c r="H276" s="755"/>
      <x:c r="I276" s="751"/>
      <x:c r="J276" s="751"/>
      <x:c r="K276" s="757" t="str">
        <x:f>IF(A276="","",IF(J276="AUTO",H276,IF(J276="MANUAL",AK276,"")))</x:f>
      </x:c>
      <x:c r="L276" s="751"/>
      <x:c r="M276" s="751"/>
      <x:c r="N276" s="751" t="str">
        <x:f>IF(OR(AM276&lt;&gt;"CURRENT",E276="EXCLUDE"),"NO",IF(A276="","",IF(OR(F276="FAIL",F276="PAYWALL_BLOCKED"),IF(AND(AK276&lt;&gt;"",AK276&gt;=INT(G276),D276="STORED",J276="MANUAL",AL276&lt;&gt;""),"NO","YES"),IF(AND(AR276="ROLLING",I276="CHANGED"),IF(AND(AK276&lt;&gt;"",AK276&gt;=INT(IF(H276&lt;&gt;"",H276,G276)),AL276&lt;&gt;""),"NO","YES"),"NO"))))</x:f>
        <x:v>NO</x:v>
      </x:c>
      <x:c r="O276" s="751"/>
      <x:c r="P276" s="752"/>
      <x:c r="Q276" s="752"/>
      <x:c r="R276" s="752"/>
      <x:c r="S276" s="752"/>
      <x:c r="T276" s="752"/>
      <x:c r="U276" s="752"/>
      <x:c r="V276" s="752"/>
      <x:c r="W276" s="752"/>
      <x:c r="X276" s="752"/>
      <x:c r="Y276" s="752"/>
      <x:c r="Z276" s="752"/>
      <x:c r="AA276" s="752"/>
      <x:c r="AB276" s="752"/>
      <x:c r="AC276" s="752"/>
      <x:c r="AD276" s="752"/>
      <x:c r="AE276" s="752"/>
      <x:c r="AF276" s="752"/>
      <x:c r="AG276" s="752"/>
      <x:c r="AH276" s="752"/>
      <x:c r="AI276" s="752"/>
      <x:c r="AJ276" s="752"/>
      <x:c r="AK276" s="759"/>
      <x:c r="AL276" s="752"/>
      <x:c r="AM276" s="752"/>
      <x:c r="AN276" s="752"/>
      <x:c r="AO276" s="752"/>
      <x:c r="AP276" s="752"/>
      <x:c r="AQ276" s="752"/>
      <x:c r="AR276" s="752"/>
      <x:c r="AS276" s="752"/>
    </x:row>
    <x:row r="277" ht="30" customHeight="1">
      <x:c r="A277" s="751"/>
      <x:c r="B277" s="751"/>
      <x:c r="C277" s="751"/>
      <x:c r="D277" s="751"/>
      <x:c r="E277" s="751" t="str">
        <x:f>IF(A277="","",IF(OR(AJ277="EXCLUDE",COUNTIF(AD277:AH277,"LOW")&gt;0),"EXCLUDE",IF(OR(AJ277&lt;&gt;"INCLUDE",F277&lt;&gt;"SUCCESS",D277&lt;&gt;"STORED",U277="",AP277="",AQ277="",AQ277="UNVERIFIED",AND(AP277="OFFICIAL_WEBSITE",Q277=""),AND(OR(AA277="Equipment manual / OEM instruction",AB277="Asset-specific normative"),OR(Z277&lt;&gt;"Manufacturer / supplier",AS277="",AC277=""))),"PENDING",IF(COUNTIF(AD277:AH277,"HIGH")=5,"INCLUDE","PENDING"))))</x:f>
      </x:c>
      <x:c r="F277" s="751"/>
      <x:c r="G277" s="755"/>
      <x:c r="H277" s="755"/>
      <x:c r="I277" s="751"/>
      <x:c r="J277" s="751"/>
      <x:c r="K277" s="757" t="str">
        <x:f>IF(A277="","",IF(J277="AUTO",H277,IF(J277="MANUAL",AK277,"")))</x:f>
      </x:c>
      <x:c r="L277" s="751"/>
      <x:c r="M277" s="751"/>
      <x:c r="N277" s="751" t="str">
        <x:f>IF(OR(AM277&lt;&gt;"CURRENT",E277="EXCLUDE"),"NO",IF(A277="","",IF(OR(F277="FAIL",F277="PAYWALL_BLOCKED"),IF(AND(AK277&lt;&gt;"",AK277&gt;=INT(G277),D277="STORED",J277="MANUAL",AL277&lt;&gt;""),"NO","YES"),IF(AND(AR277="ROLLING",I277="CHANGED"),IF(AND(AK277&lt;&gt;"",AK277&gt;=INT(IF(H277&lt;&gt;"",H277,G277)),AL277&lt;&gt;""),"NO","YES"),"NO"))))</x:f>
        <x:v>NO</x:v>
      </x:c>
      <x:c r="O277" s="751"/>
      <x:c r="P277" s="752"/>
      <x:c r="Q277" s="752"/>
      <x:c r="R277" s="752"/>
      <x:c r="S277" s="752"/>
      <x:c r="T277" s="752"/>
      <x:c r="U277" s="752"/>
      <x:c r="V277" s="752"/>
      <x:c r="W277" s="752"/>
      <x:c r="X277" s="752"/>
      <x:c r="Y277" s="752"/>
      <x:c r="Z277" s="752"/>
      <x:c r="AA277" s="752"/>
      <x:c r="AB277" s="752"/>
      <x:c r="AC277" s="752"/>
      <x:c r="AD277" s="752"/>
      <x:c r="AE277" s="752"/>
      <x:c r="AF277" s="752"/>
      <x:c r="AG277" s="752"/>
      <x:c r="AH277" s="752"/>
      <x:c r="AI277" s="752"/>
      <x:c r="AJ277" s="752"/>
      <x:c r="AK277" s="759"/>
      <x:c r="AL277" s="752"/>
      <x:c r="AM277" s="752"/>
      <x:c r="AN277" s="752"/>
      <x:c r="AO277" s="752"/>
      <x:c r="AP277" s="752"/>
      <x:c r="AQ277" s="752"/>
      <x:c r="AR277" s="752"/>
      <x:c r="AS277" s="752"/>
    </x:row>
    <x:row r="278" ht="30" customHeight="1">
      <x:c r="A278" s="751"/>
      <x:c r="B278" s="751"/>
      <x:c r="C278" s="751"/>
      <x:c r="D278" s="751"/>
      <x:c r="E278" s="751" t="str">
        <x:f>IF(A278="","",IF(OR(AJ278="EXCLUDE",COUNTIF(AD278:AH278,"LOW")&gt;0),"EXCLUDE",IF(OR(AJ278&lt;&gt;"INCLUDE",F278&lt;&gt;"SUCCESS",D278&lt;&gt;"STORED",U278="",AP278="",AQ278="",AQ278="UNVERIFIED",AND(AP278="OFFICIAL_WEBSITE",Q278=""),AND(OR(AA278="Equipment manual / OEM instruction",AB278="Asset-specific normative"),OR(Z278&lt;&gt;"Manufacturer / supplier",AS278="",AC278=""))),"PENDING",IF(COUNTIF(AD278:AH278,"HIGH")=5,"INCLUDE","PENDING"))))</x:f>
      </x:c>
      <x:c r="F278" s="751"/>
      <x:c r="G278" s="755"/>
      <x:c r="H278" s="755"/>
      <x:c r="I278" s="751"/>
      <x:c r="J278" s="751"/>
      <x:c r="K278" s="757" t="str">
        <x:f>IF(A278="","",IF(J278="AUTO",H278,IF(J278="MANUAL",AK278,"")))</x:f>
      </x:c>
      <x:c r="L278" s="751"/>
      <x:c r="M278" s="751"/>
      <x:c r="N278" s="751" t="str">
        <x:f>IF(OR(AM278&lt;&gt;"CURRENT",E278="EXCLUDE"),"NO",IF(A278="","",IF(OR(F278="FAIL",F278="PAYWALL_BLOCKED"),IF(AND(AK278&lt;&gt;"",AK278&gt;=INT(G278),D278="STORED",J278="MANUAL",AL278&lt;&gt;""),"NO","YES"),IF(AND(AR278="ROLLING",I278="CHANGED"),IF(AND(AK278&lt;&gt;"",AK278&gt;=INT(IF(H278&lt;&gt;"",H278,G278)),AL278&lt;&gt;""),"NO","YES"),"NO"))))</x:f>
        <x:v>NO</x:v>
      </x:c>
      <x:c r="O278" s="751"/>
      <x:c r="P278" s="752"/>
      <x:c r="Q278" s="752"/>
      <x:c r="R278" s="752"/>
      <x:c r="S278" s="752"/>
      <x:c r="T278" s="752"/>
      <x:c r="U278" s="752"/>
      <x:c r="V278" s="752"/>
      <x:c r="W278" s="752"/>
      <x:c r="X278" s="752"/>
      <x:c r="Y278" s="752"/>
      <x:c r="Z278" s="752"/>
      <x:c r="AA278" s="752"/>
      <x:c r="AB278" s="752"/>
      <x:c r="AC278" s="752"/>
      <x:c r="AD278" s="752"/>
      <x:c r="AE278" s="752"/>
      <x:c r="AF278" s="752"/>
      <x:c r="AG278" s="752"/>
      <x:c r="AH278" s="752"/>
      <x:c r="AI278" s="752"/>
      <x:c r="AJ278" s="752"/>
      <x:c r="AK278" s="759"/>
      <x:c r="AL278" s="752"/>
      <x:c r="AM278" s="752"/>
      <x:c r="AN278" s="752"/>
      <x:c r="AO278" s="752"/>
      <x:c r="AP278" s="752"/>
      <x:c r="AQ278" s="752"/>
      <x:c r="AR278" s="752"/>
      <x:c r="AS278" s="752"/>
    </x:row>
    <x:row r="279" ht="30" customHeight="1">
      <x:c r="A279" s="751"/>
      <x:c r="B279" s="751"/>
      <x:c r="C279" s="751"/>
      <x:c r="D279" s="751"/>
      <x:c r="E279" s="751" t="str">
        <x:f>IF(A279="","",IF(OR(AJ279="EXCLUDE",COUNTIF(AD279:AH279,"LOW")&gt;0),"EXCLUDE",IF(OR(AJ279&lt;&gt;"INCLUDE",F279&lt;&gt;"SUCCESS",D279&lt;&gt;"STORED",U279="",AP279="",AQ279="",AQ279="UNVERIFIED",AND(AP279="OFFICIAL_WEBSITE",Q279=""),AND(OR(AA279="Equipment manual / OEM instruction",AB279="Asset-specific normative"),OR(Z279&lt;&gt;"Manufacturer / supplier",AS279="",AC279=""))),"PENDING",IF(COUNTIF(AD279:AH279,"HIGH")=5,"INCLUDE","PENDING"))))</x:f>
      </x:c>
      <x:c r="F279" s="751"/>
      <x:c r="G279" s="755"/>
      <x:c r="H279" s="755"/>
      <x:c r="I279" s="751"/>
      <x:c r="J279" s="751"/>
      <x:c r="K279" s="757" t="str">
        <x:f>IF(A279="","",IF(J279="AUTO",H279,IF(J279="MANUAL",AK279,"")))</x:f>
      </x:c>
      <x:c r="L279" s="751"/>
      <x:c r="M279" s="751"/>
      <x:c r="N279" s="751" t="str">
        <x:f>IF(OR(AM279&lt;&gt;"CURRENT",E279="EXCLUDE"),"NO",IF(A279="","",IF(OR(F279="FAIL",F279="PAYWALL_BLOCKED"),IF(AND(AK279&lt;&gt;"",AK279&gt;=INT(G279),D279="STORED",J279="MANUAL",AL279&lt;&gt;""),"NO","YES"),IF(AND(AR279="ROLLING",I279="CHANGED"),IF(AND(AK279&lt;&gt;"",AK279&gt;=INT(IF(H279&lt;&gt;"",H279,G279)),AL279&lt;&gt;""),"NO","YES"),"NO"))))</x:f>
        <x:v>NO</x:v>
      </x:c>
      <x:c r="O279" s="751"/>
      <x:c r="P279" s="752"/>
      <x:c r="Q279" s="752"/>
      <x:c r="R279" s="752"/>
      <x:c r="S279" s="752"/>
      <x:c r="T279" s="752"/>
      <x:c r="U279" s="752"/>
      <x:c r="V279" s="752"/>
      <x:c r="W279" s="752"/>
      <x:c r="X279" s="752"/>
      <x:c r="Y279" s="752"/>
      <x:c r="Z279" s="752"/>
      <x:c r="AA279" s="752"/>
      <x:c r="AB279" s="752"/>
      <x:c r="AC279" s="752"/>
      <x:c r="AD279" s="752"/>
      <x:c r="AE279" s="752"/>
      <x:c r="AF279" s="752"/>
      <x:c r="AG279" s="752"/>
      <x:c r="AH279" s="752"/>
      <x:c r="AI279" s="752"/>
      <x:c r="AJ279" s="752"/>
      <x:c r="AK279" s="759"/>
      <x:c r="AL279" s="752"/>
      <x:c r="AM279" s="752"/>
      <x:c r="AN279" s="752"/>
      <x:c r="AO279" s="752"/>
      <x:c r="AP279" s="752"/>
      <x:c r="AQ279" s="752"/>
      <x:c r="AR279" s="752"/>
      <x:c r="AS279" s="752"/>
    </x:row>
    <x:row r="280" ht="30" customHeight="1">
      <x:c r="A280" s="751"/>
      <x:c r="B280" s="751"/>
      <x:c r="C280" s="751"/>
      <x:c r="D280" s="751"/>
      <x:c r="E280" s="751" t="str">
        <x:f>IF(A280="","",IF(OR(AJ280="EXCLUDE",COUNTIF(AD280:AH280,"LOW")&gt;0),"EXCLUDE",IF(OR(AJ280&lt;&gt;"INCLUDE",F280&lt;&gt;"SUCCESS",D280&lt;&gt;"STORED",U280="",AP280="",AQ280="",AQ280="UNVERIFIED",AND(AP280="OFFICIAL_WEBSITE",Q280=""),AND(OR(AA280="Equipment manual / OEM instruction",AB280="Asset-specific normative"),OR(Z280&lt;&gt;"Manufacturer / supplier",AS280="",AC280=""))),"PENDING",IF(COUNTIF(AD280:AH280,"HIGH")=5,"INCLUDE","PENDING"))))</x:f>
      </x:c>
      <x:c r="F280" s="751"/>
      <x:c r="G280" s="755"/>
      <x:c r="H280" s="755"/>
      <x:c r="I280" s="751"/>
      <x:c r="J280" s="751"/>
      <x:c r="K280" s="757" t="str">
        <x:f>IF(A280="","",IF(J280="AUTO",H280,IF(J280="MANUAL",AK280,"")))</x:f>
      </x:c>
      <x:c r="L280" s="751"/>
      <x:c r="M280" s="751"/>
      <x:c r="N280" s="751" t="str">
        <x:f>IF(OR(AM280&lt;&gt;"CURRENT",E280="EXCLUDE"),"NO",IF(A280="","",IF(OR(F280="FAIL",F280="PAYWALL_BLOCKED"),IF(AND(AK280&lt;&gt;"",AK280&gt;=INT(G280),D280="STORED",J280="MANUAL",AL280&lt;&gt;""),"NO","YES"),IF(AND(AR280="ROLLING",I280="CHANGED"),IF(AND(AK280&lt;&gt;"",AK280&gt;=INT(IF(H280&lt;&gt;"",H280,G280)),AL280&lt;&gt;""),"NO","YES"),"NO"))))</x:f>
        <x:v>NO</x:v>
      </x:c>
      <x:c r="O280" s="751"/>
      <x:c r="P280" s="752"/>
      <x:c r="Q280" s="752"/>
      <x:c r="R280" s="752"/>
      <x:c r="S280" s="752"/>
      <x:c r="T280" s="752"/>
      <x:c r="U280" s="752"/>
      <x:c r="V280" s="752"/>
      <x:c r="W280" s="752"/>
      <x:c r="X280" s="752"/>
      <x:c r="Y280" s="752"/>
      <x:c r="Z280" s="752"/>
      <x:c r="AA280" s="752"/>
      <x:c r="AB280" s="752"/>
      <x:c r="AC280" s="752"/>
      <x:c r="AD280" s="752"/>
      <x:c r="AE280" s="752"/>
      <x:c r="AF280" s="752"/>
      <x:c r="AG280" s="752"/>
      <x:c r="AH280" s="752"/>
      <x:c r="AI280" s="752"/>
      <x:c r="AJ280" s="752"/>
      <x:c r="AK280" s="759"/>
      <x:c r="AL280" s="752"/>
      <x:c r="AM280" s="752"/>
      <x:c r="AN280" s="752"/>
      <x:c r="AO280" s="752"/>
      <x:c r="AP280" s="752"/>
      <x:c r="AQ280" s="752"/>
      <x:c r="AR280" s="752"/>
      <x:c r="AS280" s="752"/>
    </x:row>
    <x:row r="281" ht="30" customHeight="1">
      <x:c r="A281" s="751"/>
      <x:c r="B281" s="751"/>
      <x:c r="C281" s="751"/>
      <x:c r="D281" s="751"/>
      <x:c r="E281" s="751" t="str">
        <x:f>IF(A281="","",IF(OR(AJ281="EXCLUDE",COUNTIF(AD281:AH281,"LOW")&gt;0),"EXCLUDE",IF(OR(AJ281&lt;&gt;"INCLUDE",F281&lt;&gt;"SUCCESS",D281&lt;&gt;"STORED",U281="",AP281="",AQ281="",AQ281="UNVERIFIED",AND(AP281="OFFICIAL_WEBSITE",Q281=""),AND(OR(AA281="Equipment manual / OEM instruction",AB281="Asset-specific normative"),OR(Z281&lt;&gt;"Manufacturer / supplier",AS281="",AC281=""))),"PENDING",IF(COUNTIF(AD281:AH281,"HIGH")=5,"INCLUDE","PENDING"))))</x:f>
      </x:c>
      <x:c r="F281" s="751"/>
      <x:c r="G281" s="755"/>
      <x:c r="H281" s="755"/>
      <x:c r="I281" s="751"/>
      <x:c r="J281" s="751"/>
      <x:c r="K281" s="757" t="str">
        <x:f>IF(A281="","",IF(J281="AUTO",H281,IF(J281="MANUAL",AK281,"")))</x:f>
      </x:c>
      <x:c r="L281" s="751"/>
      <x:c r="M281" s="751"/>
      <x:c r="N281" s="751" t="str">
        <x:f>IF(OR(AM281&lt;&gt;"CURRENT",E281="EXCLUDE"),"NO",IF(A281="","",IF(OR(F281="FAIL",F281="PAYWALL_BLOCKED"),IF(AND(AK281&lt;&gt;"",AK281&gt;=INT(G281),D281="STORED",J281="MANUAL",AL281&lt;&gt;""),"NO","YES"),IF(AND(AR281="ROLLING",I281="CHANGED"),IF(AND(AK281&lt;&gt;"",AK281&gt;=INT(IF(H281&lt;&gt;"",H281,G281)),AL281&lt;&gt;""),"NO","YES"),"NO"))))</x:f>
        <x:v>NO</x:v>
      </x:c>
      <x:c r="O281" s="751"/>
      <x:c r="P281" s="752"/>
      <x:c r="Q281" s="752"/>
      <x:c r="R281" s="752"/>
      <x:c r="S281" s="752"/>
      <x:c r="T281" s="752"/>
      <x:c r="U281" s="752"/>
      <x:c r="V281" s="752"/>
      <x:c r="W281" s="752"/>
      <x:c r="X281" s="752"/>
      <x:c r="Y281" s="752"/>
      <x:c r="Z281" s="752"/>
      <x:c r="AA281" s="752"/>
      <x:c r="AB281" s="752"/>
      <x:c r="AC281" s="752"/>
      <x:c r="AD281" s="752"/>
      <x:c r="AE281" s="752"/>
      <x:c r="AF281" s="752"/>
      <x:c r="AG281" s="752"/>
      <x:c r="AH281" s="752"/>
      <x:c r="AI281" s="752"/>
      <x:c r="AJ281" s="752"/>
      <x:c r="AK281" s="759"/>
      <x:c r="AL281" s="752"/>
      <x:c r="AM281" s="752"/>
      <x:c r="AN281" s="752"/>
      <x:c r="AO281" s="752"/>
      <x:c r="AP281" s="752"/>
      <x:c r="AQ281" s="752"/>
      <x:c r="AR281" s="752"/>
      <x:c r="AS281" s="752"/>
    </x:row>
    <x:row r="282" ht="30" customHeight="1">
      <x:c r="A282" s="751"/>
      <x:c r="B282" s="751"/>
      <x:c r="C282" s="751"/>
      <x:c r="D282" s="751"/>
      <x:c r="E282" s="751" t="str">
        <x:f>IF(A282="","",IF(OR(AJ282="EXCLUDE",COUNTIF(AD282:AH282,"LOW")&gt;0),"EXCLUDE",IF(OR(AJ282&lt;&gt;"INCLUDE",F282&lt;&gt;"SUCCESS",D282&lt;&gt;"STORED",U282="",AP282="",AQ282="",AQ282="UNVERIFIED",AND(AP282="OFFICIAL_WEBSITE",Q282=""),AND(OR(AA282="Equipment manual / OEM instruction",AB282="Asset-specific normative"),OR(Z282&lt;&gt;"Manufacturer / supplier",AS282="",AC282=""))),"PENDING",IF(COUNTIF(AD282:AH282,"HIGH")=5,"INCLUDE","PENDING"))))</x:f>
      </x:c>
      <x:c r="F282" s="751"/>
      <x:c r="G282" s="755"/>
      <x:c r="H282" s="755"/>
      <x:c r="I282" s="751"/>
      <x:c r="J282" s="751"/>
      <x:c r="K282" s="757" t="str">
        <x:f>IF(A282="","",IF(J282="AUTO",H282,IF(J282="MANUAL",AK282,"")))</x:f>
      </x:c>
      <x:c r="L282" s="751"/>
      <x:c r="M282" s="751"/>
      <x:c r="N282" s="751" t="str">
        <x:f>IF(OR(AM282&lt;&gt;"CURRENT",E282="EXCLUDE"),"NO",IF(A282="","",IF(OR(F282="FAIL",F282="PAYWALL_BLOCKED"),IF(AND(AK282&lt;&gt;"",AK282&gt;=INT(G282),D282="STORED",J282="MANUAL",AL282&lt;&gt;""),"NO","YES"),IF(AND(AR282="ROLLING",I282="CHANGED"),IF(AND(AK282&lt;&gt;"",AK282&gt;=INT(IF(H282&lt;&gt;"",H282,G282)),AL282&lt;&gt;""),"NO","YES"),"NO"))))</x:f>
        <x:v>NO</x:v>
      </x:c>
      <x:c r="O282" s="751"/>
      <x:c r="P282" s="752"/>
      <x:c r="Q282" s="752"/>
      <x:c r="R282" s="752"/>
      <x:c r="S282" s="752"/>
      <x:c r="T282" s="752"/>
      <x:c r="U282" s="752"/>
      <x:c r="V282" s="752"/>
      <x:c r="W282" s="752"/>
      <x:c r="X282" s="752"/>
      <x:c r="Y282" s="752"/>
      <x:c r="Z282" s="752"/>
      <x:c r="AA282" s="752"/>
      <x:c r="AB282" s="752"/>
      <x:c r="AC282" s="752"/>
      <x:c r="AD282" s="752"/>
      <x:c r="AE282" s="752"/>
      <x:c r="AF282" s="752"/>
      <x:c r="AG282" s="752"/>
      <x:c r="AH282" s="752"/>
      <x:c r="AI282" s="752"/>
      <x:c r="AJ282" s="752"/>
      <x:c r="AK282" s="759"/>
      <x:c r="AL282" s="752"/>
      <x:c r="AM282" s="752"/>
      <x:c r="AN282" s="752"/>
      <x:c r="AO282" s="752"/>
      <x:c r="AP282" s="752"/>
      <x:c r="AQ282" s="752"/>
      <x:c r="AR282" s="752"/>
      <x:c r="AS282" s="752"/>
    </x:row>
    <x:row r="283" ht="30" customHeight="1">
      <x:c r="A283" s="751"/>
      <x:c r="B283" s="751"/>
      <x:c r="C283" s="751"/>
      <x:c r="D283" s="751"/>
      <x:c r="E283" s="751" t="str">
        <x:f>IF(A283="","",IF(OR(AJ283="EXCLUDE",COUNTIF(AD283:AH283,"LOW")&gt;0),"EXCLUDE",IF(OR(AJ283&lt;&gt;"INCLUDE",F283&lt;&gt;"SUCCESS",D283&lt;&gt;"STORED",U283="",AP283="",AQ283="",AQ283="UNVERIFIED",AND(AP283="OFFICIAL_WEBSITE",Q283=""),AND(OR(AA283="Equipment manual / OEM instruction",AB283="Asset-specific normative"),OR(Z283&lt;&gt;"Manufacturer / supplier",AS283="",AC283=""))),"PENDING",IF(COUNTIF(AD283:AH283,"HIGH")=5,"INCLUDE","PENDING"))))</x:f>
      </x:c>
      <x:c r="F283" s="751"/>
      <x:c r="G283" s="755"/>
      <x:c r="H283" s="755"/>
      <x:c r="I283" s="751"/>
      <x:c r="J283" s="751"/>
      <x:c r="K283" s="757" t="str">
        <x:f>IF(A283="","",IF(J283="AUTO",H283,IF(J283="MANUAL",AK283,"")))</x:f>
      </x:c>
      <x:c r="L283" s="751"/>
      <x:c r="M283" s="751"/>
      <x:c r="N283" s="751" t="str">
        <x:f>IF(OR(AM283&lt;&gt;"CURRENT",E283="EXCLUDE"),"NO",IF(A283="","",IF(OR(F283="FAIL",F283="PAYWALL_BLOCKED"),IF(AND(AK283&lt;&gt;"",AK283&gt;=INT(G283),D283="STORED",J283="MANUAL",AL283&lt;&gt;""),"NO","YES"),IF(AND(AR283="ROLLING",I283="CHANGED"),IF(AND(AK283&lt;&gt;"",AK283&gt;=INT(IF(H283&lt;&gt;"",H283,G283)),AL283&lt;&gt;""),"NO","YES"),"NO"))))</x:f>
        <x:v>NO</x:v>
      </x:c>
      <x:c r="O283" s="751"/>
      <x:c r="P283" s="752"/>
      <x:c r="Q283" s="752"/>
      <x:c r="R283" s="752"/>
      <x:c r="S283" s="752"/>
      <x:c r="T283" s="752"/>
      <x:c r="U283" s="752"/>
      <x:c r="V283" s="752"/>
      <x:c r="W283" s="752"/>
      <x:c r="X283" s="752"/>
      <x:c r="Y283" s="752"/>
      <x:c r="Z283" s="752"/>
      <x:c r="AA283" s="752"/>
      <x:c r="AB283" s="752"/>
      <x:c r="AC283" s="752"/>
      <x:c r="AD283" s="752"/>
      <x:c r="AE283" s="752"/>
      <x:c r="AF283" s="752"/>
      <x:c r="AG283" s="752"/>
      <x:c r="AH283" s="752"/>
      <x:c r="AI283" s="752"/>
      <x:c r="AJ283" s="752"/>
      <x:c r="AK283" s="759"/>
      <x:c r="AL283" s="752"/>
      <x:c r="AM283" s="752"/>
      <x:c r="AN283" s="752"/>
      <x:c r="AO283" s="752"/>
      <x:c r="AP283" s="752"/>
      <x:c r="AQ283" s="752"/>
      <x:c r="AR283" s="752"/>
      <x:c r="AS283" s="752"/>
    </x:row>
    <x:row r="284" ht="30" customHeight="1">
      <x:c r="A284" s="751"/>
      <x:c r="B284" s="751"/>
      <x:c r="C284" s="751"/>
      <x:c r="D284" s="751"/>
      <x:c r="E284" s="751" t="str">
        <x:f>IF(A284="","",IF(OR(AJ284="EXCLUDE",COUNTIF(AD284:AH284,"LOW")&gt;0),"EXCLUDE",IF(OR(AJ284&lt;&gt;"INCLUDE",F284&lt;&gt;"SUCCESS",D284&lt;&gt;"STORED",U284="",AP284="",AQ284="",AQ284="UNVERIFIED",AND(AP284="OFFICIAL_WEBSITE",Q284=""),AND(OR(AA284="Equipment manual / OEM instruction",AB284="Asset-specific normative"),OR(Z284&lt;&gt;"Manufacturer / supplier",AS284="",AC284=""))),"PENDING",IF(COUNTIF(AD284:AH284,"HIGH")=5,"INCLUDE","PENDING"))))</x:f>
      </x:c>
      <x:c r="F284" s="751"/>
      <x:c r="G284" s="755"/>
      <x:c r="H284" s="755"/>
      <x:c r="I284" s="751"/>
      <x:c r="J284" s="751"/>
      <x:c r="K284" s="757" t="str">
        <x:f>IF(A284="","",IF(J284="AUTO",H284,IF(J284="MANUAL",AK284,"")))</x:f>
      </x:c>
      <x:c r="L284" s="751"/>
      <x:c r="M284" s="751"/>
      <x:c r="N284" s="751" t="str">
        <x:f>IF(OR(AM284&lt;&gt;"CURRENT",E284="EXCLUDE"),"NO",IF(A284="","",IF(OR(F284="FAIL",F284="PAYWALL_BLOCKED"),IF(AND(AK284&lt;&gt;"",AK284&gt;=INT(G284),D284="STORED",J284="MANUAL",AL284&lt;&gt;""),"NO","YES"),IF(AND(AR284="ROLLING",I284="CHANGED"),IF(AND(AK284&lt;&gt;"",AK284&gt;=INT(IF(H284&lt;&gt;"",H284,G284)),AL284&lt;&gt;""),"NO","YES"),"NO"))))</x:f>
        <x:v>NO</x:v>
      </x:c>
      <x:c r="O284" s="751"/>
      <x:c r="P284" s="752"/>
      <x:c r="Q284" s="752"/>
      <x:c r="R284" s="752"/>
      <x:c r="S284" s="752"/>
      <x:c r="T284" s="752"/>
      <x:c r="U284" s="752"/>
      <x:c r="V284" s="752"/>
      <x:c r="W284" s="752"/>
      <x:c r="X284" s="752"/>
      <x:c r="Y284" s="752"/>
      <x:c r="Z284" s="752"/>
      <x:c r="AA284" s="752"/>
      <x:c r="AB284" s="752"/>
      <x:c r="AC284" s="752"/>
      <x:c r="AD284" s="752"/>
      <x:c r="AE284" s="752"/>
      <x:c r="AF284" s="752"/>
      <x:c r="AG284" s="752"/>
      <x:c r="AH284" s="752"/>
      <x:c r="AI284" s="752"/>
      <x:c r="AJ284" s="752"/>
      <x:c r="AK284" s="759"/>
      <x:c r="AL284" s="752"/>
      <x:c r="AM284" s="752"/>
      <x:c r="AN284" s="752"/>
      <x:c r="AO284" s="752"/>
      <x:c r="AP284" s="752"/>
      <x:c r="AQ284" s="752"/>
      <x:c r="AR284" s="752"/>
      <x:c r="AS284" s="752"/>
    </x:row>
    <x:row r="285" ht="30" customHeight="1">
      <x:c r="A285" s="751"/>
      <x:c r="B285" s="751"/>
      <x:c r="C285" s="751"/>
      <x:c r="D285" s="751"/>
      <x:c r="E285" s="751" t="str">
        <x:f>IF(A285="","",IF(OR(AJ285="EXCLUDE",COUNTIF(AD285:AH285,"LOW")&gt;0),"EXCLUDE",IF(OR(AJ285&lt;&gt;"INCLUDE",F285&lt;&gt;"SUCCESS",D285&lt;&gt;"STORED",U285="",AP285="",AQ285="",AQ285="UNVERIFIED",AND(AP285="OFFICIAL_WEBSITE",Q285=""),AND(OR(AA285="Equipment manual / OEM instruction",AB285="Asset-specific normative"),OR(Z285&lt;&gt;"Manufacturer / supplier",AS285="",AC285=""))),"PENDING",IF(COUNTIF(AD285:AH285,"HIGH")=5,"INCLUDE","PENDING"))))</x:f>
      </x:c>
      <x:c r="F285" s="751"/>
      <x:c r="G285" s="755"/>
      <x:c r="H285" s="755"/>
      <x:c r="I285" s="751"/>
      <x:c r="J285" s="751"/>
      <x:c r="K285" s="757" t="str">
        <x:f>IF(A285="","",IF(J285="AUTO",H285,IF(J285="MANUAL",AK285,"")))</x:f>
      </x:c>
      <x:c r="L285" s="751"/>
      <x:c r="M285" s="751"/>
      <x:c r="N285" s="751" t="str">
        <x:f>IF(OR(AM285&lt;&gt;"CURRENT",E285="EXCLUDE"),"NO",IF(A285="","",IF(OR(F285="FAIL",F285="PAYWALL_BLOCKED"),IF(AND(AK285&lt;&gt;"",AK285&gt;=INT(G285),D285="STORED",J285="MANUAL",AL285&lt;&gt;""),"NO","YES"),IF(AND(AR285="ROLLING",I285="CHANGED"),IF(AND(AK285&lt;&gt;"",AK285&gt;=INT(IF(H285&lt;&gt;"",H285,G285)),AL285&lt;&gt;""),"NO","YES"),"NO"))))</x:f>
        <x:v>NO</x:v>
      </x:c>
      <x:c r="O285" s="751"/>
      <x:c r="P285" s="752"/>
      <x:c r="Q285" s="752"/>
      <x:c r="R285" s="752"/>
      <x:c r="S285" s="752"/>
      <x:c r="T285" s="752"/>
      <x:c r="U285" s="752"/>
      <x:c r="V285" s="752"/>
      <x:c r="W285" s="752"/>
      <x:c r="X285" s="752"/>
      <x:c r="Y285" s="752"/>
      <x:c r="Z285" s="752"/>
      <x:c r="AA285" s="752"/>
      <x:c r="AB285" s="752"/>
      <x:c r="AC285" s="752"/>
      <x:c r="AD285" s="752"/>
      <x:c r="AE285" s="752"/>
      <x:c r="AF285" s="752"/>
      <x:c r="AG285" s="752"/>
      <x:c r="AH285" s="752"/>
      <x:c r="AI285" s="752"/>
      <x:c r="AJ285" s="752"/>
      <x:c r="AK285" s="759"/>
      <x:c r="AL285" s="752"/>
      <x:c r="AM285" s="752"/>
      <x:c r="AN285" s="752"/>
      <x:c r="AO285" s="752"/>
      <x:c r="AP285" s="752"/>
      <x:c r="AQ285" s="752"/>
      <x:c r="AR285" s="752"/>
      <x:c r="AS285" s="752"/>
    </x:row>
    <x:row r="286" ht="30" customHeight="1">
      <x:c r="A286" s="751"/>
      <x:c r="B286" s="751"/>
      <x:c r="C286" s="751"/>
      <x:c r="D286" s="751"/>
      <x:c r="E286" s="751" t="str">
        <x:f>IF(A286="","",IF(OR(AJ286="EXCLUDE",COUNTIF(AD286:AH286,"LOW")&gt;0),"EXCLUDE",IF(OR(AJ286&lt;&gt;"INCLUDE",F286&lt;&gt;"SUCCESS",D286&lt;&gt;"STORED",U286="",AP286="",AQ286="",AQ286="UNVERIFIED",AND(AP286="OFFICIAL_WEBSITE",Q286=""),AND(OR(AA286="Equipment manual / OEM instruction",AB286="Asset-specific normative"),OR(Z286&lt;&gt;"Manufacturer / supplier",AS286="",AC286=""))),"PENDING",IF(COUNTIF(AD286:AH286,"HIGH")=5,"INCLUDE","PENDING"))))</x:f>
      </x:c>
      <x:c r="F286" s="751"/>
      <x:c r="G286" s="755"/>
      <x:c r="H286" s="755"/>
      <x:c r="I286" s="751"/>
      <x:c r="J286" s="751"/>
      <x:c r="K286" s="757" t="str">
        <x:f>IF(A286="","",IF(J286="AUTO",H286,IF(J286="MANUAL",AK286,"")))</x:f>
      </x:c>
      <x:c r="L286" s="751"/>
      <x:c r="M286" s="751"/>
      <x:c r="N286" s="751" t="str">
        <x:f>IF(OR(AM286&lt;&gt;"CURRENT",E286="EXCLUDE"),"NO",IF(A286="","",IF(OR(F286="FAIL",F286="PAYWALL_BLOCKED"),IF(AND(AK286&lt;&gt;"",AK286&gt;=INT(G286),D286="STORED",J286="MANUAL",AL286&lt;&gt;""),"NO","YES"),IF(AND(AR286="ROLLING",I286="CHANGED"),IF(AND(AK286&lt;&gt;"",AK286&gt;=INT(IF(H286&lt;&gt;"",H286,G286)),AL286&lt;&gt;""),"NO","YES"),"NO"))))</x:f>
        <x:v>NO</x:v>
      </x:c>
      <x:c r="O286" s="751"/>
      <x:c r="P286" s="752"/>
      <x:c r="Q286" s="752"/>
      <x:c r="R286" s="752"/>
      <x:c r="S286" s="752"/>
      <x:c r="T286" s="752"/>
      <x:c r="U286" s="752"/>
      <x:c r="V286" s="752"/>
      <x:c r="W286" s="752"/>
      <x:c r="X286" s="752"/>
      <x:c r="Y286" s="752"/>
      <x:c r="Z286" s="752"/>
      <x:c r="AA286" s="752"/>
      <x:c r="AB286" s="752"/>
      <x:c r="AC286" s="752"/>
      <x:c r="AD286" s="752"/>
      <x:c r="AE286" s="752"/>
      <x:c r="AF286" s="752"/>
      <x:c r="AG286" s="752"/>
      <x:c r="AH286" s="752"/>
      <x:c r="AI286" s="752"/>
      <x:c r="AJ286" s="752"/>
      <x:c r="AK286" s="759"/>
      <x:c r="AL286" s="752"/>
      <x:c r="AM286" s="752"/>
      <x:c r="AN286" s="752"/>
      <x:c r="AO286" s="752"/>
      <x:c r="AP286" s="752"/>
      <x:c r="AQ286" s="752"/>
      <x:c r="AR286" s="752"/>
      <x:c r="AS286" s="752"/>
    </x:row>
    <x:row r="287" ht="30" customHeight="1">
      <x:c r="A287" s="751"/>
      <x:c r="B287" s="751"/>
      <x:c r="C287" s="751"/>
      <x:c r="D287" s="751"/>
      <x:c r="E287" s="751" t="str">
        <x:f>IF(A287="","",IF(OR(AJ287="EXCLUDE",COUNTIF(AD287:AH287,"LOW")&gt;0),"EXCLUDE",IF(OR(AJ287&lt;&gt;"INCLUDE",F287&lt;&gt;"SUCCESS",D287&lt;&gt;"STORED",U287="",AP287="",AQ287="",AQ287="UNVERIFIED",AND(AP287="OFFICIAL_WEBSITE",Q287=""),AND(OR(AA287="Equipment manual / OEM instruction",AB287="Asset-specific normative"),OR(Z287&lt;&gt;"Manufacturer / supplier",AS287="",AC287=""))),"PENDING",IF(COUNTIF(AD287:AH287,"HIGH")=5,"INCLUDE","PENDING"))))</x:f>
      </x:c>
      <x:c r="F287" s="751"/>
      <x:c r="G287" s="755"/>
      <x:c r="H287" s="755"/>
      <x:c r="I287" s="751"/>
      <x:c r="J287" s="751"/>
      <x:c r="K287" s="757" t="str">
        <x:f>IF(A287="","",IF(J287="AUTO",H287,IF(J287="MANUAL",AK287,"")))</x:f>
      </x:c>
      <x:c r="L287" s="751"/>
      <x:c r="M287" s="751"/>
      <x:c r="N287" s="751" t="str">
        <x:f>IF(OR(AM287&lt;&gt;"CURRENT",E287="EXCLUDE"),"NO",IF(A287="","",IF(OR(F287="FAIL",F287="PAYWALL_BLOCKED"),IF(AND(AK287&lt;&gt;"",AK287&gt;=INT(G287),D287="STORED",J287="MANUAL",AL287&lt;&gt;""),"NO","YES"),IF(AND(AR287="ROLLING",I287="CHANGED"),IF(AND(AK287&lt;&gt;"",AK287&gt;=INT(IF(H287&lt;&gt;"",H287,G287)),AL287&lt;&gt;""),"NO","YES"),"NO"))))</x:f>
        <x:v>NO</x:v>
      </x:c>
      <x:c r="O287" s="751"/>
      <x:c r="P287" s="752"/>
      <x:c r="Q287" s="752"/>
      <x:c r="R287" s="752"/>
      <x:c r="S287" s="752"/>
      <x:c r="T287" s="752"/>
      <x:c r="U287" s="752"/>
      <x:c r="V287" s="752"/>
      <x:c r="W287" s="752"/>
      <x:c r="X287" s="752"/>
      <x:c r="Y287" s="752"/>
      <x:c r="Z287" s="752"/>
      <x:c r="AA287" s="752"/>
      <x:c r="AB287" s="752"/>
      <x:c r="AC287" s="752"/>
      <x:c r="AD287" s="752"/>
      <x:c r="AE287" s="752"/>
      <x:c r="AF287" s="752"/>
      <x:c r="AG287" s="752"/>
      <x:c r="AH287" s="752"/>
      <x:c r="AI287" s="752"/>
      <x:c r="AJ287" s="752"/>
      <x:c r="AK287" s="759"/>
      <x:c r="AL287" s="752"/>
      <x:c r="AM287" s="752"/>
      <x:c r="AN287" s="752"/>
      <x:c r="AO287" s="752"/>
      <x:c r="AP287" s="752"/>
      <x:c r="AQ287" s="752"/>
      <x:c r="AR287" s="752"/>
      <x:c r="AS287" s="752"/>
    </x:row>
    <x:row r="288" ht="30" customHeight="1">
      <x:c r="A288" s="751"/>
      <x:c r="B288" s="751"/>
      <x:c r="C288" s="751"/>
      <x:c r="D288" s="751"/>
      <x:c r="E288" s="751" t="str">
        <x:f>IF(A288="","",IF(OR(AJ288="EXCLUDE",COUNTIF(AD288:AH288,"LOW")&gt;0),"EXCLUDE",IF(OR(AJ288&lt;&gt;"INCLUDE",F288&lt;&gt;"SUCCESS",D288&lt;&gt;"STORED",U288="",AP288="",AQ288="",AQ288="UNVERIFIED",AND(AP288="OFFICIAL_WEBSITE",Q288=""),AND(OR(AA288="Equipment manual / OEM instruction",AB288="Asset-specific normative"),OR(Z288&lt;&gt;"Manufacturer / supplier",AS288="",AC288=""))),"PENDING",IF(COUNTIF(AD288:AH288,"HIGH")=5,"INCLUDE","PENDING"))))</x:f>
      </x:c>
      <x:c r="F288" s="751"/>
      <x:c r="G288" s="755"/>
      <x:c r="H288" s="755"/>
      <x:c r="I288" s="751"/>
      <x:c r="J288" s="751"/>
      <x:c r="K288" s="757" t="str">
        <x:f>IF(A288="","",IF(J288="AUTO",H288,IF(J288="MANUAL",AK288,"")))</x:f>
      </x:c>
      <x:c r="L288" s="751"/>
      <x:c r="M288" s="751"/>
      <x:c r="N288" s="751" t="str">
        <x:f>IF(OR(AM288&lt;&gt;"CURRENT",E288="EXCLUDE"),"NO",IF(A288="","",IF(OR(F288="FAIL",F288="PAYWALL_BLOCKED"),IF(AND(AK288&lt;&gt;"",AK288&gt;=INT(G288),D288="STORED",J288="MANUAL",AL288&lt;&gt;""),"NO","YES"),IF(AND(AR288="ROLLING",I288="CHANGED"),IF(AND(AK288&lt;&gt;"",AK288&gt;=INT(IF(H288&lt;&gt;"",H288,G288)),AL288&lt;&gt;""),"NO","YES"),"NO"))))</x:f>
        <x:v>NO</x:v>
      </x:c>
      <x:c r="O288" s="751"/>
      <x:c r="P288" s="752"/>
      <x:c r="Q288" s="752"/>
      <x:c r="R288" s="752"/>
      <x:c r="S288" s="752"/>
      <x:c r="T288" s="752"/>
      <x:c r="U288" s="752"/>
      <x:c r="V288" s="752"/>
      <x:c r="W288" s="752"/>
      <x:c r="X288" s="752"/>
      <x:c r="Y288" s="752"/>
      <x:c r="Z288" s="752"/>
      <x:c r="AA288" s="752"/>
      <x:c r="AB288" s="752"/>
      <x:c r="AC288" s="752"/>
      <x:c r="AD288" s="752"/>
      <x:c r="AE288" s="752"/>
      <x:c r="AF288" s="752"/>
      <x:c r="AG288" s="752"/>
      <x:c r="AH288" s="752"/>
      <x:c r="AI288" s="752"/>
      <x:c r="AJ288" s="752"/>
      <x:c r="AK288" s="759"/>
      <x:c r="AL288" s="752"/>
      <x:c r="AM288" s="752"/>
      <x:c r="AN288" s="752"/>
      <x:c r="AO288" s="752"/>
      <x:c r="AP288" s="752"/>
      <x:c r="AQ288" s="752"/>
      <x:c r="AR288" s="752"/>
      <x:c r="AS288" s="752"/>
    </x:row>
    <x:row r="289" ht="30" customHeight="1">
      <x:c r="A289" s="751"/>
      <x:c r="B289" s="751"/>
      <x:c r="C289" s="751"/>
      <x:c r="D289" s="751"/>
      <x:c r="E289" s="751" t="str">
        <x:f>IF(A289="","",IF(OR(AJ289="EXCLUDE",COUNTIF(AD289:AH289,"LOW")&gt;0),"EXCLUDE",IF(OR(AJ289&lt;&gt;"INCLUDE",F289&lt;&gt;"SUCCESS",D289&lt;&gt;"STORED",U289="",AP289="",AQ289="",AQ289="UNVERIFIED",AND(AP289="OFFICIAL_WEBSITE",Q289=""),AND(OR(AA289="Equipment manual / OEM instruction",AB289="Asset-specific normative"),OR(Z289&lt;&gt;"Manufacturer / supplier",AS289="",AC289=""))),"PENDING",IF(COUNTIF(AD289:AH289,"HIGH")=5,"INCLUDE","PENDING"))))</x:f>
      </x:c>
      <x:c r="F289" s="751"/>
      <x:c r="G289" s="755"/>
      <x:c r="H289" s="755"/>
      <x:c r="I289" s="751"/>
      <x:c r="J289" s="751"/>
      <x:c r="K289" s="757" t="str">
        <x:f>IF(A289="","",IF(J289="AUTO",H289,IF(J289="MANUAL",AK289,"")))</x:f>
      </x:c>
      <x:c r="L289" s="751"/>
      <x:c r="M289" s="751"/>
      <x:c r="N289" s="751" t="str">
        <x:f>IF(OR(AM289&lt;&gt;"CURRENT",E289="EXCLUDE"),"NO",IF(A289="","",IF(OR(F289="FAIL",F289="PAYWALL_BLOCKED"),IF(AND(AK289&lt;&gt;"",AK289&gt;=INT(G289),D289="STORED",J289="MANUAL",AL289&lt;&gt;""),"NO","YES"),IF(AND(AR289="ROLLING",I289="CHANGED"),IF(AND(AK289&lt;&gt;"",AK289&gt;=INT(IF(H289&lt;&gt;"",H289,G289)),AL289&lt;&gt;""),"NO","YES"),"NO"))))</x:f>
        <x:v>NO</x:v>
      </x:c>
      <x:c r="O289" s="751"/>
      <x:c r="P289" s="752"/>
      <x:c r="Q289" s="752"/>
      <x:c r="R289" s="752"/>
      <x:c r="S289" s="752"/>
      <x:c r="T289" s="752"/>
      <x:c r="U289" s="752"/>
      <x:c r="V289" s="752"/>
      <x:c r="W289" s="752"/>
      <x:c r="X289" s="752"/>
      <x:c r="Y289" s="752"/>
      <x:c r="Z289" s="752"/>
      <x:c r="AA289" s="752"/>
      <x:c r="AB289" s="752"/>
      <x:c r="AC289" s="752"/>
      <x:c r="AD289" s="752"/>
      <x:c r="AE289" s="752"/>
      <x:c r="AF289" s="752"/>
      <x:c r="AG289" s="752"/>
      <x:c r="AH289" s="752"/>
      <x:c r="AI289" s="752"/>
      <x:c r="AJ289" s="752"/>
      <x:c r="AK289" s="759"/>
      <x:c r="AL289" s="752"/>
      <x:c r="AM289" s="752"/>
      <x:c r="AN289" s="752"/>
      <x:c r="AO289" s="752"/>
      <x:c r="AP289" s="752"/>
      <x:c r="AQ289" s="752"/>
      <x:c r="AR289" s="752"/>
      <x:c r="AS289" s="752"/>
    </x:row>
    <x:row r="290" ht="30" customHeight="1">
      <x:c r="A290" s="751"/>
      <x:c r="B290" s="751"/>
      <x:c r="C290" s="751"/>
      <x:c r="D290" s="751"/>
      <x:c r="E290" s="751" t="str">
        <x:f>IF(A290="","",IF(OR(AJ290="EXCLUDE",COUNTIF(AD290:AH290,"LOW")&gt;0),"EXCLUDE",IF(OR(AJ290&lt;&gt;"INCLUDE",F290&lt;&gt;"SUCCESS",D290&lt;&gt;"STORED",U290="",AP290="",AQ290="",AQ290="UNVERIFIED",AND(AP290="OFFICIAL_WEBSITE",Q290=""),AND(OR(AA290="Equipment manual / OEM instruction",AB290="Asset-specific normative"),OR(Z290&lt;&gt;"Manufacturer / supplier",AS290="",AC290=""))),"PENDING",IF(COUNTIF(AD290:AH290,"HIGH")=5,"INCLUDE","PENDING"))))</x:f>
      </x:c>
      <x:c r="F290" s="751"/>
      <x:c r="G290" s="755"/>
      <x:c r="H290" s="755"/>
      <x:c r="I290" s="751"/>
      <x:c r="J290" s="751"/>
      <x:c r="K290" s="757" t="str">
        <x:f>IF(A290="","",IF(J290="AUTO",H290,IF(J290="MANUAL",AK290,"")))</x:f>
      </x:c>
      <x:c r="L290" s="751"/>
      <x:c r="M290" s="751"/>
      <x:c r="N290" s="751" t="str">
        <x:f>IF(OR(AM290&lt;&gt;"CURRENT",E290="EXCLUDE"),"NO",IF(A290="","",IF(OR(F290="FAIL",F290="PAYWALL_BLOCKED"),IF(AND(AK290&lt;&gt;"",AK290&gt;=INT(G290),D290="STORED",J290="MANUAL",AL290&lt;&gt;""),"NO","YES"),IF(AND(AR290="ROLLING",I290="CHANGED"),IF(AND(AK290&lt;&gt;"",AK290&gt;=INT(IF(H290&lt;&gt;"",H290,G290)),AL290&lt;&gt;""),"NO","YES"),"NO"))))</x:f>
        <x:v>NO</x:v>
      </x:c>
      <x:c r="O290" s="751"/>
      <x:c r="P290" s="752"/>
      <x:c r="Q290" s="752"/>
      <x:c r="R290" s="752"/>
      <x:c r="S290" s="752"/>
      <x:c r="T290" s="752"/>
      <x:c r="U290" s="752"/>
      <x:c r="V290" s="752"/>
      <x:c r="W290" s="752"/>
      <x:c r="X290" s="752"/>
      <x:c r="Y290" s="752"/>
      <x:c r="Z290" s="752"/>
      <x:c r="AA290" s="752"/>
      <x:c r="AB290" s="752"/>
      <x:c r="AC290" s="752"/>
      <x:c r="AD290" s="752"/>
      <x:c r="AE290" s="752"/>
      <x:c r="AF290" s="752"/>
      <x:c r="AG290" s="752"/>
      <x:c r="AH290" s="752"/>
      <x:c r="AI290" s="752"/>
      <x:c r="AJ290" s="752"/>
      <x:c r="AK290" s="759"/>
      <x:c r="AL290" s="752"/>
      <x:c r="AM290" s="752"/>
      <x:c r="AN290" s="752"/>
      <x:c r="AO290" s="752"/>
      <x:c r="AP290" s="752"/>
      <x:c r="AQ290" s="752"/>
      <x:c r="AR290" s="752"/>
      <x:c r="AS290" s="752"/>
    </x:row>
    <x:row r="291" ht="30" customHeight="1">
      <x:c r="A291" s="751"/>
      <x:c r="B291" s="751"/>
      <x:c r="C291" s="751"/>
      <x:c r="D291" s="751"/>
      <x:c r="E291" s="751" t="str">
        <x:f>IF(A291="","",IF(OR(AJ291="EXCLUDE",COUNTIF(AD291:AH291,"LOW")&gt;0),"EXCLUDE",IF(OR(AJ291&lt;&gt;"INCLUDE",F291&lt;&gt;"SUCCESS",D291&lt;&gt;"STORED",U291="",AP291="",AQ291="",AQ291="UNVERIFIED",AND(AP291="OFFICIAL_WEBSITE",Q291=""),AND(OR(AA291="Equipment manual / OEM instruction",AB291="Asset-specific normative"),OR(Z291&lt;&gt;"Manufacturer / supplier",AS291="",AC291=""))),"PENDING",IF(COUNTIF(AD291:AH291,"HIGH")=5,"INCLUDE","PENDING"))))</x:f>
      </x:c>
      <x:c r="F291" s="751"/>
      <x:c r="G291" s="755"/>
      <x:c r="H291" s="755"/>
      <x:c r="I291" s="751"/>
      <x:c r="J291" s="751"/>
      <x:c r="K291" s="757" t="str">
        <x:f>IF(A291="","",IF(J291="AUTO",H291,IF(J291="MANUAL",AK291,"")))</x:f>
      </x:c>
      <x:c r="L291" s="751"/>
      <x:c r="M291" s="751"/>
      <x:c r="N291" s="751" t="str">
        <x:f>IF(OR(AM291&lt;&gt;"CURRENT",E291="EXCLUDE"),"NO",IF(A291="","",IF(OR(F291="FAIL",F291="PAYWALL_BLOCKED"),IF(AND(AK291&lt;&gt;"",AK291&gt;=INT(G291),D291="STORED",J291="MANUAL",AL291&lt;&gt;""),"NO","YES"),IF(AND(AR291="ROLLING",I291="CHANGED"),IF(AND(AK291&lt;&gt;"",AK291&gt;=INT(IF(H291&lt;&gt;"",H291,G291)),AL291&lt;&gt;""),"NO","YES"),"NO"))))</x:f>
        <x:v>NO</x:v>
      </x:c>
      <x:c r="O291" s="751"/>
      <x:c r="P291" s="752"/>
      <x:c r="Q291" s="752"/>
      <x:c r="R291" s="752"/>
      <x:c r="S291" s="752"/>
      <x:c r="T291" s="752"/>
      <x:c r="U291" s="752"/>
      <x:c r="V291" s="752"/>
      <x:c r="W291" s="752"/>
      <x:c r="X291" s="752"/>
      <x:c r="Y291" s="752"/>
      <x:c r="Z291" s="752"/>
      <x:c r="AA291" s="752"/>
      <x:c r="AB291" s="752"/>
      <x:c r="AC291" s="752"/>
      <x:c r="AD291" s="752"/>
      <x:c r="AE291" s="752"/>
      <x:c r="AF291" s="752"/>
      <x:c r="AG291" s="752"/>
      <x:c r="AH291" s="752"/>
      <x:c r="AI291" s="752"/>
      <x:c r="AJ291" s="752"/>
      <x:c r="AK291" s="759"/>
      <x:c r="AL291" s="752"/>
      <x:c r="AM291" s="752"/>
      <x:c r="AN291" s="752"/>
      <x:c r="AO291" s="752"/>
      <x:c r="AP291" s="752"/>
      <x:c r="AQ291" s="752"/>
      <x:c r="AR291" s="752"/>
      <x:c r="AS291" s="752"/>
    </x:row>
    <x:row r="292" ht="30" customHeight="1">
      <x:c r="A292" s="751"/>
      <x:c r="B292" s="751"/>
      <x:c r="C292" s="751"/>
      <x:c r="D292" s="751"/>
      <x:c r="E292" s="751" t="str">
        <x:f>IF(A292="","",IF(OR(AJ292="EXCLUDE",COUNTIF(AD292:AH292,"LOW")&gt;0),"EXCLUDE",IF(OR(AJ292&lt;&gt;"INCLUDE",F292&lt;&gt;"SUCCESS",D292&lt;&gt;"STORED",U292="",AP292="",AQ292="",AQ292="UNVERIFIED",AND(AP292="OFFICIAL_WEBSITE",Q292=""),AND(OR(AA292="Equipment manual / OEM instruction",AB292="Asset-specific normative"),OR(Z292&lt;&gt;"Manufacturer / supplier",AS292="",AC292=""))),"PENDING",IF(COUNTIF(AD292:AH292,"HIGH")=5,"INCLUDE","PENDING"))))</x:f>
      </x:c>
      <x:c r="F292" s="751"/>
      <x:c r="G292" s="755"/>
      <x:c r="H292" s="755"/>
      <x:c r="I292" s="751"/>
      <x:c r="J292" s="751"/>
      <x:c r="K292" s="757" t="str">
        <x:f>IF(A292="","",IF(J292="AUTO",H292,IF(J292="MANUAL",AK292,"")))</x:f>
      </x:c>
      <x:c r="L292" s="751"/>
      <x:c r="M292" s="751"/>
      <x:c r="N292" s="751" t="str">
        <x:f>IF(OR(AM292&lt;&gt;"CURRENT",E292="EXCLUDE"),"NO",IF(A292="","",IF(OR(F292="FAIL",F292="PAYWALL_BLOCKED"),IF(AND(AK292&lt;&gt;"",AK292&gt;=INT(G292),D292="STORED",J292="MANUAL",AL292&lt;&gt;""),"NO","YES"),IF(AND(AR292="ROLLING",I292="CHANGED"),IF(AND(AK292&lt;&gt;"",AK292&gt;=INT(IF(H292&lt;&gt;"",H292,G292)),AL292&lt;&gt;""),"NO","YES"),"NO"))))</x:f>
        <x:v>NO</x:v>
      </x:c>
      <x:c r="O292" s="751"/>
      <x:c r="P292" s="752"/>
      <x:c r="Q292" s="752"/>
      <x:c r="R292" s="752"/>
      <x:c r="S292" s="752"/>
      <x:c r="T292" s="752"/>
      <x:c r="U292" s="752"/>
      <x:c r="V292" s="752"/>
      <x:c r="W292" s="752"/>
      <x:c r="X292" s="752"/>
      <x:c r="Y292" s="752"/>
      <x:c r="Z292" s="752"/>
      <x:c r="AA292" s="752"/>
      <x:c r="AB292" s="752"/>
      <x:c r="AC292" s="752"/>
      <x:c r="AD292" s="752"/>
      <x:c r="AE292" s="752"/>
      <x:c r="AF292" s="752"/>
      <x:c r="AG292" s="752"/>
      <x:c r="AH292" s="752"/>
      <x:c r="AI292" s="752"/>
      <x:c r="AJ292" s="752"/>
      <x:c r="AK292" s="759"/>
      <x:c r="AL292" s="752"/>
      <x:c r="AM292" s="752"/>
      <x:c r="AN292" s="752"/>
      <x:c r="AO292" s="752"/>
      <x:c r="AP292" s="752"/>
      <x:c r="AQ292" s="752"/>
      <x:c r="AR292" s="752"/>
      <x:c r="AS292" s="752"/>
    </x:row>
    <x:row r="293" ht="30" customHeight="1">
      <x:c r="A293" s="751"/>
      <x:c r="B293" s="751"/>
      <x:c r="C293" s="751"/>
      <x:c r="D293" s="751"/>
      <x:c r="E293" s="751" t="str">
        <x:f>IF(A293="","",IF(OR(AJ293="EXCLUDE",COUNTIF(AD293:AH293,"LOW")&gt;0),"EXCLUDE",IF(OR(AJ293&lt;&gt;"INCLUDE",F293&lt;&gt;"SUCCESS",D293&lt;&gt;"STORED",U293="",AP293="",AQ293="",AQ293="UNVERIFIED",AND(AP293="OFFICIAL_WEBSITE",Q293=""),AND(OR(AA293="Equipment manual / OEM instruction",AB293="Asset-specific normative"),OR(Z293&lt;&gt;"Manufacturer / supplier",AS293="",AC293=""))),"PENDING",IF(COUNTIF(AD293:AH293,"HIGH")=5,"INCLUDE","PENDING"))))</x:f>
      </x:c>
      <x:c r="F293" s="751"/>
      <x:c r="G293" s="755"/>
      <x:c r="H293" s="755"/>
      <x:c r="I293" s="751"/>
      <x:c r="J293" s="751"/>
      <x:c r="K293" s="757" t="str">
        <x:f>IF(A293="","",IF(J293="AUTO",H293,IF(J293="MANUAL",AK293,"")))</x:f>
      </x:c>
      <x:c r="L293" s="751"/>
      <x:c r="M293" s="751"/>
      <x:c r="N293" s="751" t="str">
        <x:f>IF(OR(AM293&lt;&gt;"CURRENT",E293="EXCLUDE"),"NO",IF(A293="","",IF(OR(F293="FAIL",F293="PAYWALL_BLOCKED"),IF(AND(AK293&lt;&gt;"",AK293&gt;=INT(G293),D293="STORED",J293="MANUAL",AL293&lt;&gt;""),"NO","YES"),IF(AND(AR293="ROLLING",I293="CHANGED"),IF(AND(AK293&lt;&gt;"",AK293&gt;=INT(IF(H293&lt;&gt;"",H293,G293)),AL293&lt;&gt;""),"NO","YES"),"NO"))))</x:f>
        <x:v>NO</x:v>
      </x:c>
      <x:c r="O293" s="751"/>
      <x:c r="P293" s="752"/>
      <x:c r="Q293" s="752"/>
      <x:c r="R293" s="752"/>
      <x:c r="S293" s="752"/>
      <x:c r="T293" s="752"/>
      <x:c r="U293" s="752"/>
      <x:c r="V293" s="752"/>
      <x:c r="W293" s="752"/>
      <x:c r="X293" s="752"/>
      <x:c r="Y293" s="752"/>
      <x:c r="Z293" s="752"/>
      <x:c r="AA293" s="752"/>
      <x:c r="AB293" s="752"/>
      <x:c r="AC293" s="752"/>
      <x:c r="AD293" s="752"/>
      <x:c r="AE293" s="752"/>
      <x:c r="AF293" s="752"/>
      <x:c r="AG293" s="752"/>
      <x:c r="AH293" s="752"/>
      <x:c r="AI293" s="752"/>
      <x:c r="AJ293" s="752"/>
      <x:c r="AK293" s="759"/>
      <x:c r="AL293" s="752"/>
      <x:c r="AM293" s="752"/>
      <x:c r="AN293" s="752"/>
      <x:c r="AO293" s="752"/>
      <x:c r="AP293" s="752"/>
      <x:c r="AQ293" s="752"/>
      <x:c r="AR293" s="752"/>
      <x:c r="AS293" s="752"/>
    </x:row>
    <x:row r="294" ht="30" customHeight="1">
      <x:c r="A294" s="751"/>
      <x:c r="B294" s="751"/>
      <x:c r="C294" s="751"/>
      <x:c r="D294" s="751"/>
      <x:c r="E294" s="751" t="str">
        <x:f>IF(A294="","",IF(OR(AJ294="EXCLUDE",COUNTIF(AD294:AH294,"LOW")&gt;0),"EXCLUDE",IF(OR(AJ294&lt;&gt;"INCLUDE",F294&lt;&gt;"SUCCESS",D294&lt;&gt;"STORED",U294="",AP294="",AQ294="",AQ294="UNVERIFIED",AND(AP294="OFFICIAL_WEBSITE",Q294=""),AND(OR(AA294="Equipment manual / OEM instruction",AB294="Asset-specific normative"),OR(Z294&lt;&gt;"Manufacturer / supplier",AS294="",AC294=""))),"PENDING",IF(COUNTIF(AD294:AH294,"HIGH")=5,"INCLUDE","PENDING"))))</x:f>
      </x:c>
      <x:c r="F294" s="751"/>
      <x:c r="G294" s="755"/>
      <x:c r="H294" s="755"/>
      <x:c r="I294" s="751"/>
      <x:c r="J294" s="751"/>
      <x:c r="K294" s="757" t="str">
        <x:f>IF(A294="","",IF(J294="AUTO",H294,IF(J294="MANUAL",AK294,"")))</x:f>
      </x:c>
      <x:c r="L294" s="751"/>
      <x:c r="M294" s="751"/>
      <x:c r="N294" s="751" t="str">
        <x:f>IF(OR(AM294&lt;&gt;"CURRENT",E294="EXCLUDE"),"NO",IF(A294="","",IF(OR(F294="FAIL",F294="PAYWALL_BLOCKED"),IF(AND(AK294&lt;&gt;"",AK294&gt;=INT(G294),D294="STORED",J294="MANUAL",AL294&lt;&gt;""),"NO","YES"),IF(AND(AR294="ROLLING",I294="CHANGED"),IF(AND(AK294&lt;&gt;"",AK294&gt;=INT(IF(H294&lt;&gt;"",H294,G294)),AL294&lt;&gt;""),"NO","YES"),"NO"))))</x:f>
        <x:v>NO</x:v>
      </x:c>
      <x:c r="O294" s="751"/>
      <x:c r="P294" s="752"/>
      <x:c r="Q294" s="752"/>
      <x:c r="R294" s="752"/>
      <x:c r="S294" s="752"/>
      <x:c r="T294" s="752"/>
      <x:c r="U294" s="752"/>
      <x:c r="V294" s="752"/>
      <x:c r="W294" s="752"/>
      <x:c r="X294" s="752"/>
      <x:c r="Y294" s="752"/>
      <x:c r="Z294" s="752"/>
      <x:c r="AA294" s="752"/>
      <x:c r="AB294" s="752"/>
      <x:c r="AC294" s="752"/>
      <x:c r="AD294" s="752"/>
      <x:c r="AE294" s="752"/>
      <x:c r="AF294" s="752"/>
      <x:c r="AG294" s="752"/>
      <x:c r="AH294" s="752"/>
      <x:c r="AI294" s="752"/>
      <x:c r="AJ294" s="752"/>
      <x:c r="AK294" s="759"/>
      <x:c r="AL294" s="752"/>
      <x:c r="AM294" s="752"/>
      <x:c r="AN294" s="752"/>
      <x:c r="AO294" s="752"/>
      <x:c r="AP294" s="752"/>
      <x:c r="AQ294" s="752"/>
      <x:c r="AR294" s="752"/>
      <x:c r="AS294" s="752"/>
    </x:row>
    <x:row r="295" ht="30" customHeight="1">
      <x:c r="A295" s="751"/>
      <x:c r="B295" s="751"/>
      <x:c r="C295" s="751"/>
      <x:c r="D295" s="751"/>
      <x:c r="E295" s="751" t="str">
        <x:f>IF(A295="","",IF(OR(AJ295="EXCLUDE",COUNTIF(AD295:AH295,"LOW")&gt;0),"EXCLUDE",IF(OR(AJ295&lt;&gt;"INCLUDE",F295&lt;&gt;"SUCCESS",D295&lt;&gt;"STORED",U295="",AP295="",AQ295="",AQ295="UNVERIFIED",AND(AP295="OFFICIAL_WEBSITE",Q295=""),AND(OR(AA295="Equipment manual / OEM instruction",AB295="Asset-specific normative"),OR(Z295&lt;&gt;"Manufacturer / supplier",AS295="",AC295=""))),"PENDING",IF(COUNTIF(AD295:AH295,"HIGH")=5,"INCLUDE","PENDING"))))</x:f>
      </x:c>
      <x:c r="F295" s="751"/>
      <x:c r="G295" s="755"/>
      <x:c r="H295" s="755"/>
      <x:c r="I295" s="751"/>
      <x:c r="J295" s="751"/>
      <x:c r="K295" s="757" t="str">
        <x:f>IF(A295="","",IF(J295="AUTO",H295,IF(J295="MANUAL",AK295,"")))</x:f>
      </x:c>
      <x:c r="L295" s="751"/>
      <x:c r="M295" s="751"/>
      <x:c r="N295" s="751" t="str">
        <x:f>IF(OR(AM295&lt;&gt;"CURRENT",E295="EXCLUDE"),"NO",IF(A295="","",IF(OR(F295="FAIL",F295="PAYWALL_BLOCKED"),IF(AND(AK295&lt;&gt;"",AK295&gt;=INT(G295),D295="STORED",J295="MANUAL",AL295&lt;&gt;""),"NO","YES"),IF(AND(AR295="ROLLING",I295="CHANGED"),IF(AND(AK295&lt;&gt;"",AK295&gt;=INT(IF(H295&lt;&gt;"",H295,G295)),AL295&lt;&gt;""),"NO","YES"),"NO"))))</x:f>
        <x:v>NO</x:v>
      </x:c>
      <x:c r="O295" s="751"/>
      <x:c r="P295" s="752"/>
      <x:c r="Q295" s="752"/>
      <x:c r="R295" s="752"/>
      <x:c r="S295" s="752"/>
      <x:c r="T295" s="752"/>
      <x:c r="U295" s="752"/>
      <x:c r="V295" s="752"/>
      <x:c r="W295" s="752"/>
      <x:c r="X295" s="752"/>
      <x:c r="Y295" s="752"/>
      <x:c r="Z295" s="752"/>
      <x:c r="AA295" s="752"/>
      <x:c r="AB295" s="752"/>
      <x:c r="AC295" s="752"/>
      <x:c r="AD295" s="752"/>
      <x:c r="AE295" s="752"/>
      <x:c r="AF295" s="752"/>
      <x:c r="AG295" s="752"/>
      <x:c r="AH295" s="752"/>
      <x:c r="AI295" s="752"/>
      <x:c r="AJ295" s="752"/>
      <x:c r="AK295" s="759"/>
      <x:c r="AL295" s="752"/>
      <x:c r="AM295" s="752"/>
      <x:c r="AN295" s="752"/>
      <x:c r="AO295" s="752"/>
      <x:c r="AP295" s="752"/>
      <x:c r="AQ295" s="752"/>
      <x:c r="AR295" s="752"/>
      <x:c r="AS295" s="752"/>
    </x:row>
    <x:row r="296" ht="30" customHeight="1">
      <x:c r="A296" s="751"/>
      <x:c r="B296" s="751"/>
      <x:c r="C296" s="751"/>
      <x:c r="D296" s="751"/>
      <x:c r="E296" s="751" t="str">
        <x:f>IF(A296="","",IF(OR(AJ296="EXCLUDE",COUNTIF(AD296:AH296,"LOW")&gt;0),"EXCLUDE",IF(OR(AJ296&lt;&gt;"INCLUDE",F296&lt;&gt;"SUCCESS",D296&lt;&gt;"STORED",U296="",AP296="",AQ296="",AQ296="UNVERIFIED",AND(AP296="OFFICIAL_WEBSITE",Q296=""),AND(OR(AA296="Equipment manual / OEM instruction",AB296="Asset-specific normative"),OR(Z296&lt;&gt;"Manufacturer / supplier",AS296="",AC296=""))),"PENDING",IF(COUNTIF(AD296:AH296,"HIGH")=5,"INCLUDE","PENDING"))))</x:f>
      </x:c>
      <x:c r="F296" s="751"/>
      <x:c r="G296" s="755"/>
      <x:c r="H296" s="755"/>
      <x:c r="I296" s="751"/>
      <x:c r="J296" s="751"/>
      <x:c r="K296" s="757" t="str">
        <x:f>IF(A296="","",IF(J296="AUTO",H296,IF(J296="MANUAL",AK296,"")))</x:f>
      </x:c>
      <x:c r="L296" s="751"/>
      <x:c r="M296" s="751"/>
      <x:c r="N296" s="751" t="str">
        <x:f>IF(OR(AM296&lt;&gt;"CURRENT",E296="EXCLUDE"),"NO",IF(A296="","",IF(OR(F296="FAIL",F296="PAYWALL_BLOCKED"),IF(AND(AK296&lt;&gt;"",AK296&gt;=INT(G296),D296="STORED",J296="MANUAL",AL296&lt;&gt;""),"NO","YES"),IF(AND(AR296="ROLLING",I296="CHANGED"),IF(AND(AK296&lt;&gt;"",AK296&gt;=INT(IF(H296&lt;&gt;"",H296,G296)),AL296&lt;&gt;""),"NO","YES"),"NO"))))</x:f>
        <x:v>NO</x:v>
      </x:c>
      <x:c r="O296" s="751"/>
      <x:c r="P296" s="752"/>
      <x:c r="Q296" s="752"/>
      <x:c r="R296" s="752"/>
      <x:c r="S296" s="752"/>
      <x:c r="T296" s="752"/>
      <x:c r="U296" s="752"/>
      <x:c r="V296" s="752"/>
      <x:c r="W296" s="752"/>
      <x:c r="X296" s="752"/>
      <x:c r="Y296" s="752"/>
      <x:c r="Z296" s="752"/>
      <x:c r="AA296" s="752"/>
      <x:c r="AB296" s="752"/>
      <x:c r="AC296" s="752"/>
      <x:c r="AD296" s="752"/>
      <x:c r="AE296" s="752"/>
      <x:c r="AF296" s="752"/>
      <x:c r="AG296" s="752"/>
      <x:c r="AH296" s="752"/>
      <x:c r="AI296" s="752"/>
      <x:c r="AJ296" s="752"/>
      <x:c r="AK296" s="759"/>
      <x:c r="AL296" s="752"/>
      <x:c r="AM296" s="752"/>
      <x:c r="AN296" s="752"/>
      <x:c r="AO296" s="752"/>
      <x:c r="AP296" s="752"/>
      <x:c r="AQ296" s="752"/>
      <x:c r="AR296" s="752"/>
      <x:c r="AS296" s="752"/>
    </x:row>
    <x:row r="297" ht="30" customHeight="1">
      <x:c r="A297" s="751"/>
      <x:c r="B297" s="751"/>
      <x:c r="C297" s="751"/>
      <x:c r="D297" s="751"/>
      <x:c r="E297" s="751" t="str">
        <x:f>IF(A297="","",IF(OR(AJ297="EXCLUDE",COUNTIF(AD297:AH297,"LOW")&gt;0),"EXCLUDE",IF(OR(AJ297&lt;&gt;"INCLUDE",F297&lt;&gt;"SUCCESS",D297&lt;&gt;"STORED",U297="",AP297="",AQ297="",AQ297="UNVERIFIED",AND(AP297="OFFICIAL_WEBSITE",Q297=""),AND(OR(AA297="Equipment manual / OEM instruction",AB297="Asset-specific normative"),OR(Z297&lt;&gt;"Manufacturer / supplier",AS297="",AC297=""))),"PENDING",IF(COUNTIF(AD297:AH297,"HIGH")=5,"INCLUDE","PENDING"))))</x:f>
      </x:c>
      <x:c r="F297" s="751"/>
      <x:c r="G297" s="755"/>
      <x:c r="H297" s="755"/>
      <x:c r="I297" s="751"/>
      <x:c r="J297" s="751"/>
      <x:c r="K297" s="757" t="str">
        <x:f>IF(A297="","",IF(J297="AUTO",H297,IF(J297="MANUAL",AK297,"")))</x:f>
      </x:c>
      <x:c r="L297" s="751"/>
      <x:c r="M297" s="751"/>
      <x:c r="N297" s="751" t="str">
        <x:f>IF(OR(AM297&lt;&gt;"CURRENT",E297="EXCLUDE"),"NO",IF(A297="","",IF(OR(F297="FAIL",F297="PAYWALL_BLOCKED"),IF(AND(AK297&lt;&gt;"",AK297&gt;=INT(G297),D297="STORED",J297="MANUAL",AL297&lt;&gt;""),"NO","YES"),IF(AND(AR297="ROLLING",I297="CHANGED"),IF(AND(AK297&lt;&gt;"",AK297&gt;=INT(IF(H297&lt;&gt;"",H297,G297)),AL297&lt;&gt;""),"NO","YES"),"NO"))))</x:f>
        <x:v>NO</x:v>
      </x:c>
      <x:c r="O297" s="751"/>
      <x:c r="P297" s="752"/>
      <x:c r="Q297" s="752"/>
      <x:c r="R297" s="752"/>
      <x:c r="S297" s="752"/>
      <x:c r="T297" s="752"/>
      <x:c r="U297" s="752"/>
      <x:c r="V297" s="752"/>
      <x:c r="W297" s="752"/>
      <x:c r="X297" s="752"/>
      <x:c r="Y297" s="752"/>
      <x:c r="Z297" s="752"/>
      <x:c r="AA297" s="752"/>
      <x:c r="AB297" s="752"/>
      <x:c r="AC297" s="752"/>
      <x:c r="AD297" s="752"/>
      <x:c r="AE297" s="752"/>
      <x:c r="AF297" s="752"/>
      <x:c r="AG297" s="752"/>
      <x:c r="AH297" s="752"/>
      <x:c r="AI297" s="752"/>
      <x:c r="AJ297" s="752"/>
      <x:c r="AK297" s="759"/>
      <x:c r="AL297" s="752"/>
      <x:c r="AM297" s="752"/>
      <x:c r="AN297" s="752"/>
      <x:c r="AO297" s="752"/>
      <x:c r="AP297" s="752"/>
      <x:c r="AQ297" s="752"/>
      <x:c r="AR297" s="752"/>
      <x:c r="AS297" s="752"/>
    </x:row>
    <x:row r="298" ht="30" customHeight="1">
      <x:c r="A298" s="751"/>
      <x:c r="B298" s="751"/>
      <x:c r="C298" s="751"/>
      <x:c r="D298" s="751"/>
      <x:c r="E298" s="751" t="str">
        <x:f>IF(A298="","",IF(OR(AJ298="EXCLUDE",COUNTIF(AD298:AH298,"LOW")&gt;0),"EXCLUDE",IF(OR(AJ298&lt;&gt;"INCLUDE",F298&lt;&gt;"SUCCESS",D298&lt;&gt;"STORED",U298="",AP298="",AQ298="",AQ298="UNVERIFIED",AND(AP298="OFFICIAL_WEBSITE",Q298=""),AND(OR(AA298="Equipment manual / OEM instruction",AB298="Asset-specific normative"),OR(Z298&lt;&gt;"Manufacturer / supplier",AS298="",AC298=""))),"PENDING",IF(COUNTIF(AD298:AH298,"HIGH")=5,"INCLUDE","PENDING"))))</x:f>
      </x:c>
      <x:c r="F298" s="751"/>
      <x:c r="G298" s="755"/>
      <x:c r="H298" s="755"/>
      <x:c r="I298" s="751"/>
      <x:c r="J298" s="751"/>
      <x:c r="K298" s="757" t="str">
        <x:f>IF(A298="","",IF(J298="AUTO",H298,IF(J298="MANUAL",AK298,"")))</x:f>
      </x:c>
      <x:c r="L298" s="751"/>
      <x:c r="M298" s="751"/>
      <x:c r="N298" s="751" t="str">
        <x:f>IF(OR(AM298&lt;&gt;"CURRENT",E298="EXCLUDE"),"NO",IF(A298="","",IF(OR(F298="FAIL",F298="PAYWALL_BLOCKED"),IF(AND(AK298&lt;&gt;"",AK298&gt;=INT(G298),D298="STORED",J298="MANUAL",AL298&lt;&gt;""),"NO","YES"),IF(AND(AR298="ROLLING",I298="CHANGED"),IF(AND(AK298&lt;&gt;"",AK298&gt;=INT(IF(H298&lt;&gt;"",H298,G298)),AL298&lt;&gt;""),"NO","YES"),"NO"))))</x:f>
        <x:v>NO</x:v>
      </x:c>
      <x:c r="O298" s="751"/>
      <x:c r="P298" s="752"/>
      <x:c r="Q298" s="752"/>
      <x:c r="R298" s="752"/>
      <x:c r="S298" s="752"/>
      <x:c r="T298" s="752"/>
      <x:c r="U298" s="752"/>
      <x:c r="V298" s="752"/>
      <x:c r="W298" s="752"/>
      <x:c r="X298" s="752"/>
      <x:c r="Y298" s="752"/>
      <x:c r="Z298" s="752"/>
      <x:c r="AA298" s="752"/>
      <x:c r="AB298" s="752"/>
      <x:c r="AC298" s="752"/>
      <x:c r="AD298" s="752"/>
      <x:c r="AE298" s="752"/>
      <x:c r="AF298" s="752"/>
      <x:c r="AG298" s="752"/>
      <x:c r="AH298" s="752"/>
      <x:c r="AI298" s="752"/>
      <x:c r="AJ298" s="752"/>
      <x:c r="AK298" s="759"/>
      <x:c r="AL298" s="752"/>
      <x:c r="AM298" s="752"/>
      <x:c r="AN298" s="752"/>
      <x:c r="AO298" s="752"/>
      <x:c r="AP298" s="752"/>
      <x:c r="AQ298" s="752"/>
      <x:c r="AR298" s="752"/>
      <x:c r="AS298" s="752"/>
    </x:row>
    <x:row r="299" ht="30" customHeight="1">
      <x:c r="A299" s="751"/>
      <x:c r="B299" s="751"/>
      <x:c r="C299" s="751"/>
      <x:c r="D299" s="751"/>
      <x:c r="E299" s="751" t="str">
        <x:f>IF(A299="","",IF(OR(AJ299="EXCLUDE",COUNTIF(AD299:AH299,"LOW")&gt;0),"EXCLUDE",IF(OR(AJ299&lt;&gt;"INCLUDE",F299&lt;&gt;"SUCCESS",D299&lt;&gt;"STORED",U299="",AP299="",AQ299="",AQ299="UNVERIFIED",AND(AP299="OFFICIAL_WEBSITE",Q299=""),AND(OR(AA299="Equipment manual / OEM instruction",AB299="Asset-specific normative"),OR(Z299&lt;&gt;"Manufacturer / supplier",AS299="",AC299=""))),"PENDING",IF(COUNTIF(AD299:AH299,"HIGH")=5,"INCLUDE","PENDING"))))</x:f>
      </x:c>
      <x:c r="F299" s="751"/>
      <x:c r="G299" s="755"/>
      <x:c r="H299" s="755"/>
      <x:c r="I299" s="751"/>
      <x:c r="J299" s="751"/>
      <x:c r="K299" s="757" t="str">
        <x:f>IF(A299="","",IF(J299="AUTO",H299,IF(J299="MANUAL",AK299,"")))</x:f>
      </x:c>
      <x:c r="L299" s="751"/>
      <x:c r="M299" s="751"/>
      <x:c r="N299" s="751" t="str">
        <x:f>IF(OR(AM299&lt;&gt;"CURRENT",E299="EXCLUDE"),"NO",IF(A299="","",IF(OR(F299="FAIL",F299="PAYWALL_BLOCKED"),IF(AND(AK299&lt;&gt;"",AK299&gt;=INT(G299),D299="STORED",J299="MANUAL",AL299&lt;&gt;""),"NO","YES"),IF(AND(AR299="ROLLING",I299="CHANGED"),IF(AND(AK299&lt;&gt;"",AK299&gt;=INT(IF(H299&lt;&gt;"",H299,G299)),AL299&lt;&gt;""),"NO","YES"),"NO"))))</x:f>
        <x:v>NO</x:v>
      </x:c>
      <x:c r="O299" s="751"/>
      <x:c r="P299" s="752"/>
      <x:c r="Q299" s="752"/>
      <x:c r="R299" s="752"/>
      <x:c r="S299" s="752"/>
      <x:c r="T299" s="752"/>
      <x:c r="U299" s="752"/>
      <x:c r="V299" s="752"/>
      <x:c r="W299" s="752"/>
      <x:c r="X299" s="752"/>
      <x:c r="Y299" s="752"/>
      <x:c r="Z299" s="752"/>
      <x:c r="AA299" s="752"/>
      <x:c r="AB299" s="752"/>
      <x:c r="AC299" s="752"/>
      <x:c r="AD299" s="752"/>
      <x:c r="AE299" s="752"/>
      <x:c r="AF299" s="752"/>
      <x:c r="AG299" s="752"/>
      <x:c r="AH299" s="752"/>
      <x:c r="AI299" s="752"/>
      <x:c r="AJ299" s="752"/>
      <x:c r="AK299" s="759"/>
      <x:c r="AL299" s="752"/>
      <x:c r="AM299" s="752"/>
      <x:c r="AN299" s="752"/>
      <x:c r="AO299" s="752"/>
      <x:c r="AP299" s="752"/>
      <x:c r="AQ299" s="752"/>
      <x:c r="AR299" s="752"/>
      <x:c r="AS299" s="752"/>
    </x:row>
    <x:row r="300" ht="30" customHeight="1">
      <x:c r="A300" s="751"/>
      <x:c r="B300" s="751"/>
      <x:c r="C300" s="751"/>
      <x:c r="D300" s="751"/>
      <x:c r="E300" s="751" t="str">
        <x:f>IF(A300="","",IF(OR(AJ300="EXCLUDE",COUNTIF(AD300:AH300,"LOW")&gt;0),"EXCLUDE",IF(OR(AJ300&lt;&gt;"INCLUDE",F300&lt;&gt;"SUCCESS",D300&lt;&gt;"STORED",U300="",AP300="",AQ300="",AQ300="UNVERIFIED",AND(AP300="OFFICIAL_WEBSITE",Q300=""),AND(OR(AA300="Equipment manual / OEM instruction",AB300="Asset-specific normative"),OR(Z300&lt;&gt;"Manufacturer / supplier",AS300="",AC300=""))),"PENDING",IF(COUNTIF(AD300:AH300,"HIGH")=5,"INCLUDE","PENDING"))))</x:f>
      </x:c>
      <x:c r="F300" s="751"/>
      <x:c r="G300" s="755"/>
      <x:c r="H300" s="755"/>
      <x:c r="I300" s="751"/>
      <x:c r="J300" s="751"/>
      <x:c r="K300" s="757" t="str">
        <x:f>IF(A300="","",IF(J300="AUTO",H300,IF(J300="MANUAL",AK300,"")))</x:f>
      </x:c>
      <x:c r="L300" s="751"/>
      <x:c r="M300" s="751"/>
      <x:c r="N300" s="751" t="str">
        <x:f>IF(OR(AM300&lt;&gt;"CURRENT",E300="EXCLUDE"),"NO",IF(A300="","",IF(OR(F300="FAIL",F300="PAYWALL_BLOCKED"),IF(AND(AK300&lt;&gt;"",AK300&gt;=INT(G300),D300="STORED",J300="MANUAL",AL300&lt;&gt;""),"NO","YES"),IF(AND(AR300="ROLLING",I300="CHANGED"),IF(AND(AK300&lt;&gt;"",AK300&gt;=INT(IF(H300&lt;&gt;"",H300,G300)),AL300&lt;&gt;""),"NO","YES"),"NO"))))</x:f>
        <x:v>NO</x:v>
      </x:c>
      <x:c r="O300" s="751"/>
      <x:c r="P300" s="752"/>
      <x:c r="Q300" s="752"/>
      <x:c r="R300" s="752"/>
      <x:c r="S300" s="752"/>
      <x:c r="T300" s="752"/>
      <x:c r="U300" s="752"/>
      <x:c r="V300" s="752"/>
      <x:c r="W300" s="752"/>
      <x:c r="X300" s="752"/>
      <x:c r="Y300" s="752"/>
      <x:c r="Z300" s="752"/>
      <x:c r="AA300" s="752"/>
      <x:c r="AB300" s="752"/>
      <x:c r="AC300" s="752"/>
      <x:c r="AD300" s="752"/>
      <x:c r="AE300" s="752"/>
      <x:c r="AF300" s="752"/>
      <x:c r="AG300" s="752"/>
      <x:c r="AH300" s="752"/>
      <x:c r="AI300" s="752"/>
      <x:c r="AJ300" s="752"/>
      <x:c r="AK300" s="759"/>
      <x:c r="AL300" s="752"/>
      <x:c r="AM300" s="752"/>
      <x:c r="AN300" s="752"/>
      <x:c r="AO300" s="752"/>
      <x:c r="AP300" s="752"/>
      <x:c r="AQ300" s="752"/>
      <x:c r="AR300" s="752"/>
      <x:c r="AS300" s="752"/>
    </x:row>
    <x:row r="301" ht="30" customHeight="1">
      <x:c r="A301" s="751"/>
      <x:c r="B301" s="751"/>
      <x:c r="C301" s="751"/>
      <x:c r="D301" s="751"/>
      <x:c r="E301" s="751" t="str">
        <x:f>IF(A301="","",IF(OR(AJ301="EXCLUDE",COUNTIF(AD301:AH301,"LOW")&gt;0),"EXCLUDE",IF(OR(AJ301&lt;&gt;"INCLUDE",F301&lt;&gt;"SUCCESS",D301&lt;&gt;"STORED",U301="",AP301="",AQ301="",AQ301="UNVERIFIED",AND(AP301="OFFICIAL_WEBSITE",Q301=""),AND(OR(AA301="Equipment manual / OEM instruction",AB301="Asset-specific normative"),OR(Z301&lt;&gt;"Manufacturer / supplier",AS301="",AC301=""))),"PENDING",IF(COUNTIF(AD301:AH301,"HIGH")=5,"INCLUDE","PENDING"))))</x:f>
      </x:c>
      <x:c r="F301" s="751"/>
      <x:c r="G301" s="755"/>
      <x:c r="H301" s="755"/>
      <x:c r="I301" s="751"/>
      <x:c r="J301" s="751"/>
      <x:c r="K301" s="757" t="str">
        <x:f>IF(A301="","",IF(J301="AUTO",H301,IF(J301="MANUAL",AK301,"")))</x:f>
      </x:c>
      <x:c r="L301" s="751"/>
      <x:c r="M301" s="751"/>
      <x:c r="N301" s="751" t="str">
        <x:f>IF(OR(AM301&lt;&gt;"CURRENT",E301="EXCLUDE"),"NO",IF(A301="","",IF(OR(F301="FAIL",F301="PAYWALL_BLOCKED"),IF(AND(AK301&lt;&gt;"",AK301&gt;=INT(G301),D301="STORED",J301="MANUAL",AL301&lt;&gt;""),"NO","YES"),IF(AND(AR301="ROLLING",I301="CHANGED"),IF(AND(AK301&lt;&gt;"",AK301&gt;=INT(IF(H301&lt;&gt;"",H301,G301)),AL301&lt;&gt;""),"NO","YES"),"NO"))))</x:f>
        <x:v>NO</x:v>
      </x:c>
      <x:c r="O301" s="751"/>
      <x:c r="P301" s="752"/>
      <x:c r="Q301" s="752"/>
      <x:c r="R301" s="752"/>
      <x:c r="S301" s="752"/>
      <x:c r="T301" s="752"/>
      <x:c r="U301" s="752"/>
      <x:c r="V301" s="752"/>
      <x:c r="W301" s="752"/>
      <x:c r="X301" s="752"/>
      <x:c r="Y301" s="752"/>
      <x:c r="Z301" s="752"/>
      <x:c r="AA301" s="752"/>
      <x:c r="AB301" s="752"/>
      <x:c r="AC301" s="752"/>
      <x:c r="AD301" s="752"/>
      <x:c r="AE301" s="752"/>
      <x:c r="AF301" s="752"/>
      <x:c r="AG301" s="752"/>
      <x:c r="AH301" s="752"/>
      <x:c r="AI301" s="752"/>
      <x:c r="AJ301" s="752"/>
      <x:c r="AK301" s="759"/>
      <x:c r="AL301" s="752"/>
      <x:c r="AM301" s="752"/>
      <x:c r="AN301" s="752"/>
      <x:c r="AO301" s="752"/>
      <x:c r="AP301" s="752"/>
      <x:c r="AQ301" s="752"/>
      <x:c r="AR301" s="752"/>
      <x:c r="AS301" s="752"/>
    </x:row>
    <x:row r="302" ht="30" customHeight="1">
      <x:c r="A302" s="753"/>
      <x:c r="B302" s="753"/>
      <x:c r="C302" s="753"/>
      <x:c r="D302" s="753"/>
      <x:c r="E302" s="753" t="str">
        <x:f>IF(A302="","",IF(OR(AJ302="EXCLUDE",COUNTIF(AD302:AH302,"LOW")&gt;0),"EXCLUDE",IF(OR(AJ302&lt;&gt;"INCLUDE",F302&lt;&gt;"SUCCESS",D302&lt;&gt;"STORED",U302="",AP302="",AQ302="",AQ302="UNVERIFIED",AND(AP302="OFFICIAL_WEBSITE",Q302=""),AND(OR(AA302="Equipment manual / OEM instruction",AB302="Asset-specific normative"),OR(Z302&lt;&gt;"Manufacturer / supplier",AS302="",AC302=""))),"PENDING",IF(COUNTIF(AD302:AH302,"HIGH")=5,"INCLUDE","PENDING"))))</x:f>
      </x:c>
      <x:c r="F302" s="753"/>
      <x:c r="G302" s="756"/>
      <x:c r="H302" s="756"/>
      <x:c r="I302" s="753"/>
      <x:c r="J302" s="753"/>
      <x:c r="K302" s="758" t="str">
        <x:f>IF(A302="","",IF(J302="AUTO",H302,IF(J302="MANUAL",AK302,"")))</x:f>
      </x:c>
      <x:c r="L302" s="753"/>
      <x:c r="M302" s="753"/>
      <x:c r="N302" s="753" t="str">
        <x:f>IF(OR(AM302&lt;&gt;"CURRENT",E302="EXCLUDE"),"NO",IF(A302="","",IF(OR(F302="FAIL",F302="PAYWALL_BLOCKED"),IF(AND(AK302&lt;&gt;"",AK302&gt;=INT(G302),D302="STORED",J302="MANUAL",AL302&lt;&gt;""),"NO","YES"),IF(AND(AR302="ROLLING",I302="CHANGED"),IF(AND(AK302&lt;&gt;"",AK302&gt;=INT(IF(H302&lt;&gt;"",H302,G302)),AL302&lt;&gt;""),"NO","YES"),"NO"))))</x:f>
        <x:v>NO</x:v>
      </x:c>
      <x:c r="O302" s="753"/>
      <x:c r="P302" s="754"/>
      <x:c r="Q302" s="754"/>
      <x:c r="R302" s="754"/>
      <x:c r="S302" s="754"/>
      <x:c r="T302" s="754"/>
      <x:c r="U302" s="754"/>
      <x:c r="V302" s="754"/>
      <x:c r="W302" s="754"/>
      <x:c r="X302" s="754"/>
      <x:c r="Y302" s="754"/>
      <x:c r="Z302" s="754"/>
      <x:c r="AA302" s="754"/>
      <x:c r="AB302" s="754"/>
      <x:c r="AC302" s="754"/>
      <x:c r="AD302" s="754"/>
      <x:c r="AE302" s="754"/>
      <x:c r="AF302" s="754"/>
      <x:c r="AG302" s="754"/>
      <x:c r="AH302" s="754"/>
      <x:c r="AI302" s="754"/>
      <x:c r="AJ302" s="754"/>
      <x:c r="AK302" s="760"/>
      <x:c r="AL302" s="754"/>
      <x:c r="AM302" s="754"/>
      <x:c r="AN302" s="754"/>
      <x:c r="AO302" s="754"/>
      <x:c r="AP302" s="754"/>
      <x:c r="AQ302" s="754"/>
      <x:c r="AR302" s="754"/>
      <x:c r="AS302" s="754"/>
    </x:row>
  </x:sheetData>
  <x:mergeCells>
    <x:mergeCell ref="A1:O1"/>
    <x:mergeCell ref="P1:AS1"/>
  </x:mergeCells>
  <x:conditionalFormatting sqref="A3:A302">
    <x:cfRule type="duplicateValues" dxfId="0" priority="1"/>
  </x:conditionalFormatting>
  <x:conditionalFormatting sqref="B3:B302">
    <x:cfRule type="duplicateValues" dxfId="0" priority="2"/>
  </x:conditionalFormatting>
  <x:conditionalFormatting sqref="S3:X302">
    <x:cfRule type="containsText" dxfId="0" priority="3" operator="containsText" text="LOW"/>
    <x:cfRule type="containsText" dxfId="3" priority="4" operator="containsText" text="MEDIUM"/>
    <x:cfRule type="containsText" dxfId="4" priority="5" operator="containsText" text="HIGH"/>
  </x:conditionalFormatting>
  <x:conditionalFormatting sqref="Y3:Y302">
    <x:cfRule type="containsText" dxfId="4" priority="6" operator="containsText" text="INCLUDE"/>
    <x:cfRule type="containsText" dxfId="3" priority="7" operator="containsText" text="PENDING"/>
    <x:cfRule type="containsText" dxfId="0" priority="8" operator="containsText" text="EXCLUDE"/>
  </x:conditionalFormatting>
  <x:conditionalFormatting sqref="Z3:Z302">
    <x:cfRule type="containsText" dxfId="4" priority="9" operator="containsText" text="SUCCESS"/>
    <x:cfRule type="containsText" dxfId="9" priority="10" operator="containsText" text="RUNNING"/>
    <x:cfRule type="containsText" dxfId="0" priority="11" operator="containsText" text="FAIL"/>
  </x:conditionalFormatting>
  <x:conditionalFormatting sqref="AC3:AC302">
    <x:cfRule type="containsText" dxfId="3" priority="12" operator="containsText" text="CHANGED"/>
  </x:conditionalFormatting>
  <x:conditionalFormatting sqref="AP3:AP302">
    <x:cfRule type="containsText" dxfId="0" priority="15" operator="containsText" text="UNVERIFIED"/>
  </x:conditionalFormatting>
  <x:conditionalFormatting sqref="AQ3:AQ302">
    <x:cfRule type="containsText" dxfId="3" priority="16" operator="containsText" text="UNKNOWN"/>
  </x:conditionalFormatting>
  <x:conditionalFormatting sqref="E3:E302">
    <x:cfRule type="containsText" dxfId="36" priority="17" operator="containsText" text="INCLUDE"/>
    <x:cfRule type="containsText" dxfId="37" priority="18" operator="containsText" text="PENDING"/>
    <x:cfRule type="containsText" dxfId="38" priority="19" operator="containsText" text="EXCLUDE"/>
  </x:conditionalFormatting>
  <x:conditionalFormatting sqref="AJ3:AJ302">
    <x:cfRule type="containsText" dxfId="39" priority="20" operator="containsText" text="INCLUDE"/>
    <x:cfRule type="containsText" dxfId="40" priority="21" operator="containsText" text="PENDING"/>
    <x:cfRule type="containsText" dxfId="41" priority="22" operator="containsText" text="EXCLUDE"/>
  </x:conditionalFormatting>
  <x:conditionalFormatting sqref="F3:F302">
    <x:cfRule type="containsText" dxfId="42" priority="23" operator="containsText" text="SUCCESS"/>
    <x:cfRule type="containsText" dxfId="43" priority="24" operator="containsText" text="FAIL"/>
    <x:cfRule type="containsText" dxfId="44" priority="25" operator="containsText" text="PAYWALL_BLOCKED"/>
    <x:cfRule type="containsText" dxfId="45" priority="26" operator="containsText" text="NOT_RUN"/>
  </x:conditionalFormatting>
  <x:conditionalFormatting sqref="AD3:AI302">
    <x:cfRule type="containsText" dxfId="46" priority="27" operator="containsText" text="HIGH"/>
    <x:cfRule type="containsText" dxfId="47" priority="28" operator="containsText" text="MEDIUM"/>
    <x:cfRule type="containsText" dxfId="48" priority="29" operator="containsText" text="LOW"/>
  </x:conditionalFormatting>
  <x:conditionalFormatting sqref="N3:N302">
    <x:cfRule type="containsText" dxfId="49" priority="30" operator="containsText" text="YES"/>
  </x:conditionalFormatting>
  <x:dataValidations count="26">
    <x:dataValidation type="list" allowBlank="0" showDropDown="0" showInputMessage="0" showErrorMessage="0" sqref="F3:F302">
      <x:formula1>'Categories'!$D$6:$D$12</x:formula1>
    </x:dataValidation>
    <x:dataValidation type="list" allowBlank="0" showDropDown="0" showInputMessage="0" showErrorMessage="0" sqref="G3:G302">
      <x:formula1>'Categories'!$B$55:$B$58</x:formula1>
    </x:dataValidation>
    <x:dataValidation type="list" allowBlank="0" showDropDown="0" showInputMessage="0" showErrorMessage="0" sqref="I3:I302">
      <x:formula1>'Categories'!$B$74:$B$76</x:formula1>
    </x:dataValidation>
    <x:dataValidation type="list" allowBlank="0" showDropDown="0" showInputMessage="0" showErrorMessage="0" sqref="K3:K302">
      <x:formula1>'Categories'!$B$46:$B$51</x:formula1>
    </x:dataValidation>
    <x:dataValidation type="list" allowBlank="0" showDropDown="0" showInputMessage="0" showErrorMessage="0" sqref="L3:L302">
      <x:formula1>'Categories'!$B$40:$B$42</x:formula1>
    </x:dataValidation>
    <x:dataValidation type="list" allowBlank="0" showDropDown="0" showInputMessage="0" showErrorMessage="0" sqref="O3:O302">
      <x:formula1>'Categories'!$B$6:$B$12</x:formula1>
    </x:dataValidation>
    <x:dataValidation type="list" allowBlank="0" showDropDown="0" showInputMessage="0" showErrorMessage="0" sqref="P3:P302">
      <x:formula1>'Categories'!$B$16:$B$26</x:formula1>
    </x:dataValidation>
    <x:dataValidation type="list" allowBlank="0" showDropDown="0" showInputMessage="0" showErrorMessage="0" sqref="Q3:Q302">
      <x:formula1>'Categories'!$B$30:$B$36</x:formula1>
    </x:dataValidation>
    <x:dataValidation type="list" allowBlank="0" showDropDown="0" showInputMessage="0" showErrorMessage="0" sqref="S3:X302">
      <x:formula1>'Categories'!$B$62:$B$64</x:formula1>
    </x:dataValidation>
    <x:dataValidation type="list" allowBlank="0" showDropDown="0" showInputMessage="0" showErrorMessage="0" sqref="Z3:Z302">
      <x:formula1>"Public authority,Standards body,Certification scheme,Manufacturer / supplier,Project / engineering,Client / internal,Pending classification"</x:formula1>
    </x:dataValidation>
    <x:dataValidation type="list" allowBlank="0" showDropDown="0" showInputMessage="0" showErrorMessage="0" sqref="AC3:AC302">
      <x:formula1>'Categories'!$B$87:$B$90</x:formula1>
    </x:dataValidation>
    <x:dataValidation type="list" allowBlank="0" showDropDown="0" showInputMessage="0" showErrorMessage="0" sqref="AD3:AD302">
      <x:formula1>'Categories'!$B$94:$B$96</x:formula1>
    </x:dataValidation>
    <x:dataValidation type="list" allowBlank="0" showDropDown="0" showInputMessage="0" showErrorMessage="0" sqref="AH3:AH302">
      <x:formula1>'Categories'!$B$100:$B$108</x:formula1>
    </x:dataValidation>
    <x:dataValidation type="list" allowBlank="0" showDropDown="0" showInputMessage="0" showErrorMessage="0" sqref="AL3:AL302">
      <x:formula1>'Categories'!$B$112:$B$114</x:formula1>
    </x:dataValidation>
    <x:dataValidation type="list" allowBlank="0" showDropDown="0" showInputMessage="0" showErrorMessage="0" sqref="AO3:AO302">
      <x:formula1>'Categories'!$B$118:$B$122</x:formula1>
    </x:dataValidation>
    <x:dataValidation type="list" allowBlank="0" showDropDown="0" showInputMessage="0" showErrorMessage="0" sqref="AP3:AP302">
      <x:formula1>"OFFICIAL_WEBSITE,CLIENT_OR_SITE,SUPPLIER_OR_INTEGRATOR,INTERNAL_REPOSITORY,OTHER"</x:formula1>
    </x:dataValidation>
    <x:dataValidation type="list" allowBlank="0" showDropDown="0" showInputMessage="0" showErrorMessage="0" sqref="AQ3:AQ302">
      <x:formula1>"OFFICIAL_ORIGINAL,AUTHORISED_COPY,CLIENT_PROVIDED_COPY,UNVERIFIED"</x:formula1>
    </x:dataValidation>
    <x:dataValidation type="list" sqref="T3:T302">
      <x:formula1>"html,pdf,xlsx,zip"</x:formula1>
    </x:dataValidation>
    <x:dataValidation type="list" sqref="V3:V302">
      <x:formula1>"Norway,EU / EEA,International,Multi-jurisdiction,Site-specific,Other"</x:formula1>
    </x:dataValidation>
    <x:dataValidation type="list" sqref="W3:W302">
      <x:formula1>"English,Norwegian,Other"</x:formula1>
    </x:dataValidation>
    <x:dataValidation type="list" sqref="AA3:AA302">
      <x:formula1>"Law,Regulation,Permit / authority decision,Technical standard,Scheme standard,Interpretation document,Audit / assessment document,Equipment manual / OEM instruction,Design / engineering document,Internal policy / contract,Other"</x:formula1>
    </x:dataValidation>
    <x:dataValidation type="list" sqref="AB3:AB302">
      <x:formula1>"Primary normative,Referenced normative,Asset-specific normative,Guidance / interpretation,Audit / assessment tool,Context / evidence,Draft working material"</x:formula1>
    </x:dataValidation>
    <x:dataValidation type="list" sqref="AD3:AI302">
      <x:formula1>"LOW,MEDIUM,HIGH"</x:formula1>
    </x:dataValidation>
    <x:dataValidation type="list" sqref="AJ3:AJ302">
      <x:formula1>"INCLUDE,PENDING,EXCLUDE"</x:formula1>
    </x:dataValidation>
    <x:dataValidation type="list" sqref="AM3:AM302">
      <x:formula1>"CURRENT,SUPERSEDED,WITHDRAWN"</x:formula1>
    </x:dataValidation>
    <x:dataValidation type="list" sqref="AR3:AR302">
      <x:formula1>"VERSIONED,ROLLING,UNKNOWN"</x:formula1>
    </x:dataValidation>
  </x:dataValidations>
  <x:pageMargins left="0.7" right="0.7" top="0.75" bottom="0.75" header="0.3" footer="0.3"/>
  <x:tableParts count="1">
    <x:tablePart xmlns:r="http://schemas.openxmlformats.org/officeDocument/2006/relationships" r:id="Rba7aea0c338d4e72"/>
  </x:tableParts>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14" style="36" customWidth="1"/>
    <x:col min="2" max="2" width="30" style="36" customWidth="1"/>
    <x:col min="3" max="3" width="22" style="36" customWidth="1"/>
    <x:col min="4" max="4" width="16" style="36" customWidth="1"/>
    <x:col min="5" max="5" width="12" style="36" customWidth="1"/>
    <x:col min="6" max="6" width="16" style="36" customWidth="1"/>
    <x:col min="7" max="7" width="15" style="36" customWidth="1"/>
    <x:col min="8" max="8" width="13" style="36" customWidth="1"/>
    <x:col min="9" max="9" width="15" style="36" customWidth="1"/>
    <x:col min="10" max="10" width="13" style="36" customWidth="1"/>
    <x:col min="11" max="11" width="46" style="36" customWidth="1"/>
    <x:col min="14" max="14" width="2" style="36" customWidth="1"/>
  </x:cols>
  <x:sheetData>
    <x:row r="1" s="36" customFormat="1" ht="30" customHeight="1">
      <x:c r="A1" s="132" t="inlineStr">
        <x:is>
          <x:t xml:space="preserve">SOURCE LIBRARY SNAPSHOT</x:t>
        </x:is>
      </x:c>
    </x:row>
    <x:row r="2">
      <x:c r="A2" s="133" t="n"/>
      <x:c r="B2" s="133" t="n"/>
      <x:c r="C2" s="133" t="n"/>
      <x:c r="D2" s="133" t="n"/>
      <x:c r="E2" s="133" t="n"/>
      <x:c r="F2" s="133" t="n"/>
      <x:c r="G2" s="133" t="n"/>
      <x:c r="H2" s="133" t="n"/>
      <x:c r="I2" s="133" t="n"/>
      <x:c r="J2" s="133" t="n"/>
      <x:c r="K2" s="133" t="n"/>
      <x:c r="N2" s="381" t="n"/>
    </x:row>
    <x:row r="3">
      <x:c r="A3" s="399" t="inlineStr">
        <x:is>
          <x:t xml:space="preserve">TOTAL SOURCES</x:t>
        </x:is>
      </x:c>
      <x:c r="B3" s="400" t="n"/>
      <x:c r="C3" s="401" t="n"/>
      <x:c r="D3" s="133" t="n"/>
      <x:c r="E3" s="402" t="inlineStr">
        <x:is>
          <x:t xml:space="preserve">INCLUDED</x:t>
        </x:is>
      </x:c>
      <x:c r="F3" s="400" t="n"/>
      <x:c r="G3" s="401" t="n"/>
      <x:c r="H3" s="133" t="n"/>
      <x:c r="I3" s="403" t="inlineStr">
        <x:is>
          <x:t xml:space="preserve">NEEDS ACTION</x:t>
        </x:is>
      </x:c>
      <x:c r="J3" s="400" t="n"/>
      <x:c r="K3" s="401" t="n"/>
      <x:c r="N3" s="381" t="n"/>
    </x:row>
    <x:row r="4">
      <x:c r="A4" s="404" t="n">
        <x:f>COUNTA('Source Register'!A3:A302)</x:f>
        <x:v>87</x:v>
      </x:c>
      <x:c r="B4" s="405" t="n"/>
      <x:c r="C4" s="57" t="n"/>
      <x:c r="D4" s="133" t="n"/>
      <x:c r="E4" s="406" t="n">
        <x:f>COUNTIF('Source Register'!E3:E302,"INCLUDE")</x:f>
        <x:v>44</x:v>
      </x:c>
      <x:c r="F4" s="405" t="n"/>
      <x:c r="G4" s="57" t="n"/>
      <x:c r="H4" s="133" t="n"/>
      <x:c r="I4" s="407" t="n">
        <x:f>COUNTIF('Source Register'!N3:N302,"YES")</x:f>
        <x:v>7</x:v>
      </x:c>
      <x:c r="J4" s="405" t="n"/>
      <x:c r="K4" s="57" t="n"/>
      <x:c r="N4" s="381" t="n"/>
    </x:row>
    <x:row r="5">
      <x:c r="A5" s="38" t="n"/>
      <x:c r="B5" s="39" t="n"/>
      <x:c r="C5" s="40" t="n"/>
      <x:c r="D5" s="133" t="n"/>
      <x:c r="E5" s="38" t="n"/>
      <x:c r="F5" s="39" t="n"/>
      <x:c r="G5" s="40" t="n"/>
      <x:c r="H5" s="133" t="n"/>
      <x:c r="I5" s="38" t="n"/>
      <x:c r="J5" s="39" t="n"/>
      <x:c r="K5" s="40" t="n"/>
      <x:c r="N5" s="381" t="n"/>
    </x:row>
    <x:row r="6">
      <x:c r="A6" s="133" t="n"/>
      <x:c r="B6" s="133" t="n"/>
      <x:c r="C6" s="133" t="n"/>
      <x:c r="D6" s="133" t="n"/>
      <x:c r="E6" s="133" t="n"/>
      <x:c r="F6" s="133" t="n"/>
      <x:c r="G6" s="133" t="n"/>
      <x:c r="H6" s="133" t="n"/>
      <x:c r="I6" s="133" t="n"/>
      <x:c r="J6" s="133" t="n"/>
      <x:c r="K6" s="133" t="n"/>
      <x:c r="N6" s="381" t="n"/>
    </x:row>
    <x:row r="7">
      <x:c r="A7" s="408" t="inlineStr">
        <x:is>
          <x:t xml:space="preserve">PDF FILES</x:t>
        </x:is>
      </x:c>
      <x:c r="B7" s="400" t="n"/>
      <x:c r="C7" s="401" t="n"/>
      <x:c r="D7" s="133" t="n"/>
      <x:c r="E7" s="408" t="inlineStr">
        <x:is>
          <x:t xml:space="preserve">HTML SOURCES</x:t>
        </x:is>
      </x:c>
      <x:c r="F7" s="400" t="n"/>
      <x:c r="G7" s="401" t="n"/>
      <x:c r="H7" s="133" t="n"/>
      <x:c r="I7" s="409" t="str">
        <x:v>PAYWALL BLOCKED</x:v>
      </x:c>
      <x:c r="J7" s="400" t="n"/>
      <x:c r="K7" s="401" t="n"/>
      <x:c r="N7" s="381" t="n"/>
    </x:row>
    <x:row r="8">
      <x:c r="A8" s="410" t="n">
        <x:f>COUNTIF('Source Register'!T3:T302,"pdf")</x:f>
        <x:v>24</x:v>
      </x:c>
      <x:c r="B8" s="405" t="n"/>
      <x:c r="C8" s="57" t="n"/>
      <x:c r="D8" s="133" t="n"/>
      <x:c r="E8" s="411" t="n">
        <x:f>COUNTIF('Source Register'!T3:T302,"html")</x:f>
        <x:v>61</x:v>
      </x:c>
      <x:c r="F8" s="405" t="n"/>
      <x:c r="G8" s="57" t="n"/>
      <x:c r="H8" s="133" t="n"/>
      <x:c r="I8" s="412" t="n">
        <x:f>COUNTIF('Source Register'!F3:F302,"PAYWALL_BLOCKED")</x:f>
        <x:v>7</x:v>
      </x:c>
      <x:c r="J8" s="405" t="n"/>
      <x:c r="K8" s="57" t="n"/>
      <x:c r="N8" s="381" t="n"/>
    </x:row>
    <x:row r="9">
      <x:c r="A9" s="38" t="n"/>
      <x:c r="B9" s="39" t="n"/>
      <x:c r="C9" s="40" t="n"/>
      <x:c r="D9" s="133" t="n"/>
      <x:c r="E9" s="38" t="n"/>
      <x:c r="F9" s="39" t="n"/>
      <x:c r="G9" s="40" t="n"/>
      <x:c r="H9" s="133" t="n"/>
      <x:c r="I9" s="38" t="n"/>
      <x:c r="J9" s="39" t="n"/>
      <x:c r="K9" s="40" t="n"/>
      <x:c r="N9" s="381" t="n"/>
    </x:row>
    <x:row r="10">
      <x:c r="A10" s="133" t="n"/>
      <x:c r="B10" s="133" t="n"/>
      <x:c r="C10" s="133" t="n"/>
      <x:c r="D10" s="133" t="n"/>
      <x:c r="E10" s="133" t="n"/>
      <x:c r="F10" s="133" t="n"/>
      <x:c r="G10" s="133" t="n"/>
      <x:c r="H10" s="133" t="n"/>
      <x:c r="I10" s="133" t="n"/>
      <x:c r="J10" s="133" t="n"/>
      <x:c r="K10" s="133" t="n"/>
      <x:c r="N10" s="381" t="n"/>
    </x:row>
    <x:row r="11" s="36" customFormat="1" ht="32" customHeight="1">
      <x:c r="A11" s="347" t="inlineStr">
        <x:is>
          <x:t xml:space="preserve">DOCUMENT TYPE</x:t>
        </x:is>
      </x:c>
      <x:c r="B11" s="348" t="inlineStr">
        <x:is>
          <x:t xml:space="preserve">COUNT</x:t>
        </x:is>
      </x:c>
      <x:c r="C11" s="133" t="n"/>
      <x:c r="D11" s="133" t="n"/>
      <x:c r="E11" s="133" t="n"/>
      <x:c r="F11" s="133" t="n"/>
      <x:c r="G11" s="133" t="n"/>
      <x:c r="H11" s="133" t="n"/>
      <x:c r="I11" s="133" t="n"/>
      <x:c r="J11" s="133" t="n"/>
      <x:c r="K11" s="133" t="n"/>
      <x:c r="N11" s="381" t="n"/>
    </x:row>
    <x:row r="12">
      <x:c r="A12" s="344" t="inlineStr">
        <x:is>
          <x:t xml:space="preserve">Law</x:t>
        </x:is>
      </x:c>
      <x:c r="B12" s="413" t="n">
        <x:f>COUNTIF('Source Register'!$AA$3:$AA$302,A12)</x:f>
        <x:v>14</x:v>
      </x:c>
      <x:c r="C12" s="133" t="n"/>
      <x:c r="D12" s="133" t="n"/>
      <x:c r="E12" s="133" t="n"/>
      <x:c r="F12" s="133" t="n"/>
      <x:c r="G12" s="133" t="n"/>
      <x:c r="H12" s="133" t="n"/>
      <x:c r="I12" s="133" t="n"/>
      <x:c r="J12" s="133" t="n"/>
      <x:c r="K12" s="133" t="n"/>
      <x:c r="N12" s="381" t="n"/>
    </x:row>
    <x:row r="13">
      <x:c r="A13" s="344" t="inlineStr">
        <x:is>
          <x:t xml:space="preserve">Regulation</x:t>
        </x:is>
      </x:c>
      <x:c r="B13" s="413" t="n">
        <x:f>COUNTIF('Source Register'!$AA$3:$AA$302,A13)</x:f>
        <x:v>37</x:v>
      </x:c>
      <x:c r="C13" s="133" t="n"/>
      <x:c r="D13" s="133" t="n"/>
      <x:c r="E13" s="133" t="n"/>
      <x:c r="F13" s="133" t="n"/>
      <x:c r="G13" s="133" t="n"/>
      <x:c r="H13" s="133" t="n"/>
      <x:c r="I13" s="133" t="n"/>
      <x:c r="J13" s="133" t="n"/>
      <x:c r="K13" s="133" t="n"/>
      <x:c r="N13" s="381" t="n"/>
    </x:row>
    <x:row r="14">
      <x:c r="A14" s="344" t="inlineStr">
        <x:is>
          <x:t xml:space="preserve">Permit / authority</x:t>
        </x:is>
      </x:c>
      <x:c r="B14" s="413" t="n">
        <x:f>COUNTIF('Source Register'!$AA$3:$AA$302,A14)</x:f>
        <x:v>0</x:v>
      </x:c>
      <x:c r="C14" s="133" t="n"/>
      <x:c r="D14" s="133" t="n"/>
      <x:c r="E14" s="133" t="n"/>
      <x:c r="F14" s="133" t="n"/>
      <x:c r="G14" s="133" t="n"/>
      <x:c r="H14" s="133" t="n"/>
      <x:c r="I14" s="133" t="n"/>
      <x:c r="J14" s="133" t="n"/>
      <x:c r="K14" s="133" t="n"/>
      <x:c r="N14" s="381" t="n"/>
    </x:row>
    <x:row r="15">
      <x:c r="A15" s="344" t="inlineStr">
        <x:is>
          <x:t xml:space="preserve">Technical standard</x:t>
        </x:is>
      </x:c>
      <x:c r="B15" s="413" t="n">
        <x:f>COUNTIF('Source Register'!$AA$3:$AA$302,A15)</x:f>
        <x:v>7</x:v>
      </x:c>
      <x:c r="C15" s="133" t="n"/>
      <x:c r="D15" s="133" t="n"/>
      <x:c r="E15" s="133" t="n"/>
      <x:c r="F15" s="133" t="n"/>
      <x:c r="G15" s="133" t="n"/>
      <x:c r="H15" s="133" t="n"/>
      <x:c r="I15" s="133" t="n"/>
      <x:c r="J15" s="133" t="n"/>
      <x:c r="K15" s="133" t="n"/>
      <x:c r="N15" s="381" t="n"/>
    </x:row>
    <x:row r="16">
      <x:c r="A16" s="344" t="inlineStr">
        <x:is>
          <x:t xml:space="preserve">Scheme standard</x:t>
        </x:is>
      </x:c>
      <x:c r="B16" s="413" t="n">
        <x:f>COUNTIF('Source Register'!$AA$3:$AA$302,A16)</x:f>
        <x:v>15</x:v>
      </x:c>
      <x:c r="C16" s="133" t="n"/>
      <x:c r="D16" s="133" t="n"/>
      <x:c r="E16" s="133" t="n"/>
      <x:c r="F16" s="133" t="n"/>
      <x:c r="G16" s="133" t="n"/>
      <x:c r="H16" s="133" t="n"/>
      <x:c r="I16" s="133" t="n"/>
      <x:c r="J16" s="133" t="n"/>
      <x:c r="K16" s="133" t="n"/>
      <x:c r="N16" s="381" t="n"/>
    </x:row>
    <x:row r="17">
      <x:c r="A17" s="344" t="inlineStr">
        <x:is>
          <x:t xml:space="preserve">Interpretation</x:t>
        </x:is>
      </x:c>
      <x:c r="B17" s="413" t="n">
        <x:f>COUNTIF('Source Register'!$AA$3:$AA$302,A17)</x:f>
        <x:v>0</x:v>
      </x:c>
      <x:c r="C17" s="133" t="n"/>
      <x:c r="D17" s="133" t="n"/>
      <x:c r="E17" s="133" t="n"/>
      <x:c r="F17" s="133" t="n"/>
      <x:c r="G17" s="133" t="n"/>
      <x:c r="H17" s="133" t="n"/>
      <x:c r="I17" s="133" t="n"/>
      <x:c r="J17" s="133" t="n"/>
      <x:c r="K17" s="133" t="n"/>
      <x:c r="N17" s="381" t="n"/>
    </x:row>
    <x:row r="18">
      <x:c r="A18" s="344" t="inlineStr">
        <x:is>
          <x:t xml:space="preserve">Audit / assessment</x:t>
        </x:is>
      </x:c>
      <x:c r="B18" s="413" t="n">
        <x:f>COUNTIF('Source Register'!$AA$3:$AA$302,A18)</x:f>
        <x:v>0</x:v>
      </x:c>
      <x:c r="C18" s="133" t="n"/>
      <x:c r="D18" s="133" t="n"/>
      <x:c r="E18" s="133" t="n"/>
      <x:c r="F18" s="133" t="n"/>
      <x:c r="G18" s="133" t="n"/>
      <x:c r="H18" s="133" t="n"/>
      <x:c r="I18" s="133" t="n"/>
      <x:c r="J18" s="133" t="n"/>
      <x:c r="K18" s="133" t="n"/>
      <x:c r="N18" s="381" t="n"/>
    </x:row>
    <x:row r="19">
      <x:c r="A19" s="344" t="inlineStr">
        <x:is>
          <x:t xml:space="preserve">Equipment manual</x:t>
        </x:is>
      </x:c>
      <x:c r="B19" s="413" t="n">
        <x:f>COUNTIF('Source Register'!$AA$3:$AA$302,A19)</x:f>
        <x:v>0</x:v>
      </x:c>
      <x:c r="C19" s="133" t="n"/>
      <x:c r="D19" s="133" t="n"/>
      <x:c r="E19" s="133" t="n"/>
      <x:c r="F19" s="133" t="n"/>
      <x:c r="G19" s="133" t="n"/>
      <x:c r="H19" s="133" t="n"/>
      <x:c r="I19" s="133" t="n"/>
      <x:c r="J19" s="133" t="n"/>
      <x:c r="K19" s="133" t="n"/>
      <x:c r="N19" s="381" t="n"/>
    </x:row>
    <x:row r="20">
      <x:c r="A20" s="344" t="inlineStr">
        <x:is>
          <x:t xml:space="preserve">Design / engineering</x:t>
        </x:is>
      </x:c>
      <x:c r="B20" s="413" t="n">
        <x:f>COUNTIF('Source Register'!$AA$3:$AA$302,A20)</x:f>
        <x:v>0</x:v>
      </x:c>
      <x:c r="C20" s="133" t="n"/>
      <x:c r="D20" s="133" t="n"/>
      <x:c r="E20" s="133" t="n"/>
      <x:c r="F20" s="133" t="n"/>
      <x:c r="G20" s="133" t="n"/>
      <x:c r="H20" s="133" t="n"/>
      <x:c r="I20" s="133" t="n"/>
      <x:c r="J20" s="133" t="n"/>
      <x:c r="K20" s="133" t="n"/>
      <x:c r="N20" s="381" t="n"/>
    </x:row>
    <x:row r="21">
      <x:c r="A21" s="344" t="inlineStr">
        <x:is>
          <x:t xml:space="preserve">Policy / contract</x:t>
        </x:is>
      </x:c>
      <x:c r="B21" s="413" t="n">
        <x:f>COUNTIF('Source Register'!$AA$3:$AA$302,A21)</x:f>
        <x:v>0</x:v>
      </x:c>
      <x:c r="C21" s="133" t="n"/>
      <x:c r="D21" s="133" t="n"/>
      <x:c r="E21" s="133" t="n"/>
      <x:c r="F21" s="133" t="n"/>
      <x:c r="G21" s="133" t="n"/>
      <x:c r="H21" s="133" t="n"/>
      <x:c r="I21" s="133" t="n"/>
      <x:c r="J21" s="133" t="n"/>
      <x:c r="K21" s="133" t="n"/>
      <x:c r="N21" s="381" t="n"/>
    </x:row>
    <x:row r="22">
      <x:c r="A22" s="344" t="inlineStr">
        <x:is>
          <x:t xml:space="preserve">Other</x:t>
        </x:is>
      </x:c>
      <x:c r="B22" s="413" t="n">
        <x:f>COUNTIF('Source Register'!$AA$3:$AA$302,A22)</x:f>
        <x:v>2</x:v>
      </x:c>
      <x:c r="C22" s="133" t="n"/>
      <x:c r="D22" s="133" t="n"/>
      <x:c r="E22" s="133" t="n"/>
      <x:c r="F22" s="133" t="n"/>
      <x:c r="G22" s="133" t="n"/>
      <x:c r="H22" s="133" t="n"/>
      <x:c r="I22" s="133" t="n"/>
      <x:c r="J22" s="133" t="n"/>
      <x:c r="K22" s="133" t="n"/>
      <x:c r="N22" s="381" t="n"/>
    </x:row>
    <x:row r="23">
      <x:c r="A23" s="133" t="n"/>
      <x:c r="B23" s="133" t="n"/>
      <x:c r="C23" s="133" t="n"/>
      <x:c r="D23" s="133" t="n"/>
      <x:c r="E23" s="133" t="n"/>
      <x:c r="F23" s="133" t="n"/>
      <x:c r="G23" s="133" t="n"/>
      <x:c r="H23" s="133" t="n"/>
      <x:c r="I23" s="133" t="n"/>
      <x:c r="J23" s="133" t="n"/>
      <x:c r="K23" s="133" t="n"/>
      <x:c r="N23" s="381" t="n"/>
    </x:row>
    <x:row r="24">
      <x:c r="A24" s="133" t="n"/>
      <x:c r="B24" s="133" t="n"/>
      <x:c r="C24" s="133" t="n"/>
      <x:c r="D24" s="133" t="n"/>
      <x:c r="E24" s="133" t="n"/>
      <x:c r="F24" s="133" t="n"/>
      <x:c r="G24" s="133" t="n"/>
      <x:c r="H24" s="133" t="n"/>
      <x:c r="I24" s="133" t="n"/>
      <x:c r="J24" s="133" t="n"/>
      <x:c r="K24" s="133" t="n"/>
      <x:c r="N24" s="381" t="n"/>
    </x:row>
    <x:row r="25">
      <x:c r="A25" s="133" t="n"/>
      <x:c r="B25" s="133" t="n"/>
      <x:c r="C25" s="133" t="n"/>
      <x:c r="D25" s="133" t="n"/>
      <x:c r="E25" s="133" t="n"/>
      <x:c r="F25" s="133" t="n"/>
      <x:c r="G25" s="133" t="n"/>
      <x:c r="H25" s="133" t="n"/>
      <x:c r="I25" s="133" t="n"/>
      <x:c r="J25" s="133" t="n"/>
      <x:c r="K25" s="133" t="n"/>
      <x:c r="N25" s="381" t="n"/>
    </x:row>
    <x:row r="26">
      <x:c r="A26" s="133" t="n"/>
      <x:c r="B26" s="133" t="n"/>
      <x:c r="C26" s="133" t="n"/>
      <x:c r="D26" s="133" t="n"/>
      <x:c r="E26" s="133" t="n"/>
      <x:c r="F26" s="133" t="n"/>
      <x:c r="G26" s="133" t="n"/>
      <x:c r="H26" s="133" t="n"/>
      <x:c r="I26" s="133" t="n"/>
      <x:c r="J26" s="133" t="n"/>
      <x:c r="K26" s="133" t="n"/>
      <x:c r="N26" s="381" t="n"/>
    </x:row>
    <x:row r="27">
      <x:c r="A27" s="133" t="n"/>
      <x:c r="B27" s="133" t="n"/>
      <x:c r="C27" s="133" t="n"/>
      <x:c r="D27" s="133" t="n"/>
      <x:c r="E27" s="133" t="n"/>
      <x:c r="F27" s="133" t="n"/>
      <x:c r="G27" s="133" t="n"/>
      <x:c r="H27" s="133" t="n"/>
      <x:c r="I27" s="133" t="n"/>
      <x:c r="J27" s="133" t="n"/>
      <x:c r="K27" s="133" t="n"/>
      <x:c r="N27" s="381" t="n"/>
    </x:row>
    <x:row r="28" s="36" customFormat="1" ht="32" customHeight="1">
      <x:c r="A28" s="347" t="inlineStr">
        <x:is>
          <x:t xml:space="preserve">FILE FORMAT</x:t>
        </x:is>
      </x:c>
      <x:c r="B28" s="348" t="inlineStr">
        <x:is>
          <x:t xml:space="preserve">COUNT</x:t>
        </x:is>
      </x:c>
      <x:c r="C28" s="133" t="n"/>
      <x:c r="D28" s="133" t="n"/>
      <x:c r="E28" s="133" t="n"/>
      <x:c r="F28" s="133" t="n"/>
      <x:c r="G28" s="133" t="n"/>
      <x:c r="H28" s="133" t="n"/>
      <x:c r="I28" s="133" t="n"/>
      <x:c r="J28" s="133" t="n"/>
      <x:c r="K28" s="133" t="n"/>
      <x:c r="N28" s="381" t="n"/>
    </x:row>
    <x:row r="29">
      <x:c r="A29" s="344" t="inlineStr">
        <x:is>
          <x:t xml:space="preserve">pdf</x:t>
        </x:is>
      </x:c>
      <x:c r="B29" s="344" t="n">
        <x:f>COUNTIF('Source Register'!$T$3:$T$302,A29)</x:f>
        <x:v>24</x:v>
      </x:c>
      <x:c r="C29" s="133" t="n"/>
      <x:c r="D29" s="133" t="n"/>
      <x:c r="E29" s="133" t="n"/>
      <x:c r="F29" s="133" t="n"/>
      <x:c r="G29" s="133" t="n"/>
      <x:c r="H29" s="133" t="n"/>
      <x:c r="I29" s="133" t="n"/>
      <x:c r="J29" s="133" t="n"/>
      <x:c r="K29" s="133" t="n"/>
      <x:c r="N29" s="381" t="n"/>
    </x:row>
    <x:row r="30">
      <x:c r="A30" s="344" t="inlineStr">
        <x:is>
          <x:t xml:space="preserve">html</x:t>
        </x:is>
      </x:c>
      <x:c r="B30" s="344" t="n">
        <x:f>COUNTIF('Source Register'!$T$3:$T$302,A30)</x:f>
        <x:v>61</x:v>
      </x:c>
      <x:c r="C30" s="133" t="n"/>
      <x:c r="D30" s="133" t="n"/>
      <x:c r="E30" s="133" t="n"/>
      <x:c r="F30" s="133" t="n"/>
      <x:c r="G30" s="133" t="n"/>
      <x:c r="H30" s="133" t="n"/>
      <x:c r="I30" s="133" t="n"/>
      <x:c r="J30" s="133" t="n"/>
      <x:c r="K30" s="133" t="n"/>
      <x:c r="N30" s="381" t="n"/>
    </x:row>
    <x:row r="31">
      <x:c r="A31" s="344" t="inlineStr">
        <x:is>
          <x:t xml:space="preserve">xlsx</x:t>
        </x:is>
      </x:c>
      <x:c r="B31" s="344" t="n">
        <x:f>COUNTIF('Source Register'!$T$3:$T$302,A31)</x:f>
        <x:v>2</x:v>
      </x:c>
      <x:c r="C31" s="133" t="n"/>
      <x:c r="D31" s="133" t="n"/>
      <x:c r="E31" s="133" t="n"/>
      <x:c r="F31" s="133" t="n"/>
      <x:c r="G31" s="133" t="n"/>
      <x:c r="H31" s="133" t="n"/>
      <x:c r="I31" s="133" t="n"/>
      <x:c r="J31" s="133" t="n"/>
      <x:c r="K31" s="133" t="n"/>
      <x:c r="N31" s="381" t="n"/>
    </x:row>
    <x:row r="32">
      <x:c r="A32" s="344" t="inlineStr">
        <x:is>
          <x:t xml:space="preserve">zip</x:t>
        </x:is>
      </x:c>
      <x:c r="B32" s="344" t="n">
        <x:f>COUNTIF('Source Register'!$T$3:$T$302,A32)</x:f>
        <x:v>0</x:v>
      </x:c>
      <x:c r="C32" s="133" t="n"/>
      <x:c r="D32" s="133" t="n"/>
      <x:c r="E32" s="133" t="n"/>
      <x:c r="F32" s="133" t="n"/>
      <x:c r="G32" s="133" t="n"/>
      <x:c r="H32" s="133" t="n"/>
      <x:c r="I32" s="133" t="n"/>
      <x:c r="J32" s="133" t="n"/>
      <x:c r="K32" s="133" t="n"/>
      <x:c r="N32" s="381" t="n"/>
    </x:row>
    <x:row r="33">
      <x:c r="A33" s="133" t="n"/>
      <x:c r="B33" s="133" t="n"/>
      <x:c r="C33" s="133" t="n"/>
      <x:c r="D33" s="133" t="n"/>
      <x:c r="E33" s="133" t="n"/>
      <x:c r="F33" s="133" t="n"/>
      <x:c r="G33" s="133" t="n"/>
      <x:c r="H33" s="133" t="n"/>
      <x:c r="I33" s="133" t="n"/>
      <x:c r="J33" s="133" t="n"/>
      <x:c r="K33" s="133" t="n"/>
      <x:c r="N33" s="381" t="n"/>
    </x:row>
    <x:row r="34">
      <x:c r="A34" s="133" t="n"/>
      <x:c r="B34" s="133" t="n"/>
      <x:c r="C34" s="133" t="n"/>
      <x:c r="D34" s="133" t="n"/>
      <x:c r="E34" s="133" t="n"/>
      <x:c r="F34" s="133" t="n"/>
      <x:c r="G34" s="133" t="n"/>
      <x:c r="H34" s="133" t="n"/>
      <x:c r="I34" s="133" t="n"/>
      <x:c r="J34" s="133" t="n"/>
      <x:c r="K34" s="133" t="n"/>
      <x:c r="N34" s="381" t="n"/>
    </x:row>
    <x:row r="35" s="36" customFormat="1" ht="32" customHeight="1">
      <x:c r="A35" s="347" t="inlineStr">
        <x:is>
          <x:t xml:space="preserve">SELECTION STATUS</x:t>
        </x:is>
      </x:c>
      <x:c r="B35" s="348" t="inlineStr">
        <x:is>
          <x:t xml:space="preserve">COUNT</x:t>
        </x:is>
      </x:c>
      <x:c r="C35" s="133" t="n"/>
      <x:c r="D35" s="133" t="n"/>
      <x:c r="E35" s="133" t="n"/>
      <x:c r="F35" s="133" t="n"/>
      <x:c r="G35" s="133" t="n"/>
      <x:c r="H35" s="133" t="n"/>
      <x:c r="I35" s="133" t="n"/>
      <x:c r="J35" s="133" t="n"/>
      <x:c r="K35" s="133" t="n"/>
      <x:c r="N35" s="381" t="n"/>
    </x:row>
    <x:row r="36">
      <x:c r="A36" s="344" t="inlineStr">
        <x:is>
          <x:t xml:space="preserve">INCLUDE</x:t>
        </x:is>
      </x:c>
      <x:c r="B36" s="344" t="n">
        <x:f>COUNTIF('Source Register'!$E$3:$E$302,A36)</x:f>
        <x:v>44</x:v>
      </x:c>
      <x:c r="C36" s="133" t="n"/>
      <x:c r="D36" s="133" t="n"/>
      <x:c r="E36" s="133" t="n"/>
      <x:c r="F36" s="133" t="n"/>
      <x:c r="G36" s="133" t="n"/>
      <x:c r="H36" s="133" t="n"/>
      <x:c r="I36" s="133" t="n"/>
      <x:c r="J36" s="133" t="n"/>
      <x:c r="K36" s="133" t="n"/>
      <x:c r="N36" s="381" t="n"/>
    </x:row>
    <x:row r="37">
      <x:c r="A37" s="344" t="inlineStr">
        <x:is>
          <x:t xml:space="preserve">PENDING</x:t>
        </x:is>
      </x:c>
      <x:c r="B37" s="344" t="n">
        <x:f>COUNTIF('Source Register'!$E$3:$E$302,A37)</x:f>
        <x:v>42</x:v>
      </x:c>
      <x:c r="C37" s="133" t="n"/>
      <x:c r="D37" s="133" t="n"/>
      <x:c r="E37" s="133" t="n"/>
      <x:c r="F37" s="133" t="n"/>
      <x:c r="G37" s="133" t="n"/>
      <x:c r="H37" s="133" t="n"/>
      <x:c r="I37" s="133" t="n"/>
      <x:c r="J37" s="133" t="n"/>
      <x:c r="K37" s="133" t="n"/>
      <x:c r="N37" s="381" t="n"/>
    </x:row>
    <x:row r="38">
      <x:c r="A38" s="344" t="inlineStr">
        <x:is>
          <x:t xml:space="preserve">EXCLUDE</x:t>
        </x:is>
      </x:c>
      <x:c r="B38" s="344" t="n">
        <x:f>COUNTIF('Source Register'!$E$3:$E$302,A38)</x:f>
        <x:v>1</x:v>
      </x:c>
      <x:c r="C38" s="133" t="n"/>
      <x:c r="D38" s="133" t="n"/>
      <x:c r="E38" s="133" t="n"/>
      <x:c r="F38" s="133" t="n"/>
      <x:c r="G38" s="133" t="n"/>
      <x:c r="H38" s="133" t="n"/>
      <x:c r="I38" s="133" t="n"/>
      <x:c r="J38" s="133" t="n"/>
      <x:c r="K38" s="133" t="n"/>
      <x:c r="N38" s="381" t="n"/>
    </x:row>
    <x:row r="39">
      <x:c r="A39" s="133" t="n"/>
      <x:c r="B39" s="133" t="n"/>
      <x:c r="C39" s="133" t="n"/>
      <x:c r="D39" s="133" t="n"/>
      <x:c r="E39" s="133" t="n"/>
      <x:c r="F39" s="133" t="n"/>
      <x:c r="G39" s="133" t="n"/>
      <x:c r="H39" s="133" t="n"/>
      <x:c r="I39" s="133" t="n"/>
      <x:c r="J39" s="133" t="n"/>
      <x:c r="K39" s="133" t="n"/>
      <x:c r="N39" s="381" t="n"/>
    </x:row>
    <x:row r="40">
      <x:c r="A40" s="133" t="n"/>
      <x:c r="B40" s="133" t="n"/>
      <x:c r="C40" s="133" t="n"/>
      <x:c r="D40" s="133" t="n"/>
      <x:c r="E40" s="133" t="n"/>
      <x:c r="F40" s="133" t="n"/>
      <x:c r="G40" s="133" t="n"/>
      <x:c r="H40" s="133" t="n"/>
      <x:c r="I40" s="133" t="n"/>
      <x:c r="J40" s="133" t="n"/>
      <x:c r="K40" s="133" t="n"/>
      <x:c r="N40" s="381" t="n"/>
    </x:row>
    <x:row r="41">
      <x:c r="A41" s="133" t="n"/>
      <x:c r="B41" s="133" t="n"/>
      <x:c r="C41" s="133" t="n"/>
      <x:c r="D41" s="133" t="n"/>
      <x:c r="E41" s="133" t="n"/>
      <x:c r="F41" s="133" t="n"/>
      <x:c r="G41" s="133" t="n"/>
      <x:c r="H41" s="133" t="n"/>
      <x:c r="I41" s="133" t="n"/>
      <x:c r="J41" s="133" t="n"/>
      <x:c r="K41" s="133" t="n"/>
      <x:c r="N41" s="381" t="n"/>
    </x:row>
    <x:row r="42">
      <x:c r="A42" s="133" t="n"/>
      <x:c r="B42" s="133" t="n"/>
      <x:c r="C42" s="133" t="n"/>
      <x:c r="D42" s="133" t="n"/>
      <x:c r="E42" s="133" t="n"/>
      <x:c r="F42" s="133" t="n"/>
      <x:c r="G42" s="133" t="n"/>
      <x:c r="H42" s="133" t="n"/>
      <x:c r="I42" s="133" t="n"/>
      <x:c r="J42" s="133" t="n"/>
      <x:c r="K42" s="133" t="n"/>
      <x:c r="N42" s="381" t="n"/>
    </x:row>
    <x:row r="43" s="36" customFormat="1" ht="28" customHeight="1">
      <x:c r="A43" s="517" t="inlineStr">
        <x:is>
          <x:t xml:space="preserve">RANDOM HUMAN QA</x:t>
        </x:is>
      </x:c>
      <x:c r="N43" s="381" t="n"/>
    </x:row>
    <x:row r="44">
      <x:c r="A44" s="504" t="n"/>
      <x:c r="B44" s="504" t="n"/>
      <x:c r="C44" s="504" t="n"/>
      <x:c r="D44" s="504" t="n"/>
      <x:c r="E44" s="504" t="n"/>
      <x:c r="F44" s="504" t="n"/>
      <x:c r="G44" s="504" t="n"/>
      <x:c r="H44" s="504" t="n"/>
      <x:c r="I44" s="504" t="n"/>
      <x:c r="J44" s="504" t="n"/>
      <x:c r="K44" s="504" t="n"/>
      <x:c r="N44" s="381" t="n"/>
    </x:row>
    <x:row r="45">
      <x:c r="A45" s="523" t="str">
        <x:v>QA SCHEDULE</x:v>
      </x:c>
      <x:c r="B45" s="400"/>
      <x:c r="C45" s="401"/>
      <x:c r="D45" s="504"/>
      <x:c r="E45" s="523" t="str">
        <x:v>MONTHLY SAMPLE SIZE</x:v>
      </x:c>
      <x:c r="F45" s="400"/>
      <x:c r="G45" s="401"/>
      <x:c r="H45" s="504"/>
      <x:c r="I45" s="523" t="str">
        <x:v>LAST QA CHECK</x:v>
      </x:c>
      <x:c r="J45" s="400" t="n"/>
      <x:c r="K45" s="401" t="n"/>
      <x:c r="N45" s="381" t="n"/>
    </x:row>
    <x:row r="46">
      <x:c r="A46" s="536" t="str">
        <x:v>LAST DAY OF EACH MONTH</x:v>
      </x:c>
      <x:c r="B46" s="405"/>
      <x:c r="C46" s="57"/>
      <x:c r="D46" s="504"/>
      <x:c r="E46" s="536" t="n">
        <x:v>5</x:v>
      </x:c>
      <x:c r="F46" s="405"/>
      <x:c r="G46" s="57"/>
      <x:c r="H46" s="504"/>
      <x:c r="I46" s="728" t="n">
        <x:f>IF(MAX(MAXIFS('Human Operation Desktop'!$I$3:$I$502,'Human Operation Desktop'!$B$3:$B$502,"RANDOM_QA_CHECK",'Human Operation Desktop'!$K$3:$K$502,"APPLIED"),MAXIFS('Human Operation Desktop'!$I$3:$I$502,'Human Operation Desktop'!$B$3:$B$502,"RANDOM_QA_BATCH_SUMMARY",'Human Operation Desktop'!$K$3:$K$502,"APPLIED"))=0,"",MAX(MAXIFS('Human Operation Desktop'!$I$3:$I$502,'Human Operation Desktop'!$B$3:$B$502,"RANDOM_QA_CHECK",'Human Operation Desktop'!$K$3:$K$502,"APPLIED"),MAXIFS('Human Operation Desktop'!$I$3:$I$502,'Human Operation Desktop'!$B$3:$B$502,"RANDOM_QA_BATCH_SUMMARY",'Human Operation Desktop'!$K$3:$K$502,"APPLIED")))</x:f>
        <x:v>46265</x:v>
      </x:c>
      <x:c r="J46" s="405" t="n"/>
      <x:c r="K46" s="57" t="n"/>
      <x:c r="N46" s="381" t="n"/>
    </x:row>
    <x:row r="47">
      <x:c r="A47" s="38"/>
      <x:c r="B47" s="39"/>
      <x:c r="C47" s="40"/>
      <x:c r="D47" s="504"/>
      <x:c r="E47" s="38"/>
      <x:c r="F47" s="39"/>
      <x:c r="G47" s="40"/>
      <x:c r="H47" s="504"/>
      <x:c r="I47" s="844"/>
      <x:c r="J47" s="39" t="n"/>
      <x:c r="K47" s="40" t="n"/>
      <x:c r="N47" s="381" t="n"/>
    </x:row>
    <x:row r="48">
      <x:c r="A48" s="504"/>
      <x:c r="B48" s="504"/>
      <x:c r="C48" s="504"/>
      <x:c r="D48" s="504"/>
      <x:c r="E48" s="504"/>
      <x:c r="F48" s="504"/>
      <x:c r="G48" s="504"/>
      <x:c r="H48" s="504"/>
      <x:c r="I48" s="504"/>
      <x:c r="J48" s="504" t="n"/>
      <x:c r="K48" s="504" t="n"/>
      <x:c r="N48" s="381" t="n"/>
    </x:row>
    <x:row r="49">
      <x:c r="A49" s="564" t="str">
        <x:v>The monthly_qa_agent creates one random QA batch on the last calendar day of each month. Operators complete the visible checks in Human Operation Desktop; completed history is retained as hidden rows.</x:v>
      </x:c>
      <x:c r="B49" s="405"/>
      <x:c r="C49" s="405"/>
      <x:c r="D49" s="405"/>
      <x:c r="E49" s="405"/>
      <x:c r="F49" s="405"/>
      <x:c r="G49" s="405"/>
      <x:c r="H49" s="405"/>
      <x:c r="I49" s="405"/>
      <x:c r="J49" s="405" t="n"/>
      <x:c r="K49" s="57" t="n"/>
      <x:c r="N49" s="381" t="n"/>
    </x:row>
    <x:row r="50">
      <x:c r="A50" s="38"/>
      <x:c r="B50" s="39"/>
      <x:c r="C50" s="39"/>
      <x:c r="D50" s="39"/>
      <x:c r="E50" s="39"/>
      <x:c r="F50" s="39"/>
      <x:c r="G50" s="39"/>
      <x:c r="H50" s="39"/>
      <x:c r="I50" s="39"/>
      <x:c r="J50" s="39" t="n"/>
      <x:c r="K50" s="40" t="n"/>
      <x:c r="N50" s="381" t="n"/>
    </x:row>
    <x:row r="51">
      <x:c r="A51" s="504" t="n"/>
      <x:c r="B51" s="504" t="n"/>
      <x:c r="C51" s="504" t="n"/>
      <x:c r="D51" s="504" t="n"/>
      <x:c r="E51" s="504" t="n"/>
      <x:c r="F51" s="504" t="n"/>
      <x:c r="G51" s="504" t="n"/>
      <x:c r="H51" s="504" t="n"/>
      <x:c r="I51" s="504" t="n"/>
      <x:c r="J51" s="504" t="n"/>
      <x:c r="K51" s="504" t="n"/>
      <x:c r="N51" s="381" t="n"/>
    </x:row>
    <x:row r="52">
      <x:c r="A52" s="575" t="str">
        <x:v>LATEST QA RESULTS</x:v>
      </x:c>
      <x:c r="N52" s="381" t="n"/>
    </x:row>
    <x:row r="53" s="36" customFormat="1" ht="32" customHeight="1">
      <x:c r="A53" s="664" t="inlineStr">
        <x:is>
          <x:t xml:space="preserve">CORRECT / CHECKED</x:t>
        </x:is>
      </x:c>
      <x:c r="B53" s="400" t="n"/>
      <x:c r="C53" s="671" t="n"/>
      <x:c r="D53" s="501" t="n"/>
      <x:c r="E53" s="664" t="inlineStr">
        <x:is>
          <x:t xml:space="preserve">ACCURACY</x:t>
        </x:is>
      </x:c>
      <x:c r="F53" s="400" t="n"/>
      <x:c r="G53" s="671" t="n"/>
      <x:c r="H53" s="501" t="n"/>
      <x:c r="I53" s="664" t="inlineStr">
        <x:is>
          <x:t xml:space="preserve">OPEN QA ITEMS</x:t>
        </x:is>
      </x:c>
      <x:c r="J53" s="400" t="n"/>
      <x:c r="K53" s="671" t="n"/>
      <x:c r="N53" s="381" t="n"/>
    </x:row>
    <x:row r="54" s="36" customFormat="1" ht="34" customHeight="1">
      <x:c r="A54" s="592" t="str">
        <x:f>IF(I46="","0/0",IFERROR(LOOKUP(2,1/(('Human Operation Desktop'!$B$3:$B$502="RANDOM_QA_BATCH_SUMMARY")*('Human Operation Desktop'!$I$3:$I$502=I46)),'Human Operation Desktop'!$F$3:$F$502),COUNTIFS('Human Operation Desktop'!$B$3:$B$502,"RANDOM_QA_CHECK",'Human Operation Desktop'!$G$3:$G$502,"CORRECT",'Human Operation Desktop'!$I$3:$I$502,I46)&amp;"/"&amp;COUNTIFS('Human Operation Desktop'!$B$3:$B$502,"RANDOM_QA_CHECK",'Human Operation Desktop'!$I$3:$I$502,I46)))</x:f>
        <x:v>7/7</x:v>
      </x:c>
      <x:c r="B54" s="405" t="n"/>
      <x:c r="C54" s="57" t="n"/>
      <x:c r="D54" s="488" t="n"/>
      <x:c r="E54" s="729" t="n">
        <x:f>IFERROR(VALUE(LEFT(A54,FIND("/",A54)-1))/VALUE(MID(A54,FIND("/",A54)+1,20)),0)</x:f>
        <x:v>1</x:v>
      </x:c>
      <x:c r="F54" s="405" t="n"/>
      <x:c r="G54" s="57" t="n"/>
      <x:c r="H54" s="469" t="n"/>
      <x:c r="I54" s="603" t="n">
        <x:f>COUNTIFS('Human Operation Desktop'!$B$3:$B$502,"RANDOM_QA_CHECK",'Human Operation Desktop'!$K$3:$K$502,"PENDING")+COUNTIFS('Human Operation Desktop'!$B$3:$B$502,"RANDOM_QA_CHECK",'Human Operation Desktop'!$K$3:$K$502,"WAITING_FOR_HUMAN")</x:f>
        <x:v>0</x:v>
      </x:c>
      <x:c r="J54" s="405" t="n"/>
      <x:c r="K54" s="57" t="n"/>
      <x:c r="N54" s="381" t="n"/>
    </x:row>
    <x:row r="55" s="36" customFormat="1" ht="34" customHeight="1">
      <x:c r="A55" s="38"/>
      <x:c r="B55" s="39"/>
      <x:c r="C55" s="40"/>
      <x:c r="D55" s="488"/>
      <x:c r="E55" s="845"/>
      <x:c r="F55" s="39"/>
      <x:c r="G55" s="40"/>
      <x:c r="H55" s="469"/>
      <x:c r="I55" s="38"/>
      <x:c r="J55" s="39" t="n"/>
      <x:c r="K55" s="40" t="n"/>
      <x:c r="N55" s="381" t="n"/>
    </x:row>
    <x:row r="56" s="36" customFormat="1" ht="34" customHeight="1">
      <x:c r="A56" s="469" t="n"/>
      <x:c r="B56" s="469" t="n"/>
      <x:c r="C56" s="469" t="n"/>
      <x:c r="D56" s="488" t="n"/>
      <x:c r="E56" s="489" t="n"/>
      <x:c r="F56" s="469" t="n"/>
      <x:c r="G56" s="469" t="n"/>
      <x:c r="H56" s="469" t="n"/>
      <x:c r="I56" s="469" t="n"/>
      <x:c r="J56" s="469" t="n"/>
      <x:c r="K56" s="469" t="n"/>
      <x:c r="N56" s="381" t="n"/>
    </x:row>
    <x:row r="57" s="36" customFormat="1" ht="26" customHeight="1">
      <x:c r="A57" s="613" t="inlineStr">
        <x:is>
          <x:t xml:space="preserve">HUMAN REVIEW STATUS</x:t>
        </x:is>
      </x:c>
      <x:c r="B57" s="400" t="n"/>
      <x:c r="C57" s="400" t="n"/>
      <x:c r="D57" s="400" t="n"/>
      <x:c r="E57" s="400" t="n"/>
      <x:c r="F57" s="400" t="n"/>
      <x:c r="G57" s="400" t="n"/>
      <x:c r="H57" s="400" t="n"/>
      <x:c r="I57" s="400" t="n"/>
      <x:c r="J57" s="400" t="n"/>
      <x:c r="K57" s="401" t="n"/>
      <x:c r="N57" s="381" t="n"/>
    </x:row>
    <x:row r="58" s="36" customFormat="1" ht="34" customHeight="1">
      <x:c r="A58" s="667" t="inlineStr">
        <x:is>
          <x:t xml:space="preserve">OPEN OPERATIONS</x:t>
        </x:is>
      </x:c>
      <x:c r="B58" s="400" t="n"/>
      <x:c r="C58" s="401" t="n"/>
      <x:c r="D58" s="488" t="n"/>
      <x:c r="E58" s="668" t="inlineStr">
        <x:is>
          <x:t xml:space="preserve">OLDEST OPEN (DAYS)</x:t>
        </x:is>
      </x:c>
      <x:c r="F58" s="400" t="n"/>
      <x:c r="G58" s="401" t="n"/>
      <x:c r="H58" s="469" t="n"/>
      <x:c r="I58" s="667" t="inlineStr">
        <x:is>
          <x:t xml:space="preserve">ACTION</x:t>
        </x:is>
      </x:c>
      <x:c r="J58" s="400" t="n"/>
      <x:c r="K58" s="401" t="n"/>
      <x:c r="N58" s="381" t="n"/>
    </x:row>
    <x:row r="59" s="36" customFormat="1" ht="34" customHeight="1">
      <x:c r="A59" s="603" t="n">
        <x:f>COUNTIF('Human Operation Desktop'!$K$3:$K$502,"PENDING")+COUNTIF('Human Operation Desktop'!$K$3:$K$502,"WAITING_FOR_HUMAN")+COUNTIF('Human Operation Desktop'!$K$3:$K$502,"NEEDS_REPLAN")+COUNTIF('Human Operation Desktop'!$K$3:$K$502,"QUEUED")</x:f>
        <x:v>75</x:v>
      </x:c>
      <x:c r="B59" s="405" t="n"/>
      <x:c r="C59" s="57" t="n"/>
      <x:c r="D59" s="488" t="n"/>
      <x:c r="E59" s="846" t="n">
        <x:f>IF(A59=0,0,IFERROR(TODAY()-INT(MINIFS('Human Operation Desktop'!$AQ$3:$AQ$502,'Human Operation Desktop'!$A$3:$A$502,"&lt;&gt;",'Human Operation Desktop'!$K$3:$K$502,"&lt;&gt;APPLIED",'Human Operation Desktop'!$K$3:$K$502,"&lt;&gt;REJECTED")),0))</x:f>
        <x:v>0</x:v>
      </x:c>
      <x:c r="F59" s="405" t="n"/>
      <x:c r="G59" s="57" t="n"/>
      <x:c r="H59" s="469" t="n"/>
      <x:c r="I59" s="630" t="str">
        <x:f>IF(A59=0,"ALL CLEAR",IF(E59&gt;60,"REVIEW OVERDUE","OPEN DESKTOP"))</x:f>
        <x:v>OPEN DESKTOP</x:v>
      </x:c>
      <x:c r="J59" s="405" t="n"/>
      <x:c r="K59" s="57" t="n"/>
      <x:c r="N59" s="381" t="n"/>
    </x:row>
    <x:row r="60" s="36" customFormat="1" ht="34" customHeight="1">
      <x:c r="A60" s="38" t="n"/>
      <x:c r="B60" s="39" t="n"/>
      <x:c r="C60" s="40" t="n"/>
      <x:c r="D60" s="488" t="n"/>
      <x:c r="E60" s="38" t="n"/>
      <x:c r="F60" s="39" t="n"/>
      <x:c r="G60" s="40" t="n"/>
      <x:c r="H60" s="469" t="n"/>
      <x:c r="I60" s="38" t="n"/>
      <x:c r="J60" s="39" t="n"/>
      <x:c r="K60" s="40" t="n"/>
      <x:c r="N60" s="381" t="n"/>
    </x:row>
    <x:row r="61" s="36" customFormat="1" ht="34" customHeight="1">
      <x:c r="A61" s="469" t="n"/>
      <x:c r="B61" s="469" t="n"/>
      <x:c r="C61" s="469" t="n"/>
      <x:c r="D61" s="488" t="n"/>
      <x:c r="E61" s="489" t="n"/>
      <x:c r="F61" s="469" t="n"/>
      <x:c r="G61" s="469" t="n"/>
      <x:c r="H61" s="469" t="n"/>
      <x:c r="I61" s="469" t="n"/>
      <x:c r="J61" s="469" t="n"/>
      <x:c r="K61" s="469" t="n"/>
      <x:c r="N61" s="381" t="n"/>
    </x:row>
    <x:row r="62" s="36" customFormat="1" ht="34" customHeight="1">
      <x:c r="A62" s="637" t="inlineStr">
        <x:is>
          <x:t xml:space="preserve">Open Human Operation Desktop to review visible items. Completed APPLIED and REJECTED rows remain in the audit trail but are hidden automatically. Any item older than 60 days should be reviewed immediately.</x:t>
        </x:is>
      </x:c>
      <x:c r="B62" s="405" t="n"/>
      <x:c r="C62" s="405" t="n"/>
      <x:c r="D62" s="405" t="n"/>
      <x:c r="E62" s="405" t="n"/>
      <x:c r="F62" s="405" t="n"/>
      <x:c r="G62" s="405" t="n"/>
      <x:c r="H62" s="405" t="n"/>
      <x:c r="I62" s="405" t="n"/>
      <x:c r="J62" s="405" t="n"/>
      <x:c r="K62" s="57" t="n"/>
      <x:c r="N62" s="381" t="n"/>
    </x:row>
    <x:row r="63" s="36" customFormat="1" ht="34" customHeight="1">
      <x:c r="A63" s="38" t="n"/>
      <x:c r="B63" s="39" t="n"/>
      <x:c r="C63" s="39" t="n"/>
      <x:c r="D63" s="39" t="n"/>
      <x:c r="E63" s="39" t="n"/>
      <x:c r="F63" s="39" t="n"/>
      <x:c r="G63" s="39" t="n"/>
      <x:c r="H63" s="39" t="n"/>
      <x:c r="I63" s="39" t="n"/>
      <x:c r="J63" s="39" t="n"/>
      <x:c r="K63" s="40" t="n"/>
      <x:c r="N63" s="381" t="n"/>
    </x:row>
    <x:row r="64" s="36" customFormat="1" ht="34" customHeight="1">
      <x:c r="A64" s="385" t="n"/>
      <x:c r="B64" s="385" t="n"/>
      <x:c r="C64" s="385" t="n"/>
      <x:c r="D64" s="414" t="n"/>
      <x:c r="E64" s="415" t="n"/>
      <x:c r="F64" s="385" t="n"/>
      <x:c r="G64" s="385" t="n"/>
      <x:c r="H64" s="385" t="n"/>
      <x:c r="I64" s="385" t="n"/>
      <x:c r="J64" s="385" t="n"/>
      <x:c r="K64" s="385" t="n"/>
      <x:c r="N64" s="381" t="n"/>
    </x:row>
    <x:row r="65" s="36" customFormat="1" ht="34" customHeight="1">
      <x:c r="A65" s="385" t="n"/>
      <x:c r="B65" s="385" t="n"/>
      <x:c r="C65" s="385" t="n"/>
      <x:c r="D65" s="414" t="n"/>
      <x:c r="E65" s="415" t="n"/>
      <x:c r="F65" s="385" t="n"/>
      <x:c r="G65" s="385" t="n"/>
      <x:c r="H65" s="385" t="n"/>
      <x:c r="I65" s="385" t="n"/>
      <x:c r="J65" s="385" t="n"/>
      <x:c r="K65" s="385" t="n"/>
      <x:c r="N65" s="381" t="n"/>
    </x:row>
    <x:row r="66" s="36" customFormat="1" ht="34" customHeight="1">
      <x:c r="A66" s="385" t="n"/>
      <x:c r="B66" s="385" t="n"/>
      <x:c r="C66" s="385" t="n"/>
      <x:c r="D66" s="414" t="n"/>
      <x:c r="E66" s="415" t="n"/>
      <x:c r="F66" s="385" t="n"/>
      <x:c r="G66" s="385" t="n"/>
      <x:c r="H66" s="385" t="n"/>
      <x:c r="I66" s="385" t="n"/>
      <x:c r="J66" s="385" t="n"/>
      <x:c r="K66" s="385" t="n"/>
      <x:c r="N66" s="381" t="n"/>
    </x:row>
    <x:row r="67" s="36" customFormat="1" ht="34" customHeight="1">
      <x:c r="A67" s="385" t="n"/>
      <x:c r="B67" s="385" t="n"/>
      <x:c r="C67" s="385" t="n"/>
      <x:c r="D67" s="414" t="n"/>
      <x:c r="E67" s="415" t="n"/>
      <x:c r="F67" s="385" t="n"/>
      <x:c r="G67" s="385" t="n"/>
      <x:c r="H67" s="385" t="n"/>
      <x:c r="I67" s="385" t="n"/>
      <x:c r="J67" s="385" t="n"/>
      <x:c r="K67" s="385" t="n"/>
      <x:c r="N67" s="381" t="n"/>
    </x:row>
    <x:row r="68" s="36" customFormat="1" ht="34" customHeight="1">
      <x:c r="A68" s="385" t="n"/>
      <x:c r="B68" s="385" t="n"/>
      <x:c r="C68" s="385" t="n"/>
      <x:c r="D68" s="414" t="n"/>
      <x:c r="E68" s="415" t="n"/>
      <x:c r="F68" s="385" t="n"/>
      <x:c r="G68" s="385" t="n"/>
      <x:c r="H68" s="385" t="n"/>
      <x:c r="I68" s="385" t="n"/>
      <x:c r="J68" s="385" t="n"/>
      <x:c r="K68" s="385" t="n"/>
      <x:c r="N68" s="381" t="n"/>
    </x:row>
    <x:row r="69" s="36" customFormat="1" ht="34" customHeight="1">
      <x:c r="A69" s="385" t="n"/>
      <x:c r="B69" s="385" t="n"/>
      <x:c r="C69" s="385" t="n"/>
      <x:c r="D69" s="414" t="n"/>
      <x:c r="E69" s="415" t="n"/>
      <x:c r="F69" s="385" t="n"/>
      <x:c r="G69" s="385" t="n"/>
      <x:c r="H69" s="385" t="n"/>
      <x:c r="I69" s="385" t="n"/>
      <x:c r="J69" s="385" t="n"/>
      <x:c r="K69" s="385" t="n"/>
      <x:c r="N69" s="381" t="n"/>
    </x:row>
    <x:row r="70" s="36" customFormat="1" ht="34" customHeight="1">
      <x:c r="A70" s="385" t="n"/>
      <x:c r="B70" s="385" t="n"/>
      <x:c r="C70" s="385" t="n"/>
      <x:c r="D70" s="414" t="n"/>
      <x:c r="E70" s="415" t="n"/>
      <x:c r="F70" s="385" t="n"/>
      <x:c r="G70" s="385" t="n"/>
      <x:c r="H70" s="385" t="n"/>
      <x:c r="I70" s="385" t="n"/>
      <x:c r="J70" s="385" t="n"/>
      <x:c r="K70" s="385" t="n"/>
      <x:c r="N70" s="381" t="n"/>
    </x:row>
    <x:row r="71" s="36" customFormat="1" ht="34" customHeight="1">
      <x:c r="A71" s="385" t="n"/>
      <x:c r="B71" s="385" t="n"/>
      <x:c r="C71" s="385" t="n"/>
      <x:c r="D71" s="414" t="n"/>
      <x:c r="E71" s="415" t="n"/>
      <x:c r="F71" s="385" t="n"/>
      <x:c r="G71" s="385" t="n"/>
      <x:c r="H71" s="385" t="n"/>
      <x:c r="I71" s="385" t="n"/>
      <x:c r="J71" s="385" t="n"/>
      <x:c r="K71" s="385" t="n"/>
      <x:c r="N71" s="381" t="n"/>
    </x:row>
    <x:row r="72" s="36" customFormat="1" ht="34" customHeight="1">
      <x:c r="A72" s="385" t="n"/>
      <x:c r="B72" s="385" t="n"/>
      <x:c r="C72" s="385" t="n"/>
      <x:c r="D72" s="414" t="n"/>
      <x:c r="E72" s="415" t="n"/>
      <x:c r="F72" s="385" t="n"/>
      <x:c r="G72" s="385" t="n"/>
      <x:c r="H72" s="385" t="n"/>
      <x:c r="I72" s="385" t="n"/>
      <x:c r="J72" s="385" t="n"/>
      <x:c r="K72" s="385" t="n"/>
      <x:c r="N72" s="381" t="n"/>
    </x:row>
    <x:row r="73" s="36" customFormat="1" ht="34" customHeight="1">
      <x:c r="A73" s="385" t="n"/>
      <x:c r="B73" s="385" t="n"/>
      <x:c r="C73" s="385" t="n"/>
      <x:c r="D73" s="414" t="n"/>
      <x:c r="E73" s="415" t="n"/>
      <x:c r="F73" s="385" t="n"/>
      <x:c r="G73" s="385" t="n"/>
      <x:c r="H73" s="385" t="n"/>
      <x:c r="I73" s="385" t="n"/>
      <x:c r="J73" s="385" t="n"/>
      <x:c r="K73" s="385" t="n"/>
      <x:c r="N73" s="381" t="n"/>
    </x:row>
    <x:row r="74" s="36" customFormat="1" ht="34" customHeight="1">
      <x:c r="A74" s="385" t="n"/>
      <x:c r="B74" s="385" t="n"/>
      <x:c r="C74" s="385" t="n"/>
      <x:c r="D74" s="414" t="n"/>
      <x:c r="E74" s="415" t="n"/>
      <x:c r="F74" s="385" t="n"/>
      <x:c r="G74" s="385" t="n"/>
      <x:c r="H74" s="385" t="n"/>
      <x:c r="I74" s="385" t="n"/>
      <x:c r="J74" s="385" t="n"/>
      <x:c r="K74" s="385" t="n"/>
      <x:c r="N74" s="381" t="n"/>
    </x:row>
    <x:row r="75" s="36" customFormat="1" ht="34" customHeight="1">
      <x:c r="A75" s="385" t="n"/>
      <x:c r="B75" s="385" t="n"/>
      <x:c r="C75" s="385" t="n"/>
      <x:c r="D75" s="414" t="n"/>
      <x:c r="E75" s="415" t="n"/>
      <x:c r="F75" s="385" t="n"/>
      <x:c r="G75" s="385" t="n"/>
      <x:c r="H75" s="385" t="n"/>
      <x:c r="I75" s="385" t="n"/>
      <x:c r="J75" s="385" t="n"/>
      <x:c r="K75" s="385" t="n"/>
      <x:c r="N75" s="381" t="n"/>
    </x:row>
    <x:row r="76" s="36" customFormat="1" ht="34" customHeight="1">
      <x:c r="A76" s="385" t="n"/>
      <x:c r="B76" s="385" t="n"/>
      <x:c r="C76" s="385" t="n"/>
      <x:c r="D76" s="414" t="n"/>
      <x:c r="E76" s="415" t="n"/>
      <x:c r="F76" s="385" t="n"/>
      <x:c r="G76" s="385" t="n"/>
      <x:c r="H76" s="385" t="n"/>
      <x:c r="I76" s="385" t="n"/>
      <x:c r="J76" s="385" t="n"/>
      <x:c r="K76" s="385" t="n"/>
      <x:c r="N76" s="381" t="n"/>
    </x:row>
    <x:row r="77" s="36" customFormat="1" ht="34" customHeight="1">
      <x:c r="A77" s="385" t="n"/>
      <x:c r="B77" s="385" t="n"/>
      <x:c r="C77" s="385" t="n"/>
      <x:c r="D77" s="414" t="n"/>
      <x:c r="E77" s="415" t="n"/>
      <x:c r="F77" s="385" t="n"/>
      <x:c r="G77" s="385" t="n"/>
      <x:c r="H77" s="385" t="n"/>
      <x:c r="I77" s="385" t="n"/>
      <x:c r="J77" s="385" t="n"/>
      <x:c r="K77" s="385" t="n"/>
      <x:c r="N77" s="381" t="n"/>
    </x:row>
    <x:row r="78" s="36" customFormat="1" ht="34" customHeight="1">
      <x:c r="A78" s="385" t="n"/>
      <x:c r="B78" s="385" t="n"/>
      <x:c r="C78" s="385" t="n"/>
      <x:c r="D78" s="414" t="n"/>
      <x:c r="E78" s="415" t="n"/>
      <x:c r="F78" s="385" t="n"/>
      <x:c r="G78" s="385" t="n"/>
      <x:c r="H78" s="385" t="n"/>
      <x:c r="I78" s="385" t="n"/>
      <x:c r="J78" s="385" t="n"/>
      <x:c r="K78" s="385" t="n"/>
      <x:c r="N78" s="381" t="n"/>
    </x:row>
    <x:row r="79" s="36" customFormat="1" ht="34" customHeight="1">
      <x:c r="A79" s="385" t="n"/>
      <x:c r="B79" s="385" t="n"/>
      <x:c r="C79" s="385" t="n"/>
      <x:c r="D79" s="414" t="n"/>
      <x:c r="E79" s="415" t="n"/>
      <x:c r="F79" s="385" t="n"/>
      <x:c r="G79" s="385" t="n"/>
      <x:c r="H79" s="385" t="n"/>
      <x:c r="I79" s="385" t="n"/>
      <x:c r="J79" s="385" t="n"/>
      <x:c r="K79" s="385" t="n"/>
      <x:c r="N79" s="381" t="n"/>
    </x:row>
    <x:row r="80" s="36" customFormat="1" ht="34" customHeight="1">
      <x:c r="A80" s="385" t="n"/>
      <x:c r="B80" s="385" t="n"/>
      <x:c r="C80" s="385" t="n"/>
      <x:c r="D80" s="414" t="n"/>
      <x:c r="E80" s="415" t="n"/>
      <x:c r="F80" s="385" t="n"/>
      <x:c r="G80" s="385" t="n"/>
      <x:c r="H80" s="385" t="n"/>
      <x:c r="I80" s="385" t="n"/>
      <x:c r="J80" s="385" t="n"/>
      <x:c r="K80" s="385" t="n"/>
      <x:c r="N80" s="381" t="n"/>
    </x:row>
    <x:row r="81" s="36" customFormat="1" ht="34" customHeight="1">
      <x:c r="A81" s="385" t="n"/>
      <x:c r="B81" s="385" t="n"/>
      <x:c r="C81" s="385" t="n"/>
      <x:c r="D81" s="414" t="n"/>
      <x:c r="E81" s="415" t="n"/>
      <x:c r="F81" s="385" t="n"/>
      <x:c r="G81" s="385" t="n"/>
      <x:c r="H81" s="385" t="n"/>
      <x:c r="I81" s="385" t="n"/>
      <x:c r="J81" s="385" t="n"/>
      <x:c r="K81" s="385" t="n"/>
      <x:c r="N81" s="381" t="n"/>
    </x:row>
    <x:row r="82" s="36" customFormat="1" ht="34" customHeight="1">
      <x:c r="A82" s="385" t="n"/>
      <x:c r="B82" s="385" t="n"/>
      <x:c r="C82" s="385" t="n"/>
      <x:c r="D82" s="414" t="n"/>
      <x:c r="E82" s="415" t="n"/>
      <x:c r="F82" s="385" t="n"/>
      <x:c r="G82" s="385" t="n"/>
      <x:c r="H82" s="385" t="n"/>
      <x:c r="I82" s="385" t="n"/>
      <x:c r="J82" s="385" t="n"/>
      <x:c r="K82" s="385" t="n"/>
      <x:c r="N82" s="381" t="n"/>
    </x:row>
    <x:row r="83" s="36" customFormat="1" ht="34" customHeight="1">
      <x:c r="A83" s="385" t="n"/>
      <x:c r="B83" s="385" t="n"/>
      <x:c r="C83" s="385" t="n"/>
      <x:c r="D83" s="414" t="n"/>
      <x:c r="E83" s="415" t="n"/>
      <x:c r="F83" s="385" t="n"/>
      <x:c r="G83" s="385" t="n"/>
      <x:c r="H83" s="385" t="n"/>
      <x:c r="I83" s="385" t="n"/>
      <x:c r="J83" s="385" t="n"/>
      <x:c r="K83" s="385" t="n"/>
      <x:c r="N83" s="381" t="n"/>
    </x:row>
    <x:row r="84" s="36" customFormat="1" ht="34" customHeight="1">
      <x:c r="A84" s="385" t="n"/>
      <x:c r="B84" s="385" t="n"/>
      <x:c r="C84" s="385" t="n"/>
      <x:c r="D84" s="414" t="n"/>
      <x:c r="E84" s="415" t="n"/>
      <x:c r="F84" s="385" t="n"/>
      <x:c r="G84" s="385" t="n"/>
      <x:c r="H84" s="385" t="n"/>
      <x:c r="I84" s="385" t="n"/>
      <x:c r="J84" s="385" t="n"/>
      <x:c r="K84" s="385" t="n"/>
      <x:c r="N84" s="381" t="n"/>
    </x:row>
    <x:row r="85" s="36" customFormat="1" ht="34" customHeight="1">
      <x:c r="A85" s="385" t="n"/>
      <x:c r="B85" s="385" t="n"/>
      <x:c r="C85" s="385" t="n"/>
      <x:c r="D85" s="414" t="n"/>
      <x:c r="E85" s="415" t="n"/>
      <x:c r="F85" s="385" t="n"/>
      <x:c r="G85" s="385" t="n"/>
      <x:c r="H85" s="385" t="n"/>
      <x:c r="I85" s="385" t="n"/>
      <x:c r="J85" s="385" t="n"/>
      <x:c r="K85" s="385" t="n"/>
      <x:c r="N85" s="381" t="n"/>
    </x:row>
    <x:row r="86" s="36" customFormat="1" ht="34" customHeight="1">
      <x:c r="A86" s="385" t="n"/>
      <x:c r="B86" s="385" t="n"/>
      <x:c r="C86" s="385" t="n"/>
      <x:c r="D86" s="414" t="n"/>
      <x:c r="E86" s="415" t="n"/>
      <x:c r="F86" s="385" t="n"/>
      <x:c r="G86" s="385" t="n"/>
      <x:c r="H86" s="385" t="n"/>
      <x:c r="I86" s="385" t="n"/>
      <x:c r="J86" s="385" t="n"/>
      <x:c r="K86" s="385" t="n"/>
      <x:c r="N86" s="381" t="n"/>
    </x:row>
    <x:row r="87" s="36" customFormat="1" ht="34" customHeight="1">
      <x:c r="A87" s="385" t="n"/>
      <x:c r="B87" s="385" t="n"/>
      <x:c r="C87" s="385" t="n"/>
      <x:c r="D87" s="414" t="n"/>
      <x:c r="E87" s="415" t="n"/>
      <x:c r="F87" s="385" t="n"/>
      <x:c r="G87" s="385" t="n"/>
      <x:c r="H87" s="385" t="n"/>
      <x:c r="I87" s="385" t="n"/>
      <x:c r="J87" s="385" t="n"/>
      <x:c r="K87" s="385" t="n"/>
      <x:c r="N87" s="381" t="n"/>
    </x:row>
    <x:row r="88" s="36" customFormat="1" ht="34" customHeight="1">
      <x:c r="A88" s="385" t="n"/>
      <x:c r="B88" s="385" t="n"/>
      <x:c r="C88" s="385" t="n"/>
      <x:c r="D88" s="414" t="n"/>
      <x:c r="E88" s="415" t="n"/>
      <x:c r="F88" s="385" t="n"/>
      <x:c r="G88" s="385" t="n"/>
      <x:c r="H88" s="385" t="n"/>
      <x:c r="I88" s="385" t="n"/>
      <x:c r="J88" s="385" t="n"/>
      <x:c r="K88" s="385" t="n"/>
      <x:c r="N88" s="381" t="n"/>
    </x:row>
    <x:row r="89" s="36" customFormat="1" ht="34" customHeight="1">
      <x:c r="A89" s="385" t="n"/>
      <x:c r="B89" s="385" t="n"/>
      <x:c r="C89" s="385" t="n"/>
      <x:c r="D89" s="414" t="n"/>
      <x:c r="E89" s="415" t="n"/>
      <x:c r="F89" s="385" t="n"/>
      <x:c r="G89" s="385" t="n"/>
      <x:c r="H89" s="385" t="n"/>
      <x:c r="I89" s="385" t="n"/>
      <x:c r="J89" s="385" t="n"/>
      <x:c r="K89" s="385" t="n"/>
      <x:c r="N89" s="381" t="n"/>
    </x:row>
    <x:row r="90" s="36" customFormat="1" ht="34" customHeight="1">
      <x:c r="A90" s="385" t="n"/>
      <x:c r="B90" s="385" t="n"/>
      <x:c r="C90" s="385" t="n"/>
      <x:c r="D90" s="414" t="n"/>
      <x:c r="E90" s="415" t="n"/>
      <x:c r="F90" s="385" t="n"/>
      <x:c r="G90" s="385" t="n"/>
      <x:c r="H90" s="385" t="n"/>
      <x:c r="I90" s="385" t="n"/>
      <x:c r="J90" s="385" t="n"/>
      <x:c r="K90" s="385" t="n"/>
      <x:c r="N90" s="381" t="n"/>
    </x:row>
    <x:row r="91" s="36" customFormat="1" ht="34" customHeight="1">
      <x:c r="A91" s="385" t="n"/>
      <x:c r="B91" s="385" t="n"/>
      <x:c r="C91" s="385" t="n"/>
      <x:c r="D91" s="414" t="n"/>
      <x:c r="E91" s="415" t="n"/>
      <x:c r="F91" s="385" t="n"/>
      <x:c r="G91" s="385" t="n"/>
      <x:c r="H91" s="385" t="n"/>
      <x:c r="I91" s="385" t="n"/>
      <x:c r="J91" s="385" t="n"/>
      <x:c r="K91" s="385" t="n"/>
      <x:c r="N91" s="381" t="n"/>
    </x:row>
    <x:row r="92" s="36" customFormat="1" ht="34" customHeight="1">
      <x:c r="A92" s="385" t="n"/>
      <x:c r="B92" s="385" t="n"/>
      <x:c r="C92" s="385" t="n"/>
      <x:c r="D92" s="414" t="n"/>
      <x:c r="E92" s="415" t="n"/>
      <x:c r="F92" s="385" t="n"/>
      <x:c r="G92" s="385" t="n"/>
      <x:c r="H92" s="385" t="n"/>
      <x:c r="I92" s="385" t="n"/>
      <x:c r="J92" s="385" t="n"/>
      <x:c r="K92" s="385" t="n"/>
      <x:c r="N92" s="381" t="n"/>
    </x:row>
    <x:row r="93" s="36" customFormat="1" ht="34" customHeight="1">
      <x:c r="A93" s="385" t="n"/>
      <x:c r="B93" s="385" t="n"/>
      <x:c r="C93" s="385" t="n"/>
      <x:c r="D93" s="414" t="n"/>
      <x:c r="E93" s="415" t="n"/>
      <x:c r="F93" s="385" t="n"/>
      <x:c r="G93" s="385" t="n"/>
      <x:c r="H93" s="385" t="n"/>
      <x:c r="I93" s="385" t="n"/>
      <x:c r="J93" s="385" t="n"/>
      <x:c r="K93" s="385" t="n"/>
      <x:c r="N93" s="381" t="n"/>
    </x:row>
    <x:row r="94" s="36" customFormat="1" ht="34" customHeight="1">
      <x:c r="A94" s="385" t="n"/>
      <x:c r="B94" s="385" t="n"/>
      <x:c r="C94" s="385" t="n"/>
      <x:c r="D94" s="414" t="n"/>
      <x:c r="E94" s="415" t="n"/>
      <x:c r="F94" s="385" t="n"/>
      <x:c r="G94" s="385" t="n"/>
      <x:c r="H94" s="385" t="n"/>
      <x:c r="I94" s="385" t="n"/>
      <x:c r="J94" s="385" t="n"/>
      <x:c r="K94" s="385" t="n"/>
      <x:c r="N94" s="381" t="n"/>
    </x:row>
    <x:row r="95" s="36" customFormat="1" ht="34" customHeight="1">
      <x:c r="A95" s="385" t="n"/>
      <x:c r="B95" s="385" t="n"/>
      <x:c r="C95" s="385" t="n"/>
      <x:c r="D95" s="414" t="n"/>
      <x:c r="E95" s="415" t="n"/>
      <x:c r="F95" s="385" t="n"/>
      <x:c r="G95" s="385" t="n"/>
      <x:c r="H95" s="385" t="n"/>
      <x:c r="I95" s="385" t="n"/>
      <x:c r="J95" s="385" t="n"/>
      <x:c r="K95" s="385" t="n"/>
      <x:c r="N95" s="381" t="n"/>
    </x:row>
    <x:row r="96" s="36" customFormat="1" ht="34" customHeight="1">
      <x:c r="A96" s="385" t="n"/>
      <x:c r="B96" s="385" t="n"/>
      <x:c r="C96" s="385" t="n"/>
      <x:c r="D96" s="414" t="n"/>
      <x:c r="E96" s="415" t="n"/>
      <x:c r="F96" s="385" t="n"/>
      <x:c r="G96" s="385" t="n"/>
      <x:c r="H96" s="385" t="n"/>
      <x:c r="I96" s="385" t="n"/>
      <x:c r="J96" s="385" t="n"/>
      <x:c r="K96" s="385" t="n"/>
      <x:c r="N96" s="381" t="n"/>
    </x:row>
    <x:row r="97" s="36" customFormat="1" ht="34" customHeight="1">
      <x:c r="A97" s="385" t="n"/>
      <x:c r="B97" s="385" t="n"/>
      <x:c r="C97" s="385" t="n"/>
      <x:c r="D97" s="414" t="n"/>
      <x:c r="E97" s="415" t="n"/>
      <x:c r="F97" s="385" t="n"/>
      <x:c r="G97" s="385" t="n"/>
      <x:c r="H97" s="385" t="n"/>
      <x:c r="I97" s="385" t="n"/>
      <x:c r="J97" s="385" t="n"/>
      <x:c r="K97" s="385" t="n"/>
      <x:c r="N97" s="381" t="n"/>
    </x:row>
    <x:row r="98" s="36" customFormat="1" ht="34" customHeight="1">
      <x:c r="A98" s="385" t="n"/>
      <x:c r="B98" s="385" t="n"/>
      <x:c r="C98" s="385" t="n"/>
      <x:c r="D98" s="414" t="n"/>
      <x:c r="E98" s="415" t="n"/>
      <x:c r="F98" s="385" t="n"/>
      <x:c r="G98" s="385" t="n"/>
      <x:c r="H98" s="385" t="n"/>
      <x:c r="I98" s="385" t="n"/>
      <x:c r="J98" s="385" t="n"/>
      <x:c r="K98" s="385" t="n"/>
      <x:c r="N98" s="381" t="n"/>
    </x:row>
    <x:row r="99" s="36" customFormat="1" ht="34" customHeight="1">
      <x:c r="A99" s="385" t="n"/>
      <x:c r="B99" s="385" t="n"/>
      <x:c r="C99" s="385" t="n"/>
      <x:c r="D99" s="414" t="n"/>
      <x:c r="E99" s="415" t="n"/>
      <x:c r="F99" s="385" t="n"/>
      <x:c r="G99" s="385" t="n"/>
      <x:c r="H99" s="385" t="n"/>
      <x:c r="I99" s="385" t="n"/>
      <x:c r="J99" s="385" t="n"/>
      <x:c r="K99" s="385" t="n"/>
      <x:c r="N99" s="381" t="n"/>
    </x:row>
    <x:row r="100" s="36" customFormat="1" ht="34" customHeight="1">
      <x:c r="A100" s="385" t="n"/>
      <x:c r="B100" s="385" t="n"/>
      <x:c r="C100" s="385" t="n"/>
      <x:c r="D100" s="414" t="n"/>
      <x:c r="E100" s="415" t="n"/>
      <x:c r="F100" s="385" t="n"/>
      <x:c r="G100" s="385" t="n"/>
      <x:c r="H100" s="385" t="n"/>
      <x:c r="I100" s="385" t="n"/>
      <x:c r="J100" s="385" t="n"/>
      <x:c r="K100" s="385" t="n"/>
      <x:c r="N100" s="381" t="n"/>
    </x:row>
    <x:row r="101" s="36" customFormat="1" ht="34" customHeight="1">
      <x:c r="A101" s="385" t="n"/>
      <x:c r="B101" s="385" t="n"/>
      <x:c r="C101" s="385" t="n"/>
      <x:c r="D101" s="414" t="n"/>
      <x:c r="E101" s="415" t="n"/>
      <x:c r="F101" s="385" t="n"/>
      <x:c r="G101" s="385" t="n"/>
      <x:c r="H101" s="385" t="n"/>
      <x:c r="I101" s="385" t="n"/>
      <x:c r="J101" s="385" t="n"/>
      <x:c r="K101" s="385" t="n"/>
      <x:c r="N101" s="381" t="n"/>
    </x:row>
    <x:row r="102" s="36" customFormat="1" ht="34" customHeight="1">
      <x:c r="A102" s="385" t="n"/>
      <x:c r="B102" s="385" t="n"/>
      <x:c r="C102" s="385" t="n"/>
      <x:c r="D102" s="414" t="n"/>
      <x:c r="E102" s="415" t="n"/>
      <x:c r="F102" s="385" t="n"/>
      <x:c r="G102" s="385" t="n"/>
      <x:c r="H102" s="385" t="n"/>
      <x:c r="I102" s="385" t="n"/>
      <x:c r="J102" s="385" t="n"/>
      <x:c r="K102" s="385" t="n"/>
      <x:c r="N102" s="381" t="n"/>
    </x:row>
    <x:row r="103" s="36" customFormat="1" ht="34" customHeight="1">
      <x:c r="A103" s="385" t="n"/>
      <x:c r="B103" s="385" t="n"/>
      <x:c r="C103" s="385" t="n"/>
      <x:c r="D103" s="414" t="n"/>
      <x:c r="E103" s="415" t="n"/>
      <x:c r="F103" s="385" t="n"/>
      <x:c r="G103" s="385" t="n"/>
      <x:c r="H103" s="385" t="n"/>
      <x:c r="I103" s="385" t="n"/>
      <x:c r="J103" s="385" t="n"/>
      <x:c r="K103" s="385" t="n"/>
      <x:c r="N103" s="381" t="n"/>
    </x:row>
    <x:row r="104" s="36" customFormat="1" ht="34" customHeight="1">
      <x:c r="A104" s="385" t="n"/>
      <x:c r="B104" s="385" t="n"/>
      <x:c r="C104" s="385" t="n"/>
      <x:c r="D104" s="414" t="n"/>
      <x:c r="E104" s="415" t="n"/>
      <x:c r="F104" s="385" t="n"/>
      <x:c r="G104" s="385" t="n"/>
      <x:c r="H104" s="385" t="n"/>
      <x:c r="I104" s="385" t="n"/>
      <x:c r="J104" s="385" t="n"/>
      <x:c r="K104" s="385" t="n"/>
      <x:c r="N104" s="381" t="n"/>
    </x:row>
    <x:row r="105" s="36" customFormat="1" ht="34" customHeight="1">
      <x:c r="A105" s="385" t="n"/>
      <x:c r="B105" s="385" t="n"/>
      <x:c r="C105" s="385" t="n"/>
      <x:c r="D105" s="414" t="n"/>
      <x:c r="E105" s="415" t="n"/>
      <x:c r="F105" s="385" t="n"/>
      <x:c r="G105" s="385" t="n"/>
      <x:c r="H105" s="385" t="n"/>
      <x:c r="I105" s="385" t="n"/>
      <x:c r="J105" s="385" t="n"/>
      <x:c r="K105" s="385" t="n"/>
      <x:c r="N105" s="381" t="n"/>
    </x:row>
    <x:row r="106" s="36" customFormat="1" ht="34" customHeight="1">
      <x:c r="A106" s="385" t="n"/>
      <x:c r="B106" s="385" t="n"/>
      <x:c r="C106" s="385" t="n"/>
      <x:c r="D106" s="414" t="n"/>
      <x:c r="E106" s="415" t="n"/>
      <x:c r="F106" s="385" t="n"/>
      <x:c r="G106" s="385" t="n"/>
      <x:c r="H106" s="385" t="n"/>
      <x:c r="I106" s="385" t="n"/>
      <x:c r="J106" s="385" t="n"/>
      <x:c r="K106" s="385" t="n"/>
      <x:c r="N106" s="381" t="n"/>
    </x:row>
    <x:row r="107" s="36" customFormat="1" ht="34" customHeight="1">
      <x:c r="A107" s="385" t="n"/>
      <x:c r="B107" s="385" t="n"/>
      <x:c r="C107" s="385" t="n"/>
      <x:c r="D107" s="414" t="n"/>
      <x:c r="E107" s="415" t="n"/>
      <x:c r="F107" s="385" t="n"/>
      <x:c r="G107" s="385" t="n"/>
      <x:c r="H107" s="385" t="n"/>
      <x:c r="I107" s="385" t="n"/>
      <x:c r="J107" s="385" t="n"/>
      <x:c r="K107" s="385" t="n"/>
      <x:c r="N107" s="381" t="n"/>
    </x:row>
    <x:row r="108" s="36" customFormat="1" ht="34" customHeight="1">
      <x:c r="A108" s="385" t="n"/>
      <x:c r="B108" s="385" t="n"/>
      <x:c r="C108" s="385" t="n"/>
      <x:c r="D108" s="414" t="n"/>
      <x:c r="E108" s="415" t="n"/>
      <x:c r="F108" s="385" t="n"/>
      <x:c r="G108" s="385" t="n"/>
      <x:c r="H108" s="385" t="n"/>
      <x:c r="I108" s="385" t="n"/>
      <x:c r="J108" s="385" t="n"/>
      <x:c r="K108" s="385" t="n"/>
      <x:c r="N108" s="381" t="n"/>
    </x:row>
    <x:row r="109" s="36" customFormat="1" ht="34" customHeight="1">
      <x:c r="A109" s="385" t="n"/>
      <x:c r="B109" s="385" t="n"/>
      <x:c r="C109" s="385" t="n"/>
      <x:c r="D109" s="414" t="n"/>
      <x:c r="E109" s="415" t="n"/>
      <x:c r="F109" s="385" t="n"/>
      <x:c r="G109" s="385" t="n"/>
      <x:c r="H109" s="385" t="n"/>
      <x:c r="I109" s="385" t="n"/>
      <x:c r="J109" s="385" t="n"/>
      <x:c r="K109" s="385" t="n"/>
      <x:c r="N109" s="381" t="n"/>
    </x:row>
    <x:row r="110" s="36" customFormat="1" ht="34" customHeight="1">
      <x:c r="A110" s="385" t="n"/>
      <x:c r="B110" s="385" t="n"/>
      <x:c r="C110" s="385" t="n"/>
      <x:c r="D110" s="414" t="n"/>
      <x:c r="E110" s="415" t="n"/>
      <x:c r="F110" s="385" t="n"/>
      <x:c r="G110" s="385" t="n"/>
      <x:c r="H110" s="385" t="n"/>
      <x:c r="I110" s="385" t="n"/>
      <x:c r="J110" s="385" t="n"/>
      <x:c r="K110" s="385" t="n"/>
      <x:c r="N110" s="381" t="n"/>
    </x:row>
    <x:row r="111" s="36" customFormat="1" ht="34" customHeight="1">
      <x:c r="A111" s="385" t="n"/>
      <x:c r="B111" s="385" t="n"/>
      <x:c r="C111" s="385" t="n"/>
      <x:c r="D111" s="414" t="n"/>
      <x:c r="E111" s="415" t="n"/>
      <x:c r="F111" s="385" t="n"/>
      <x:c r="G111" s="385" t="n"/>
      <x:c r="H111" s="385" t="n"/>
      <x:c r="I111" s="385" t="n"/>
      <x:c r="J111" s="385" t="n"/>
      <x:c r="K111" s="385" t="n"/>
      <x:c r="N111" s="381" t="n"/>
    </x:row>
    <x:row r="112" s="36" customFormat="1" ht="34" customHeight="1">
      <x:c r="A112" s="385" t="n"/>
      <x:c r="B112" s="385" t="n"/>
      <x:c r="C112" s="385" t="n"/>
      <x:c r="D112" s="414" t="n"/>
      <x:c r="E112" s="415" t="n"/>
      <x:c r="F112" s="385" t="n"/>
      <x:c r="G112" s="385" t="n"/>
      <x:c r="H112" s="385" t="n"/>
      <x:c r="I112" s="385" t="n"/>
      <x:c r="J112" s="385" t="n"/>
      <x:c r="K112" s="385" t="n"/>
      <x:c r="N112" s="381" t="n"/>
    </x:row>
    <x:row r="113" s="36" customFormat="1" ht="34" customHeight="1">
      <x:c r="A113" s="385" t="n"/>
      <x:c r="B113" s="385" t="n"/>
      <x:c r="C113" s="385" t="n"/>
      <x:c r="D113" s="414" t="n"/>
      <x:c r="E113" s="415" t="n"/>
      <x:c r="F113" s="385" t="n"/>
      <x:c r="G113" s="385" t="n"/>
      <x:c r="H113" s="385" t="n"/>
      <x:c r="I113" s="385" t="n"/>
      <x:c r="J113" s="385" t="n"/>
      <x:c r="K113" s="385" t="n"/>
      <x:c r="N113" s="381" t="n"/>
    </x:row>
    <x:row r="114" s="36" customFormat="1" ht="34" customHeight="1">
      <x:c r="A114" s="385" t="n"/>
      <x:c r="B114" s="385" t="n"/>
      <x:c r="C114" s="385" t="n"/>
      <x:c r="D114" s="414" t="n"/>
      <x:c r="E114" s="415" t="n"/>
      <x:c r="F114" s="385" t="n"/>
      <x:c r="G114" s="385" t="n"/>
      <x:c r="H114" s="385" t="n"/>
      <x:c r="I114" s="385" t="n"/>
      <x:c r="J114" s="385" t="n"/>
      <x:c r="K114" s="385" t="n"/>
      <x:c r="N114" s="381" t="n"/>
    </x:row>
    <x:row r="115" s="36" customFormat="1" ht="34" customHeight="1">
      <x:c r="A115" s="385" t="n"/>
      <x:c r="B115" s="385" t="n"/>
      <x:c r="C115" s="385" t="n"/>
      <x:c r="D115" s="414" t="n"/>
      <x:c r="E115" s="415" t="n"/>
      <x:c r="F115" s="385" t="n"/>
      <x:c r="G115" s="385" t="n"/>
      <x:c r="H115" s="385" t="n"/>
      <x:c r="I115" s="385" t="n"/>
      <x:c r="J115" s="385" t="n"/>
      <x:c r="K115" s="385" t="n"/>
      <x:c r="N115" s="381" t="n"/>
    </x:row>
    <x:row r="116" s="36" customFormat="1" ht="34" customHeight="1">
      <x:c r="A116" s="385" t="n"/>
      <x:c r="B116" s="385" t="n"/>
      <x:c r="C116" s="385" t="n"/>
      <x:c r="D116" s="414" t="n"/>
      <x:c r="E116" s="415" t="n"/>
      <x:c r="F116" s="385" t="n"/>
      <x:c r="G116" s="385" t="n"/>
      <x:c r="H116" s="385" t="n"/>
      <x:c r="I116" s="385" t="n"/>
      <x:c r="J116" s="385" t="n"/>
      <x:c r="K116" s="385" t="n"/>
      <x:c r="N116" s="381" t="n"/>
    </x:row>
    <x:row r="117" s="36" customFormat="1" ht="34" customHeight="1">
      <x:c r="A117" s="385" t="n"/>
      <x:c r="B117" s="385" t="n"/>
      <x:c r="C117" s="385" t="n"/>
      <x:c r="D117" s="414" t="n"/>
      <x:c r="E117" s="415" t="n"/>
      <x:c r="F117" s="385" t="n"/>
      <x:c r="G117" s="385" t="n"/>
      <x:c r="H117" s="385" t="n"/>
      <x:c r="I117" s="385" t="n"/>
      <x:c r="J117" s="385" t="n"/>
      <x:c r="K117" s="385" t="n"/>
      <x:c r="N117" s="381" t="n"/>
    </x:row>
    <x:row r="118" s="36" customFormat="1" ht="34" customHeight="1">
      <x:c r="A118" s="385" t="n"/>
      <x:c r="B118" s="385" t="n"/>
      <x:c r="C118" s="385" t="n"/>
      <x:c r="D118" s="414" t="n"/>
      <x:c r="E118" s="415" t="n"/>
      <x:c r="F118" s="385" t="n"/>
      <x:c r="G118" s="385" t="n"/>
      <x:c r="H118" s="385" t="n"/>
      <x:c r="I118" s="385" t="n"/>
      <x:c r="J118" s="385" t="n"/>
      <x:c r="K118" s="385" t="n"/>
      <x:c r="N118" s="381" t="n"/>
    </x:row>
    <x:row r="119" s="36" customFormat="1" ht="34" customHeight="1">
      <x:c r="A119" s="385" t="n"/>
      <x:c r="B119" s="385" t="n"/>
      <x:c r="C119" s="385" t="n"/>
      <x:c r="D119" s="414" t="n"/>
      <x:c r="E119" s="415" t="n"/>
      <x:c r="F119" s="385" t="n"/>
      <x:c r="G119" s="385" t="n"/>
      <x:c r="H119" s="385" t="n"/>
      <x:c r="I119" s="385" t="n"/>
      <x:c r="J119" s="385" t="n"/>
      <x:c r="K119" s="385" t="n"/>
      <x:c r="N119" s="381" t="n"/>
    </x:row>
    <x:row r="120" s="36" customFormat="1" ht="34" customHeight="1">
      <x:c r="A120" s="385" t="n"/>
      <x:c r="B120" s="385" t="n"/>
      <x:c r="C120" s="385" t="n"/>
      <x:c r="D120" s="414" t="n"/>
      <x:c r="E120" s="415" t="n"/>
      <x:c r="F120" s="385" t="n"/>
      <x:c r="G120" s="385" t="n"/>
      <x:c r="H120" s="385" t="n"/>
      <x:c r="I120" s="385" t="n"/>
      <x:c r="J120" s="385" t="n"/>
      <x:c r="K120" s="385" t="n"/>
      <x:c r="N120" s="381" t="n"/>
    </x:row>
    <x:row r="121" s="36" customFormat="1" ht="34" customHeight="1">
      <x:c r="A121" s="385" t="n"/>
      <x:c r="B121" s="385" t="n"/>
      <x:c r="C121" s="385" t="n"/>
      <x:c r="D121" s="414" t="n"/>
      <x:c r="E121" s="415" t="n"/>
      <x:c r="F121" s="385" t="n"/>
      <x:c r="G121" s="385" t="n"/>
      <x:c r="H121" s="385" t="n"/>
      <x:c r="I121" s="385" t="n"/>
      <x:c r="J121" s="385" t="n"/>
      <x:c r="K121" s="385" t="n"/>
      <x:c r="N121" s="381" t="n"/>
    </x:row>
    <x:row r="122" s="36" customFormat="1" ht="34" customHeight="1">
      <x:c r="A122" s="385" t="n"/>
      <x:c r="B122" s="385" t="n"/>
      <x:c r="C122" s="385" t="n"/>
      <x:c r="D122" s="414" t="n"/>
      <x:c r="E122" s="415" t="n"/>
      <x:c r="F122" s="385" t="n"/>
      <x:c r="G122" s="385" t="n"/>
      <x:c r="H122" s="385" t="n"/>
      <x:c r="I122" s="385" t="n"/>
      <x:c r="J122" s="385" t="n"/>
      <x:c r="K122" s="385" t="n"/>
      <x:c r="N122" s="381" t="n"/>
    </x:row>
    <x:row r="123" s="36" customFormat="1" ht="34" customHeight="1">
      <x:c r="A123" s="385" t="n"/>
      <x:c r="B123" s="385" t="n"/>
      <x:c r="C123" s="385" t="n"/>
      <x:c r="D123" s="414" t="n"/>
      <x:c r="E123" s="415" t="n"/>
      <x:c r="F123" s="385" t="n"/>
      <x:c r="G123" s="385" t="n"/>
      <x:c r="H123" s="385" t="n"/>
      <x:c r="I123" s="385" t="n"/>
      <x:c r="J123" s="385" t="n"/>
      <x:c r="K123" s="385" t="n"/>
      <x:c r="N123" s="381" t="n"/>
    </x:row>
    <x:row r="124" s="36" customFormat="1" ht="34" customHeight="1">
      <x:c r="A124" s="385" t="n"/>
      <x:c r="B124" s="385" t="n"/>
      <x:c r="C124" s="385" t="n"/>
      <x:c r="D124" s="414" t="n"/>
      <x:c r="E124" s="415" t="n"/>
      <x:c r="F124" s="385" t="n"/>
      <x:c r="G124" s="385" t="n"/>
      <x:c r="H124" s="385" t="n"/>
      <x:c r="I124" s="385" t="n"/>
      <x:c r="J124" s="385" t="n"/>
      <x:c r="K124" s="385" t="n"/>
      <x:c r="N124" s="381" t="n"/>
    </x:row>
    <x:row r="125" s="36" customFormat="1" ht="34" customHeight="1">
      <x:c r="A125" s="385" t="n"/>
      <x:c r="B125" s="385" t="n"/>
      <x:c r="C125" s="385" t="n"/>
      <x:c r="D125" s="414" t="n"/>
      <x:c r="E125" s="415" t="n"/>
      <x:c r="F125" s="385" t="n"/>
      <x:c r="G125" s="385" t="n"/>
      <x:c r="H125" s="385" t="n"/>
      <x:c r="I125" s="385" t="n"/>
      <x:c r="J125" s="385" t="n"/>
      <x:c r="K125" s="385" t="n"/>
      <x:c r="N125" s="381" t="n"/>
    </x:row>
    <x:row r="126" s="36" customFormat="1" ht="34" customHeight="1">
      <x:c r="A126" s="385" t="n"/>
      <x:c r="B126" s="385" t="n"/>
      <x:c r="C126" s="385" t="n"/>
      <x:c r="D126" s="414" t="n"/>
      <x:c r="E126" s="415" t="n"/>
      <x:c r="F126" s="385" t="n"/>
      <x:c r="G126" s="385" t="n"/>
      <x:c r="H126" s="385" t="n"/>
      <x:c r="I126" s="385" t="n"/>
      <x:c r="J126" s="385" t="n"/>
      <x:c r="K126" s="385" t="n"/>
      <x:c r="N126" s="381" t="n"/>
    </x:row>
    <x:row r="127" s="36" customFormat="1" ht="34" customHeight="1">
      <x:c r="A127" s="385" t="n"/>
      <x:c r="B127" s="385" t="n"/>
      <x:c r="C127" s="385" t="n"/>
      <x:c r="D127" s="414" t="n"/>
      <x:c r="E127" s="415" t="n"/>
      <x:c r="F127" s="385" t="n"/>
      <x:c r="G127" s="385" t="n"/>
      <x:c r="H127" s="385" t="n"/>
      <x:c r="I127" s="385" t="n"/>
      <x:c r="J127" s="385" t="n"/>
      <x:c r="K127" s="385" t="n"/>
      <x:c r="N127" s="381" t="n"/>
    </x:row>
    <x:row r="128" s="36" customFormat="1" ht="34" customHeight="1">
      <x:c r="A128" s="385" t="n"/>
      <x:c r="B128" s="385" t="n"/>
      <x:c r="C128" s="385" t="n"/>
      <x:c r="D128" s="414" t="n"/>
      <x:c r="E128" s="415" t="n"/>
      <x:c r="F128" s="385" t="n"/>
      <x:c r="G128" s="385" t="n"/>
      <x:c r="H128" s="385" t="n"/>
      <x:c r="I128" s="385" t="n"/>
      <x:c r="J128" s="385" t="n"/>
      <x:c r="K128" s="385" t="n"/>
      <x:c r="N128" s="381" t="n"/>
    </x:row>
    <x:row r="129" s="36" customFormat="1" ht="34" customHeight="1">
      <x:c r="A129" s="385" t="n"/>
      <x:c r="B129" s="385" t="n"/>
      <x:c r="C129" s="385" t="n"/>
      <x:c r="D129" s="414" t="n"/>
      <x:c r="E129" s="415" t="n"/>
      <x:c r="F129" s="385" t="n"/>
      <x:c r="G129" s="385" t="n"/>
      <x:c r="H129" s="385" t="n"/>
      <x:c r="I129" s="385" t="n"/>
      <x:c r="J129" s="385" t="n"/>
      <x:c r="K129" s="385" t="n"/>
      <x:c r="N129" s="381" t="n"/>
    </x:row>
    <x:row r="130" s="36" customFormat="1" ht="34" customHeight="1">
      <x:c r="A130" s="385" t="n"/>
      <x:c r="B130" s="385" t="n"/>
      <x:c r="C130" s="385" t="n"/>
      <x:c r="D130" s="414" t="n"/>
      <x:c r="E130" s="415" t="n"/>
      <x:c r="F130" s="385" t="n"/>
      <x:c r="G130" s="385" t="n"/>
      <x:c r="H130" s="385" t="n"/>
      <x:c r="I130" s="385" t="n"/>
      <x:c r="J130" s="385" t="n"/>
      <x:c r="K130" s="385" t="n"/>
      <x:c r="N130" s="381" t="n"/>
    </x:row>
    <x:row r="131" s="36" customFormat="1" ht="34" customHeight="1">
      <x:c r="A131" s="385" t="n"/>
      <x:c r="B131" s="385" t="n"/>
      <x:c r="C131" s="385" t="n"/>
      <x:c r="D131" s="414" t="n"/>
      <x:c r="E131" s="415" t="n"/>
      <x:c r="F131" s="385" t="n"/>
      <x:c r="G131" s="385" t="n"/>
      <x:c r="H131" s="385" t="n"/>
      <x:c r="I131" s="385" t="n"/>
      <x:c r="J131" s="385" t="n"/>
      <x:c r="K131" s="385" t="n"/>
      <x:c r="N131" s="381" t="n"/>
    </x:row>
    <x:row r="132" s="36" customFormat="1" ht="34" customHeight="1">
      <x:c r="A132" s="385" t="n"/>
      <x:c r="B132" s="385" t="n"/>
      <x:c r="C132" s="385" t="n"/>
      <x:c r="D132" s="414" t="n"/>
      <x:c r="E132" s="415" t="n"/>
      <x:c r="F132" s="385" t="n"/>
      <x:c r="G132" s="385" t="n"/>
      <x:c r="H132" s="385" t="n"/>
      <x:c r="I132" s="385" t="n"/>
      <x:c r="J132" s="385" t="n"/>
      <x:c r="K132" s="385" t="n"/>
      <x:c r="N132" s="381" t="n"/>
    </x:row>
    <x:row r="133" s="36" customFormat="1" ht="34" customHeight="1">
      <x:c r="A133" s="385" t="n"/>
      <x:c r="B133" s="385" t="n"/>
      <x:c r="C133" s="385" t="n"/>
      <x:c r="D133" s="414" t="n"/>
      <x:c r="E133" s="415" t="n"/>
      <x:c r="F133" s="385" t="n"/>
      <x:c r="G133" s="385" t="n"/>
      <x:c r="H133" s="385" t="n"/>
      <x:c r="I133" s="385" t="n"/>
      <x:c r="J133" s="385" t="n"/>
      <x:c r="K133" s="385" t="n"/>
      <x:c r="N133" s="381" t="n"/>
    </x:row>
    <x:row r="134" s="36" customFormat="1" ht="34" customHeight="1">
      <x:c r="A134" s="385" t="n"/>
      <x:c r="B134" s="385" t="n"/>
      <x:c r="C134" s="385" t="n"/>
      <x:c r="D134" s="414" t="n"/>
      <x:c r="E134" s="415" t="n"/>
      <x:c r="F134" s="385" t="n"/>
      <x:c r="G134" s="385" t="n"/>
      <x:c r="H134" s="385" t="n"/>
      <x:c r="I134" s="385" t="n"/>
      <x:c r="J134" s="385" t="n"/>
      <x:c r="K134" s="385" t="n"/>
      <x:c r="N134" s="381" t="n"/>
    </x:row>
    <x:row r="135" s="36" customFormat="1" ht="34" customHeight="1">
      <x:c r="A135" s="385" t="n"/>
      <x:c r="B135" s="385" t="n"/>
      <x:c r="C135" s="385" t="n"/>
      <x:c r="D135" s="414" t="n"/>
      <x:c r="E135" s="415" t="n"/>
      <x:c r="F135" s="385" t="n"/>
      <x:c r="G135" s="385" t="n"/>
      <x:c r="H135" s="385" t="n"/>
      <x:c r="I135" s="385" t="n"/>
      <x:c r="J135" s="385" t="n"/>
      <x:c r="K135" s="385" t="n"/>
      <x:c r="N135" s="381" t="n"/>
    </x:row>
    <x:row r="136" s="36" customFormat="1" ht="34" customHeight="1">
      <x:c r="A136" s="385" t="n"/>
      <x:c r="B136" s="385" t="n"/>
      <x:c r="C136" s="385" t="n"/>
      <x:c r="D136" s="414" t="n"/>
      <x:c r="E136" s="415" t="n"/>
      <x:c r="F136" s="385" t="n"/>
      <x:c r="G136" s="385" t="n"/>
      <x:c r="H136" s="385" t="n"/>
      <x:c r="I136" s="385" t="n"/>
      <x:c r="J136" s="385" t="n"/>
      <x:c r="K136" s="385" t="n"/>
      <x:c r="N136" s="381" t="n"/>
    </x:row>
    <x:row r="137" s="36" customFormat="1" ht="34" customHeight="1">
      <x:c r="A137" s="385" t="n"/>
      <x:c r="B137" s="385" t="n"/>
      <x:c r="C137" s="385" t="n"/>
      <x:c r="D137" s="414" t="n"/>
      <x:c r="E137" s="415" t="n"/>
      <x:c r="F137" s="385" t="n"/>
      <x:c r="G137" s="385" t="n"/>
      <x:c r="H137" s="385" t="n"/>
      <x:c r="I137" s="385" t="n"/>
      <x:c r="J137" s="385" t="n"/>
      <x:c r="K137" s="385" t="n"/>
      <x:c r="N137" s="381" t="n"/>
    </x:row>
    <x:row r="138" s="36" customFormat="1" ht="34" customHeight="1">
      <x:c r="A138" s="385" t="n"/>
      <x:c r="B138" s="385" t="n"/>
      <x:c r="C138" s="385" t="n"/>
      <x:c r="D138" s="414" t="n"/>
      <x:c r="E138" s="415" t="n"/>
      <x:c r="F138" s="385" t="n"/>
      <x:c r="G138" s="385" t="n"/>
      <x:c r="H138" s="385" t="n"/>
      <x:c r="I138" s="385" t="n"/>
      <x:c r="J138" s="385" t="n"/>
      <x:c r="K138" s="385" t="n"/>
      <x:c r="N138" s="381" t="n"/>
    </x:row>
    <x:row r="139" s="36" customFormat="1" ht="34" customHeight="1">
      <x:c r="A139" s="385" t="n"/>
      <x:c r="B139" s="385" t="n"/>
      <x:c r="C139" s="385" t="n"/>
      <x:c r="D139" s="414" t="n"/>
      <x:c r="E139" s="415" t="n"/>
      <x:c r="F139" s="385" t="n"/>
      <x:c r="G139" s="385" t="n"/>
      <x:c r="H139" s="385" t="n"/>
      <x:c r="I139" s="385" t="n"/>
      <x:c r="J139" s="385" t="n"/>
      <x:c r="K139" s="385" t="n"/>
      <x:c r="N139" s="381" t="n"/>
    </x:row>
    <x:row r="140" s="36" customFormat="1" ht="34" customHeight="1">
      <x:c r="A140" s="385" t="n"/>
      <x:c r="B140" s="385" t="n"/>
      <x:c r="C140" s="385" t="n"/>
      <x:c r="D140" s="414" t="n"/>
      <x:c r="E140" s="415" t="n"/>
      <x:c r="F140" s="385" t="n"/>
      <x:c r="G140" s="385" t="n"/>
      <x:c r="H140" s="385" t="n"/>
      <x:c r="I140" s="385" t="n"/>
      <x:c r="J140" s="385" t="n"/>
      <x:c r="K140" s="385" t="n"/>
      <x:c r="N140" s="381" t="n"/>
    </x:row>
    <x:row r="141" s="36" customFormat="1" ht="34" customHeight="1">
      <x:c r="A141" s="385" t="n"/>
      <x:c r="B141" s="385" t="n"/>
      <x:c r="C141" s="385" t="n"/>
      <x:c r="D141" s="414" t="n"/>
      <x:c r="E141" s="415" t="n"/>
      <x:c r="F141" s="385" t="n"/>
      <x:c r="G141" s="385" t="n"/>
      <x:c r="H141" s="385" t="n"/>
      <x:c r="I141" s="385" t="n"/>
      <x:c r="J141" s="385" t="n"/>
      <x:c r="K141" s="385" t="n"/>
      <x:c r="N141" s="381" t="n"/>
    </x:row>
    <x:row r="142" s="36" customFormat="1" ht="34" customHeight="1">
      <x:c r="A142" s="385" t="n"/>
      <x:c r="B142" s="385" t="n"/>
      <x:c r="C142" s="385" t="n"/>
      <x:c r="D142" s="414" t="n"/>
      <x:c r="E142" s="415" t="n"/>
      <x:c r="F142" s="385" t="n"/>
      <x:c r="G142" s="385" t="n"/>
      <x:c r="H142" s="385" t="n"/>
      <x:c r="I142" s="385" t="n"/>
      <x:c r="J142" s="385" t="n"/>
      <x:c r="K142" s="385" t="n"/>
      <x:c r="N142" s="381" t="n"/>
    </x:row>
    <x:row r="143" s="36" customFormat="1" ht="34" customHeight="1">
      <x:c r="A143" s="385" t="n"/>
      <x:c r="B143" s="385" t="n"/>
      <x:c r="C143" s="385" t="n"/>
      <x:c r="D143" s="414" t="n"/>
      <x:c r="E143" s="415" t="n"/>
      <x:c r="F143" s="385" t="n"/>
      <x:c r="G143" s="385" t="n"/>
      <x:c r="H143" s="385" t="n"/>
      <x:c r="I143" s="385" t="n"/>
      <x:c r="J143" s="385" t="n"/>
      <x:c r="K143" s="385" t="n"/>
      <x:c r="N143" s="381" t="n"/>
    </x:row>
    <x:row r="144" s="36" customFormat="1" ht="34" customHeight="1">
      <x:c r="A144" s="385" t="n"/>
      <x:c r="B144" s="385" t="n"/>
      <x:c r="C144" s="385" t="n"/>
      <x:c r="D144" s="414" t="n"/>
      <x:c r="E144" s="415" t="n"/>
      <x:c r="F144" s="385" t="n"/>
      <x:c r="G144" s="385" t="n"/>
      <x:c r="H144" s="385" t="n"/>
      <x:c r="I144" s="385" t="n"/>
      <x:c r="J144" s="385" t="n"/>
      <x:c r="K144" s="385" t="n"/>
      <x:c r="N144" s="381" t="n"/>
    </x:row>
    <x:row r="145" s="36" customFormat="1" ht="34" customHeight="1">
      <x:c r="A145" s="385" t="n"/>
      <x:c r="B145" s="385" t="n"/>
      <x:c r="C145" s="385" t="n"/>
      <x:c r="D145" s="414" t="n"/>
      <x:c r="E145" s="415" t="n"/>
      <x:c r="F145" s="385" t="n"/>
      <x:c r="G145" s="385" t="n"/>
      <x:c r="H145" s="385" t="n"/>
      <x:c r="I145" s="385" t="n"/>
      <x:c r="J145" s="385" t="n"/>
      <x:c r="K145" s="385" t="n"/>
      <x:c r="N145" s="381" t="n"/>
    </x:row>
    <x:row r="146" s="36" customFormat="1" ht="34" customHeight="1">
      <x:c r="A146" s="385" t="n"/>
      <x:c r="B146" s="385" t="n"/>
      <x:c r="C146" s="385" t="n"/>
      <x:c r="D146" s="414" t="n"/>
      <x:c r="E146" s="415" t="n"/>
      <x:c r="F146" s="385" t="n"/>
      <x:c r="G146" s="385" t="n"/>
      <x:c r="H146" s="385" t="n"/>
      <x:c r="I146" s="385" t="n"/>
      <x:c r="J146" s="385" t="n"/>
      <x:c r="K146" s="385" t="n"/>
      <x:c r="N146" s="381" t="n"/>
    </x:row>
    <x:row r="147" s="36" customFormat="1" ht="34" customHeight="1">
      <x:c r="A147" s="385" t="n"/>
      <x:c r="B147" s="385" t="n"/>
      <x:c r="C147" s="385" t="n"/>
      <x:c r="D147" s="414" t="n"/>
      <x:c r="E147" s="415" t="n"/>
      <x:c r="F147" s="385" t="n"/>
      <x:c r="G147" s="385" t="n"/>
      <x:c r="H147" s="385" t="n"/>
      <x:c r="I147" s="385" t="n"/>
      <x:c r="J147" s="385" t="n"/>
      <x:c r="K147" s="385" t="n"/>
      <x:c r="N147" s="381" t="n"/>
    </x:row>
    <x:row r="148" s="36" customFormat="1" ht="34" customHeight="1">
      <x:c r="A148" s="385" t="n"/>
      <x:c r="B148" s="385" t="n"/>
      <x:c r="C148" s="385" t="n"/>
      <x:c r="D148" s="414" t="n"/>
      <x:c r="E148" s="415" t="n"/>
      <x:c r="F148" s="385" t="n"/>
      <x:c r="G148" s="385" t="n"/>
      <x:c r="H148" s="385" t="n"/>
      <x:c r="I148" s="385" t="n"/>
      <x:c r="J148" s="385" t="n"/>
      <x:c r="K148" s="385" t="n"/>
      <x:c r="N148" s="381" t="n"/>
    </x:row>
    <x:row r="149" s="36" customFormat="1" ht="34" customHeight="1">
      <x:c r="A149" s="385" t="n"/>
      <x:c r="B149" s="385" t="n"/>
      <x:c r="C149" s="385" t="n"/>
      <x:c r="D149" s="414" t="n"/>
      <x:c r="E149" s="415" t="n"/>
      <x:c r="F149" s="385" t="n"/>
      <x:c r="G149" s="385" t="n"/>
      <x:c r="H149" s="385" t="n"/>
      <x:c r="I149" s="385" t="n"/>
      <x:c r="J149" s="385" t="n"/>
      <x:c r="K149" s="385" t="n"/>
      <x:c r="N149" s="381" t="n"/>
    </x:row>
    <x:row r="150" s="36" customFormat="1" ht="34" customHeight="1">
      <x:c r="A150" s="385" t="n"/>
      <x:c r="B150" s="385" t="n"/>
      <x:c r="C150" s="385" t="n"/>
      <x:c r="D150" s="414" t="n"/>
      <x:c r="E150" s="415" t="n"/>
      <x:c r="F150" s="385" t="n"/>
      <x:c r="G150" s="385" t="n"/>
      <x:c r="H150" s="385" t="n"/>
      <x:c r="I150" s="385" t="n"/>
      <x:c r="J150" s="385" t="n"/>
      <x:c r="K150" s="385" t="n"/>
      <x:c r="N150" s="381" t="n"/>
    </x:row>
    <x:row r="151" s="36" customFormat="1" ht="34" customHeight="1">
      <x:c r="A151" s="385" t="n"/>
      <x:c r="B151" s="385" t="n"/>
      <x:c r="C151" s="385" t="n"/>
      <x:c r="D151" s="414" t="n"/>
      <x:c r="E151" s="415" t="n"/>
      <x:c r="F151" s="385" t="n"/>
      <x:c r="G151" s="385" t="n"/>
      <x:c r="H151" s="385" t="n"/>
      <x:c r="I151" s="385" t="n"/>
      <x:c r="J151" s="385" t="n"/>
      <x:c r="K151" s="385" t="n"/>
      <x:c r="N151" s="381" t="n"/>
    </x:row>
    <x:row r="152" s="36" customFormat="1" ht="34" customHeight="1">
      <x:c r="A152" s="385" t="n"/>
      <x:c r="B152" s="385" t="n"/>
      <x:c r="C152" s="385" t="n"/>
      <x:c r="D152" s="414" t="n"/>
      <x:c r="E152" s="415" t="n"/>
      <x:c r="F152" s="385" t="n"/>
      <x:c r="G152" s="385" t="n"/>
      <x:c r="H152" s="385" t="n"/>
      <x:c r="I152" s="385" t="n"/>
      <x:c r="J152" s="385" t="n"/>
      <x:c r="K152" s="385" t="n"/>
      <x:c r="N152" s="381" t="n"/>
    </x:row>
    <x:row r="153" s="36" customFormat="1" ht="34" customHeight="1">
      <x:c r="A153" s="385" t="n"/>
      <x:c r="B153" s="385" t="n"/>
      <x:c r="C153" s="385" t="n"/>
      <x:c r="D153" s="414" t="n"/>
      <x:c r="E153" s="415" t="n"/>
      <x:c r="F153" s="385" t="n"/>
      <x:c r="G153" s="385" t="n"/>
      <x:c r="H153" s="385" t="n"/>
      <x:c r="I153" s="385" t="n"/>
      <x:c r="J153" s="385" t="n"/>
      <x:c r="K153" s="385" t="n"/>
      <x:c r="N153" s="381" t="n"/>
    </x:row>
    <x:row r="154">
      <x:c r="A154" s="133" t="n"/>
      <x:c r="B154" s="133" t="n"/>
      <x:c r="C154" s="133" t="n"/>
      <x:c r="D154" s="133" t="n"/>
      <x:c r="E154" s="133" t="n"/>
      <x:c r="F154" s="133" t="n"/>
      <x:c r="G154" s="133" t="n"/>
      <x:c r="H154" s="133" t="n"/>
      <x:c r="I154" s="133" t="n"/>
      <x:c r="J154" s="133" t="n"/>
      <x:c r="K154" s="133" t="n"/>
      <x:c r="N154" s="381" t="n"/>
    </x:row>
    <x:row r="155">
      <x:c r="N155" s="381" t="n"/>
    </x:row>
    <x:row r="156">
      <x:c r="N156" s="381" t="n"/>
    </x:row>
    <x:row r="157">
      <x:c r="N157" s="381" t="n"/>
    </x:row>
    <x:row r="158">
      <x:c r="N158" s="381" t="n"/>
    </x:row>
    <x:row r="159">
      <x:c r="N159" s="381" t="n"/>
    </x:row>
    <x:row r="160">
      <x:c r="N160" s="381" t="n"/>
    </x:row>
    <x:row r="161">
      <x:c r="N161" s="381" t="n"/>
    </x:row>
    <x:row r="162">
      <x:c r="N162" s="381" t="n"/>
    </x:row>
    <x:row r="163">
      <x:c r="N163" s="381" t="n"/>
    </x:row>
    <x:row r="164">
      <x:c r="N164" s="381" t="n"/>
    </x:row>
    <x:row r="165">
      <x:c r="N165" s="381" t="n"/>
    </x:row>
    <x:row r="166">
      <x:c r="N166" s="381" t="n"/>
    </x:row>
    <x:row r="167">
      <x:c r="N167" s="381" t="n"/>
    </x:row>
    <x:row r="168">
      <x:c r="N168" s="381" t="n"/>
    </x:row>
    <x:row r="169">
      <x:c r="N169" s="381" t="n"/>
    </x:row>
    <x:row r="170">
      <x:c r="N170" s="381" t="n"/>
    </x:row>
    <x:row r="171">
      <x:c r="N171" s="381" t="n"/>
    </x:row>
    <x:row r="172">
      <x:c r="N172" s="381" t="n"/>
    </x:row>
    <x:row r="173">
      <x:c r="N173" s="381" t="n"/>
    </x:row>
    <x:row r="174">
      <x:c r="N174" s="381" t="n"/>
    </x:row>
    <x:row r="175">
      <x:c r="N175" s="381" t="n"/>
    </x:row>
    <x:row r="176">
      <x:c r="N176" s="381" t="n"/>
    </x:row>
    <x:row r="177">
      <x:c r="N177" s="381" t="n"/>
    </x:row>
    <x:row r="178">
      <x:c r="N178" s="381" t="n"/>
    </x:row>
    <x:row r="179">
      <x:c r="N179" s="381" t="n"/>
    </x:row>
    <x:row r="180">
      <x:c r="N180" s="381" t="n"/>
    </x:row>
    <x:row r="181">
      <x:c r="N181" s="381" t="n"/>
    </x:row>
    <x:row r="182">
      <x:c r="N182" s="381" t="n"/>
    </x:row>
    <x:row r="183">
      <x:c r="N183" s="381" t="n"/>
    </x:row>
    <x:row r="184">
      <x:c r="N184" s="381" t="n"/>
    </x:row>
    <x:row r="185">
      <x:c r="N185" s="381" t="n"/>
    </x:row>
    <x:row r="186">
      <x:c r="N186" s="381" t="n"/>
    </x:row>
    <x:row r="187">
      <x:c r="N187" s="381" t="n"/>
    </x:row>
    <x:row r="188">
      <x:c r="N188" s="381" t="n"/>
    </x:row>
    <x:row r="189">
      <x:c r="N189" s="381" t="n"/>
    </x:row>
    <x:row r="190">
      <x:c r="N190" s="381" t="n"/>
    </x:row>
    <x:row r="191">
      <x:c r="N191" s="381" t="n"/>
    </x:row>
    <x:row r="192">
      <x:c r="N192" s="381" t="n"/>
    </x:row>
    <x:row r="193">
      <x:c r="N193" s="381" t="n"/>
    </x:row>
    <x:row r="194">
      <x:c r="N194" s="381" t="n"/>
    </x:row>
    <x:row r="195">
      <x:c r="N195" s="381" t="n"/>
    </x:row>
    <x:row r="196">
      <x:c r="N196" s="381" t="n"/>
    </x:row>
    <x:row r="197">
      <x:c r="N197" s="381" t="n"/>
    </x:row>
    <x:row r="198">
      <x:c r="N198" s="381" t="n"/>
    </x:row>
    <x:row r="199">
      <x:c r="N199" s="381" t="n"/>
    </x:row>
    <x:row r="200">
      <x:c r="N200" s="381" t="n"/>
    </x:row>
    <x:row r="201">
      <x:c r="N201" s="381"/>
    </x:row>
    <x:row r="202">
      <x:c r="N202" s="381"/>
    </x:row>
    <x:row r="203">
      <x:c r="N203" s="381"/>
    </x:row>
    <x:row r="204">
      <x:c r="N204" s="381"/>
    </x:row>
    <x:row r="205">
      <x:c r="N205" s="381"/>
    </x:row>
    <x:row r="206">
      <x:c r="N206" s="381"/>
    </x:row>
    <x:row r="207">
      <x:c r="N207" s="381"/>
    </x:row>
    <x:row r="208">
      <x:c r="N208" s="381"/>
    </x:row>
    <x:row r="209">
      <x:c r="N209" s="381"/>
    </x:row>
    <x:row r="210">
      <x:c r="N210" s="381"/>
    </x:row>
    <x:row r="211">
      <x:c r="N211" s="381"/>
    </x:row>
    <x:row r="212">
      <x:c r="N212" s="381"/>
    </x:row>
    <x:row r="213">
      <x:c r="N213" s="381"/>
    </x:row>
    <x:row r="214">
      <x:c r="N214" s="381"/>
    </x:row>
    <x:row r="215">
      <x:c r="N215" s="381"/>
    </x:row>
    <x:row r="216">
      <x:c r="N216" s="381"/>
    </x:row>
    <x:row r="217">
      <x:c r="N217" s="381"/>
    </x:row>
    <x:row r="218">
      <x:c r="N218" s="381"/>
    </x:row>
    <x:row r="219">
      <x:c r="N219" s="381"/>
    </x:row>
    <x:row r="220">
      <x:c r="N220" s="381"/>
    </x:row>
    <x:row r="221">
      <x:c r="N221" s="381"/>
    </x:row>
    <x:row r="222">
      <x:c r="N222" s="381"/>
    </x:row>
    <x:row r="223">
      <x:c r="N223" s="381"/>
    </x:row>
    <x:row r="224">
      <x:c r="N224" s="381"/>
    </x:row>
    <x:row r="225">
      <x:c r="N225" s="381"/>
    </x:row>
    <x:row r="226">
      <x:c r="N226" s="381"/>
    </x:row>
    <x:row r="227">
      <x:c r="N227" s="381"/>
    </x:row>
    <x:row r="228">
      <x:c r="N228" s="381"/>
    </x:row>
    <x:row r="229">
      <x:c r="N229" s="381"/>
    </x:row>
    <x:row r="230">
      <x:c r="N230" s="381"/>
    </x:row>
    <x:row r="231">
      <x:c r="N231" s="381"/>
    </x:row>
    <x:row r="232">
      <x:c r="N232" s="381"/>
    </x:row>
    <x:row r="233">
      <x:c r="N233" s="381"/>
    </x:row>
    <x:row r="234">
      <x:c r="N234" s="381"/>
    </x:row>
    <x:row r="235">
      <x:c r="N235" s="381"/>
    </x:row>
    <x:row r="236">
      <x:c r="N236" s="381"/>
    </x:row>
    <x:row r="237">
      <x:c r="N237" s="381"/>
    </x:row>
    <x:row r="238">
      <x:c r="N238" s="381"/>
    </x:row>
    <x:row r="239">
      <x:c r="N239" s="381"/>
    </x:row>
    <x:row r="240">
      <x:c r="N240" s="381"/>
    </x:row>
    <x:row r="241">
      <x:c r="N241" s="381"/>
    </x:row>
    <x:row r="242">
      <x:c r="N242" s="381"/>
    </x:row>
    <x:row r="243">
      <x:c r="N243" s="381"/>
    </x:row>
    <x:row r="244">
      <x:c r="N244" s="381"/>
    </x:row>
    <x:row r="245">
      <x:c r="N245" s="381"/>
    </x:row>
    <x:row r="246">
      <x:c r="N246" s="381"/>
    </x:row>
    <x:row r="247">
      <x:c r="N247" s="381"/>
    </x:row>
    <x:row r="248">
      <x:c r="N248" s="381"/>
    </x:row>
    <x:row r="249">
      <x:c r="N249" s="381"/>
    </x:row>
    <x:row r="250">
      <x:c r="N250" s="381"/>
    </x:row>
    <x:row r="251">
      <x:c r="N251" s="381"/>
    </x:row>
    <x:row r="252">
      <x:c r="N252" s="381"/>
    </x:row>
    <x:row r="253">
      <x:c r="N253" s="381"/>
    </x:row>
    <x:row r="254">
      <x:c r="N254" s="381"/>
    </x:row>
    <x:row r="255">
      <x:c r="N255" s="381"/>
    </x:row>
    <x:row r="256">
      <x:c r="N256" s="381"/>
    </x:row>
    <x:row r="257">
      <x:c r="N257" s="381"/>
    </x:row>
    <x:row r="258">
      <x:c r="N258" s="381"/>
    </x:row>
    <x:row r="259">
      <x:c r="N259" s="381"/>
    </x:row>
    <x:row r="260">
      <x:c r="N260" s="381"/>
    </x:row>
    <x:row r="261">
      <x:c r="N261" s="381"/>
    </x:row>
    <x:row r="262">
      <x:c r="N262" s="381"/>
    </x:row>
    <x:row r="263">
      <x:c r="N263" s="381"/>
    </x:row>
    <x:row r="264">
      <x:c r="N264" s="381"/>
    </x:row>
    <x:row r="265">
      <x:c r="N265" s="381"/>
    </x:row>
    <x:row r="266">
      <x:c r="N266" s="381"/>
    </x:row>
    <x:row r="267">
      <x:c r="N267" s="381"/>
    </x:row>
    <x:row r="268">
      <x:c r="N268" s="381"/>
    </x:row>
    <x:row r="269">
      <x:c r="N269" s="381"/>
    </x:row>
    <x:row r="270">
      <x:c r="N270" s="381"/>
    </x:row>
    <x:row r="271">
      <x:c r="N271" s="381"/>
    </x:row>
    <x:row r="272">
      <x:c r="N272" s="381"/>
    </x:row>
    <x:row r="273">
      <x:c r="N273" s="381"/>
    </x:row>
    <x:row r="274">
      <x:c r="N274" s="381"/>
    </x:row>
    <x:row r="275">
      <x:c r="N275" s="381"/>
    </x:row>
    <x:row r="276">
      <x:c r="N276" s="381"/>
    </x:row>
    <x:row r="277">
      <x:c r="N277" s="381"/>
    </x:row>
    <x:row r="278">
      <x:c r="N278" s="381"/>
    </x:row>
    <x:row r="279">
      <x:c r="N279" s="381"/>
    </x:row>
    <x:row r="280">
      <x:c r="N280" s="381"/>
    </x:row>
    <x:row r="281">
      <x:c r="N281" s="381"/>
    </x:row>
    <x:row r="282">
      <x:c r="N282" s="381"/>
    </x:row>
    <x:row r="283">
      <x:c r="N283" s="381"/>
    </x:row>
    <x:row r="284">
      <x:c r="N284" s="381"/>
    </x:row>
    <x:row r="285">
      <x:c r="N285" s="381"/>
    </x:row>
    <x:row r="286">
      <x:c r="N286" s="381"/>
    </x:row>
    <x:row r="287">
      <x:c r="N287" s="381"/>
    </x:row>
    <x:row r="288">
      <x:c r="N288" s="381"/>
    </x:row>
    <x:row r="289">
      <x:c r="N289" s="381"/>
    </x:row>
    <x:row r="290">
      <x:c r="N290" s="381"/>
    </x:row>
    <x:row r="291">
      <x:c r="N291" s="381"/>
    </x:row>
    <x:row r="292">
      <x:c r="N292" s="381"/>
    </x:row>
    <x:row r="293">
      <x:c r="N293" s="381"/>
    </x:row>
    <x:row r="294">
      <x:c r="N294" s="381"/>
    </x:row>
    <x:row r="295">
      <x:c r="N295" s="381"/>
    </x:row>
    <x:row r="296">
      <x:c r="N296" s="381"/>
    </x:row>
    <x:row r="297">
      <x:c r="N297" s="381"/>
    </x:row>
    <x:row r="298">
      <x:c r="N298" s="381"/>
    </x:row>
    <x:row r="299">
      <x:c r="N299" s="381"/>
    </x:row>
    <x:row r="300">
      <x:c r="N300" s="381"/>
    </x:row>
    <x:row r="301">
      <x:c r="N301" s="381"/>
    </x:row>
    <x:row r="302">
      <x:c r="N302" s="381"/>
    </x:row>
  </x:sheetData>
  <x:mergeCells>
    <x:mergeCell ref="I59:K60"/>
    <x:mergeCell ref="I53:K53"/>
    <x:mergeCell ref="A3:C3"/>
    <x:mergeCell ref="I58:K58"/>
    <x:mergeCell ref="I3:K3"/>
    <x:mergeCell ref="A1:K1"/>
    <x:mergeCell ref="A59:C60"/>
    <x:mergeCell ref="I46:K47"/>
    <x:mergeCell ref="E45:G45"/>
    <x:mergeCell ref="I54:K55"/>
    <x:mergeCell ref="E8:G9"/>
    <x:mergeCell ref="A53:C53"/>
    <x:mergeCell ref="E4:G5"/>
    <x:mergeCell ref="A62:K63"/>
    <x:mergeCell ref="E7:G7"/>
    <x:mergeCell ref="A54:C55"/>
    <x:mergeCell ref="E59:G60"/>
    <x:mergeCell ref="E53:G53"/>
    <x:mergeCell ref="A57:K57"/>
    <x:mergeCell ref="A58:C58"/>
    <x:mergeCell ref="E58:G58"/>
    <x:mergeCell ref="A7:C7"/>
    <x:mergeCell ref="E3:G3"/>
    <x:mergeCell ref="A46:C47"/>
    <x:mergeCell ref="E46:G47"/>
    <x:mergeCell ref="A45:C45"/>
    <x:mergeCell ref="E54:G55"/>
    <x:mergeCell ref="I45:K45"/>
    <x:mergeCell ref="A43:K43"/>
    <x:mergeCell ref="A8:C9"/>
    <x:mergeCell ref="A52:K52"/>
    <x:mergeCell ref="I8:K9"/>
    <x:mergeCell ref="A4:C5"/>
    <x:mergeCell ref="I4:K5"/>
    <x:mergeCell ref="I7:K7"/>
    <x:mergeCell ref="A49:I49"/>
  </x:mergeCells>
  <x:conditionalFormatting sqref="A49:K50">
    <x:cfRule type="containsText" dxfId="0" priority="1" operator="containsText" text="REVIEW OVERDUE"/>
  </x:conditionalFormatting>
  <x:conditionalFormatting sqref="J54:J153">
    <x:cfRule type="containsText" dxfId="0" priority="2" operator="containsText" text="OVERDUE"/>
    <x:cfRule type="containsText" dxfId="3" priority="3" operator="containsText" text="OPEN"/>
  </x:conditionalFormatting>
  <x:conditionalFormatting sqref="A46:C47">
    <x:cfRule type="containsText" dxfId="3" priority="4" operator="containsText" text="YES"/>
  </x:conditionalFormatting>
  <x:dataValidations count="2">
    <x:dataValidation type="list" allowBlank="0" showDropDown="0" showInputMessage="0" showErrorMessage="0" sqref="A46:C47">
      <x:formula1>"NO,YES"</x:formula1>
    </x:dataValidation>
    <x:dataValidation operator="between" allowBlank="0" showDropDown="0" showInputMessage="0" showErrorMessage="0" sqref="E46:G47">
      <x:formula1>1</x:formula1>
      <x:formula2>20</x:formula2>
    </x:dataValidation>
  </x:dataValidations>
  <x:pageMargins left="0.7" right="0.7" top="0.75" bottom="0.75" header="0.3" footer="0.3"/>
  <x:drawing xmlns:r="http://schemas.openxmlformats.org/officeDocument/2006/relationships" r:id="R93067934ffde4879"/>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26" style="36" hidden="0" customWidth="1"/>
    <x:col min="2" max="2" width="20" style="36" hidden="0" customWidth="1"/>
    <x:col min="3" max="3" width="12" style="36" hidden="0" customWidth="1"/>
    <x:col min="4" max="4" width="38" style="36" hidden="0" customWidth="1"/>
    <x:col min="5" max="5" width="20" style="36" hidden="0" customWidth="1"/>
    <x:col min="6" max="6" width="22" style="36" hidden="0" customWidth="1"/>
    <x:col min="7" max="7" width="14" style="36" hidden="0" customWidth="1"/>
    <x:col min="8" max="8" width="18" style="36" hidden="0" customWidth="1"/>
    <x:col min="9" max="9" width="18" style="36" hidden="0" customWidth="1"/>
    <x:col min="10" max="10" width="42" style="36" hidden="0" customWidth="1"/>
    <x:col min="11" max="11" width="18" style="36" hidden="0" customWidth="1"/>
    <x:col min="12" max="12" width="18" style="36" hidden="0" customWidth="1"/>
    <x:col min="13" max="13" width="52" style="36" hidden="0" customWidth="1"/>
    <x:col min="14" max="14" width="18" style="36" hidden="0" customWidth="1"/>
    <x:col min="15" max="15" width="30" style="36" hidden="0" customWidth="1"/>
    <x:col min="16" max="16" width="42" style="36" hidden="0" customWidth="1"/>
    <x:col min="17" max="17" width="42" style="36" hidden="0" customWidth="1"/>
    <x:col min="18" max="18" width="28" style="36" hidden="0" customWidth="1"/>
    <x:col min="19" max="19" width="28" style="36" hidden="0" customWidth="1"/>
    <x:col min="20" max="20" width="16" style="36" hidden="0" customWidth="1"/>
    <x:col min="21" max="21" width="24" style="36" hidden="0" customWidth="1"/>
    <x:col min="22" max="22" width="22" style="36" hidden="0" customWidth="1"/>
    <x:col min="23" max="23" width="24" style="36" hidden="0" customWidth="1"/>
    <x:col min="24" max="24" width="17" hidden="0" customWidth="1"/>
    <x:col min="25" max="25" width="12" hidden="0" customWidth="1"/>
    <x:col min="26" max="26" width="14" hidden="0" customWidth="1"/>
    <x:col min="27" max="27" width="14" hidden="0" customWidth="1"/>
    <x:col min="28" max="28" width="48" hidden="0" customWidth="1"/>
    <x:col min="29" max="29" width="14" hidden="0" customWidth="1"/>
    <x:col min="30" max="30" width="14" hidden="0" customWidth="1"/>
    <x:col min="31" max="31" width="14" hidden="0" customWidth="1"/>
    <x:col min="32" max="32" width="14" hidden="0" customWidth="1"/>
    <x:col min="33" max="33" width="14" hidden="0" customWidth="1"/>
    <x:col min="34" max="34" width="16" hidden="0" customWidth="1"/>
    <x:col min="35" max="35" width="20" hidden="0" customWidth="1"/>
    <x:col min="36" max="36" width="22" hidden="0" customWidth="1"/>
    <x:col min="37" max="37" width="20" hidden="0" customWidth="1"/>
    <x:col min="38" max="38" width="14" hidden="0" customWidth="1"/>
    <x:col min="39" max="39" width="28" hidden="0" customWidth="1"/>
    <x:col min="40" max="40" width="16" hidden="0" customWidth="1"/>
    <x:col min="41" max="41" width="14" hidden="0" customWidth="1"/>
    <x:col min="42" max="42" width="42" hidden="0" customWidth="1"/>
    <x:col min="43" max="43" width="18" hidden="0" customWidth="1"/>
    <x:col min="44" max="44" width="4" hidden="0" customWidth="1"/>
  </x:cols>
  <x:sheetData>
    <x:row r="1" s="36" customFormat="1" ht="24" customHeight="1">
      <x:c r="A1" s="866" t="str">
        <x:v>OPERATION</x:v>
      </x:c>
      <x:c r="B1" s="866"/>
      <x:c r="C1" s="866"/>
      <x:c r="D1" s="866"/>
      <x:c r="E1" s="866"/>
      <x:c r="F1" s="866"/>
      <x:c r="G1" s="867" t="str">
        <x:v>HUMAN DECISION</x:v>
      </x:c>
      <x:c r="H1" s="867"/>
      <x:c r="I1" s="867"/>
      <x:c r="J1" s="867"/>
      <x:c r="K1" s="868" t="str">
        <x:v>PROGRAM EXECUTION</x:v>
      </x:c>
      <x:c r="L1" s="868"/>
      <x:c r="M1" s="868"/>
      <x:c r="N1" s="869" t="str">
        <x:v>CANDIDATE / SOURCE CONTEXT</x:v>
      </x:c>
      <x:c r="O1" s="869"/>
      <x:c r="P1" s="869"/>
      <x:c r="Q1" s="869"/>
      <x:c r="R1" s="869"/>
      <x:c r="S1" s="869"/>
      <x:c r="T1" s="869"/>
      <x:c r="U1" s="869"/>
      <x:c r="V1" s="869"/>
      <x:c r="W1" s="869"/>
      <x:c r="X1" s="869"/>
      <x:c r="Y1" s="869"/>
      <x:c r="Z1" s="869"/>
      <x:c r="AA1" s="869"/>
      <x:c r="AB1" s="869"/>
      <x:c r="AC1" s="869"/>
      <x:c r="AD1" s="869"/>
      <x:c r="AE1" s="869"/>
      <x:c r="AF1" s="869"/>
      <x:c r="AG1" s="869"/>
      <x:c r="AH1" s="869"/>
      <x:c r="AI1" s="869"/>
      <x:c r="AJ1" s="869"/>
      <x:c r="AK1" s="869"/>
      <x:c r="AL1" s="869"/>
      <x:c r="AM1" s="869"/>
      <x:c r="AN1" s="869"/>
      <x:c r="AO1" s="869"/>
      <x:c r="AP1" s="869"/>
      <x:c r="AQ1" s="869"/>
      <x:c r="AR1" s="869"/>
    </x:row>
    <x:row r="2" s="36" customFormat="1" ht="44" customHeight="1">
      <x:c r="A2" s="870" t="str">
        <x:v>operation_id</x:v>
      </x:c>
      <x:c r="B2" s="870" t="str">
        <x:v>operation_type</x:v>
      </x:c>
      <x:c r="C2" s="870" t="str">
        <x:v>source_id</x:v>
      </x:c>
      <x:c r="D2" s="870" t="str">
        <x:v>source_title</x:v>
      </x:c>
      <x:c r="E2" s="870" t="str">
        <x:v>trigger</x:v>
      </x:c>
      <x:c r="F2" s="870" t="str">
        <x:v>proposed_action</x:v>
      </x:c>
      <x:c r="G2" s="870" t="str">
        <x:v>decision</x:v>
      </x:c>
      <x:c r="H2" s="870" t="str">
        <x:v>operator</x:v>
      </x:c>
      <x:c r="I2" s="870" t="str">
        <x:v>checked_at</x:v>
      </x:c>
      <x:c r="J2" s="870" t="str">
        <x:v>operator_note</x:v>
      </x:c>
      <x:c r="K2" s="870" t="str">
        <x:v>program_status</x:v>
      </x:c>
      <x:c r="L2" s="870" t="str">
        <x:v>program_operated_at</x:v>
      </x:c>
      <x:c r="M2" s="870" t="str">
        <x:v>program_note</x:v>
      </x:c>
      <x:c r="N2" s="870" t="str">
        <x:v>candidate_origin</x:v>
      </x:c>
      <x:c r="O2" s="870" t="str">
        <x:v>intake_file</x:v>
      </x:c>
      <x:c r="P2" s="870" t="str">
        <x:v>official_url</x:v>
      </x:c>
      <x:c r="Q2" s="870" t="str">
        <x:v>retrieval_url</x:v>
      </x:c>
      <x:c r="R2" s="870" t="str">
        <x:v>folder_code</x:v>
      </x:c>
      <x:c r="S2" s="870" t="str">
        <x:v>issuer</x:v>
      </x:c>
      <x:c r="T2" s="870" t="str">
        <x:v>jurisdiction</x:v>
      </x:c>
      <x:c r="U2" s="870" t="str">
        <x:v>document_type</x:v>
      </x:c>
      <x:c r="V2" s="870" t="str">
        <x:v>source_family</x:v>
      </x:c>
      <x:c r="W2" s="870" t="str">
        <x:v>requirement_role</x:v>
      </x:c>
      <x:c r="X2" s="870" t="str">
        <x:v>authoritative_language</x:v>
      </x:c>
      <x:c r="Y2" s="870" t="str">
        <x:v>file_format</x:v>
      </x:c>
      <x:c r="Z2" s="870" t="str">
        <x:v>version</x:v>
      </x:c>
      <x:c r="AA2" s="870" t="str">
        <x:v>effective_date</x:v>
      </x:c>
      <x:c r="AB2" s="870" t="str">
        <x:v>inclusion_rationale</x:v>
      </x:c>
      <x:c r="AC2" s="870" t="str">
        <x:v>authority_quality</x:v>
      </x:c>
      <x:c r="AD2" s="870" t="str">
        <x:v>scope_relevance</x:v>
      </x:c>
      <x:c r="AE2" s="870" t="str">
        <x:v>version_currency</x:v>
      </x:c>
      <x:c r="AF2" s="870" t="str">
        <x:v>traceability</x:v>
      </x:c>
      <x:c r="AG2" s="870" t="str">
        <x:v>access_permission</x:v>
      </x:c>
      <x:c r="AH2" s="870" t="str">
        <x:v>automation_readiness</x:v>
      </x:c>
      <x:c r="AI2" s="870" t="str">
        <x:v>operator_selection_decision</x:v>
      </x:c>
      <x:c r="AJ2" s="870" t="str">
        <x:v>acquisition_channel</x:v>
      </x:c>
      <x:c r="AK2" s="870" t="str">
        <x:v>provenance_status</x:v>
      </x:c>
      <x:c r="AL2" s="870" t="str">
        <x:v>update_model</x:v>
      </x:c>
      <x:c r="AM2" s="870" t="str">
        <x:v>applicability_reference</x:v>
      </x:c>
      <x:c r="AN2" s="870" t="str">
        <x:v>source_status</x:v>
      </x:c>
      <x:c r="AO2" s="870" t="str">
        <x:v>primary_source_id</x:v>
      </x:c>
      <x:c r="AP2" s="870" t="str">
        <x:v>source_notes</x:v>
      </x:c>
      <x:c r="AQ2" s="870" t="str">
        <x:v>created_at</x:v>
      </x:c>
      <x:c r="AR2" s="870" t="str">
        <x:v>payload_json</x:v>
      </x:c>
    </x:row>
    <x:row r="3" s="36" customFormat="1" ht="30" hidden="1" customHeight="1">
      <x:c r="A3" s="871" t="str">
        <x:v>REV-PA029-WITHDRAW-20260831</x:v>
      </x:c>
      <x:c r="B3" s="871" t="str">
        <x:v>SOURCE_REVIEW</x:v>
      </x:c>
      <x:c r="C3" s="871" t="str">
        <x:v>PA029</x:v>
      </x:c>
      <x:c r="D3" s="872" t="str">
        <x:v>Yggdrasil aquaculture map and portal</x:v>
      </x:c>
      <x:c r="E3" s="871" t="str">
        <x:v>SCOPE_REVIEW</x:v>
      </x:c>
      <x:c r="F3" s="871" t="str">
        <x:v>WITHDRAW_SOURCE</x:v>
      </x:c>
      <x:c r="G3" s="872" t="str">
        <x:v>ACCEPT</x:v>
      </x:c>
      <x:c r="H3" s="872" t="str">
        <x:v>Jay</x:v>
      </x:c>
      <x:c r="I3" s="875" t="n">
        <x:v>46265.29166666666</x:v>
      </x:c>
      <x:c r="J3" s="872" t="str">
        <x:v>Confirmed that Yggdrasil is an interactive map and not a Requirement source.</x:v>
      </x:c>
      <x:c r="K3" s="873" t="str">
        <x:v>APPLIED</x:v>
      </x:c>
      <x:c r="L3" s="876" t="n">
        <x:v>46265.29166666666</x:v>
      </x:c>
      <x:c r="M3" s="873" t="str">
        <x:v>scope_relevance set to LOW; source_status set to WITHDRAWN.</x:v>
      </x:c>
      <x:c r="N3" s="874" t="str">
        <x:v>SYSTEM_REVIEW</x:v>
      </x:c>
      <x:c r="O3" s="874"/>
      <x:c r="P3" s="872" t="str">
        <x:v>https://portal.fiskeridir.no/portal/apps/sites/#/yggdrasil</x:v>
      </x:c>
      <x:c r="Q3" s="872"/>
      <x:c r="R3" s="872"/>
      <x:c r="S3" s="872" t="str">
        <x:v>Norwegian Directorate of Fisheries</x:v>
      </x:c>
      <x:c r="T3" s="872" t="str">
        <x:v>Norway</x:v>
      </x:c>
      <x:c r="U3" s="872" t="str">
        <x:v>Interactive portal / map</x:v>
      </x:c>
      <x:c r="V3" s="872" t="str">
        <x:v>Spatial and environmental evidence platform</x:v>
      </x:c>
      <x:c r="W3" s="872" t="str">
        <x:v>Supporting / orientation</x:v>
      </x:c>
      <x:c r="X3" s="872" t="str">
        <x:v>Norwegian</x:v>
      </x:c>
      <x:c r="Y3" s="872" t="str">
        <x:v>html</x:v>
      </x:c>
      <x:c r="Z3" s="872"/>
      <x:c r="AA3" s="877"/>
      <x:c r="AB3" s="872"/>
      <x:c r="AC3" s="872"/>
      <x:c r="AD3" s="872"/>
      <x:c r="AE3" s="872"/>
      <x:c r="AF3" s="872"/>
      <x:c r="AG3" s="872"/>
      <x:c r="AH3" s="872"/>
      <x:c r="AI3" s="872"/>
      <x:c r="AJ3" s="872"/>
      <x:c r="AK3" s="872"/>
      <x:c r="AL3" s="872"/>
      <x:c r="AM3" s="872"/>
      <x:c r="AN3" s="872"/>
      <x:c r="AO3" s="872"/>
      <x:c r="AP3" s="872"/>
      <x:c r="AQ3" s="878" t="n">
        <x:v>46265.29166666666</x:v>
      </x:c>
      <x:c r="AR3" s="874" t="str">
        <x:v>{"action":"WITHDRAW_SOURCE","source_id":"PA029"}</x:v>
      </x:c>
    </x:row>
    <x:row r="4" s="36" customFormat="1" ht="30" hidden="1" customHeight="1">
      <x:c r="A4" s="871" t="str">
        <x:v>REV-e789712a4df3b25e</x:v>
      </x:c>
      <x:c r="B4" s="871" t="str">
        <x:v>SOURCE_REVIEW</x:v>
      </x:c>
      <x:c r="C4" s="871" t="str">
        <x:v>PA010</x:v>
      </x:c>
      <x:c r="D4" s="872" t="str">
        <x:v>Regulation (EU) 2016/429 on transmissible animal diseases (Animal Health Law)</x:v>
      </x:c>
      <x:c r="E4" s="871" t="str">
        <x:v>DOWNLOAD_FAILURE</x:v>
      </x:c>
      <x:c r="F4" s="871" t="str">
        <x:v>RETRY_SOURCE</x:v>
      </x:c>
      <x:c r="G4" s="872" t="str">
        <x:v>PENDING</x:v>
      </x:c>
      <x:c r="H4" s="872"/>
      <x:c r="I4" s="875"/>
      <x:c r="J4" s="872"/>
      <x:c r="K4" s="873" t="str">
        <x:v>APPLIED</x:v>
      </x:c>
      <x:c r="L4" s="876" t="n">
        <x:v>46265.44850694444</x:v>
      </x:c>
      <x:c r="M4" s="873" t="str">
        <x:v>The underlying source state was resolved automatically; no human decision was required.</x:v>
      </x:c>
      <x:c r="N4" s="874" t="str">
        <x:v>SYSTEM_REVIEW</x:v>
      </x:c>
      <x:c r="O4" s="874"/>
      <x:c r="P4" s="872" t="str">
        <x:v>https://eur-lex.europa.eu/legal-content/EN/TXT/?uri=CELEX:32016R0429</x:v>
      </x:c>
      <x:c r="Q4" s="872"/>
      <x:c r="R4" s="872"/>
      <x:c r="S4" s="872" t="str">
        <x:v>European Parliament and Council of the European Union</x:v>
      </x:c>
      <x:c r="T4" s="872" t="str">
        <x:v>EU / EEA</x:v>
      </x:c>
      <x:c r="U4" s="872" t="str">
        <x:v>Regulation</x:v>
      </x:c>
      <x:c r="V4" s="872" t="str">
        <x:v>Public authority</x:v>
      </x:c>
      <x:c r="W4" s="872" t="str">
        <x:v>Referenced normative</x:v>
      </x:c>
      <x:c r="X4" s="872" t="str">
        <x:v>English</x:v>
      </x:c>
      <x:c r="Y4" s="872" t="str">
        <x:v>html</x:v>
      </x:c>
      <x:c r="Z4" s="872"/>
      <x:c r="AA4" s="877"/>
      <x:c r="AB4" s="872"/>
      <x:c r="AC4" s="872"/>
      <x:c r="AD4" s="872"/>
      <x:c r="AE4" s="872"/>
      <x:c r="AF4" s="872"/>
      <x:c r="AG4" s="872"/>
      <x:c r="AH4" s="872"/>
      <x:c r="AI4" s="872"/>
      <x:c r="AJ4" s="872"/>
      <x:c r="AK4" s="872"/>
      <x:c r="AL4" s="872"/>
      <x:c r="AM4" s="872"/>
      <x:c r="AN4" s="872"/>
      <x:c r="AO4" s="872"/>
      <x:c r="AP4" s="872"/>
      <x:c r="AQ4" s="878" t="n">
        <x:v>46265.41292824074</x:v>
      </x:c>
      <x:c r="AR4" s="874" t="str">
        <x:v>{"action": "RETRY_SOURCE", "source_id": "PA010", "updates": {}}</x:v>
      </x:c>
    </x:row>
    <x:row r="5" s="36" customFormat="1" ht="30" hidden="1" customHeight="1">
      <x:c r="A5" s="871" t="str">
        <x:v>QA-20260831-TEAM-001</x:v>
      </x:c>
      <x:c r="B5" s="871" t="str">
        <x:v>RANDOM_QA_BATCH_SUMMARY</x:v>
      </x:c>
      <x:c r="C5" s="871"/>
      <x:c r="D5" s="872" t="str">
        <x:v>Team-reported random QA batch</x:v>
      </x:c>
      <x:c r="E5" s="871" t="str">
        <x:v>TEAM_REPORTED</x:v>
      </x:c>
      <x:c r="F5" s="871" t="str">
        <x:v>7/7</x:v>
      </x:c>
      <x:c r="G5" s="872" t="str">
        <x:v>CORRECT</x:v>
      </x:c>
      <x:c r="H5" s="872" t="str">
        <x:v>Jokic; Ana</x:v>
      </x:c>
      <x:c r="I5" s="875" t="n">
        <x:v>46265</x:v>
      </x:c>
      <x:c r="J5" s="872" t="str">
        <x:v>Seven sources were checked and all were correct. Individual source IDs were not supplied.</x:v>
      </x:c>
      <x:c r="K5" s="873" t="str">
        <x:v>APPLIED</x:v>
      </x:c>
      <x:c r="L5" s="876" t="n">
        <x:v>46265.501713</x:v>
      </x:c>
      <x:c r="M5" s="873" t="str">
        <x:v>Historical batch summary migrated from the deleted QA worksheet into the retained Human Operation Desktop audit trail.</x:v>
      </x:c>
      <x:c r="N5" s="874" t="str">
        <x:v>TEAM_REPORTED</x:v>
      </x:c>
      <x:c r="O5" s="874"/>
      <x:c r="P5" s="872"/>
      <x:c r="Q5" s="872"/>
      <x:c r="R5" s="872"/>
      <x:c r="S5" s="872"/>
      <x:c r="T5" s="872"/>
      <x:c r="U5" s="872"/>
      <x:c r="V5" s="872"/>
      <x:c r="W5" s="872"/>
      <x:c r="X5" s="872"/>
      <x:c r="Y5" s="872"/>
      <x:c r="Z5" s="872"/>
      <x:c r="AA5" s="877"/>
      <x:c r="AB5" s="872"/>
      <x:c r="AC5" s="872"/>
      <x:c r="AD5" s="872"/>
      <x:c r="AE5" s="872"/>
      <x:c r="AF5" s="872"/>
      <x:c r="AG5" s="872"/>
      <x:c r="AH5" s="872"/>
      <x:c r="AI5" s="872"/>
      <x:c r="AJ5" s="872"/>
      <x:c r="AK5" s="872"/>
      <x:c r="AL5" s="872"/>
      <x:c r="AM5" s="872"/>
      <x:c r="AN5" s="872"/>
      <x:c r="AO5" s="872"/>
      <x:c r="AP5" s="872"/>
      <x:c r="AQ5" s="878" t="n">
        <x:v>46265.501713</x:v>
      </x:c>
      <x:c r="AR5" s="874" t="str">
        <x:v>{"requested_count":7,"checked_count":7,"correct_count":7,"incorrect_count":0,"detail_status":"SUMMARY_ONLY"}</x:v>
      </x:c>
    </x:row>
    <x:row r="6" s="36" customFormat="1" ht="30" customHeight="1">
      <x:c r="A6" s="871" t="str">
        <x:v>REV-47ebc0d50d6ba400</x:v>
      </x:c>
      <x:c r="B6" s="871" t="str">
        <x:v>SOURCE_REVIEW</x:v>
      </x:c>
      <x:c r="C6" s="871" t="str">
        <x:v>CS003</x:v>
      </x:c>
      <x:c r="D6" s="872" t="str">
        <x:v>ASC Salmon Audit Manual</x:v>
      </x:c>
      <x:c r="E6" s="871" t="str">
        <x:v>DUPLICATE_OFFICIAL_URL</x:v>
      </x:c>
      <x:c r="F6" s="871" t="str">
        <x:v>APPLY_FIELD_UPDATES</x:v>
      </x:c>
      <x:c r="G6" s="872" t="str">
        <x:v>PENDING</x:v>
      </x:c>
      <x:c r="H6" s="872"/>
      <x:c r="I6" s="875"/>
      <x:c r="J6" s="872"/>
      <x:c r="K6" s="873" t="str">
        <x:v>PENDING</x:v>
      </x:c>
      <x:c r="L6" s="876"/>
      <x:c r="M6" s="873" t="str">
        <x:v>The official URL is shared by 2 current source records. Required action: Confirm whether this record is a distinct source, correct its identity, or exclude it.</x:v>
      </x:c>
      <x:c r="N6" s="874"/>
      <x:c r="O6" s="874"/>
      <x:c r="P6" s="872" t="str">
        <x:v>https://asc-aqua.org/producers/asc-standards/species-standards/salmon-cod/</x:v>
      </x:c>
      <x:c r="Q6" s="872" t="str">
        <x:v>https://asc-aqua.org/wp-content/uploads/2023/04/ASC-Salmon-Audit-Manual_v1.4.pdf</x:v>
      </x:c>
      <x:c r="R6" s="872" t="str">
        <x:v>C_Certification_Scheme</x:v>
      </x:c>
      <x:c r="S6" s="872" t="str">
        <x:v>Aquaculture Stewardship Council</x:v>
      </x:c>
      <x:c r="T6" s="872" t="str">
        <x:v>International</x:v>
      </x:c>
      <x:c r="U6" s="872" t="str">
        <x:v>Audit / assessment document</x:v>
      </x:c>
      <x:c r="V6" s="872" t="str">
        <x:v>Certification scheme</x:v>
      </x:c>
      <x:c r="W6" s="872" t="str">
        <x:v>Audit / assessment tool</x:v>
      </x:c>
      <x:c r="X6" s="872" t="str">
        <x:v>English</x:v>
      </x:c>
      <x:c r="Y6" s="872" t="str">
        <x:v>pdf</x:v>
      </x:c>
      <x:c r="Z6" s="872" t="str">
        <x:v>1.4</x:v>
      </x:c>
      <x:c r="AA6" s="877"/>
      <x:c r="AB6" s="872" t="str">
        <x:v>Official assessment tool from Aquaculture Stewardship Council; included to structure compliance checks and trace evidence back to its linked normative source.</x:v>
      </x:c>
      <x:c r="AC6" s="872" t="str">
        <x:v>HIGH</x:v>
      </x:c>
      <x:c r="AD6" s="872" t="str">
        <x:v>HIGH</x:v>
      </x:c>
      <x:c r="AE6" s="872" t="str">
        <x:v>HIGH</x:v>
      </x:c>
      <x:c r="AF6" s="872" t="str">
        <x:v>HIGH</x:v>
      </x:c>
      <x:c r="AG6" s="872" t="str">
        <x:v>HIGH</x:v>
      </x:c>
      <x:c r="AH6" s="872" t="str">
        <x:v>HIGH</x:v>
      </x:c>
      <x:c r="AI6" s="872" t="str">
        <x:v>INCLUDE</x:v>
      </x:c>
      <x:c r="AJ6" s="872" t="str">
        <x:v>OFFICIAL_WEBSITE</x:v>
      </x:c>
      <x:c r="AK6" s="872" t="str">
        <x:v>OFFICIAL_ORIGINAL</x:v>
      </x:c>
      <x:c r="AL6" s="872" t="str">
        <x:v>VERSIONED</x:v>
      </x:c>
      <x:c r="AM6" s="872"/>
      <x:c r="AN6" s="872" t="str">
        <x:v>CURRENT</x:v>
      </x:c>
      <x:c r="AO6" s="872" t="str">
        <x:v>CS004</x:v>
      </x:c>
      <x:c r="AP6" s="872" t="str">
        <x:v>Repository-held assessment tool. Trace extracted requirements to the applicable normative ASC standard.</x:v>
      </x:c>
      <x:c r="AQ6" s="878" t="n">
        <x:v>46265.588784722226</x:v>
      </x:c>
      <x:c r="AR6" s="874" t="str">
        <x:v>{"action": "APPLY_FIELD_UPDATES", "review_fingerprint": "", "source_id": "CS003", "updates": {}}</x:v>
      </x:c>
    </x:row>
    <x:row r="7" s="36" customFormat="1" ht="30" customHeight="1">
      <x:c r="A7" s="871" t="str">
        <x:v>REV-ec9200339f87d8ae</x:v>
      </x:c>
      <x:c r="B7" s="871" t="str">
        <x:v>SOURCE_REVIEW</x:v>
      </x:c>
      <x:c r="C7" s="871" t="str">
        <x:v>CS004</x:v>
      </x:c>
      <x:c r="D7" s="872" t="str">
        <x:v>ASC Salmon and Cod Standard</x:v>
      </x:c>
      <x:c r="E7" s="871" t="str">
        <x:v>DUPLICATE_OFFICIAL_URL</x:v>
      </x:c>
      <x:c r="F7" s="871" t="str">
        <x:v>APPLY_FIELD_UPDATES</x:v>
      </x:c>
      <x:c r="G7" s="872" t="str">
        <x:v>PENDING</x:v>
      </x:c>
      <x:c r="H7" s="872"/>
      <x:c r="I7" s="875"/>
      <x:c r="J7" s="872"/>
      <x:c r="K7" s="873" t="str">
        <x:v>PENDING</x:v>
      </x:c>
      <x:c r="L7" s="876"/>
      <x:c r="M7" s="873" t="str">
        <x:v>The official URL is shared by 2 current source records. Required action: Confirm whether this record is a distinct source, correct its identity, or exclude it.</x:v>
      </x:c>
      <x:c r="N7" s="874"/>
      <x:c r="O7" s="874"/>
      <x:c r="P7" s="872" t="str">
        <x:v>https://asc-aqua.org/producers/asc-standards/species-standards/salmon-cod/</x:v>
      </x:c>
      <x:c r="Q7" s="872" t="str">
        <x:v>https://asc-aqua.org/wp-content/uploads/2025/10/ASC-STD-010-ASC-Salmon-and-Cod-Standard-V1.5-Oct-2025-1.pdf</x:v>
      </x:c>
      <x:c r="R7" s="872" t="str">
        <x:v>C_Certification_Scheme</x:v>
      </x:c>
      <x:c r="S7" s="872" t="str">
        <x:v>Aquaculture Stewardship Council</x:v>
      </x:c>
      <x:c r="T7" s="872" t="str">
        <x:v>International</x:v>
      </x:c>
      <x:c r="U7" s="872" t="str">
        <x:v>Scheme standard</x:v>
      </x:c>
      <x:c r="V7" s="872" t="str">
        <x:v>Certification scheme</x:v>
      </x:c>
      <x:c r="W7" s="872" t="str">
        <x:v>Primary normative</x:v>
      </x:c>
      <x:c r="X7" s="872" t="str">
        <x:v>English</x:v>
      </x:c>
      <x:c r="Y7" s="872" t="str">
        <x:v>pdf</x:v>
      </x:c>
      <x:c r="Z7" s="872" t="str">
        <x:v>1.5</x:v>
      </x:c>
      <x:c r="AA7" s="877" t="n">
        <x:v>45943</x:v>
      </x:c>
      <x:c r="AB7" s="872" t="str">
        <x:v>Official scheme standard issued by Aquaculture Stewardship Council; included because it may impose binding requirements on an in-scope aquaculture asset, activity, permit or certification.</x:v>
      </x:c>
      <x:c r="AC7" s="872" t="str">
        <x:v>HIGH</x:v>
      </x:c>
      <x:c r="AD7" s="872" t="str">
        <x:v>HIGH</x:v>
      </x:c>
      <x:c r="AE7" s="872" t="str">
        <x:v>HIGH</x:v>
      </x:c>
      <x:c r="AF7" s="872" t="str">
        <x:v>HIGH</x:v>
      </x:c>
      <x:c r="AG7" s="872" t="str">
        <x:v>HIGH</x:v>
      </x:c>
      <x:c r="AH7" s="872" t="str">
        <x:v>HIGH</x:v>
      </x:c>
      <x:c r="AI7" s="872" t="str">
        <x:v>INCLUDE</x:v>
      </x:c>
      <x:c r="AJ7" s="872" t="str">
        <x:v>OFFICIAL_WEBSITE</x:v>
      </x:c>
      <x:c r="AK7" s="872" t="str">
        <x:v>OFFICIAL_ORIGINAL</x:v>
      </x:c>
      <x:c r="AL7" s="872" t="str">
        <x:v>VERSIONED</x:v>
      </x:c>
      <x:c r="AM7" s="872"/>
      <x:c r="AN7" s="872" t="str">
        <x:v>CURRENT</x:v>
      </x:c>
      <x:c r="AO7" s="872"/>
      <x:c r="AP7" s="872" t="str">
        <x:v>Project-mentioned candidate. Include while the species standard remains applicable during ASC transition.</x:v>
      </x:c>
      <x:c r="AQ7" s="878" t="n">
        <x:v>46265.588784722226</x:v>
      </x:c>
      <x:c r="AR7" s="874" t="str">
        <x:v>{"action": "APPLY_FIELD_UPDATES", "review_fingerprint": "", "source_id": "CS004", "updates": {}}</x:v>
      </x:c>
    </x:row>
    <x:row r="8" s="36" customFormat="1" ht="30" customHeight="1">
      <x:c r="A8" s="871" t="str">
        <x:v>REV-459f119bc827c171</x:v>
      </x:c>
      <x:c r="B8" s="871" t="str">
        <x:v>SOURCE_REVIEW</x:v>
      </x:c>
      <x:c r="C8" s="871" t="str">
        <x:v>CS005</x:v>
      </x:c>
      <x:c r="D8" s="872" t="str">
        <x:v>ASC Farm and Feed Certification and Accreditation Requirements</x:v>
      </x:c>
      <x:c r="E8" s="871" t="str">
        <x:v>DUPLICATE_OFFICIAL_URL</x:v>
      </x:c>
      <x:c r="F8" s="871" t="str">
        <x:v>APPLY_FIELD_UPDATES</x:v>
      </x:c>
      <x:c r="G8" s="872" t="str">
        <x:v>PENDING</x:v>
      </x:c>
      <x:c r="H8" s="872"/>
      <x:c r="I8" s="875"/>
      <x:c r="J8" s="872"/>
      <x:c r="K8" s="873" t="str">
        <x:v>PENDING</x:v>
      </x:c>
      <x:c r="L8" s="876"/>
      <x:c r="M8" s="873" t="str">
        <x:v>The official URL is shared by 5 current source records. Required action: Confirm whether this record is a distinct source, correct its identity, or exclude it.</x:v>
      </x:c>
      <x:c r="N8" s="874"/>
      <x:c r="O8" s="874"/>
      <x:c r="P8" s="872" t="str">
        <x:v>https://programme-centre.asc-aqua.org/resource-hub/?filter=farm</x:v>
      </x:c>
      <x:c r="Q8" s="872" t="str">
        <x:v>https://programme-centre.asc-aqua.org/app/uploads/2025/04/ASC-CAR-001-ASC-Farm-and-Feed-CAR-V1.0-May-2025.pdf</x:v>
      </x:c>
      <x:c r="R8" s="872" t="str">
        <x:v>C_Certification_Scheme</x:v>
      </x:c>
      <x:c r="S8" s="872" t="str">
        <x:v>Aquaculture Stewardship Council</x:v>
      </x:c>
      <x:c r="T8" s="872" t="str">
        <x:v>International</x:v>
      </x:c>
      <x:c r="U8" s="872" t="str">
        <x:v>Scheme standard</x:v>
      </x:c>
      <x:c r="V8" s="872" t="str">
        <x:v>Certification scheme</x:v>
      </x:c>
      <x:c r="W8" s="872" t="str">
        <x:v>Referenced normative</x:v>
      </x:c>
      <x:c r="X8" s="872" t="str">
        <x:v>English</x:v>
      </x:c>
      <x:c r="Y8" s="872" t="str">
        <x:v>pdf</x:v>
      </x:c>
      <x:c r="Z8" s="872" t="str">
        <x:v>1.0</x:v>
      </x:c>
      <x:c r="AA8" s="877"/>
      <x:c r="AB8" s="872" t="str">
        <x:v>Official referenced source from Aquaculture Stewardship Council; included because an applicable law, permit or certification scheme may make its provisions binding within the approved scope.</x:v>
      </x:c>
      <x:c r="AC8" s="872" t="str">
        <x:v>HIGH</x:v>
      </x:c>
      <x:c r="AD8" s="872" t="str">
        <x:v>HIGH</x:v>
      </x:c>
      <x:c r="AE8" s="872" t="str">
        <x:v>HIGH</x:v>
      </x:c>
      <x:c r="AF8" s="872" t="str">
        <x:v>HIGH</x:v>
      </x:c>
      <x:c r="AG8" s="872" t="str">
        <x:v>HIGH</x:v>
      </x:c>
      <x:c r="AH8" s="872" t="str">
        <x:v>HIGH</x:v>
      </x:c>
      <x:c r="AI8" s="872" t="str">
        <x:v>INCLUDE</x:v>
      </x:c>
      <x:c r="AJ8" s="872" t="str">
        <x:v>OFFICIAL_WEBSITE</x:v>
      </x:c>
      <x:c r="AK8" s="872" t="str">
        <x:v>OFFICIAL_ORIGINAL</x:v>
      </x:c>
      <x:c r="AL8" s="872" t="str">
        <x:v>VERSIONED</x:v>
      </x:c>
      <x:c r="AM8" s="872"/>
      <x:c r="AN8" s="872" t="str">
        <x:v>CURRENT</x:v>
      </x:c>
      <x:c r="AO8" s="872" t="str">
        <x:v>CS001</x:v>
      </x:c>
      <x:c r="AP8" s="872" t="str">
        <x:v>Official expansion. The ASC Farm Standard identifies this CAR as normative.</x:v>
      </x:c>
      <x:c r="AQ8" s="878" t="n">
        <x:v>46265.588784722226</x:v>
      </x:c>
      <x:c r="AR8" s="874" t="str">
        <x:v>{"action": "APPLY_FIELD_UPDATES", "review_fingerprint": "", "source_id": "CS005", "updates": {}}</x:v>
      </x:c>
    </x:row>
    <x:row r="9" s="36" customFormat="1" ht="30" customHeight="1">
      <x:c r="A9" s="871" t="str">
        <x:v>REV-41ff3434440fff61</x:v>
      </x:c>
      <x:c r="B9" s="871" t="str">
        <x:v>SOURCE_REVIEW</x:v>
      </x:c>
      <x:c r="C9" s="871" t="str">
        <x:v>CS006</x:v>
      </x:c>
      <x:c r="D9" s="872" t="str">
        <x:v>ASC Group Requirements for Farms</x:v>
      </x:c>
      <x:c r="E9" s="871" t="str">
        <x:v>DUPLICATE_OFFICIAL_URL</x:v>
      </x:c>
      <x:c r="F9" s="871" t="str">
        <x:v>APPLY_FIELD_UPDATES</x:v>
      </x:c>
      <x:c r="G9" s="872" t="str">
        <x:v>PENDING</x:v>
      </x:c>
      <x:c r="H9" s="872"/>
      <x:c r="I9" s="875"/>
      <x:c r="J9" s="872"/>
      <x:c r="K9" s="873" t="str">
        <x:v>PENDING</x:v>
      </x:c>
      <x:c r="L9" s="876"/>
      <x:c r="M9" s="873" t="str">
        <x:v>The official URL is shared by 5 current source records. Required action: Confirm whether this record is a distinct source, correct its identity, or exclude it.</x:v>
      </x:c>
      <x:c r="N9" s="874"/>
      <x:c r="O9" s="874"/>
      <x:c r="P9" s="872" t="str">
        <x:v>https://programme-centre.asc-aqua.org/resource-hub/?filter=farm</x:v>
      </x:c>
      <x:c r="Q9" s="872"/>
      <x:c r="R9" s="872" t="str">
        <x:v>C_Certification_Scheme</x:v>
      </x:c>
      <x:c r="S9" s="872" t="str">
        <x:v>Aquaculture Stewardship Council</x:v>
      </x:c>
      <x:c r="T9" s="872" t="str">
        <x:v>International</x:v>
      </x:c>
      <x:c r="U9" s="872" t="str">
        <x:v>Scheme standard</x:v>
      </x:c>
      <x:c r="V9" s="872" t="str">
        <x:v>Certification scheme</x:v>
      </x:c>
      <x:c r="W9" s="872" t="str">
        <x:v>Referenced normative</x:v>
      </x:c>
      <x:c r="X9" s="872" t="str">
        <x:v>English</x:v>
      </x:c>
      <x:c r="Y9" s="872" t="str">
        <x:v>pdf</x:v>
      </x:c>
      <x:c r="Z9" s="872" t="str">
        <x:v>1.0</x:v>
      </x:c>
      <x:c r="AA9" s="877"/>
      <x:c r="AB9" s="872" t="str">
        <x:v>Official referenced source from Aquaculture Stewardship Council; included because an applicable law, permit or certification scheme may make its provisions binding within the approved scope.</x:v>
      </x:c>
      <x:c r="AC9" s="872" t="str">
        <x:v>HIGH</x:v>
      </x:c>
      <x:c r="AD9" s="872" t="str">
        <x:v>MEDIUM</x:v>
      </x:c>
      <x:c r="AE9" s="872" t="str">
        <x:v>MEDIUM</x:v>
      </x:c>
      <x:c r="AF9" s="872" t="str">
        <x:v>MEDIUM</x:v>
      </x:c>
      <x:c r="AG9" s="872" t="str">
        <x:v>HIGH</x:v>
      </x:c>
      <x:c r="AH9" s="872" t="str">
        <x:v>LOW</x:v>
      </x:c>
      <x:c r="AI9" s="872" t="str">
        <x:v>PENDING</x:v>
      </x:c>
      <x:c r="AJ9" s="872" t="str">
        <x:v>OFFICIAL_WEBSITE</x:v>
      </x:c>
      <x:c r="AK9" s="872" t="str">
        <x:v>OFFICIAL_ORIGINAL</x:v>
      </x:c>
      <x:c r="AL9" s="872" t="str">
        <x:v>VERSIONED</x:v>
      </x:c>
      <x:c r="AM9" s="872"/>
      <x:c r="AN9" s="872" t="str">
        <x:v>CURRENT</x:v>
      </x:c>
      <x:c r="AO9" s="872" t="str">
        <x:v>CS001</x:v>
      </x:c>
      <x:c r="AP9" s="872" t="str">
        <x:v>Official expansion. Conditional on group certification structure.</x:v>
      </x:c>
      <x:c r="AQ9" s="878" t="n">
        <x:v>46265.588784722226</x:v>
      </x:c>
      <x:c r="AR9" s="874" t="str">
        <x:v>{"action": "APPLY_FIELD_UPDATES", "review_fingerprint": "", "source_id": "CS006", "updates": {}}</x:v>
      </x:c>
    </x:row>
    <x:row r="10" s="36" customFormat="1" ht="30" customHeight="1">
      <x:c r="A10" s="871" t="str">
        <x:v>REV-33ee1728b5b949d3</x:v>
      </x:c>
      <x:c r="B10" s="871" t="str">
        <x:v>SOURCE_REVIEW</x:v>
      </x:c>
      <x:c r="C10" s="871" t="str">
        <x:v>CS006</x:v>
      </x:c>
      <x:c r="D10" s="872" t="str">
        <x:v>ASC Group Requirements for Farms</x:v>
      </x:c>
      <x:c r="E10" s="871" t="str">
        <x:v>MISSING_RETRIEVAL_URL</x:v>
      </x:c>
      <x:c r="F10" s="871" t="str">
        <x:v>APPLY_FIELD_UPDATES</x:v>
      </x:c>
      <x:c r="G10" s="872" t="str">
        <x:v>PENDING</x:v>
      </x:c>
      <x:c r="H10" s="872"/>
      <x:c r="I10" s="875"/>
      <x:c r="J10" s="872"/>
      <x:c r="K10" s="873" t="str">
        <x:v>PENDING</x:v>
      </x:c>
      <x:c r="L10" s="876"/>
      <x:c r="M10" s="873" t="str">
        <x:v>The source has no exact retrieval target. Required action: Provide the complete official HTML target when available, otherwise the original official file URL.</x:v>
      </x:c>
      <x:c r="N10" s="874"/>
      <x:c r="O10" s="874"/>
      <x:c r="P10" s="872" t="str">
        <x:v>https://programme-centre.asc-aqua.org/resource-hub/?filter=farm</x:v>
      </x:c>
      <x:c r="Q10" s="872"/>
      <x:c r="R10" s="872" t="str">
        <x:v>C_Certification_Scheme</x:v>
      </x:c>
      <x:c r="S10" s="872" t="str">
        <x:v>Aquaculture Stewardship Council</x:v>
      </x:c>
      <x:c r="T10" s="872" t="str">
        <x:v>International</x:v>
      </x:c>
      <x:c r="U10" s="872" t="str">
        <x:v>Scheme standard</x:v>
      </x:c>
      <x:c r="V10" s="872" t="str">
        <x:v>Certification scheme</x:v>
      </x:c>
      <x:c r="W10" s="872" t="str">
        <x:v>Referenced normative</x:v>
      </x:c>
      <x:c r="X10" s="872" t="str">
        <x:v>English</x:v>
      </x:c>
      <x:c r="Y10" s="872" t="str">
        <x:v>pdf</x:v>
      </x:c>
      <x:c r="Z10" s="872" t="str">
        <x:v>1.0</x:v>
      </x:c>
      <x:c r="AA10" s="877"/>
      <x:c r="AB10" s="872" t="str">
        <x:v>Official referenced source from Aquaculture Stewardship Council; included because an applicable law, permit or certification scheme may make its provisions binding within the approved scope.</x:v>
      </x:c>
      <x:c r="AC10" s="872" t="str">
        <x:v>HIGH</x:v>
      </x:c>
      <x:c r="AD10" s="872" t="str">
        <x:v>MEDIUM</x:v>
      </x:c>
      <x:c r="AE10" s="872" t="str">
        <x:v>MEDIUM</x:v>
      </x:c>
      <x:c r="AF10" s="872" t="str">
        <x:v>MEDIUM</x:v>
      </x:c>
      <x:c r="AG10" s="872" t="str">
        <x:v>HIGH</x:v>
      </x:c>
      <x:c r="AH10" s="872" t="str">
        <x:v>LOW</x:v>
      </x:c>
      <x:c r="AI10" s="872" t="str">
        <x:v>PENDING</x:v>
      </x:c>
      <x:c r="AJ10" s="872" t="str">
        <x:v>OFFICIAL_WEBSITE</x:v>
      </x:c>
      <x:c r="AK10" s="872" t="str">
        <x:v>OFFICIAL_ORIGINAL</x:v>
      </x:c>
      <x:c r="AL10" s="872" t="str">
        <x:v>VERSIONED</x:v>
      </x:c>
      <x:c r="AM10" s="872"/>
      <x:c r="AN10" s="872" t="str">
        <x:v>CURRENT</x:v>
      </x:c>
      <x:c r="AO10" s="872" t="str">
        <x:v>CS001</x:v>
      </x:c>
      <x:c r="AP10" s="872" t="str">
        <x:v>Official expansion. Conditional on group certification structure.</x:v>
      </x:c>
      <x:c r="AQ10" s="878" t="n">
        <x:v>46265.588784722226</x:v>
      </x:c>
      <x:c r="AR10" s="874" t="str">
        <x:v>{"action": "APPLY_FIELD_UPDATES", "review_fingerprint": "", "source_id": "CS006", "updates": {}}</x:v>
      </x:c>
    </x:row>
    <x:row r="11" s="36" customFormat="1" ht="30" customHeight="1">
      <x:c r="A11" s="871" t="str">
        <x:v>REV-d61586a2a85aa46b</x:v>
      </x:c>
      <x:c r="B11" s="871" t="str">
        <x:v>SELECTION_REVIEW</x:v>
      </x:c>
      <x:c r="C11" s="871" t="str">
        <x:v>CS006</x:v>
      </x:c>
      <x:c r="D11" s="872" t="str">
        <x:v>ASC Group Requirements for Farms</x:v>
      </x:c>
      <x:c r="E11" s="871" t="str">
        <x:v>SELECTION_PENDING</x:v>
      </x:c>
      <x:c r="F11" s="871" t="str">
        <x:v>APPLY_FIELD_UPDATES</x:v>
      </x:c>
      <x:c r="G11" s="872" t="str">
        <x:v>PENDING</x:v>
      </x:c>
      <x:c r="H11" s="872"/>
      <x:c r="I11" s="875"/>
      <x:c r="J11" s="872"/>
      <x:c r="K11" s="873" t="str">
        <x:v>PENDING</x:v>
      </x:c>
      <x:c r="L11" s="876"/>
      <x:c r="M11" s="873" t="str">
        <x:v>operator_selection_decision is PENDING; mandatory assessment is not HIGH: scope_relevance, version_currency, traceability. Required action: Review the human-governed source fields and choose INCLUDE, PENDING or EXCLUDE in Human Operation Desktop.</x:v>
      </x:c>
      <x:c r="N11" s="874"/>
      <x:c r="O11" s="874"/>
      <x:c r="P11" s="872" t="str">
        <x:v>https://programme-centre.asc-aqua.org/resource-hub/?filter=farm</x:v>
      </x:c>
      <x:c r="Q11" s="872"/>
      <x:c r="R11" s="872" t="str">
        <x:v>C_Certification_Scheme</x:v>
      </x:c>
      <x:c r="S11" s="872" t="str">
        <x:v>Aquaculture Stewardship Council</x:v>
      </x:c>
      <x:c r="T11" s="872" t="str">
        <x:v>International</x:v>
      </x:c>
      <x:c r="U11" s="872" t="str">
        <x:v>Scheme standard</x:v>
      </x:c>
      <x:c r="V11" s="872" t="str">
        <x:v>Certification scheme</x:v>
      </x:c>
      <x:c r="W11" s="872" t="str">
        <x:v>Referenced normative</x:v>
      </x:c>
      <x:c r="X11" s="872" t="str">
        <x:v>English</x:v>
      </x:c>
      <x:c r="Y11" s="872" t="str">
        <x:v>pdf</x:v>
      </x:c>
      <x:c r="Z11" s="872" t="str">
        <x:v>1.0</x:v>
      </x:c>
      <x:c r="AA11" s="877"/>
      <x:c r="AB11" s="872" t="str">
        <x:v>Official referenced source from Aquaculture Stewardship Council; included because an applicable law, permit or certification scheme may make its provisions binding within the approved scope.</x:v>
      </x:c>
      <x:c r="AC11" s="872" t="str">
        <x:v>HIGH</x:v>
      </x:c>
      <x:c r="AD11" s="872" t="str">
        <x:v>MEDIUM</x:v>
      </x:c>
      <x:c r="AE11" s="872" t="str">
        <x:v>MEDIUM</x:v>
      </x:c>
      <x:c r="AF11" s="872" t="str">
        <x:v>MEDIUM</x:v>
      </x:c>
      <x:c r="AG11" s="872" t="str">
        <x:v>HIGH</x:v>
      </x:c>
      <x:c r="AH11" s="872" t="str">
        <x:v>LOW</x:v>
      </x:c>
      <x:c r="AI11" s="872" t="str">
        <x:v>PENDING</x:v>
      </x:c>
      <x:c r="AJ11" s="872" t="str">
        <x:v>OFFICIAL_WEBSITE</x:v>
      </x:c>
      <x:c r="AK11" s="872" t="str">
        <x:v>OFFICIAL_ORIGINAL</x:v>
      </x:c>
      <x:c r="AL11" s="872" t="str">
        <x:v>VERSIONED</x:v>
      </x:c>
      <x:c r="AM11" s="872"/>
      <x:c r="AN11" s="872" t="str">
        <x:v>CURRENT</x:v>
      </x:c>
      <x:c r="AO11" s="872" t="str">
        <x:v>CS001</x:v>
      </x:c>
      <x:c r="AP11" s="872" t="str">
        <x:v>Official expansion. Conditional on group certification structure.</x:v>
      </x:c>
      <x:c r="AQ11" s="878" t="n">
        <x:v>46265.588784722226</x:v>
      </x:c>
      <x:c r="AR11" s="874" t="str">
        <x:v>{"action": "APPLY_FIELD_UPDATES", "review_fingerprint": "1ab748f8cffb134a", "source_id": "CS006", "updates": {}}</x:v>
      </x:c>
    </x:row>
    <x:row r="12" s="36" customFormat="1" ht="30" customHeight="1">
      <x:c r="A12" s="871" t="str">
        <x:v>REV-e6ddd330ca95f67f</x:v>
      </x:c>
      <x:c r="B12" s="871" t="str">
        <x:v>SOURCE_REVIEW</x:v>
      </x:c>
      <x:c r="C12" s="871" t="str">
        <x:v>CS007</x:v>
      </x:c>
      <x:c r="D12" s="872" t="str">
        <x:v>ASC Data Submission Procedure</x:v>
      </x:c>
      <x:c r="E12" s="871" t="str">
        <x:v>DUPLICATE_OFFICIAL_URL</x:v>
      </x:c>
      <x:c r="F12" s="871" t="str">
        <x:v>APPLY_FIELD_UPDATES</x:v>
      </x:c>
      <x:c r="G12" s="872" t="str">
        <x:v>PENDING</x:v>
      </x:c>
      <x:c r="H12" s="872"/>
      <x:c r="I12" s="875"/>
      <x:c r="J12" s="872"/>
      <x:c r="K12" s="873" t="str">
        <x:v>PENDING</x:v>
      </x:c>
      <x:c r="L12" s="876"/>
      <x:c r="M12" s="873" t="str">
        <x:v>The official URL is shared by 5 current source records. Required action: Confirm whether this record is a distinct source, correct its identity, or exclude it.</x:v>
      </x:c>
      <x:c r="N12" s="874"/>
      <x:c r="O12" s="874"/>
      <x:c r="P12" s="872" t="str">
        <x:v>https://programme-centre.asc-aqua.org/resource-hub/?filter=farm</x:v>
      </x:c>
      <x:c r="Q12" s="872"/>
      <x:c r="R12" s="872" t="str">
        <x:v>C_Certification_Scheme</x:v>
      </x:c>
      <x:c r="S12" s="872" t="str">
        <x:v>Aquaculture Stewardship Council</x:v>
      </x:c>
      <x:c r="T12" s="872" t="str">
        <x:v>International</x:v>
      </x:c>
      <x:c r="U12" s="872" t="str">
        <x:v>Scheme standard</x:v>
      </x:c>
      <x:c r="V12" s="872" t="str">
        <x:v>Certification scheme</x:v>
      </x:c>
      <x:c r="W12" s="872" t="str">
        <x:v>Referenced normative</x:v>
      </x:c>
      <x:c r="X12" s="872" t="str">
        <x:v>English</x:v>
      </x:c>
      <x:c r="Y12" s="872" t="str">
        <x:v>pdf</x:v>
      </x:c>
      <x:c r="Z12" s="872" t="str">
        <x:v>1.0</x:v>
      </x:c>
      <x:c r="AA12" s="877"/>
      <x:c r="AB12" s="872" t="str">
        <x:v>Official referenced source from Aquaculture Stewardship Council; included because an applicable law, permit or certification scheme may make its provisions binding within the approved scope.</x:v>
      </x:c>
      <x:c r="AC12" s="872" t="str">
        <x:v>HIGH</x:v>
      </x:c>
      <x:c r="AD12" s="872" t="str">
        <x:v>HIGH</x:v>
      </x:c>
      <x:c r="AE12" s="872" t="str">
        <x:v>MEDIUM</x:v>
      </x:c>
      <x:c r="AF12" s="872" t="str">
        <x:v>MEDIUM</x:v>
      </x:c>
      <x:c r="AG12" s="872" t="str">
        <x:v>HIGH</x:v>
      </x:c>
      <x:c r="AH12" s="872" t="str">
        <x:v>LOW</x:v>
      </x:c>
      <x:c r="AI12" s="872" t="str">
        <x:v>PENDING</x:v>
      </x:c>
      <x:c r="AJ12" s="872" t="str">
        <x:v>OFFICIAL_WEBSITE</x:v>
      </x:c>
      <x:c r="AK12" s="872" t="str">
        <x:v>OFFICIAL_ORIGINAL</x:v>
      </x:c>
      <x:c r="AL12" s="872" t="str">
        <x:v>VERSIONED</x:v>
      </x:c>
      <x:c r="AM12" s="872"/>
      <x:c r="AN12" s="872" t="str">
        <x:v>CURRENT</x:v>
      </x:c>
      <x:c r="AO12" s="872" t="str">
        <x:v>CS001</x:v>
      </x:c>
      <x:c r="AP12" s="872" t="str">
        <x:v>Official expansion. The ASC Farm Standard lists this procedure among normative references.</x:v>
      </x:c>
      <x:c r="AQ12" s="878" t="n">
        <x:v>46265.588784722226</x:v>
      </x:c>
      <x:c r="AR12" s="874" t="str">
        <x:v>{"action": "APPLY_FIELD_UPDATES", "review_fingerprint": "", "source_id": "CS007", "updates": {}}</x:v>
      </x:c>
    </x:row>
    <x:row r="13" s="36" customFormat="1" ht="30" customHeight="1">
      <x:c r="A13" s="871" t="str">
        <x:v>REV-f56107daca8ebf41</x:v>
      </x:c>
      <x:c r="B13" s="871" t="str">
        <x:v>SOURCE_REVIEW</x:v>
      </x:c>
      <x:c r="C13" s="871" t="str">
        <x:v>CS007</x:v>
      </x:c>
      <x:c r="D13" s="872" t="str">
        <x:v>ASC Data Submission Procedure</x:v>
      </x:c>
      <x:c r="E13" s="871" t="str">
        <x:v>MISSING_RETRIEVAL_URL</x:v>
      </x:c>
      <x:c r="F13" s="871" t="str">
        <x:v>APPLY_FIELD_UPDATES</x:v>
      </x:c>
      <x:c r="G13" s="872" t="str">
        <x:v>PENDING</x:v>
      </x:c>
      <x:c r="H13" s="872"/>
      <x:c r="I13" s="875"/>
      <x:c r="J13" s="872"/>
      <x:c r="K13" s="873" t="str">
        <x:v>PENDING</x:v>
      </x:c>
      <x:c r="L13" s="876"/>
      <x:c r="M13" s="873" t="str">
        <x:v>The source has no exact retrieval target. Required action: Provide the complete official HTML target when available, otherwise the original official file URL.</x:v>
      </x:c>
      <x:c r="N13" s="874"/>
      <x:c r="O13" s="874"/>
      <x:c r="P13" s="872" t="str">
        <x:v>https://programme-centre.asc-aqua.org/resource-hub/?filter=farm</x:v>
      </x:c>
      <x:c r="Q13" s="872"/>
      <x:c r="R13" s="872" t="str">
        <x:v>C_Certification_Scheme</x:v>
      </x:c>
      <x:c r="S13" s="872" t="str">
        <x:v>Aquaculture Stewardship Council</x:v>
      </x:c>
      <x:c r="T13" s="872" t="str">
        <x:v>International</x:v>
      </x:c>
      <x:c r="U13" s="872" t="str">
        <x:v>Scheme standard</x:v>
      </x:c>
      <x:c r="V13" s="872" t="str">
        <x:v>Certification scheme</x:v>
      </x:c>
      <x:c r="W13" s="872" t="str">
        <x:v>Referenced normative</x:v>
      </x:c>
      <x:c r="X13" s="872" t="str">
        <x:v>English</x:v>
      </x:c>
      <x:c r="Y13" s="872" t="str">
        <x:v>pdf</x:v>
      </x:c>
      <x:c r="Z13" s="872" t="str">
        <x:v>1.0</x:v>
      </x:c>
      <x:c r="AA13" s="877"/>
      <x:c r="AB13" s="872" t="str">
        <x:v>Official referenced source from Aquaculture Stewardship Council; included because an applicable law, permit or certification scheme may make its provisions binding within the approved scope.</x:v>
      </x:c>
      <x:c r="AC13" s="872" t="str">
        <x:v>HIGH</x:v>
      </x:c>
      <x:c r="AD13" s="872" t="str">
        <x:v>HIGH</x:v>
      </x:c>
      <x:c r="AE13" s="872" t="str">
        <x:v>MEDIUM</x:v>
      </x:c>
      <x:c r="AF13" s="872" t="str">
        <x:v>MEDIUM</x:v>
      </x:c>
      <x:c r="AG13" s="872" t="str">
        <x:v>HIGH</x:v>
      </x:c>
      <x:c r="AH13" s="872" t="str">
        <x:v>LOW</x:v>
      </x:c>
      <x:c r="AI13" s="872" t="str">
        <x:v>PENDING</x:v>
      </x:c>
      <x:c r="AJ13" s="872" t="str">
        <x:v>OFFICIAL_WEBSITE</x:v>
      </x:c>
      <x:c r="AK13" s="872" t="str">
        <x:v>OFFICIAL_ORIGINAL</x:v>
      </x:c>
      <x:c r="AL13" s="872" t="str">
        <x:v>VERSIONED</x:v>
      </x:c>
      <x:c r="AM13" s="872"/>
      <x:c r="AN13" s="872" t="str">
        <x:v>CURRENT</x:v>
      </x:c>
      <x:c r="AO13" s="872" t="str">
        <x:v>CS001</x:v>
      </x:c>
      <x:c r="AP13" s="872" t="str">
        <x:v>Official expansion. The ASC Farm Standard lists this procedure among normative references.</x:v>
      </x:c>
      <x:c r="AQ13" s="878" t="n">
        <x:v>46265.588784722226</x:v>
      </x:c>
      <x:c r="AR13" s="874" t="str">
        <x:v>{"action": "APPLY_FIELD_UPDATES", "review_fingerprint": "", "source_id": "CS007", "updates": {}}</x:v>
      </x:c>
    </x:row>
    <x:row r="14" s="36" customFormat="1" ht="30" customHeight="1">
      <x:c r="A14" s="871" t="str">
        <x:v>REV-10e92765df3f6f5f</x:v>
      </x:c>
      <x:c r="B14" s="871" t="str">
        <x:v>SELECTION_REVIEW</x:v>
      </x:c>
      <x:c r="C14" s="871" t="str">
        <x:v>CS007</x:v>
      </x:c>
      <x:c r="D14" s="872" t="str">
        <x:v>ASC Data Submission Procedure</x:v>
      </x:c>
      <x:c r="E14" s="871" t="str">
        <x:v>SELECTION_PENDING</x:v>
      </x:c>
      <x:c r="F14" s="871" t="str">
        <x:v>APPLY_FIELD_UPDATES</x:v>
      </x:c>
      <x:c r="G14" s="872" t="str">
        <x:v>PENDING</x:v>
      </x:c>
      <x:c r="H14" s="872"/>
      <x:c r="I14" s="875"/>
      <x:c r="J14" s="872"/>
      <x:c r="K14" s="873" t="str">
        <x:v>PENDING</x:v>
      </x:c>
      <x:c r="L14" s="876"/>
      <x:c r="M14" s="873" t="str">
        <x:v>operator_selection_decision is PENDING; mandatory assessment is not HIGH: version_currency, traceability. Required action: Review the human-governed source fields and choose INCLUDE, PENDING or EXCLUDE in Human Operation Desktop.</x:v>
      </x:c>
      <x:c r="N14" s="874"/>
      <x:c r="O14" s="874"/>
      <x:c r="P14" s="872" t="str">
        <x:v>https://programme-centre.asc-aqua.org/resource-hub/?filter=farm</x:v>
      </x:c>
      <x:c r="Q14" s="872"/>
      <x:c r="R14" s="872" t="str">
        <x:v>C_Certification_Scheme</x:v>
      </x:c>
      <x:c r="S14" s="872" t="str">
        <x:v>Aquaculture Stewardship Council</x:v>
      </x:c>
      <x:c r="T14" s="872" t="str">
        <x:v>International</x:v>
      </x:c>
      <x:c r="U14" s="872" t="str">
        <x:v>Scheme standard</x:v>
      </x:c>
      <x:c r="V14" s="872" t="str">
        <x:v>Certification scheme</x:v>
      </x:c>
      <x:c r="W14" s="872" t="str">
        <x:v>Referenced normative</x:v>
      </x:c>
      <x:c r="X14" s="872" t="str">
        <x:v>English</x:v>
      </x:c>
      <x:c r="Y14" s="872" t="str">
        <x:v>pdf</x:v>
      </x:c>
      <x:c r="Z14" s="872" t="str">
        <x:v>1.0</x:v>
      </x:c>
      <x:c r="AA14" s="877"/>
      <x:c r="AB14" s="872" t="str">
        <x:v>Official referenced source from Aquaculture Stewardship Council; included because an applicable law, permit or certification scheme may make its provisions binding within the approved scope.</x:v>
      </x:c>
      <x:c r="AC14" s="872" t="str">
        <x:v>HIGH</x:v>
      </x:c>
      <x:c r="AD14" s="872" t="str">
        <x:v>HIGH</x:v>
      </x:c>
      <x:c r="AE14" s="872" t="str">
        <x:v>MEDIUM</x:v>
      </x:c>
      <x:c r="AF14" s="872" t="str">
        <x:v>MEDIUM</x:v>
      </x:c>
      <x:c r="AG14" s="872" t="str">
        <x:v>HIGH</x:v>
      </x:c>
      <x:c r="AH14" s="872" t="str">
        <x:v>LOW</x:v>
      </x:c>
      <x:c r="AI14" s="872" t="str">
        <x:v>PENDING</x:v>
      </x:c>
      <x:c r="AJ14" s="872" t="str">
        <x:v>OFFICIAL_WEBSITE</x:v>
      </x:c>
      <x:c r="AK14" s="872" t="str">
        <x:v>OFFICIAL_ORIGINAL</x:v>
      </x:c>
      <x:c r="AL14" s="872" t="str">
        <x:v>VERSIONED</x:v>
      </x:c>
      <x:c r="AM14" s="872"/>
      <x:c r="AN14" s="872" t="str">
        <x:v>CURRENT</x:v>
      </x:c>
      <x:c r="AO14" s="872" t="str">
        <x:v>CS001</x:v>
      </x:c>
      <x:c r="AP14" s="872" t="str">
        <x:v>Official expansion. The ASC Farm Standard lists this procedure among normative references.</x:v>
      </x:c>
      <x:c r="AQ14" s="878" t="n">
        <x:v>46265.588784722226</x:v>
      </x:c>
      <x:c r="AR14" s="874" t="str">
        <x:v>{"action": "APPLY_FIELD_UPDATES", "review_fingerprint": "b82e48cc8412d5b6", "source_id": "CS007", "updates": {}}</x:v>
      </x:c>
    </x:row>
    <x:row r="15" s="36" customFormat="1" ht="30" customHeight="1">
      <x:c r="A15" s="871" t="str">
        <x:v>REV-de9076fbe4727b23</x:v>
      </x:c>
      <x:c r="B15" s="871" t="str">
        <x:v>SOURCE_REVIEW</x:v>
      </x:c>
      <x:c r="C15" s="871" t="str">
        <x:v>CS008</x:v>
      </x:c>
      <x:c r="D15" s="872" t="str">
        <x:v>GLOBALG.A.P. IFA v6 Smart for aquaculture - Principles and criteria</x:v>
      </x:c>
      <x:c r="E15" s="871" t="str">
        <x:v>DUPLICATE_OFFICIAL_URL</x:v>
      </x:c>
      <x:c r="F15" s="871" t="str">
        <x:v>APPLY_FIELD_UPDATES</x:v>
      </x:c>
      <x:c r="G15" s="872" t="str">
        <x:v>PENDING</x:v>
      </x:c>
      <x:c r="H15" s="872"/>
      <x:c r="I15" s="875"/>
      <x:c r="J15" s="872"/>
      <x:c r="K15" s="873" t="str">
        <x:v>PENDING</x:v>
      </x:c>
      <x:c r="L15" s="876"/>
      <x:c r="M15" s="873" t="str">
        <x:v>The official URL is shared by 6 current source records. Required action: Confirm whether this record is a distinct source, correct its identity, or exclude it.</x:v>
      </x:c>
      <x:c r="N15" s="874"/>
      <x:c r="O15" s="874"/>
      <x:c r="P15" s="872" t="str">
        <x:v>https://globalgap.org/what-we-offer/solutions/ifa-aquaculture/</x:v>
      </x:c>
      <x:c r="Q15" s="872"/>
      <x:c r="R15" s="872" t="str">
        <x:v>C_Certification_Scheme</x:v>
      </x:c>
      <x:c r="S15" s="872" t="str">
        <x:v>GLOBALG.A.P.</x:v>
      </x:c>
      <x:c r="T15" s="872" t="str">
        <x:v>International</x:v>
      </x:c>
      <x:c r="U15" s="872" t="str">
        <x:v>Scheme standard</x:v>
      </x:c>
      <x:c r="V15" s="872" t="str">
        <x:v>Certification scheme</x:v>
      </x:c>
      <x:c r="W15" s="872" t="str">
        <x:v>Primary normative</x:v>
      </x:c>
      <x:c r="X15" s="872" t="str">
        <x:v>English</x:v>
      </x:c>
      <x:c r="Y15" s="872" t="str">
        <x:v>pdf</x:v>
      </x:c>
      <x:c r="Z15" s="872" t="str">
        <x:v>V6</x:v>
      </x:c>
      <x:c r="AA15" s="877"/>
      <x:c r="AB15" s="872" t="str">
        <x:v>Official scheme standard issued by GLOBALG.A.P.; included because it may impose binding requirements on an in-scope aquaculture asset, activity, permit or certification.</x:v>
      </x:c>
      <x:c r="AC15" s="872" t="str">
        <x:v>HIGH</x:v>
      </x:c>
      <x:c r="AD15" s="872" t="str">
        <x:v>HIGH</x:v>
      </x:c>
      <x:c r="AE15" s="872" t="str">
        <x:v>MEDIUM</x:v>
      </x:c>
      <x:c r="AF15" s="872" t="str">
        <x:v>MEDIUM</x:v>
      </x:c>
      <x:c r="AG15" s="872" t="str">
        <x:v>HIGH</x:v>
      </x:c>
      <x:c r="AH15" s="872" t="str">
        <x:v>LOW</x:v>
      </x:c>
      <x:c r="AI15" s="872" t="str">
        <x:v>PENDING</x:v>
      </x:c>
      <x:c r="AJ15" s="872" t="str">
        <x:v>OFFICIAL_WEBSITE</x:v>
      </x:c>
      <x:c r="AK15" s="872" t="str">
        <x:v>OFFICIAL_ORIGINAL</x:v>
      </x:c>
      <x:c r="AL15" s="872" t="str">
        <x:v>VERSIONED</x:v>
      </x:c>
      <x:c r="AM15" s="872"/>
      <x:c r="AN15" s="872" t="str">
        <x:v>CURRENT</x:v>
      </x:c>
      <x:c r="AO15" s="872"/>
      <x:c r="AP15" s="872" t="str">
        <x:v>Project-mentioned scheme source. The repository contains the checklist, but the P&amp;C document is the primary normative source.</x:v>
      </x:c>
      <x:c r="AQ15" s="878" t="n">
        <x:v>46265.588784722226</x:v>
      </x:c>
      <x:c r="AR15" s="874" t="str">
        <x:v>{"action": "APPLY_FIELD_UPDATES", "review_fingerprint": "", "source_id": "CS008", "updates": {}}</x:v>
      </x:c>
    </x:row>
    <x:row r="16" s="36" customFormat="1" ht="30" customHeight="1">
      <x:c r="A16" s="871" t="str">
        <x:v>REV-22ca4c402f156226</x:v>
      </x:c>
      <x:c r="B16" s="871" t="str">
        <x:v>SOURCE_REVIEW</x:v>
      </x:c>
      <x:c r="C16" s="871" t="str">
        <x:v>CS008</x:v>
      </x:c>
      <x:c r="D16" s="872" t="str">
        <x:v>GLOBALG.A.P. IFA v6 Smart for aquaculture - Principles and criteria</x:v>
      </x:c>
      <x:c r="E16" s="871" t="str">
        <x:v>MISSING_RETRIEVAL_URL</x:v>
      </x:c>
      <x:c r="F16" s="871" t="str">
        <x:v>APPLY_FIELD_UPDATES</x:v>
      </x:c>
      <x:c r="G16" s="872" t="str">
        <x:v>PENDING</x:v>
      </x:c>
      <x:c r="H16" s="872"/>
      <x:c r="I16" s="875"/>
      <x:c r="J16" s="872"/>
      <x:c r="K16" s="873" t="str">
        <x:v>PENDING</x:v>
      </x:c>
      <x:c r="L16" s="876"/>
      <x:c r="M16" s="873" t="str">
        <x:v>The source has no exact retrieval target. Required action: Provide the complete official HTML target when available, otherwise the original official file URL.</x:v>
      </x:c>
      <x:c r="N16" s="874"/>
      <x:c r="O16" s="874"/>
      <x:c r="P16" s="872" t="str">
        <x:v>https://globalgap.org/what-we-offer/solutions/ifa-aquaculture/</x:v>
      </x:c>
      <x:c r="Q16" s="872"/>
      <x:c r="R16" s="872" t="str">
        <x:v>C_Certification_Scheme</x:v>
      </x:c>
      <x:c r="S16" s="872" t="str">
        <x:v>GLOBALG.A.P.</x:v>
      </x:c>
      <x:c r="T16" s="872" t="str">
        <x:v>International</x:v>
      </x:c>
      <x:c r="U16" s="872" t="str">
        <x:v>Scheme standard</x:v>
      </x:c>
      <x:c r="V16" s="872" t="str">
        <x:v>Certification scheme</x:v>
      </x:c>
      <x:c r="W16" s="872" t="str">
        <x:v>Primary normative</x:v>
      </x:c>
      <x:c r="X16" s="872" t="str">
        <x:v>English</x:v>
      </x:c>
      <x:c r="Y16" s="872" t="str">
        <x:v>pdf</x:v>
      </x:c>
      <x:c r="Z16" s="872" t="str">
        <x:v>V6</x:v>
      </x:c>
      <x:c r="AA16" s="877"/>
      <x:c r="AB16" s="872" t="str">
        <x:v>Official scheme standard issued by GLOBALG.A.P.; included because it may impose binding requirements on an in-scope aquaculture asset, activity, permit or certification.</x:v>
      </x:c>
      <x:c r="AC16" s="872" t="str">
        <x:v>HIGH</x:v>
      </x:c>
      <x:c r="AD16" s="872" t="str">
        <x:v>HIGH</x:v>
      </x:c>
      <x:c r="AE16" s="872" t="str">
        <x:v>MEDIUM</x:v>
      </x:c>
      <x:c r="AF16" s="872" t="str">
        <x:v>MEDIUM</x:v>
      </x:c>
      <x:c r="AG16" s="872" t="str">
        <x:v>HIGH</x:v>
      </x:c>
      <x:c r="AH16" s="872" t="str">
        <x:v>LOW</x:v>
      </x:c>
      <x:c r="AI16" s="872" t="str">
        <x:v>PENDING</x:v>
      </x:c>
      <x:c r="AJ16" s="872" t="str">
        <x:v>OFFICIAL_WEBSITE</x:v>
      </x:c>
      <x:c r="AK16" s="872" t="str">
        <x:v>OFFICIAL_ORIGINAL</x:v>
      </x:c>
      <x:c r="AL16" s="872" t="str">
        <x:v>VERSIONED</x:v>
      </x:c>
      <x:c r="AM16" s="872"/>
      <x:c r="AN16" s="872" t="str">
        <x:v>CURRENT</x:v>
      </x:c>
      <x:c r="AO16" s="872"/>
      <x:c r="AP16" s="872" t="str">
        <x:v>Project-mentioned scheme source. The repository contains the checklist, but the P&amp;C document is the primary normative source.</x:v>
      </x:c>
      <x:c r="AQ16" s="878" t="n">
        <x:v>46265.588784722226</x:v>
      </x:c>
      <x:c r="AR16" s="874" t="str">
        <x:v>{"action": "APPLY_FIELD_UPDATES", "review_fingerprint": "", "source_id": "CS008", "updates": {}}</x:v>
      </x:c>
    </x:row>
    <x:row r="17" s="36" customFormat="1" ht="30" customHeight="1">
      <x:c r="A17" s="871" t="str">
        <x:v>REV-a43c3d26b8ae28fb</x:v>
      </x:c>
      <x:c r="B17" s="871" t="str">
        <x:v>SELECTION_REVIEW</x:v>
      </x:c>
      <x:c r="C17" s="871" t="str">
        <x:v>CS008</x:v>
      </x:c>
      <x:c r="D17" s="872" t="str">
        <x:v>GLOBALG.A.P. IFA v6 Smart for aquaculture - Principles and criteria</x:v>
      </x:c>
      <x:c r="E17" s="871" t="str">
        <x:v>SELECTION_PENDING</x:v>
      </x:c>
      <x:c r="F17" s="871" t="str">
        <x:v>APPLY_FIELD_UPDATES</x:v>
      </x:c>
      <x:c r="G17" s="872" t="str">
        <x:v>PENDING</x:v>
      </x:c>
      <x:c r="H17" s="872"/>
      <x:c r="I17" s="875"/>
      <x:c r="J17" s="872"/>
      <x:c r="K17" s="873" t="str">
        <x:v>PENDING</x:v>
      </x:c>
      <x:c r="L17" s="876"/>
      <x:c r="M17" s="873" t="str">
        <x:v>operator_selection_decision is PENDING; mandatory assessment is not HIGH: version_currency, traceability. Required action: Review the human-governed source fields and choose INCLUDE, PENDING or EXCLUDE in Human Operation Desktop.</x:v>
      </x:c>
      <x:c r="N17" s="874"/>
      <x:c r="O17" s="874"/>
      <x:c r="P17" s="872" t="str">
        <x:v>https://globalgap.org/what-we-offer/solutions/ifa-aquaculture/</x:v>
      </x:c>
      <x:c r="Q17" s="872"/>
      <x:c r="R17" s="872" t="str">
        <x:v>C_Certification_Scheme</x:v>
      </x:c>
      <x:c r="S17" s="872" t="str">
        <x:v>GLOBALG.A.P.</x:v>
      </x:c>
      <x:c r="T17" s="872" t="str">
        <x:v>International</x:v>
      </x:c>
      <x:c r="U17" s="872" t="str">
        <x:v>Scheme standard</x:v>
      </x:c>
      <x:c r="V17" s="872" t="str">
        <x:v>Certification scheme</x:v>
      </x:c>
      <x:c r="W17" s="872" t="str">
        <x:v>Primary normative</x:v>
      </x:c>
      <x:c r="X17" s="872" t="str">
        <x:v>English</x:v>
      </x:c>
      <x:c r="Y17" s="872" t="str">
        <x:v>pdf</x:v>
      </x:c>
      <x:c r="Z17" s="872" t="str">
        <x:v>V6</x:v>
      </x:c>
      <x:c r="AA17" s="877"/>
      <x:c r="AB17" s="872" t="str">
        <x:v>Official scheme standard issued by GLOBALG.A.P.; included because it may impose binding requirements on an in-scope aquaculture asset, activity, permit or certification.</x:v>
      </x:c>
      <x:c r="AC17" s="872" t="str">
        <x:v>HIGH</x:v>
      </x:c>
      <x:c r="AD17" s="872" t="str">
        <x:v>HIGH</x:v>
      </x:c>
      <x:c r="AE17" s="872" t="str">
        <x:v>MEDIUM</x:v>
      </x:c>
      <x:c r="AF17" s="872" t="str">
        <x:v>MEDIUM</x:v>
      </x:c>
      <x:c r="AG17" s="872" t="str">
        <x:v>HIGH</x:v>
      </x:c>
      <x:c r="AH17" s="872" t="str">
        <x:v>LOW</x:v>
      </x:c>
      <x:c r="AI17" s="872" t="str">
        <x:v>PENDING</x:v>
      </x:c>
      <x:c r="AJ17" s="872" t="str">
        <x:v>OFFICIAL_WEBSITE</x:v>
      </x:c>
      <x:c r="AK17" s="872" t="str">
        <x:v>OFFICIAL_ORIGINAL</x:v>
      </x:c>
      <x:c r="AL17" s="872" t="str">
        <x:v>VERSIONED</x:v>
      </x:c>
      <x:c r="AM17" s="872"/>
      <x:c r="AN17" s="872" t="str">
        <x:v>CURRENT</x:v>
      </x:c>
      <x:c r="AO17" s="872"/>
      <x:c r="AP17" s="872" t="str">
        <x:v>Project-mentioned scheme source. The repository contains the checklist, but the P&amp;C document is the primary normative source.</x:v>
      </x:c>
      <x:c r="AQ17" s="878" t="n">
        <x:v>46265.588784722226</x:v>
      </x:c>
      <x:c r="AR17" s="874" t="str">
        <x:v>{"action": "APPLY_FIELD_UPDATES", "review_fingerprint": "9d46b9ee5e4bc665", "source_id": "CS008", "updates": {}}</x:v>
      </x:c>
    </x:row>
    <x:row r="18" s="36" customFormat="1" ht="30" customHeight="1">
      <x:c r="A18" s="871" t="str">
        <x:v>REV-4efeb8009a01c517</x:v>
      </x:c>
      <x:c r="B18" s="871" t="str">
        <x:v>SOURCE_REVIEW</x:v>
      </x:c>
      <x:c r="C18" s="871" t="str">
        <x:v>CS009</x:v>
      </x:c>
      <x:c r="D18" s="872" t="str">
        <x:v>GLOBALG.A.P. IFA v6 Smart for aquaculture - Checklist</x:v>
      </x:c>
      <x:c r="E18" s="871" t="str">
        <x:v>DUPLICATE_OFFICIAL_URL</x:v>
      </x:c>
      <x:c r="F18" s="871" t="str">
        <x:v>APPLY_FIELD_UPDATES</x:v>
      </x:c>
      <x:c r="G18" s="872" t="str">
        <x:v>PENDING</x:v>
      </x:c>
      <x:c r="H18" s="872"/>
      <x:c r="I18" s="875"/>
      <x:c r="J18" s="872"/>
      <x:c r="K18" s="873" t="str">
        <x:v>PENDING</x:v>
      </x:c>
      <x:c r="L18" s="876"/>
      <x:c r="M18" s="873" t="str">
        <x:v>The official URL is shared by 6 current source records. Required action: Confirm whether this record is a distinct source, correct its identity, or exclude it.</x:v>
      </x:c>
      <x:c r="N18" s="874"/>
      <x:c r="O18" s="874"/>
      <x:c r="P18" s="872" t="str">
        <x:v>https://globalgap.org/what-we-offer/solutions/ifa-aquaculture/</x:v>
      </x:c>
      <x:c r="Q18" s="872"/>
      <x:c r="R18" s="872" t="str">
        <x:v>C_Certification_Scheme</x:v>
      </x:c>
      <x:c r="S18" s="872" t="str">
        <x:v>GLOBALG.A.P.</x:v>
      </x:c>
      <x:c r="T18" s="872" t="str">
        <x:v>International</x:v>
      </x:c>
      <x:c r="U18" s="872" t="str">
        <x:v>Audit / assessment document</x:v>
      </x:c>
      <x:c r="V18" s="872" t="str">
        <x:v>Certification scheme</x:v>
      </x:c>
      <x:c r="W18" s="872" t="str">
        <x:v>Audit / assessment tool</x:v>
      </x:c>
      <x:c r="X18" s="872" t="str">
        <x:v>English</x:v>
      </x:c>
      <x:c r="Y18" s="872" t="str">
        <x:v>xlsx</x:v>
      </x:c>
      <x:c r="Z18" s="872" t="str">
        <x:v>V6</x:v>
      </x:c>
      <x:c r="AA18" s="877"/>
      <x:c r="AB18" s="872" t="str">
        <x:v>Official assessment tool from GLOBALG.A.P.; included to structure compliance checks and trace evidence back to its linked normative source.</x:v>
      </x:c>
      <x:c r="AC18" s="872" t="str">
        <x:v>HIGH</x:v>
      </x:c>
      <x:c r="AD18" s="872" t="str">
        <x:v>HIGH</x:v>
      </x:c>
      <x:c r="AE18" s="872" t="str">
        <x:v>MEDIUM</x:v>
      </x:c>
      <x:c r="AF18" s="872" t="str">
        <x:v>MEDIUM</x:v>
      </x:c>
      <x:c r="AG18" s="872" t="str">
        <x:v>HIGH</x:v>
      </x:c>
      <x:c r="AH18" s="872" t="str">
        <x:v>LOW</x:v>
      </x:c>
      <x:c r="AI18" s="872" t="str">
        <x:v>PENDING</x:v>
      </x:c>
      <x:c r="AJ18" s="872" t="str">
        <x:v>OFFICIAL_WEBSITE</x:v>
      </x:c>
      <x:c r="AK18" s="872" t="str">
        <x:v>OFFICIAL_ORIGINAL</x:v>
      </x:c>
      <x:c r="AL18" s="872" t="str">
        <x:v>VERSIONED</x:v>
      </x:c>
      <x:c r="AM18" s="872"/>
      <x:c r="AN18" s="872" t="str">
        <x:v>CURRENT</x:v>
      </x:c>
      <x:c r="AO18" s="872" t="str">
        <x:v>CS008</x:v>
      </x:c>
      <x:c r="AP18" s="872" t="str">
        <x:v>Repository-held assessment artifact. Official distribution may be ZIP/XLSX; trace requirements to CS008.</x:v>
      </x:c>
      <x:c r="AQ18" s="878" t="n">
        <x:v>46265.588784722226</x:v>
      </x:c>
      <x:c r="AR18" s="874" t="str">
        <x:v>{"action": "APPLY_FIELD_UPDATES", "review_fingerprint": "", "source_id": "CS009", "updates": {}}</x:v>
      </x:c>
    </x:row>
    <x:row r="19" s="36" customFormat="1" ht="30" customHeight="1">
      <x:c r="A19" s="871" t="str">
        <x:v>REV-b8c2027c5ca809c4</x:v>
      </x:c>
      <x:c r="B19" s="871" t="str">
        <x:v>SOURCE_REVIEW</x:v>
      </x:c>
      <x:c r="C19" s="871" t="str">
        <x:v>CS009</x:v>
      </x:c>
      <x:c r="D19" s="872" t="str">
        <x:v>GLOBALG.A.P. IFA v6 Smart for aquaculture - Checklist</x:v>
      </x:c>
      <x:c r="E19" s="871" t="str">
        <x:v>MISSING_RETRIEVAL_URL</x:v>
      </x:c>
      <x:c r="F19" s="871" t="str">
        <x:v>APPLY_FIELD_UPDATES</x:v>
      </x:c>
      <x:c r="G19" s="872" t="str">
        <x:v>PENDING</x:v>
      </x:c>
      <x:c r="H19" s="872"/>
      <x:c r="I19" s="875"/>
      <x:c r="J19" s="872"/>
      <x:c r="K19" s="873" t="str">
        <x:v>PENDING</x:v>
      </x:c>
      <x:c r="L19" s="876"/>
      <x:c r="M19" s="873" t="str">
        <x:v>The source has no exact retrieval target. Required action: Provide the complete official HTML target when available, otherwise the original official file URL.</x:v>
      </x:c>
      <x:c r="N19" s="874"/>
      <x:c r="O19" s="874"/>
      <x:c r="P19" s="872" t="str">
        <x:v>https://globalgap.org/what-we-offer/solutions/ifa-aquaculture/</x:v>
      </x:c>
      <x:c r="Q19" s="872"/>
      <x:c r="R19" s="872" t="str">
        <x:v>C_Certification_Scheme</x:v>
      </x:c>
      <x:c r="S19" s="872" t="str">
        <x:v>GLOBALG.A.P.</x:v>
      </x:c>
      <x:c r="T19" s="872" t="str">
        <x:v>International</x:v>
      </x:c>
      <x:c r="U19" s="872" t="str">
        <x:v>Audit / assessment document</x:v>
      </x:c>
      <x:c r="V19" s="872" t="str">
        <x:v>Certification scheme</x:v>
      </x:c>
      <x:c r="W19" s="872" t="str">
        <x:v>Audit / assessment tool</x:v>
      </x:c>
      <x:c r="X19" s="872" t="str">
        <x:v>English</x:v>
      </x:c>
      <x:c r="Y19" s="872" t="str">
        <x:v>xlsx</x:v>
      </x:c>
      <x:c r="Z19" s="872" t="str">
        <x:v>V6</x:v>
      </x:c>
      <x:c r="AA19" s="877"/>
      <x:c r="AB19" s="872" t="str">
        <x:v>Official assessment tool from GLOBALG.A.P.; included to structure compliance checks and trace evidence back to its linked normative source.</x:v>
      </x:c>
      <x:c r="AC19" s="872" t="str">
        <x:v>HIGH</x:v>
      </x:c>
      <x:c r="AD19" s="872" t="str">
        <x:v>HIGH</x:v>
      </x:c>
      <x:c r="AE19" s="872" t="str">
        <x:v>MEDIUM</x:v>
      </x:c>
      <x:c r="AF19" s="872" t="str">
        <x:v>MEDIUM</x:v>
      </x:c>
      <x:c r="AG19" s="872" t="str">
        <x:v>HIGH</x:v>
      </x:c>
      <x:c r="AH19" s="872" t="str">
        <x:v>LOW</x:v>
      </x:c>
      <x:c r="AI19" s="872" t="str">
        <x:v>PENDING</x:v>
      </x:c>
      <x:c r="AJ19" s="872" t="str">
        <x:v>OFFICIAL_WEBSITE</x:v>
      </x:c>
      <x:c r="AK19" s="872" t="str">
        <x:v>OFFICIAL_ORIGINAL</x:v>
      </x:c>
      <x:c r="AL19" s="872" t="str">
        <x:v>VERSIONED</x:v>
      </x:c>
      <x:c r="AM19" s="872"/>
      <x:c r="AN19" s="872" t="str">
        <x:v>CURRENT</x:v>
      </x:c>
      <x:c r="AO19" s="872" t="str">
        <x:v>CS008</x:v>
      </x:c>
      <x:c r="AP19" s="872" t="str">
        <x:v>Repository-held assessment artifact. Official distribution may be ZIP/XLSX; trace requirements to CS008.</x:v>
      </x:c>
      <x:c r="AQ19" s="878" t="n">
        <x:v>46265.588784722226</x:v>
      </x:c>
      <x:c r="AR19" s="874" t="str">
        <x:v>{"action": "APPLY_FIELD_UPDATES", "review_fingerprint": "", "source_id": "CS009", "updates": {}}</x:v>
      </x:c>
    </x:row>
    <x:row r="20" s="36" customFormat="1" ht="30" customHeight="1">
      <x:c r="A20" s="871" t="str">
        <x:v>REV-3c3b098a3d12e2e3</x:v>
      </x:c>
      <x:c r="B20" s="871" t="str">
        <x:v>SELECTION_REVIEW</x:v>
      </x:c>
      <x:c r="C20" s="871" t="str">
        <x:v>CS009</x:v>
      </x:c>
      <x:c r="D20" s="872" t="str">
        <x:v>GLOBALG.A.P. IFA v6 Smart for aquaculture - Checklist</x:v>
      </x:c>
      <x:c r="E20" s="871" t="str">
        <x:v>SELECTION_PENDING</x:v>
      </x:c>
      <x:c r="F20" s="871" t="str">
        <x:v>APPLY_FIELD_UPDATES</x:v>
      </x:c>
      <x:c r="G20" s="872" t="str">
        <x:v>PENDING</x:v>
      </x:c>
      <x:c r="H20" s="872"/>
      <x:c r="I20" s="875"/>
      <x:c r="J20" s="872"/>
      <x:c r="K20" s="873" t="str">
        <x:v>PENDING</x:v>
      </x:c>
      <x:c r="L20" s="876"/>
      <x:c r="M20" s="873" t="str">
        <x:v>operator_selection_decision is PENDING; mandatory assessment is not HIGH: version_currency, traceability. Required action: Review the human-governed source fields and choose INCLUDE, PENDING or EXCLUDE in Human Operation Desktop.</x:v>
      </x:c>
      <x:c r="N20" s="874"/>
      <x:c r="O20" s="874"/>
      <x:c r="P20" s="872" t="str">
        <x:v>https://globalgap.org/what-we-offer/solutions/ifa-aquaculture/</x:v>
      </x:c>
      <x:c r="Q20" s="872"/>
      <x:c r="R20" s="872" t="str">
        <x:v>C_Certification_Scheme</x:v>
      </x:c>
      <x:c r="S20" s="872" t="str">
        <x:v>GLOBALG.A.P.</x:v>
      </x:c>
      <x:c r="T20" s="872" t="str">
        <x:v>International</x:v>
      </x:c>
      <x:c r="U20" s="872" t="str">
        <x:v>Audit / assessment document</x:v>
      </x:c>
      <x:c r="V20" s="872" t="str">
        <x:v>Certification scheme</x:v>
      </x:c>
      <x:c r="W20" s="872" t="str">
        <x:v>Audit / assessment tool</x:v>
      </x:c>
      <x:c r="X20" s="872" t="str">
        <x:v>English</x:v>
      </x:c>
      <x:c r="Y20" s="872" t="str">
        <x:v>xlsx</x:v>
      </x:c>
      <x:c r="Z20" s="872" t="str">
        <x:v>V6</x:v>
      </x:c>
      <x:c r="AA20" s="877"/>
      <x:c r="AB20" s="872" t="str">
        <x:v>Official assessment tool from GLOBALG.A.P.; included to structure compliance checks and trace evidence back to its linked normative source.</x:v>
      </x:c>
      <x:c r="AC20" s="872" t="str">
        <x:v>HIGH</x:v>
      </x:c>
      <x:c r="AD20" s="872" t="str">
        <x:v>HIGH</x:v>
      </x:c>
      <x:c r="AE20" s="872" t="str">
        <x:v>MEDIUM</x:v>
      </x:c>
      <x:c r="AF20" s="872" t="str">
        <x:v>MEDIUM</x:v>
      </x:c>
      <x:c r="AG20" s="872" t="str">
        <x:v>HIGH</x:v>
      </x:c>
      <x:c r="AH20" s="872" t="str">
        <x:v>LOW</x:v>
      </x:c>
      <x:c r="AI20" s="872" t="str">
        <x:v>PENDING</x:v>
      </x:c>
      <x:c r="AJ20" s="872" t="str">
        <x:v>OFFICIAL_WEBSITE</x:v>
      </x:c>
      <x:c r="AK20" s="872" t="str">
        <x:v>OFFICIAL_ORIGINAL</x:v>
      </x:c>
      <x:c r="AL20" s="872" t="str">
        <x:v>VERSIONED</x:v>
      </x:c>
      <x:c r="AM20" s="872"/>
      <x:c r="AN20" s="872" t="str">
        <x:v>CURRENT</x:v>
      </x:c>
      <x:c r="AO20" s="872" t="str">
        <x:v>CS008</x:v>
      </x:c>
      <x:c r="AP20" s="872" t="str">
        <x:v>Repository-held assessment artifact. Official distribution may be ZIP/XLSX; trace requirements to CS008.</x:v>
      </x:c>
      <x:c r="AQ20" s="878" t="n">
        <x:v>46265.588784722226</x:v>
      </x:c>
      <x:c r="AR20" s="874" t="str">
        <x:v>{"action": "APPLY_FIELD_UPDATES", "review_fingerprint": "993b0b0f692994cf", "source_id": "CS009", "updates": {}}</x:v>
      </x:c>
    </x:row>
    <x:row r="21" s="36" customFormat="1" ht="30" customHeight="1">
      <x:c r="A21" s="871" t="str">
        <x:v>REV-5e3cd6c5cad75c97</x:v>
      </x:c>
      <x:c r="B21" s="871" t="str">
        <x:v>SOURCE_REVIEW</x:v>
      </x:c>
      <x:c r="C21" s="871" t="str">
        <x:v>CS010</x:v>
      </x:c>
      <x:c r="D21" s="872" t="str">
        <x:v>GLOBALG.A.P. General Regulations - Rules for aquaculture scope</x:v>
      </x:c>
      <x:c r="E21" s="871" t="str">
        <x:v>DUPLICATE_OFFICIAL_URL</x:v>
      </x:c>
      <x:c r="F21" s="871" t="str">
        <x:v>APPLY_FIELD_UPDATES</x:v>
      </x:c>
      <x:c r="G21" s="872" t="str">
        <x:v>PENDING</x:v>
      </x:c>
      <x:c r="H21" s="872"/>
      <x:c r="I21" s="875"/>
      <x:c r="J21" s="872"/>
      <x:c r="K21" s="873" t="str">
        <x:v>PENDING</x:v>
      </x:c>
      <x:c r="L21" s="876"/>
      <x:c r="M21" s="873" t="str">
        <x:v>The official URL is shared by 6 current source records. Required action: Confirm whether this record is a distinct source, correct its identity, or exclude it.</x:v>
      </x:c>
      <x:c r="N21" s="874"/>
      <x:c r="O21" s="874"/>
      <x:c r="P21" s="872" t="str">
        <x:v>https://globalgap.org/what-we-offer/solutions/ifa-aquaculture/</x:v>
      </x:c>
      <x:c r="Q21" s="872" t="str">
        <x:v>https://documents.globalgap.org/documents/220929_GG_GR_Rules_for_aquaculture_v6_0_Sep22_en.pdf</x:v>
      </x:c>
      <x:c r="R21" s="872" t="str">
        <x:v>C_Certification_Scheme</x:v>
      </x:c>
      <x:c r="S21" s="872" t="str">
        <x:v>GLOBALG.A.P.</x:v>
      </x:c>
      <x:c r="T21" s="872" t="str">
        <x:v>International</x:v>
      </x:c>
      <x:c r="U21" s="872" t="str">
        <x:v>Scheme standard</x:v>
      </x:c>
      <x:c r="V21" s="872" t="str">
        <x:v>Certification scheme</x:v>
      </x:c>
      <x:c r="W21" s="872" t="str">
        <x:v>Referenced normative</x:v>
      </x:c>
      <x:c r="X21" s="872" t="str">
        <x:v>English</x:v>
      </x:c>
      <x:c r="Y21" s="872" t="str">
        <x:v>pdf</x:v>
      </x:c>
      <x:c r="Z21" s="872" t="str">
        <x:v>6.0</x:v>
      </x:c>
      <x:c r="AA21" s="877"/>
      <x:c r="AB21" s="872" t="str">
        <x:v>Official referenced source from GLOBALG.A.P.; included because an applicable law, permit or certification scheme may make its provisions binding within the approved scope.</x:v>
      </x:c>
      <x:c r="AC21" s="872" t="str">
        <x:v>HIGH</x:v>
      </x:c>
      <x:c r="AD21" s="872" t="str">
        <x:v>HIGH</x:v>
      </x:c>
      <x:c r="AE21" s="872" t="str">
        <x:v>HIGH</x:v>
      </x:c>
      <x:c r="AF21" s="872" t="str">
        <x:v>HIGH</x:v>
      </x:c>
      <x:c r="AG21" s="872" t="str">
        <x:v>HIGH</x:v>
      </x:c>
      <x:c r="AH21" s="872" t="str">
        <x:v>HIGH</x:v>
      </x:c>
      <x:c r="AI21" s="872" t="str">
        <x:v>INCLUDE</x:v>
      </x:c>
      <x:c r="AJ21" s="872" t="str">
        <x:v>OFFICIAL_WEBSITE</x:v>
      </x:c>
      <x:c r="AK21" s="872" t="str">
        <x:v>OFFICIAL_ORIGINAL</x:v>
      </x:c>
      <x:c r="AL21" s="872" t="str">
        <x:v>VERSIONED</x:v>
      </x:c>
      <x:c r="AM21" s="872"/>
      <x:c r="AN21" s="872" t="str">
        <x:v>CURRENT</x:v>
      </x:c>
      <x:c r="AO21" s="872" t="str">
        <x:v>CS008</x:v>
      </x:c>
      <x:c r="AP21" s="872" t="str">
        <x:v>Official expansion. GLOBALG.A.P. identifies the general regulations as required for certification.</x:v>
      </x:c>
      <x:c r="AQ21" s="878" t="n">
        <x:v>46265.588784722226</x:v>
      </x:c>
      <x:c r="AR21" s="874" t="str">
        <x:v>{"action": "APPLY_FIELD_UPDATES", "review_fingerprint": "", "source_id": "CS010", "updates": {}}</x:v>
      </x:c>
    </x:row>
    <x:row r="22" s="36" customFormat="1" ht="30" customHeight="1">
      <x:c r="A22" s="871" t="str">
        <x:v>REV-bcb87ee441707a5d</x:v>
      </x:c>
      <x:c r="B22" s="871" t="str">
        <x:v>SOURCE_REVIEW</x:v>
      </x:c>
      <x:c r="C22" s="871" t="str">
        <x:v>CS011</x:v>
      </x:c>
      <x:c r="D22" s="872" t="str">
        <x:v>GLOBALG.A.P. GRASP v2 - Principles and criteria</x:v>
      </x:c>
      <x:c r="E22" s="871" t="str">
        <x:v>DUPLICATE_OFFICIAL_URL</x:v>
      </x:c>
      <x:c r="F22" s="871" t="str">
        <x:v>APPLY_FIELD_UPDATES</x:v>
      </x:c>
      <x:c r="G22" s="872" t="str">
        <x:v>PENDING</x:v>
      </x:c>
      <x:c r="H22" s="872"/>
      <x:c r="I22" s="875"/>
      <x:c r="J22" s="872"/>
      <x:c r="K22" s="873" t="str">
        <x:v>PENDING</x:v>
      </x:c>
      <x:c r="L22" s="876"/>
      <x:c r="M22" s="873" t="str">
        <x:v>The official URL is shared by 4 current source records. Required action: Confirm whether this record is a distinct source, correct its identity, or exclude it.</x:v>
      </x:c>
      <x:c r="N22" s="874"/>
      <x:c r="O22" s="874"/>
      <x:c r="P22" s="872" t="str">
        <x:v>https://globalgap.org/what-we-offer/solutions/grasp/</x:v>
      </x:c>
      <x:c r="Q22" s="872" t="str">
        <x:v>https://documents.globalgap.org/documents/220929_GRASP_PCs_v2_0_Sep22_en.pdf</x:v>
      </x:c>
      <x:c r="R22" s="872" t="str">
        <x:v>C_Certification_Scheme</x:v>
      </x:c>
      <x:c r="S22" s="872" t="str">
        <x:v>GLOBALG.A.P.</x:v>
      </x:c>
      <x:c r="T22" s="872" t="str">
        <x:v>International</x:v>
      </x:c>
      <x:c r="U22" s="872" t="str">
        <x:v>Scheme standard</x:v>
      </x:c>
      <x:c r="V22" s="872" t="str">
        <x:v>Certification scheme</x:v>
      </x:c>
      <x:c r="W22" s="872" t="str">
        <x:v>Referenced normative</x:v>
      </x:c>
      <x:c r="X22" s="872" t="str">
        <x:v>English</x:v>
      </x:c>
      <x:c r="Y22" s="872" t="str">
        <x:v>pdf</x:v>
      </x:c>
      <x:c r="Z22" s="872" t="str">
        <x:v>2.0_Sep22</x:v>
      </x:c>
      <x:c r="AA22" s="877"/>
      <x:c r="AB22" s="872" t="str">
        <x:v>Official referenced source from GLOBALG.A.P.; included because an applicable law, permit or certification scheme may make its provisions binding within the approved scope.</x:v>
      </x:c>
      <x:c r="AC22" s="872" t="str">
        <x:v>HIGH</x:v>
      </x:c>
      <x:c r="AD22" s="872" t="str">
        <x:v>HIGH</x:v>
      </x:c>
      <x:c r="AE22" s="872" t="str">
        <x:v>HIGH</x:v>
      </x:c>
      <x:c r="AF22" s="872" t="str">
        <x:v>HIGH</x:v>
      </x:c>
      <x:c r="AG22" s="872" t="str">
        <x:v>HIGH</x:v>
      </x:c>
      <x:c r="AH22" s="872" t="str">
        <x:v>HIGH</x:v>
      </x:c>
      <x:c r="AI22" s="872" t="str">
        <x:v>INCLUDE</x:v>
      </x:c>
      <x:c r="AJ22" s="872" t="str">
        <x:v>OFFICIAL_WEBSITE</x:v>
      </x:c>
      <x:c r="AK22" s="872" t="str">
        <x:v>OFFICIAL_ORIGINAL</x:v>
      </x:c>
      <x:c r="AL22" s="872" t="str">
        <x:v>VERSIONED</x:v>
      </x:c>
      <x:c r="AM22" s="872"/>
      <x:c r="AN22" s="872" t="str">
        <x:v>CURRENT</x:v>
      </x:c>
      <x:c r="AO22" s="872" t="str">
        <x:v>CS008</x:v>
      </x:c>
      <x:c r="AP22" s="872" t="str">
        <x:v>Official expansion. GLOBALG.A.P. states GRASP is mandatory for IFA aquaculture audits.</x:v>
      </x:c>
      <x:c r="AQ22" s="878" t="n">
        <x:v>46265.588784722226</x:v>
      </x:c>
      <x:c r="AR22" s="874" t="str">
        <x:v>{"action": "APPLY_FIELD_UPDATES", "review_fingerprint": "", "source_id": "CS011", "updates": {}}</x:v>
      </x:c>
    </x:row>
    <x:row r="23" s="36" customFormat="1" ht="30" customHeight="1">
      <x:c r="A23" s="871" t="str">
        <x:v>REV-cecc6db82f99c6b8</x:v>
      </x:c>
      <x:c r="B23" s="871" t="str">
        <x:v>SOURCE_REVIEW</x:v>
      </x:c>
      <x:c r="C23" s="871" t="str">
        <x:v>CS012</x:v>
      </x:c>
      <x:c r="D23" s="872" t="str">
        <x:v>GLOBALG.A.P. Compound Feed Manufacturing Standard</x:v>
      </x:c>
      <x:c r="E23" s="871" t="str">
        <x:v>MISSING_RETRIEVAL_URL</x:v>
      </x:c>
      <x:c r="F23" s="871" t="str">
        <x:v>APPLY_FIELD_UPDATES</x:v>
      </x:c>
      <x:c r="G23" s="872" t="str">
        <x:v>PENDING</x:v>
      </x:c>
      <x:c r="H23" s="872"/>
      <x:c r="I23" s="875"/>
      <x:c r="J23" s="872"/>
      <x:c r="K23" s="873" t="str">
        <x:v>PENDING</x:v>
      </x:c>
      <x:c r="L23" s="876"/>
      <x:c r="M23" s="873" t="str">
        <x:v>The source has no exact retrieval target. Required action: Provide the complete official HTML target when available, otherwise the original official file URL.</x:v>
      </x:c>
      <x:c r="N23" s="874"/>
      <x:c r="O23" s="874"/>
      <x:c r="P23" s="872" t="str">
        <x:v>https://globalgap.org/what-we-offer/solutions/compound-feed-manufacturing/</x:v>
      </x:c>
      <x:c r="Q23" s="872"/>
      <x:c r="R23" s="872" t="str">
        <x:v>C_Certification_Scheme</x:v>
      </x:c>
      <x:c r="S23" s="872" t="str">
        <x:v>GLOBALG.A.P.</x:v>
      </x:c>
      <x:c r="T23" s="872" t="str">
        <x:v>International</x:v>
      </x:c>
      <x:c r="U23" s="872" t="str">
        <x:v>Scheme standard</x:v>
      </x:c>
      <x:c r="V23" s="872" t="str">
        <x:v>Certification scheme</x:v>
      </x:c>
      <x:c r="W23" s="872" t="str">
        <x:v>Referenced normative</x:v>
      </x:c>
      <x:c r="X23" s="872" t="str">
        <x:v>English</x:v>
      </x:c>
      <x:c r="Y23" s="872" t="str">
        <x:v>pdf</x:v>
      </x:c>
      <x:c r="Z23" s="872"/>
      <x:c r="AA23" s="877"/>
      <x:c r="AB23" s="872" t="str">
        <x:v>Official referenced source from GLOBALG.A.P.; included because an applicable law, permit or certification scheme may make its provisions binding within the approved scope.</x:v>
      </x:c>
      <x:c r="AC23" s="872" t="str">
        <x:v>HIGH</x:v>
      </x:c>
      <x:c r="AD23" s="872" t="str">
        <x:v>HIGH</x:v>
      </x:c>
      <x:c r="AE23" s="872" t="str">
        <x:v>MEDIUM</x:v>
      </x:c>
      <x:c r="AF23" s="872" t="str">
        <x:v>MEDIUM</x:v>
      </x:c>
      <x:c r="AG23" s="872" t="str">
        <x:v>HIGH</x:v>
      </x:c>
      <x:c r="AH23" s="872" t="str">
        <x:v>LOW</x:v>
      </x:c>
      <x:c r="AI23" s="872" t="str">
        <x:v>PENDING</x:v>
      </x:c>
      <x:c r="AJ23" s="872" t="str">
        <x:v>OFFICIAL_WEBSITE</x:v>
      </x:c>
      <x:c r="AK23" s="872" t="str">
        <x:v>OFFICIAL_ORIGINAL</x:v>
      </x:c>
      <x:c r="AL23" s="872" t="str">
        <x:v>VERSIONED</x:v>
      </x:c>
      <x:c r="AM23" s="872"/>
      <x:c r="AN23" s="872" t="str">
        <x:v>CURRENT</x:v>
      </x:c>
      <x:c r="AO23" s="872" t="str">
        <x:v>CS008</x:v>
      </x:c>
      <x:c r="AP23" s="872" t="str">
        <x:v>Official expansion. Relevant to feed-sourcing requirements under IFA aquaculture.</x:v>
      </x:c>
      <x:c r="AQ23" s="878" t="n">
        <x:v>46265.588784722226</x:v>
      </x:c>
      <x:c r="AR23" s="874" t="str">
        <x:v>{"action": "APPLY_FIELD_UPDATES", "review_fingerprint": "", "source_id": "CS012", "updates": {}}</x:v>
      </x:c>
    </x:row>
    <x:row r="24" s="36" customFormat="1" ht="30" customHeight="1">
      <x:c r="A24" s="871" t="str">
        <x:v>REV-66b6ad3173503e8f</x:v>
      </x:c>
      <x:c r="B24" s="871" t="str">
        <x:v>SELECTION_REVIEW</x:v>
      </x:c>
      <x:c r="C24" s="871" t="str">
        <x:v>CS012</x:v>
      </x:c>
      <x:c r="D24" s="872" t="str">
        <x:v>GLOBALG.A.P. Compound Feed Manufacturing Standard</x:v>
      </x:c>
      <x:c r="E24" s="871" t="str">
        <x:v>SELECTION_PENDING</x:v>
      </x:c>
      <x:c r="F24" s="871" t="str">
        <x:v>APPLY_FIELD_UPDATES</x:v>
      </x:c>
      <x:c r="G24" s="872" t="str">
        <x:v>PENDING</x:v>
      </x:c>
      <x:c r="H24" s="872"/>
      <x:c r="I24" s="875"/>
      <x:c r="J24" s="872"/>
      <x:c r="K24" s="873" t="str">
        <x:v>PENDING</x:v>
      </x:c>
      <x:c r="L24" s="876"/>
      <x:c r="M24" s="873" t="str">
        <x:v>operator_selection_decision is PENDING; mandatory assessment is not HIGH: version_currency, traceability. Required action: Review the human-governed source fields and choose INCLUDE, PENDING or EXCLUDE in Human Operation Desktop.</x:v>
      </x:c>
      <x:c r="N24" s="874"/>
      <x:c r="O24" s="874"/>
      <x:c r="P24" s="872" t="str">
        <x:v>https://globalgap.org/what-we-offer/solutions/compound-feed-manufacturing/</x:v>
      </x:c>
      <x:c r="Q24" s="872"/>
      <x:c r="R24" s="872" t="str">
        <x:v>C_Certification_Scheme</x:v>
      </x:c>
      <x:c r="S24" s="872" t="str">
        <x:v>GLOBALG.A.P.</x:v>
      </x:c>
      <x:c r="T24" s="872" t="str">
        <x:v>International</x:v>
      </x:c>
      <x:c r="U24" s="872" t="str">
        <x:v>Scheme standard</x:v>
      </x:c>
      <x:c r="V24" s="872" t="str">
        <x:v>Certification scheme</x:v>
      </x:c>
      <x:c r="W24" s="872" t="str">
        <x:v>Referenced normative</x:v>
      </x:c>
      <x:c r="X24" s="872" t="str">
        <x:v>English</x:v>
      </x:c>
      <x:c r="Y24" s="872" t="str">
        <x:v>pdf</x:v>
      </x:c>
      <x:c r="Z24" s="872"/>
      <x:c r="AA24" s="877"/>
      <x:c r="AB24" s="872" t="str">
        <x:v>Official referenced source from GLOBALG.A.P.; included because an applicable law, permit or certification scheme may make its provisions binding within the approved scope.</x:v>
      </x:c>
      <x:c r="AC24" s="872" t="str">
        <x:v>HIGH</x:v>
      </x:c>
      <x:c r="AD24" s="872" t="str">
        <x:v>HIGH</x:v>
      </x:c>
      <x:c r="AE24" s="872" t="str">
        <x:v>MEDIUM</x:v>
      </x:c>
      <x:c r="AF24" s="872" t="str">
        <x:v>MEDIUM</x:v>
      </x:c>
      <x:c r="AG24" s="872" t="str">
        <x:v>HIGH</x:v>
      </x:c>
      <x:c r="AH24" s="872" t="str">
        <x:v>LOW</x:v>
      </x:c>
      <x:c r="AI24" s="872" t="str">
        <x:v>PENDING</x:v>
      </x:c>
      <x:c r="AJ24" s="872" t="str">
        <x:v>OFFICIAL_WEBSITE</x:v>
      </x:c>
      <x:c r="AK24" s="872" t="str">
        <x:v>OFFICIAL_ORIGINAL</x:v>
      </x:c>
      <x:c r="AL24" s="872" t="str">
        <x:v>VERSIONED</x:v>
      </x:c>
      <x:c r="AM24" s="872"/>
      <x:c r="AN24" s="872" t="str">
        <x:v>CURRENT</x:v>
      </x:c>
      <x:c r="AO24" s="872" t="str">
        <x:v>CS008</x:v>
      </x:c>
      <x:c r="AP24" s="872" t="str">
        <x:v>Official expansion. Relevant to feed-sourcing requirements under IFA aquaculture.</x:v>
      </x:c>
      <x:c r="AQ24" s="878" t="n">
        <x:v>46265.588784722226</x:v>
      </x:c>
      <x:c r="AR24" s="874" t="str">
        <x:v>{"action": "APPLY_FIELD_UPDATES", "review_fingerprint": "15e7a282311cc92b", "source_id": "CS012", "updates": {}}</x:v>
      </x:c>
    </x:row>
    <x:row r="25" s="36" customFormat="1" ht="30" customHeight="1">
      <x:c r="A25" s="871" t="str">
        <x:v>REV-c07b8140ab3dcb6d</x:v>
      </x:c>
      <x:c r="B25" s="871" t="str">
        <x:v>SOURCE_REVIEW</x:v>
      </x:c>
      <x:c r="C25" s="871" t="str">
        <x:v>CS013</x:v>
      </x:c>
      <x:c r="D25" s="872" t="str">
        <x:v>GLOBALG.A.P. General Regulations - Rules for individual producers</x:v>
      </x:c>
      <x:c r="E25" s="871" t="str">
        <x:v>DUPLICATE_OFFICIAL_URL</x:v>
      </x:c>
      <x:c r="F25" s="871" t="str">
        <x:v>APPLY_FIELD_UPDATES</x:v>
      </x:c>
      <x:c r="G25" s="872" t="str">
        <x:v>PENDING</x:v>
      </x:c>
      <x:c r="H25" s="872"/>
      <x:c r="I25" s="875"/>
      <x:c r="J25" s="872"/>
      <x:c r="K25" s="873" t="str">
        <x:v>PENDING</x:v>
      </x:c>
      <x:c r="L25" s="876"/>
      <x:c r="M25" s="873" t="str">
        <x:v>The official URL is shared by 6 current source records. Required action: Confirm whether this record is a distinct source, correct its identity, or exclude it.</x:v>
      </x:c>
      <x:c r="N25" s="874"/>
      <x:c r="O25" s="874"/>
      <x:c r="P25" s="872" t="str">
        <x:v>https://globalgap.org/what-we-offer/solutions/ifa-aquaculture/</x:v>
      </x:c>
      <x:c r="Q25" s="872" t="str">
        <x:v>https://documents.globalgap.org/documents/240902_GG_GR_Rules_for_IP_v6_0_Aug24_en.pdf</x:v>
      </x:c>
      <x:c r="R25" s="872" t="str">
        <x:v>C_Certification_Scheme</x:v>
      </x:c>
      <x:c r="S25" s="872" t="str">
        <x:v>GLOBALG.A.P.</x:v>
      </x:c>
      <x:c r="T25" s="872" t="str">
        <x:v>International</x:v>
      </x:c>
      <x:c r="U25" s="872" t="str">
        <x:v>Scheme standard</x:v>
      </x:c>
      <x:c r="V25" s="872" t="str">
        <x:v>Certification scheme</x:v>
      </x:c>
      <x:c r="W25" s="872" t="str">
        <x:v>Referenced normative</x:v>
      </x:c>
      <x:c r="X25" s="872" t="str">
        <x:v>English</x:v>
      </x:c>
      <x:c r="Y25" s="872" t="str">
        <x:v>pdf</x:v>
      </x:c>
      <x:c r="Z25" s="872" t="str">
        <x:v>6.0_Aug24</x:v>
      </x:c>
      <x:c r="AA25" s="877" t="n">
        <x:v>45510</x:v>
      </x:c>
      <x:c r="AB25" s="872" t="str">
        <x:v>Official referenced source from GLOBALG.A.P.; included because an applicable law, permit or certification scheme may make its provisions binding within the approved scope.</x:v>
      </x:c>
      <x:c r="AC25" s="872" t="str">
        <x:v>HIGH</x:v>
      </x:c>
      <x:c r="AD25" s="872" t="str">
        <x:v>MEDIUM</x:v>
      </x:c>
      <x:c r="AE25" s="872" t="str">
        <x:v>HIGH</x:v>
      </x:c>
      <x:c r="AF25" s="872" t="str">
        <x:v>HIGH</x:v>
      </x:c>
      <x:c r="AG25" s="872" t="str">
        <x:v>HIGH</x:v>
      </x:c>
      <x:c r="AH25" s="872" t="str">
        <x:v>HIGH</x:v>
      </x:c>
      <x:c r="AI25" s="872" t="str">
        <x:v>PENDING</x:v>
      </x:c>
      <x:c r="AJ25" s="872" t="str">
        <x:v>OFFICIAL_WEBSITE</x:v>
      </x:c>
      <x:c r="AK25" s="872" t="str">
        <x:v>OFFICIAL_ORIGINAL</x:v>
      </x:c>
      <x:c r="AL25" s="872" t="str">
        <x:v>VERSIONED</x:v>
      </x:c>
      <x:c r="AM25" s="872"/>
      <x:c r="AN25" s="872" t="str">
        <x:v>CURRENT</x:v>
      </x:c>
      <x:c r="AO25" s="872" t="str">
        <x:v>CS008</x:v>
      </x:c>
      <x:c r="AP25" s="872" t="str">
        <x:v>Coverage-audit expansion. The project checklist explicitly cites these rules for individual-producer self-assessment and certification.</x:v>
      </x:c>
      <x:c r="AQ25" s="878" t="n">
        <x:v>46265.588784722226</x:v>
      </x:c>
      <x:c r="AR25" s="874" t="str">
        <x:v>{"action": "APPLY_FIELD_UPDATES", "review_fingerprint": "", "source_id": "CS013", "updates": {}}</x:v>
      </x:c>
    </x:row>
    <x:row r="26" s="36" customFormat="1" ht="30" customHeight="1">
      <x:c r="A26" s="871" t="str">
        <x:v>REV-1460d2da6f7bdc6c</x:v>
      </x:c>
      <x:c r="B26" s="871" t="str">
        <x:v>SELECTION_REVIEW</x:v>
      </x:c>
      <x:c r="C26" s="871" t="str">
        <x:v>CS013</x:v>
      </x:c>
      <x:c r="D26" s="872" t="str">
        <x:v>GLOBALG.A.P. General Regulations - Rules for individual producers</x:v>
      </x:c>
      <x:c r="E26" s="871" t="str">
        <x:v>SELECTION_PENDING</x:v>
      </x:c>
      <x:c r="F26" s="871" t="str">
        <x:v>APPLY_FIELD_UPDATES</x:v>
      </x:c>
      <x:c r="G26" s="872" t="str">
        <x:v>PENDING</x:v>
      </x:c>
      <x:c r="H26" s="872"/>
      <x:c r="I26" s="875"/>
      <x:c r="J26" s="872"/>
      <x:c r="K26" s="873" t="str">
        <x:v>PENDING</x:v>
      </x:c>
      <x:c r="L26" s="876"/>
      <x:c r="M26" s="873" t="str">
        <x:v>operator_selection_decision is PENDING; mandatory assessment is not HIGH: scope_relevance. Required action: Review the human-governed source fields and choose INCLUDE, PENDING or EXCLUDE in Human Operation Desktop.</x:v>
      </x:c>
      <x:c r="N26" s="874"/>
      <x:c r="O26" s="874"/>
      <x:c r="P26" s="872" t="str">
        <x:v>https://globalgap.org/what-we-offer/solutions/ifa-aquaculture/</x:v>
      </x:c>
      <x:c r="Q26" s="872" t="str">
        <x:v>https://documents.globalgap.org/documents/240902_GG_GR_Rules_for_IP_v6_0_Aug24_en.pdf</x:v>
      </x:c>
      <x:c r="R26" s="872" t="str">
        <x:v>C_Certification_Scheme</x:v>
      </x:c>
      <x:c r="S26" s="872" t="str">
        <x:v>GLOBALG.A.P.</x:v>
      </x:c>
      <x:c r="T26" s="872" t="str">
        <x:v>International</x:v>
      </x:c>
      <x:c r="U26" s="872" t="str">
        <x:v>Scheme standard</x:v>
      </x:c>
      <x:c r="V26" s="872" t="str">
        <x:v>Certification scheme</x:v>
      </x:c>
      <x:c r="W26" s="872" t="str">
        <x:v>Referenced normative</x:v>
      </x:c>
      <x:c r="X26" s="872" t="str">
        <x:v>English</x:v>
      </x:c>
      <x:c r="Y26" s="872" t="str">
        <x:v>pdf</x:v>
      </x:c>
      <x:c r="Z26" s="872" t="str">
        <x:v>6.0_Aug24</x:v>
      </x:c>
      <x:c r="AA26" s="877" t="n">
        <x:v>45510</x:v>
      </x:c>
      <x:c r="AB26" s="872" t="str">
        <x:v>Official referenced source from GLOBALG.A.P.; included because an applicable law, permit or certification scheme may make its provisions binding within the approved scope.</x:v>
      </x:c>
      <x:c r="AC26" s="872" t="str">
        <x:v>HIGH</x:v>
      </x:c>
      <x:c r="AD26" s="872" t="str">
        <x:v>MEDIUM</x:v>
      </x:c>
      <x:c r="AE26" s="872" t="str">
        <x:v>HIGH</x:v>
      </x:c>
      <x:c r="AF26" s="872" t="str">
        <x:v>HIGH</x:v>
      </x:c>
      <x:c r="AG26" s="872" t="str">
        <x:v>HIGH</x:v>
      </x:c>
      <x:c r="AH26" s="872" t="str">
        <x:v>HIGH</x:v>
      </x:c>
      <x:c r="AI26" s="872" t="str">
        <x:v>PENDING</x:v>
      </x:c>
      <x:c r="AJ26" s="872" t="str">
        <x:v>OFFICIAL_WEBSITE</x:v>
      </x:c>
      <x:c r="AK26" s="872" t="str">
        <x:v>OFFICIAL_ORIGINAL</x:v>
      </x:c>
      <x:c r="AL26" s="872" t="str">
        <x:v>VERSIONED</x:v>
      </x:c>
      <x:c r="AM26" s="872"/>
      <x:c r="AN26" s="872" t="str">
        <x:v>CURRENT</x:v>
      </x:c>
      <x:c r="AO26" s="872" t="str">
        <x:v>CS008</x:v>
      </x:c>
      <x:c r="AP26" s="872" t="str">
        <x:v>Coverage-audit expansion. The project checklist explicitly cites these rules for individual-producer self-assessment and certification.</x:v>
      </x:c>
      <x:c r="AQ26" s="878" t="n">
        <x:v>46265.588784722226</x:v>
      </x:c>
      <x:c r="AR26" s="874" t="str">
        <x:v>{"action": "APPLY_FIELD_UPDATES", "review_fingerprint": "07ba16e30be487da", "source_id": "CS013", "updates": {}}</x:v>
      </x:c>
    </x:row>
    <x:row r="27" s="36" customFormat="1" ht="30" customHeight="1">
      <x:c r="A27" s="871" t="str">
        <x:v>REV-0fc2ddf1853171c9</x:v>
      </x:c>
      <x:c r="B27" s="871" t="str">
        <x:v>SOURCE_REVIEW</x:v>
      </x:c>
      <x:c r="C27" s="871" t="str">
        <x:v>CS014</x:v>
      </x:c>
      <x:c r="D27" s="872" t="str">
        <x:v>GLOBALG.A.P. General Regulations - Rules for producer groups and multisite producers with QMS</x:v>
      </x:c>
      <x:c r="E27" s="871" t="str">
        <x:v>DUPLICATE_OFFICIAL_URL</x:v>
      </x:c>
      <x:c r="F27" s="871" t="str">
        <x:v>APPLY_FIELD_UPDATES</x:v>
      </x:c>
      <x:c r="G27" s="872" t="str">
        <x:v>PENDING</x:v>
      </x:c>
      <x:c r="H27" s="872"/>
      <x:c r="I27" s="875"/>
      <x:c r="J27" s="872"/>
      <x:c r="K27" s="873" t="str">
        <x:v>PENDING</x:v>
      </x:c>
      <x:c r="L27" s="876"/>
      <x:c r="M27" s="873" t="str">
        <x:v>The official URL is shared by 6 current source records. Required action: Confirm whether this record is a distinct source, correct its identity, or exclude it.</x:v>
      </x:c>
      <x:c r="N27" s="874"/>
      <x:c r="O27" s="874"/>
      <x:c r="P27" s="872" t="str">
        <x:v>https://globalgap.org/what-we-offer/solutions/ifa-aquaculture/</x:v>
      </x:c>
      <x:c r="Q27" s="872" t="str">
        <x:v>https://documents.globalgap.org/documents/240902_GG_GR_Rules_for_QMS_v6_0_Aug24_en.pdf</x:v>
      </x:c>
      <x:c r="R27" s="872" t="str">
        <x:v>C_Certification_Scheme</x:v>
      </x:c>
      <x:c r="S27" s="872" t="str">
        <x:v>GLOBALG.A.P.</x:v>
      </x:c>
      <x:c r="T27" s="872" t="str">
        <x:v>International</x:v>
      </x:c>
      <x:c r="U27" s="872" t="str">
        <x:v>Scheme standard</x:v>
      </x:c>
      <x:c r="V27" s="872" t="str">
        <x:v>Certification scheme</x:v>
      </x:c>
      <x:c r="W27" s="872" t="str">
        <x:v>Referenced normative</x:v>
      </x:c>
      <x:c r="X27" s="872" t="str">
        <x:v>English</x:v>
      </x:c>
      <x:c r="Y27" s="872" t="str">
        <x:v>pdf</x:v>
      </x:c>
      <x:c r="Z27" s="872" t="str">
        <x:v>6.0_Aug24</x:v>
      </x:c>
      <x:c r="AA27" s="877" t="n">
        <x:v>45510</x:v>
      </x:c>
      <x:c r="AB27" s="872" t="str">
        <x:v>Official referenced source from GLOBALG.A.P.; included because an applicable law, permit or certification scheme may make its provisions binding within the approved scope.</x:v>
      </x:c>
      <x:c r="AC27" s="872" t="str">
        <x:v>HIGH</x:v>
      </x:c>
      <x:c r="AD27" s="872" t="str">
        <x:v>MEDIUM</x:v>
      </x:c>
      <x:c r="AE27" s="872" t="str">
        <x:v>HIGH</x:v>
      </x:c>
      <x:c r="AF27" s="872" t="str">
        <x:v>HIGH</x:v>
      </x:c>
      <x:c r="AG27" s="872" t="str">
        <x:v>HIGH</x:v>
      </x:c>
      <x:c r="AH27" s="872" t="str">
        <x:v>HIGH</x:v>
      </x:c>
      <x:c r="AI27" s="872" t="str">
        <x:v>PENDING</x:v>
      </x:c>
      <x:c r="AJ27" s="872" t="str">
        <x:v>OFFICIAL_WEBSITE</x:v>
      </x:c>
      <x:c r="AK27" s="872" t="str">
        <x:v>OFFICIAL_ORIGINAL</x:v>
      </x:c>
      <x:c r="AL27" s="872" t="str">
        <x:v>VERSIONED</x:v>
      </x:c>
      <x:c r="AM27" s="872"/>
      <x:c r="AN27" s="872" t="str">
        <x:v>CURRENT</x:v>
      </x:c>
      <x:c r="AO27" s="872" t="str">
        <x:v>CS008</x:v>
      </x:c>
      <x:c r="AP27" s="872" t="str">
        <x:v>Coverage-audit expansion. The project checklist explicitly cites these rules for QMS audits and group or multisite certification.</x:v>
      </x:c>
      <x:c r="AQ27" s="878" t="n">
        <x:v>46265.588784722226</x:v>
      </x:c>
      <x:c r="AR27" s="874" t="str">
        <x:v>{"action": "APPLY_FIELD_UPDATES", "review_fingerprint": "", "source_id": "CS014", "updates": {}}</x:v>
      </x:c>
    </x:row>
    <x:row r="28" s="36" customFormat="1" ht="30" customHeight="1">
      <x:c r="A28" s="871" t="str">
        <x:v>REV-1165c9db64400579</x:v>
      </x:c>
      <x:c r="B28" s="871" t="str">
        <x:v>SELECTION_REVIEW</x:v>
      </x:c>
      <x:c r="C28" s="871" t="str">
        <x:v>CS014</x:v>
      </x:c>
      <x:c r="D28" s="872" t="str">
        <x:v>GLOBALG.A.P. General Regulations - Rules for producer groups and multisite producers with QMS</x:v>
      </x:c>
      <x:c r="E28" s="871" t="str">
        <x:v>SELECTION_PENDING</x:v>
      </x:c>
      <x:c r="F28" s="871" t="str">
        <x:v>APPLY_FIELD_UPDATES</x:v>
      </x:c>
      <x:c r="G28" s="872" t="str">
        <x:v>PENDING</x:v>
      </x:c>
      <x:c r="H28" s="872"/>
      <x:c r="I28" s="875"/>
      <x:c r="J28" s="872"/>
      <x:c r="K28" s="873" t="str">
        <x:v>PENDING</x:v>
      </x:c>
      <x:c r="L28" s="876"/>
      <x:c r="M28" s="873" t="str">
        <x:v>operator_selection_decision is PENDING; mandatory assessment is not HIGH: scope_relevance. Required action: Review the human-governed source fields and choose INCLUDE, PENDING or EXCLUDE in Human Operation Desktop.</x:v>
      </x:c>
      <x:c r="N28" s="874"/>
      <x:c r="O28" s="874"/>
      <x:c r="P28" s="872" t="str">
        <x:v>https://globalgap.org/what-we-offer/solutions/ifa-aquaculture/</x:v>
      </x:c>
      <x:c r="Q28" s="872" t="str">
        <x:v>https://documents.globalgap.org/documents/240902_GG_GR_Rules_for_QMS_v6_0_Aug24_en.pdf</x:v>
      </x:c>
      <x:c r="R28" s="872" t="str">
        <x:v>C_Certification_Scheme</x:v>
      </x:c>
      <x:c r="S28" s="872" t="str">
        <x:v>GLOBALG.A.P.</x:v>
      </x:c>
      <x:c r="T28" s="872" t="str">
        <x:v>International</x:v>
      </x:c>
      <x:c r="U28" s="872" t="str">
        <x:v>Scheme standard</x:v>
      </x:c>
      <x:c r="V28" s="872" t="str">
        <x:v>Certification scheme</x:v>
      </x:c>
      <x:c r="W28" s="872" t="str">
        <x:v>Referenced normative</x:v>
      </x:c>
      <x:c r="X28" s="872" t="str">
        <x:v>English</x:v>
      </x:c>
      <x:c r="Y28" s="872" t="str">
        <x:v>pdf</x:v>
      </x:c>
      <x:c r="Z28" s="872" t="str">
        <x:v>6.0_Aug24</x:v>
      </x:c>
      <x:c r="AA28" s="877" t="n">
        <x:v>45510</x:v>
      </x:c>
      <x:c r="AB28" s="872" t="str">
        <x:v>Official referenced source from GLOBALG.A.P.; included because an applicable law, permit or certification scheme may make its provisions binding within the approved scope.</x:v>
      </x:c>
      <x:c r="AC28" s="872" t="str">
        <x:v>HIGH</x:v>
      </x:c>
      <x:c r="AD28" s="872" t="str">
        <x:v>MEDIUM</x:v>
      </x:c>
      <x:c r="AE28" s="872" t="str">
        <x:v>HIGH</x:v>
      </x:c>
      <x:c r="AF28" s="872" t="str">
        <x:v>HIGH</x:v>
      </x:c>
      <x:c r="AG28" s="872" t="str">
        <x:v>HIGH</x:v>
      </x:c>
      <x:c r="AH28" s="872" t="str">
        <x:v>HIGH</x:v>
      </x:c>
      <x:c r="AI28" s="872" t="str">
        <x:v>PENDING</x:v>
      </x:c>
      <x:c r="AJ28" s="872" t="str">
        <x:v>OFFICIAL_WEBSITE</x:v>
      </x:c>
      <x:c r="AK28" s="872" t="str">
        <x:v>OFFICIAL_ORIGINAL</x:v>
      </x:c>
      <x:c r="AL28" s="872" t="str">
        <x:v>VERSIONED</x:v>
      </x:c>
      <x:c r="AM28" s="872"/>
      <x:c r="AN28" s="872" t="str">
        <x:v>CURRENT</x:v>
      </x:c>
      <x:c r="AO28" s="872" t="str">
        <x:v>CS008</x:v>
      </x:c>
      <x:c r="AP28" s="872" t="str">
        <x:v>Coverage-audit expansion. The project checklist explicitly cites these rules for QMS audits and group or multisite certification.</x:v>
      </x:c>
      <x:c r="AQ28" s="878" t="n">
        <x:v>46265.588784722226</x:v>
      </x:c>
      <x:c r="AR28" s="874" t="str">
        <x:v>{"action": "APPLY_FIELD_UPDATES", "review_fingerprint": "32868005b17e5eaa", "source_id": "CS014", "updates": {}}</x:v>
      </x:c>
    </x:row>
    <x:row r="29" s="36" customFormat="1" ht="30" customHeight="1">
      <x:c r="A29" s="871" t="str">
        <x:v>REV-fee6b2aa5ee8c51f</x:v>
      </x:c>
      <x:c r="B29" s="871" t="str">
        <x:v>SOURCE_REVIEW</x:v>
      </x:c>
      <x:c r="C29" s="871" t="str">
        <x:v>CS015</x:v>
      </x:c>
      <x:c r="D29" s="872" t="str">
        <x:v>GLOBALG.A.P. trademarks use: Policy and guidelines</x:v>
      </x:c>
      <x:c r="E29" s="871" t="str">
        <x:v>DUPLICATE_OFFICIAL_URL</x:v>
      </x:c>
      <x:c r="F29" s="871" t="str">
        <x:v>APPLY_FIELD_UPDATES</x:v>
      </x:c>
      <x:c r="G29" s="872" t="str">
        <x:v>PENDING</x:v>
      </x:c>
      <x:c r="H29" s="872"/>
      <x:c r="I29" s="875"/>
      <x:c r="J29" s="872"/>
      <x:c r="K29" s="873" t="str">
        <x:v>PENDING</x:v>
      </x:c>
      <x:c r="L29" s="876"/>
      <x:c r="M29" s="873" t="str">
        <x:v>The official URL is shared by 6 current source records. Required action: Confirm whether this record is a distinct source, correct its identity, or exclude it.</x:v>
      </x:c>
      <x:c r="N29" s="874"/>
      <x:c r="O29" s="874"/>
      <x:c r="P29" s="872" t="str">
        <x:v>https://globalgap.org/what-we-offer/solutions/ifa-aquaculture/</x:v>
      </x:c>
      <x:c r="Q29" s="872" t="str">
        <x:v>https://documents.globalgap.org/documents/230523_GG_Trademarks_policy_v1_0-1_en.pdf</x:v>
      </x:c>
      <x:c r="R29" s="872" t="str">
        <x:v>C_Certification_Scheme</x:v>
      </x:c>
      <x:c r="S29" s="872" t="str">
        <x:v>GLOBALG.A.P.</x:v>
      </x:c>
      <x:c r="T29" s="872" t="str">
        <x:v>International</x:v>
      </x:c>
      <x:c r="U29" s="872" t="str">
        <x:v>Scheme standard</x:v>
      </x:c>
      <x:c r="V29" s="872" t="str">
        <x:v>Certification scheme</x:v>
      </x:c>
      <x:c r="W29" s="872" t="str">
        <x:v>Referenced normative</x:v>
      </x:c>
      <x:c r="X29" s="872" t="str">
        <x:v>English</x:v>
      </x:c>
      <x:c r="Y29" s="872" t="str">
        <x:v>pdf</x:v>
      </x:c>
      <x:c r="Z29" s="872" t="str">
        <x:v>1.0-1</x:v>
      </x:c>
      <x:c r="AA29" s="877"/>
      <x:c r="AB29" s="872" t="str">
        <x:v>Official referenced source from GLOBALG.A.P.; included because an applicable law, permit or certification scheme may make its provisions binding within the approved scope.</x:v>
      </x:c>
      <x:c r="AC29" s="872" t="str">
        <x:v>HIGH</x:v>
      </x:c>
      <x:c r="AD29" s="872" t="str">
        <x:v>HIGH</x:v>
      </x:c>
      <x:c r="AE29" s="872" t="str">
        <x:v>HIGH</x:v>
      </x:c>
      <x:c r="AF29" s="872" t="str">
        <x:v>HIGH</x:v>
      </x:c>
      <x:c r="AG29" s="872" t="str">
        <x:v>HIGH</x:v>
      </x:c>
      <x:c r="AH29" s="872" t="str">
        <x:v>HIGH</x:v>
      </x:c>
      <x:c r="AI29" s="872" t="str">
        <x:v>INCLUDE</x:v>
      </x:c>
      <x:c r="AJ29" s="872" t="str">
        <x:v>OFFICIAL_WEBSITE</x:v>
      </x:c>
      <x:c r="AK29" s="872" t="str">
        <x:v>OFFICIAL_ORIGINAL</x:v>
      </x:c>
      <x:c r="AL29" s="872" t="str">
        <x:v>VERSIONED</x:v>
      </x:c>
      <x:c r="AM29" s="872"/>
      <x:c r="AN29" s="872" t="str">
        <x:v>CURRENT</x:v>
      </x:c>
      <x:c r="AO29" s="872" t="str">
        <x:v>CS008</x:v>
      </x:c>
      <x:c r="AP29" s="872" t="str">
        <x:v>Coverage-audit expansion. The project checklist cites this policy for certification claims, marks and identification numbers.</x:v>
      </x:c>
      <x:c r="AQ29" s="878" t="n">
        <x:v>46265.588784722226</x:v>
      </x:c>
      <x:c r="AR29" s="874" t="str">
        <x:v>{"action": "APPLY_FIELD_UPDATES", "review_fingerprint": "", "source_id": "CS015", "updates": {}}</x:v>
      </x:c>
    </x:row>
    <x:row r="30" s="36" customFormat="1" ht="30" customHeight="1">
      <x:c r="A30" s="871" t="str">
        <x:v>REV-9041d900006aea50</x:v>
      </x:c>
      <x:c r="B30" s="871" t="str">
        <x:v>SOURCE_REVIEW</x:v>
      </x:c>
      <x:c r="C30" s="871" t="str">
        <x:v>CS016</x:v>
      </x:c>
      <x:c r="D30" s="872" t="str">
        <x:v>GLOBALG.A.P. GRASP - General Rules</x:v>
      </x:c>
      <x:c r="E30" s="871" t="str">
        <x:v>DUPLICATE_OFFICIAL_URL</x:v>
      </x:c>
      <x:c r="F30" s="871" t="str">
        <x:v>APPLY_FIELD_UPDATES</x:v>
      </x:c>
      <x:c r="G30" s="872" t="str">
        <x:v>PENDING</x:v>
      </x:c>
      <x:c r="H30" s="872"/>
      <x:c r="I30" s="875"/>
      <x:c r="J30" s="872"/>
      <x:c r="K30" s="873" t="str">
        <x:v>PENDING</x:v>
      </x:c>
      <x:c r="L30" s="876"/>
      <x:c r="M30" s="873" t="str">
        <x:v>The official URL is shared by 4 current source records. Required action: Confirm whether this record is a distinct source, correct its identity, or exclude it.</x:v>
      </x:c>
      <x:c r="N30" s="874"/>
      <x:c r="O30" s="874"/>
      <x:c r="P30" s="872" t="str">
        <x:v>https://globalgap.org/what-we-offer/solutions/grasp/</x:v>
      </x:c>
      <x:c r="Q30" s="872" t="str">
        <x:v>https://documents.globalgap.org/documents/220929_GRASP_general_rules_v2_0_Sep22_en.pdf</x:v>
      </x:c>
      <x:c r="R30" s="872" t="str">
        <x:v>C_Certification_Scheme</x:v>
      </x:c>
      <x:c r="S30" s="872" t="str">
        <x:v>GLOBALG.A.P.</x:v>
      </x:c>
      <x:c r="T30" s="872" t="str">
        <x:v>International</x:v>
      </x:c>
      <x:c r="U30" s="872" t="str">
        <x:v>Scheme standard</x:v>
      </x:c>
      <x:c r="V30" s="872" t="str">
        <x:v>Certification scheme</x:v>
      </x:c>
      <x:c r="W30" s="872" t="str">
        <x:v>Referenced normative</x:v>
      </x:c>
      <x:c r="X30" s="872" t="str">
        <x:v>English</x:v>
      </x:c>
      <x:c r="Y30" s="872" t="str">
        <x:v>pdf</x:v>
      </x:c>
      <x:c r="Z30" s="872" t="str">
        <x:v>2.0_Sep22</x:v>
      </x:c>
      <x:c r="AA30" s="877" t="n">
        <x:v>45292</x:v>
      </x:c>
      <x:c r="AB30" s="872" t="str">
        <x:v>Official referenced source from GLOBALG.A.P.; included because an applicable law, permit or certification scheme may make its provisions binding within the approved scope.</x:v>
      </x:c>
      <x:c r="AC30" s="872" t="str">
        <x:v>HIGH</x:v>
      </x:c>
      <x:c r="AD30" s="872" t="str">
        <x:v>HIGH</x:v>
      </x:c>
      <x:c r="AE30" s="872" t="str">
        <x:v>HIGH</x:v>
      </x:c>
      <x:c r="AF30" s="872" t="str">
        <x:v>HIGH</x:v>
      </x:c>
      <x:c r="AG30" s="872" t="str">
        <x:v>HIGH</x:v>
      </x:c>
      <x:c r="AH30" s="872" t="str">
        <x:v>HIGH</x:v>
      </x:c>
      <x:c r="AI30" s="872" t="str">
        <x:v>INCLUDE</x:v>
      </x:c>
      <x:c r="AJ30" s="872" t="str">
        <x:v>OFFICIAL_WEBSITE</x:v>
      </x:c>
      <x:c r="AK30" s="872" t="str">
        <x:v>OFFICIAL_ORIGINAL</x:v>
      </x:c>
      <x:c r="AL30" s="872" t="str">
        <x:v>VERSIONED</x:v>
      </x:c>
      <x:c r="AM30" s="872"/>
      <x:c r="AN30" s="872" t="str">
        <x:v>CURRENT</x:v>
      </x:c>
      <x:c r="AO30" s="872" t="str">
        <x:v>CS011</x:v>
      </x:c>
      <x:c r="AP30" s="872" t="str">
        <x:v>Coverage-audit expansion. GRASP is mandatory for IFA v6 aquaculture and these rules define its application and assessment process.</x:v>
      </x:c>
      <x:c r="AQ30" s="878" t="n">
        <x:v>46265.588784722226</x:v>
      </x:c>
      <x:c r="AR30" s="874" t="str">
        <x:v>{"action": "APPLY_FIELD_UPDATES", "review_fingerprint": "", "source_id": "CS016", "updates": {}}</x:v>
      </x:c>
    </x:row>
    <x:row r="31" s="36" customFormat="1" ht="30" customHeight="1">
      <x:c r="A31" s="871" t="str">
        <x:v>REV-53128e19d9fb339b</x:v>
      </x:c>
      <x:c r="B31" s="871" t="str">
        <x:v>SOURCE_REVIEW</x:v>
      </x:c>
      <x:c r="C31" s="871" t="str">
        <x:v>CS017</x:v>
      </x:c>
      <x:c r="D31" s="872" t="str">
        <x:v>GLOBALG.A.P. GRASP v2 National Interpretation Guideline for Norway</x:v>
      </x:c>
      <x:c r="E31" s="871" t="str">
        <x:v>DUPLICATE_OFFICIAL_URL</x:v>
      </x:c>
      <x:c r="F31" s="871" t="str">
        <x:v>APPLY_FIELD_UPDATES</x:v>
      </x:c>
      <x:c r="G31" s="872" t="str">
        <x:v>PENDING</x:v>
      </x:c>
      <x:c r="H31" s="872"/>
      <x:c r="I31" s="875"/>
      <x:c r="J31" s="872"/>
      <x:c r="K31" s="873" t="str">
        <x:v>PENDING</x:v>
      </x:c>
      <x:c r="L31" s="876"/>
      <x:c r="M31" s="873" t="str">
        <x:v>The official URL is shared by 4 current source records. Required action: Confirm whether this record is a distinct source, correct its identity, or exclude it.</x:v>
      </x:c>
      <x:c r="N31" s="874"/>
      <x:c r="O31" s="874"/>
      <x:c r="P31" s="872" t="str">
        <x:v>https://globalgap.org/what-we-offer/solutions/grasp/</x:v>
      </x:c>
      <x:c r="Q31" s="872"/>
      <x:c r="R31" s="872" t="str">
        <x:v>C_Certification_Scheme</x:v>
      </x:c>
      <x:c r="S31" s="872" t="str">
        <x:v>GLOBALG.A.P.</x:v>
      </x:c>
      <x:c r="T31" s="872" t="str">
        <x:v>Norway</x:v>
      </x:c>
      <x:c r="U31" s="872" t="str">
        <x:v>Interpretation document</x:v>
      </x:c>
      <x:c r="V31" s="872" t="str">
        <x:v>Certification scheme</x:v>
      </x:c>
      <x:c r="W31" s="872" t="str">
        <x:v>Referenced normative</x:v>
      </x:c>
      <x:c r="X31" s="872" t="str">
        <x:v>Norwegian</x:v>
      </x:c>
      <x:c r="Y31" s="872" t="str">
        <x:v>pdf</x:v>
      </x:c>
      <x:c r="Z31" s="872" t="str">
        <x:v>V2</x:v>
      </x:c>
      <x:c r="AA31" s="877"/>
      <x:c r="AB31" s="872" t="str">
        <x:v>Official referenced source from GLOBALG.A.P.; included because an applicable law, permit or certification scheme may make its provisions binding within the approved scope.</x:v>
      </x:c>
      <x:c r="AC31" s="872" t="str">
        <x:v>HIGH</x:v>
      </x:c>
      <x:c r="AD31" s="872" t="str">
        <x:v>HIGH</x:v>
      </x:c>
      <x:c r="AE31" s="872" t="str">
        <x:v>MEDIUM</x:v>
      </x:c>
      <x:c r="AF31" s="872" t="str">
        <x:v>MEDIUM</x:v>
      </x:c>
      <x:c r="AG31" s="872" t="str">
        <x:v>HIGH</x:v>
      </x:c>
      <x:c r="AH31" s="872" t="str">
        <x:v>LOW</x:v>
      </x:c>
      <x:c r="AI31" s="872" t="str">
        <x:v>PENDING</x:v>
      </x:c>
      <x:c r="AJ31" s="872" t="str">
        <x:v>OFFICIAL_WEBSITE</x:v>
      </x:c>
      <x:c r="AK31" s="872" t="str">
        <x:v>OFFICIAL_ORIGINAL</x:v>
      </x:c>
      <x:c r="AL31" s="872" t="str">
        <x:v>VERSIONED</x:v>
      </x:c>
      <x:c r="AM31" s="872"/>
      <x:c r="AN31" s="872" t="str">
        <x:v>CURRENT</x:v>
      </x:c>
      <x:c r="AO31" s="872" t="str">
        <x:v>CS011</x:v>
      </x:c>
      <x:c r="AP31" s="872" t="str">
        <x:v>Coverage-audit expansion. An existing country NIG must be applied; confirm the current Norway document and direct download in the GLOBALG.A.P. document center.</x:v>
      </x:c>
      <x:c r="AQ31" s="878" t="n">
        <x:v>46265.588784722226</x:v>
      </x:c>
      <x:c r="AR31" s="874" t="str">
        <x:v>{"action": "APPLY_FIELD_UPDATES", "review_fingerprint": "", "source_id": "CS017", "updates": {}}</x:v>
      </x:c>
    </x:row>
    <x:row r="32" s="36" customFormat="1" ht="30" customHeight="1">
      <x:c r="A32" s="871" t="str">
        <x:v>REV-54a8686c28556467</x:v>
      </x:c>
      <x:c r="B32" s="871" t="str">
        <x:v>SOURCE_REVIEW</x:v>
      </x:c>
      <x:c r="C32" s="871" t="str">
        <x:v>CS017</x:v>
      </x:c>
      <x:c r="D32" s="872" t="str">
        <x:v>GLOBALG.A.P. GRASP v2 National Interpretation Guideline for Norway</x:v>
      </x:c>
      <x:c r="E32" s="871" t="str">
        <x:v>MISSING_RETRIEVAL_URL</x:v>
      </x:c>
      <x:c r="F32" s="871" t="str">
        <x:v>APPLY_FIELD_UPDATES</x:v>
      </x:c>
      <x:c r="G32" s="872" t="str">
        <x:v>PENDING</x:v>
      </x:c>
      <x:c r="H32" s="872"/>
      <x:c r="I32" s="875"/>
      <x:c r="J32" s="872"/>
      <x:c r="K32" s="873" t="str">
        <x:v>PENDING</x:v>
      </x:c>
      <x:c r="L32" s="876"/>
      <x:c r="M32" s="873" t="str">
        <x:v>The source has no exact retrieval target. Required action: Provide the complete official HTML target when available, otherwise the original official file URL.</x:v>
      </x:c>
      <x:c r="N32" s="874"/>
      <x:c r="O32" s="874"/>
      <x:c r="P32" s="872" t="str">
        <x:v>https://globalgap.org/what-we-offer/solutions/grasp/</x:v>
      </x:c>
      <x:c r="Q32" s="872"/>
      <x:c r="R32" s="872" t="str">
        <x:v>C_Certification_Scheme</x:v>
      </x:c>
      <x:c r="S32" s="872" t="str">
        <x:v>GLOBALG.A.P.</x:v>
      </x:c>
      <x:c r="T32" s="872" t="str">
        <x:v>Norway</x:v>
      </x:c>
      <x:c r="U32" s="872" t="str">
        <x:v>Interpretation document</x:v>
      </x:c>
      <x:c r="V32" s="872" t="str">
        <x:v>Certification scheme</x:v>
      </x:c>
      <x:c r="W32" s="872" t="str">
        <x:v>Referenced normative</x:v>
      </x:c>
      <x:c r="X32" s="872" t="str">
        <x:v>Norwegian</x:v>
      </x:c>
      <x:c r="Y32" s="872" t="str">
        <x:v>pdf</x:v>
      </x:c>
      <x:c r="Z32" s="872" t="str">
        <x:v>V2</x:v>
      </x:c>
      <x:c r="AA32" s="877"/>
      <x:c r="AB32" s="872" t="str">
        <x:v>Official referenced source from GLOBALG.A.P.; included because an applicable law, permit or certification scheme may make its provisions binding within the approved scope.</x:v>
      </x:c>
      <x:c r="AC32" s="872" t="str">
        <x:v>HIGH</x:v>
      </x:c>
      <x:c r="AD32" s="872" t="str">
        <x:v>HIGH</x:v>
      </x:c>
      <x:c r="AE32" s="872" t="str">
        <x:v>MEDIUM</x:v>
      </x:c>
      <x:c r="AF32" s="872" t="str">
        <x:v>MEDIUM</x:v>
      </x:c>
      <x:c r="AG32" s="872" t="str">
        <x:v>HIGH</x:v>
      </x:c>
      <x:c r="AH32" s="872" t="str">
        <x:v>LOW</x:v>
      </x:c>
      <x:c r="AI32" s="872" t="str">
        <x:v>PENDING</x:v>
      </x:c>
      <x:c r="AJ32" s="872" t="str">
        <x:v>OFFICIAL_WEBSITE</x:v>
      </x:c>
      <x:c r="AK32" s="872" t="str">
        <x:v>OFFICIAL_ORIGINAL</x:v>
      </x:c>
      <x:c r="AL32" s="872" t="str">
        <x:v>VERSIONED</x:v>
      </x:c>
      <x:c r="AM32" s="872"/>
      <x:c r="AN32" s="872" t="str">
        <x:v>CURRENT</x:v>
      </x:c>
      <x:c r="AO32" s="872" t="str">
        <x:v>CS011</x:v>
      </x:c>
      <x:c r="AP32" s="872" t="str">
        <x:v>Coverage-audit expansion. An existing country NIG must be applied; confirm the current Norway document and direct download in the GLOBALG.A.P. document center.</x:v>
      </x:c>
      <x:c r="AQ32" s="878" t="n">
        <x:v>46265.588784722226</x:v>
      </x:c>
      <x:c r="AR32" s="874" t="str">
        <x:v>{"action": "APPLY_FIELD_UPDATES", "review_fingerprint": "", "source_id": "CS017", "updates": {}}</x:v>
      </x:c>
    </x:row>
    <x:row r="33" s="36" customFormat="1" ht="30" customHeight="1">
      <x:c r="A33" s="871" t="str">
        <x:v>REV-4f0403d17f67402e</x:v>
      </x:c>
      <x:c r="B33" s="871" t="str">
        <x:v>SELECTION_REVIEW</x:v>
      </x:c>
      <x:c r="C33" s="871" t="str">
        <x:v>CS017</x:v>
      </x:c>
      <x:c r="D33" s="872" t="str">
        <x:v>GLOBALG.A.P. GRASP v2 National Interpretation Guideline for Norway</x:v>
      </x:c>
      <x:c r="E33" s="871" t="str">
        <x:v>SELECTION_PENDING</x:v>
      </x:c>
      <x:c r="F33" s="871" t="str">
        <x:v>APPLY_FIELD_UPDATES</x:v>
      </x:c>
      <x:c r="G33" s="872" t="str">
        <x:v>PENDING</x:v>
      </x:c>
      <x:c r="H33" s="872"/>
      <x:c r="I33" s="875"/>
      <x:c r="J33" s="872"/>
      <x:c r="K33" s="873" t="str">
        <x:v>PENDING</x:v>
      </x:c>
      <x:c r="L33" s="876"/>
      <x:c r="M33" s="873" t="str">
        <x:v>operator_selection_decision is PENDING; mandatory assessment is not HIGH: version_currency, traceability. Required action: Review the human-governed source fields and choose INCLUDE, PENDING or EXCLUDE in Human Operation Desktop.</x:v>
      </x:c>
      <x:c r="N33" s="874"/>
      <x:c r="O33" s="874"/>
      <x:c r="P33" s="872" t="str">
        <x:v>https://globalgap.org/what-we-offer/solutions/grasp/</x:v>
      </x:c>
      <x:c r="Q33" s="872"/>
      <x:c r="R33" s="872" t="str">
        <x:v>C_Certification_Scheme</x:v>
      </x:c>
      <x:c r="S33" s="872" t="str">
        <x:v>GLOBALG.A.P.</x:v>
      </x:c>
      <x:c r="T33" s="872" t="str">
        <x:v>Norway</x:v>
      </x:c>
      <x:c r="U33" s="872" t="str">
        <x:v>Interpretation document</x:v>
      </x:c>
      <x:c r="V33" s="872" t="str">
        <x:v>Certification scheme</x:v>
      </x:c>
      <x:c r="W33" s="872" t="str">
        <x:v>Referenced normative</x:v>
      </x:c>
      <x:c r="X33" s="872" t="str">
        <x:v>Norwegian</x:v>
      </x:c>
      <x:c r="Y33" s="872" t="str">
        <x:v>pdf</x:v>
      </x:c>
      <x:c r="Z33" s="872" t="str">
        <x:v>V2</x:v>
      </x:c>
      <x:c r="AA33" s="877"/>
      <x:c r="AB33" s="872" t="str">
        <x:v>Official referenced source from GLOBALG.A.P.; included because an applicable law, permit or certification scheme may make its provisions binding within the approved scope.</x:v>
      </x:c>
      <x:c r="AC33" s="872" t="str">
        <x:v>HIGH</x:v>
      </x:c>
      <x:c r="AD33" s="872" t="str">
        <x:v>HIGH</x:v>
      </x:c>
      <x:c r="AE33" s="872" t="str">
        <x:v>MEDIUM</x:v>
      </x:c>
      <x:c r="AF33" s="872" t="str">
        <x:v>MEDIUM</x:v>
      </x:c>
      <x:c r="AG33" s="872" t="str">
        <x:v>HIGH</x:v>
      </x:c>
      <x:c r="AH33" s="872" t="str">
        <x:v>LOW</x:v>
      </x:c>
      <x:c r="AI33" s="872" t="str">
        <x:v>PENDING</x:v>
      </x:c>
      <x:c r="AJ33" s="872" t="str">
        <x:v>OFFICIAL_WEBSITE</x:v>
      </x:c>
      <x:c r="AK33" s="872" t="str">
        <x:v>OFFICIAL_ORIGINAL</x:v>
      </x:c>
      <x:c r="AL33" s="872" t="str">
        <x:v>VERSIONED</x:v>
      </x:c>
      <x:c r="AM33" s="872"/>
      <x:c r="AN33" s="872" t="str">
        <x:v>CURRENT</x:v>
      </x:c>
      <x:c r="AO33" s="872" t="str">
        <x:v>CS011</x:v>
      </x:c>
      <x:c r="AP33" s="872" t="str">
        <x:v>Coverage-audit expansion. An existing country NIG must be applied; confirm the current Norway document and direct download in the GLOBALG.A.P. document center.</x:v>
      </x:c>
      <x:c r="AQ33" s="878" t="n">
        <x:v>46265.588784722226</x:v>
      </x:c>
      <x:c r="AR33" s="874" t="str">
        <x:v>{"action": "APPLY_FIELD_UPDATES", "review_fingerprint": "2f2eb514475fb032", "source_id": "CS017", "updates": {}}</x:v>
      </x:c>
    </x:row>
    <x:row r="34" s="36" customFormat="1" ht="30" customHeight="1">
      <x:c r="A34" s="871" t="str">
        <x:v>REV-0d2c8392ce95915e</x:v>
      </x:c>
      <x:c r="B34" s="871" t="str">
        <x:v>SOURCE_REVIEW</x:v>
      </x:c>
      <x:c r="C34" s="871" t="str">
        <x:v>CS018</x:v>
      </x:c>
      <x:c r="D34" s="872" t="str">
        <x:v>ASC Vocabulary</x:v>
      </x:c>
      <x:c r="E34" s="871" t="str">
        <x:v>DUPLICATE_OFFICIAL_URL</x:v>
      </x:c>
      <x:c r="F34" s="871" t="str">
        <x:v>APPLY_FIELD_UPDATES</x:v>
      </x:c>
      <x:c r="G34" s="872" t="str">
        <x:v>PENDING</x:v>
      </x:c>
      <x:c r="H34" s="872"/>
      <x:c r="I34" s="875"/>
      <x:c r="J34" s="872"/>
      <x:c r="K34" s="873" t="str">
        <x:v>PENDING</x:v>
      </x:c>
      <x:c r="L34" s="876"/>
      <x:c r="M34" s="873" t="str">
        <x:v>The official URL is shared by 5 current source records. Required action: Confirm whether this record is a distinct source, correct its identity, or exclude it.</x:v>
      </x:c>
      <x:c r="N34" s="874"/>
      <x:c r="O34" s="874"/>
      <x:c r="P34" s="872" t="str">
        <x:v>https://programme-centre.asc-aqua.org/resource-hub/?filter=farm</x:v>
      </x:c>
      <x:c r="Q34" s="872"/>
      <x:c r="R34" s="872" t="str">
        <x:v>C_Certification_Scheme</x:v>
      </x:c>
      <x:c r="S34" s="872" t="str">
        <x:v>Aquaculture Stewardship Council</x:v>
      </x:c>
      <x:c r="T34" s="872" t="str">
        <x:v>International</x:v>
      </x:c>
      <x:c r="U34" s="872" t="str">
        <x:v>Scheme standard</x:v>
      </x:c>
      <x:c r="V34" s="872" t="str">
        <x:v>Certification scheme</x:v>
      </x:c>
      <x:c r="W34" s="872" t="str">
        <x:v>Referenced normative</x:v>
      </x:c>
      <x:c r="X34" s="872" t="str">
        <x:v>English</x:v>
      </x:c>
      <x:c r="Y34" s="872" t="str">
        <x:v>pdf</x:v>
      </x:c>
      <x:c r="Z34" s="872"/>
      <x:c r="AA34" s="877"/>
      <x:c r="AB34" s="872" t="str">
        <x:v>Official referenced source from Aquaculture Stewardship Council; included because an applicable law, permit or certification scheme may make its provisions binding within the approved scope.</x:v>
      </x:c>
      <x:c r="AC34" s="872" t="str">
        <x:v>HIGH</x:v>
      </x:c>
      <x:c r="AD34" s="872" t="str">
        <x:v>HIGH</x:v>
      </x:c>
      <x:c r="AE34" s="872" t="str">
        <x:v>MEDIUM</x:v>
      </x:c>
      <x:c r="AF34" s="872" t="str">
        <x:v>MEDIUM</x:v>
      </x:c>
      <x:c r="AG34" s="872" t="str">
        <x:v>HIGH</x:v>
      </x:c>
      <x:c r="AH34" s="872" t="str">
        <x:v>LOW</x:v>
      </x:c>
      <x:c r="AI34" s="872" t="str">
        <x:v>PENDING</x:v>
      </x:c>
      <x:c r="AJ34" s="872" t="str">
        <x:v>OFFICIAL_WEBSITE</x:v>
      </x:c>
      <x:c r="AK34" s="872" t="str">
        <x:v>OFFICIAL_ORIGINAL</x:v>
      </x:c>
      <x:c r="AL34" s="872" t="str">
        <x:v>VERSIONED</x:v>
      </x:c>
      <x:c r="AM34" s="872"/>
      <x:c r="AN34" s="872" t="str">
        <x:v>CURRENT</x:v>
      </x:c>
      <x:c r="AO34" s="872" t="str">
        <x:v>CS001</x:v>
      </x:c>
      <x:c r="AP34" s="872" t="str">
        <x:v>Official coverage expansion. The current ASC Farm Standard lists the vocabulary as a normative reference; direct-file traceability still requires confirmation.</x:v>
      </x:c>
      <x:c r="AQ34" s="878" t="n">
        <x:v>46265.588784722226</x:v>
      </x:c>
      <x:c r="AR34" s="874" t="str">
        <x:v>{"action": "APPLY_FIELD_UPDATES", "review_fingerprint": "", "source_id": "CS018", "updates": {}}</x:v>
      </x:c>
    </x:row>
    <x:row r="35" s="36" customFormat="1" ht="30" customHeight="1">
      <x:c r="A35" s="871" t="str">
        <x:v>REV-3ed14cdbb5fb3346</x:v>
      </x:c>
      <x:c r="B35" s="871" t="str">
        <x:v>SOURCE_REVIEW</x:v>
      </x:c>
      <x:c r="C35" s="871" t="str">
        <x:v>CS018</x:v>
      </x:c>
      <x:c r="D35" s="872" t="str">
        <x:v>ASC Vocabulary</x:v>
      </x:c>
      <x:c r="E35" s="871" t="str">
        <x:v>MISSING_RETRIEVAL_URL</x:v>
      </x:c>
      <x:c r="F35" s="871" t="str">
        <x:v>APPLY_FIELD_UPDATES</x:v>
      </x:c>
      <x:c r="G35" s="872" t="str">
        <x:v>PENDING</x:v>
      </x:c>
      <x:c r="H35" s="872"/>
      <x:c r="I35" s="875"/>
      <x:c r="J35" s="872"/>
      <x:c r="K35" s="873" t="str">
        <x:v>PENDING</x:v>
      </x:c>
      <x:c r="L35" s="876"/>
      <x:c r="M35" s="873" t="str">
        <x:v>The source has no exact retrieval target. Required action: Provide the complete official HTML target when available, otherwise the original official file URL.</x:v>
      </x:c>
      <x:c r="N35" s="874"/>
      <x:c r="O35" s="874"/>
      <x:c r="P35" s="872" t="str">
        <x:v>https://programme-centre.asc-aqua.org/resource-hub/?filter=farm</x:v>
      </x:c>
      <x:c r="Q35" s="872"/>
      <x:c r="R35" s="872" t="str">
        <x:v>C_Certification_Scheme</x:v>
      </x:c>
      <x:c r="S35" s="872" t="str">
        <x:v>Aquaculture Stewardship Council</x:v>
      </x:c>
      <x:c r="T35" s="872" t="str">
        <x:v>International</x:v>
      </x:c>
      <x:c r="U35" s="872" t="str">
        <x:v>Scheme standard</x:v>
      </x:c>
      <x:c r="V35" s="872" t="str">
        <x:v>Certification scheme</x:v>
      </x:c>
      <x:c r="W35" s="872" t="str">
        <x:v>Referenced normative</x:v>
      </x:c>
      <x:c r="X35" s="872" t="str">
        <x:v>English</x:v>
      </x:c>
      <x:c r="Y35" s="872" t="str">
        <x:v>pdf</x:v>
      </x:c>
      <x:c r="Z35" s="872"/>
      <x:c r="AA35" s="877"/>
      <x:c r="AB35" s="872" t="str">
        <x:v>Official referenced source from Aquaculture Stewardship Council; included because an applicable law, permit or certification scheme may make its provisions binding within the approved scope.</x:v>
      </x:c>
      <x:c r="AC35" s="872" t="str">
        <x:v>HIGH</x:v>
      </x:c>
      <x:c r="AD35" s="872" t="str">
        <x:v>HIGH</x:v>
      </x:c>
      <x:c r="AE35" s="872" t="str">
        <x:v>MEDIUM</x:v>
      </x:c>
      <x:c r="AF35" s="872" t="str">
        <x:v>MEDIUM</x:v>
      </x:c>
      <x:c r="AG35" s="872" t="str">
        <x:v>HIGH</x:v>
      </x:c>
      <x:c r="AH35" s="872" t="str">
        <x:v>LOW</x:v>
      </x:c>
      <x:c r="AI35" s="872" t="str">
        <x:v>PENDING</x:v>
      </x:c>
      <x:c r="AJ35" s="872" t="str">
        <x:v>OFFICIAL_WEBSITE</x:v>
      </x:c>
      <x:c r="AK35" s="872" t="str">
        <x:v>OFFICIAL_ORIGINAL</x:v>
      </x:c>
      <x:c r="AL35" s="872" t="str">
        <x:v>VERSIONED</x:v>
      </x:c>
      <x:c r="AM35" s="872"/>
      <x:c r="AN35" s="872" t="str">
        <x:v>CURRENT</x:v>
      </x:c>
      <x:c r="AO35" s="872" t="str">
        <x:v>CS001</x:v>
      </x:c>
      <x:c r="AP35" s="872" t="str">
        <x:v>Official coverage expansion. The current ASC Farm Standard lists the vocabulary as a normative reference; direct-file traceability still requires confirmation.</x:v>
      </x:c>
      <x:c r="AQ35" s="878" t="n">
        <x:v>46265.588784722226</x:v>
      </x:c>
      <x:c r="AR35" s="874" t="str">
        <x:v>{"action": "APPLY_FIELD_UPDATES", "review_fingerprint": "", "source_id": "CS018", "updates": {}}</x:v>
      </x:c>
    </x:row>
    <x:row r="36" s="36" customFormat="1" ht="30" customHeight="1">
      <x:c r="A36" s="871" t="str">
        <x:v>REV-b4adebd18c348dc0</x:v>
      </x:c>
      <x:c r="B36" s="871" t="str">
        <x:v>SELECTION_REVIEW</x:v>
      </x:c>
      <x:c r="C36" s="871" t="str">
        <x:v>CS018</x:v>
      </x:c>
      <x:c r="D36" s="872" t="str">
        <x:v>ASC Vocabulary</x:v>
      </x:c>
      <x:c r="E36" s="871" t="str">
        <x:v>SELECTION_PENDING</x:v>
      </x:c>
      <x:c r="F36" s="871" t="str">
        <x:v>APPLY_FIELD_UPDATES</x:v>
      </x:c>
      <x:c r="G36" s="872" t="str">
        <x:v>PENDING</x:v>
      </x:c>
      <x:c r="H36" s="872"/>
      <x:c r="I36" s="875"/>
      <x:c r="J36" s="872"/>
      <x:c r="K36" s="873" t="str">
        <x:v>PENDING</x:v>
      </x:c>
      <x:c r="L36" s="876"/>
      <x:c r="M36" s="873" t="str">
        <x:v>operator_selection_decision is PENDING; mandatory assessment is not HIGH: version_currency, traceability. Required action: Review the human-governed source fields and choose INCLUDE, PENDING or EXCLUDE in Human Operation Desktop.</x:v>
      </x:c>
      <x:c r="N36" s="874"/>
      <x:c r="O36" s="874"/>
      <x:c r="P36" s="872" t="str">
        <x:v>https://programme-centre.asc-aqua.org/resource-hub/?filter=farm</x:v>
      </x:c>
      <x:c r="Q36" s="872"/>
      <x:c r="R36" s="872" t="str">
        <x:v>C_Certification_Scheme</x:v>
      </x:c>
      <x:c r="S36" s="872" t="str">
        <x:v>Aquaculture Stewardship Council</x:v>
      </x:c>
      <x:c r="T36" s="872" t="str">
        <x:v>International</x:v>
      </x:c>
      <x:c r="U36" s="872" t="str">
        <x:v>Scheme standard</x:v>
      </x:c>
      <x:c r="V36" s="872" t="str">
        <x:v>Certification scheme</x:v>
      </x:c>
      <x:c r="W36" s="872" t="str">
        <x:v>Referenced normative</x:v>
      </x:c>
      <x:c r="X36" s="872" t="str">
        <x:v>English</x:v>
      </x:c>
      <x:c r="Y36" s="872" t="str">
        <x:v>pdf</x:v>
      </x:c>
      <x:c r="Z36" s="872"/>
      <x:c r="AA36" s="877"/>
      <x:c r="AB36" s="872" t="str">
        <x:v>Official referenced source from Aquaculture Stewardship Council; included because an applicable law, permit or certification scheme may make its provisions binding within the approved scope.</x:v>
      </x:c>
      <x:c r="AC36" s="872" t="str">
        <x:v>HIGH</x:v>
      </x:c>
      <x:c r="AD36" s="872" t="str">
        <x:v>HIGH</x:v>
      </x:c>
      <x:c r="AE36" s="872" t="str">
        <x:v>MEDIUM</x:v>
      </x:c>
      <x:c r="AF36" s="872" t="str">
        <x:v>MEDIUM</x:v>
      </x:c>
      <x:c r="AG36" s="872" t="str">
        <x:v>HIGH</x:v>
      </x:c>
      <x:c r="AH36" s="872" t="str">
        <x:v>LOW</x:v>
      </x:c>
      <x:c r="AI36" s="872" t="str">
        <x:v>PENDING</x:v>
      </x:c>
      <x:c r="AJ36" s="872" t="str">
        <x:v>OFFICIAL_WEBSITE</x:v>
      </x:c>
      <x:c r="AK36" s="872" t="str">
        <x:v>OFFICIAL_ORIGINAL</x:v>
      </x:c>
      <x:c r="AL36" s="872" t="str">
        <x:v>VERSIONED</x:v>
      </x:c>
      <x:c r="AM36" s="872"/>
      <x:c r="AN36" s="872" t="str">
        <x:v>CURRENT</x:v>
      </x:c>
      <x:c r="AO36" s="872" t="str">
        <x:v>CS001</x:v>
      </x:c>
      <x:c r="AP36" s="872" t="str">
        <x:v>Official coverage expansion. The current ASC Farm Standard lists the vocabulary as a normative reference; direct-file traceability still requires confirmation.</x:v>
      </x:c>
      <x:c r="AQ36" s="878" t="n">
        <x:v>46265.588784722226</x:v>
      </x:c>
      <x:c r="AR36" s="874" t="str">
        <x:v>{"action": "APPLY_FIELD_UPDATES", "review_fingerprint": "b82e48cc8412d5b6", "source_id": "CS018", "updates": {}}</x:v>
      </x:c>
    </x:row>
    <x:row r="37" s="36" customFormat="1" ht="30" customHeight="1">
      <x:c r="A37" s="871" t="str">
        <x:v>REV-7d07d90553668c0f</x:v>
      </x:c>
      <x:c r="B37" s="871" t="str">
        <x:v>SOURCE_REVIEW</x:v>
      </x:c>
      <x:c r="C37" s="871" t="str">
        <x:v>CS019</x:v>
      </x:c>
      <x:c r="D37" s="872" t="str">
        <x:v>ASC Data Submission Requirements</x:v>
      </x:c>
      <x:c r="E37" s="871" t="str">
        <x:v>DUPLICATE_OFFICIAL_URL</x:v>
      </x:c>
      <x:c r="F37" s="871" t="str">
        <x:v>APPLY_FIELD_UPDATES</x:v>
      </x:c>
      <x:c r="G37" s="872" t="str">
        <x:v>PENDING</x:v>
      </x:c>
      <x:c r="H37" s="872"/>
      <x:c r="I37" s="875"/>
      <x:c r="J37" s="872"/>
      <x:c r="K37" s="873" t="str">
        <x:v>PENDING</x:v>
      </x:c>
      <x:c r="L37" s="876"/>
      <x:c r="M37" s="873" t="str">
        <x:v>The official URL is shared by 5 current source records. Required action: Confirm whether this record is a distinct source, correct its identity, or exclude it.</x:v>
      </x:c>
      <x:c r="N37" s="874"/>
      <x:c r="O37" s="874"/>
      <x:c r="P37" s="872" t="str">
        <x:v>https://programme-centre.asc-aqua.org/resource-hub/?filter=farm</x:v>
      </x:c>
      <x:c r="Q37" s="872"/>
      <x:c r="R37" s="872" t="str">
        <x:v>C_Certification_Scheme</x:v>
      </x:c>
      <x:c r="S37" s="872" t="str">
        <x:v>Aquaculture Stewardship Council</x:v>
      </x:c>
      <x:c r="T37" s="872" t="str">
        <x:v>International</x:v>
      </x:c>
      <x:c r="U37" s="872" t="str">
        <x:v>Scheme standard</x:v>
      </x:c>
      <x:c r="V37" s="872" t="str">
        <x:v>Certification scheme</x:v>
      </x:c>
      <x:c r="W37" s="872" t="str">
        <x:v>Referenced normative</x:v>
      </x:c>
      <x:c r="X37" s="872" t="str">
        <x:v>English</x:v>
      </x:c>
      <x:c r="Y37" s="872" t="str">
        <x:v>pdf</x:v>
      </x:c>
      <x:c r="Z37" s="872"/>
      <x:c r="AA37" s="877"/>
      <x:c r="AB37" s="872" t="str">
        <x:v>Official referenced source from Aquaculture Stewardship Council; included because an applicable law, permit or certification scheme may make its provisions binding within the approved scope.</x:v>
      </x:c>
      <x:c r="AC37" s="872" t="str">
        <x:v>HIGH</x:v>
      </x:c>
      <x:c r="AD37" s="872" t="str">
        <x:v>HIGH</x:v>
      </x:c>
      <x:c r="AE37" s="872" t="str">
        <x:v>MEDIUM</x:v>
      </x:c>
      <x:c r="AF37" s="872" t="str">
        <x:v>MEDIUM</x:v>
      </x:c>
      <x:c r="AG37" s="872" t="str">
        <x:v>HIGH</x:v>
      </x:c>
      <x:c r="AH37" s="872" t="str">
        <x:v>LOW</x:v>
      </x:c>
      <x:c r="AI37" s="872" t="str">
        <x:v>PENDING</x:v>
      </x:c>
      <x:c r="AJ37" s="872" t="str">
        <x:v>OFFICIAL_WEBSITE</x:v>
      </x:c>
      <x:c r="AK37" s="872" t="str">
        <x:v>OFFICIAL_ORIGINAL</x:v>
      </x:c>
      <x:c r="AL37" s="872" t="str">
        <x:v>VERSIONED</x:v>
      </x:c>
      <x:c r="AM37" s="872"/>
      <x:c r="AN37" s="872" t="str">
        <x:v>CURRENT</x:v>
      </x:c>
      <x:c r="AO37" s="872" t="str">
        <x:v>CS001</x:v>
      </x:c>
      <x:c r="AP37" s="872" t="str">
        <x:v>Official coverage expansion. The current ASC Farm Standard lists data submission requirements as a normative reference; direct-file traceability still requires confirmation.</x:v>
      </x:c>
      <x:c r="AQ37" s="878" t="n">
        <x:v>46265.588784722226</x:v>
      </x:c>
      <x:c r="AR37" s="874" t="str">
        <x:v>{"action": "APPLY_FIELD_UPDATES", "review_fingerprint": "", "source_id": "CS019", "updates": {}}</x:v>
      </x:c>
    </x:row>
    <x:row r="38" s="36" customFormat="1" ht="30" customHeight="1">
      <x:c r="A38" s="871" t="str">
        <x:v>REV-57011678f2dfd339</x:v>
      </x:c>
      <x:c r="B38" s="871" t="str">
        <x:v>SOURCE_REVIEW</x:v>
      </x:c>
      <x:c r="C38" s="871" t="str">
        <x:v>CS019</x:v>
      </x:c>
      <x:c r="D38" s="872" t="str">
        <x:v>ASC Data Submission Requirements</x:v>
      </x:c>
      <x:c r="E38" s="871" t="str">
        <x:v>MISSING_RETRIEVAL_URL</x:v>
      </x:c>
      <x:c r="F38" s="871" t="str">
        <x:v>APPLY_FIELD_UPDATES</x:v>
      </x:c>
      <x:c r="G38" s="872" t="str">
        <x:v>PENDING</x:v>
      </x:c>
      <x:c r="H38" s="872"/>
      <x:c r="I38" s="875"/>
      <x:c r="J38" s="872"/>
      <x:c r="K38" s="873" t="str">
        <x:v>PENDING</x:v>
      </x:c>
      <x:c r="L38" s="876"/>
      <x:c r="M38" s="873" t="str">
        <x:v>The source has no exact retrieval target. Required action: Provide the complete official HTML target when available, otherwise the original official file URL.</x:v>
      </x:c>
      <x:c r="N38" s="874"/>
      <x:c r="O38" s="874"/>
      <x:c r="P38" s="872" t="str">
        <x:v>https://programme-centre.asc-aqua.org/resource-hub/?filter=farm</x:v>
      </x:c>
      <x:c r="Q38" s="872"/>
      <x:c r="R38" s="872" t="str">
        <x:v>C_Certification_Scheme</x:v>
      </x:c>
      <x:c r="S38" s="872" t="str">
        <x:v>Aquaculture Stewardship Council</x:v>
      </x:c>
      <x:c r="T38" s="872" t="str">
        <x:v>International</x:v>
      </x:c>
      <x:c r="U38" s="872" t="str">
        <x:v>Scheme standard</x:v>
      </x:c>
      <x:c r="V38" s="872" t="str">
        <x:v>Certification scheme</x:v>
      </x:c>
      <x:c r="W38" s="872" t="str">
        <x:v>Referenced normative</x:v>
      </x:c>
      <x:c r="X38" s="872" t="str">
        <x:v>English</x:v>
      </x:c>
      <x:c r="Y38" s="872" t="str">
        <x:v>pdf</x:v>
      </x:c>
      <x:c r="Z38" s="872"/>
      <x:c r="AA38" s="877"/>
      <x:c r="AB38" s="872" t="str">
        <x:v>Official referenced source from Aquaculture Stewardship Council; included because an applicable law, permit or certification scheme may make its provisions binding within the approved scope.</x:v>
      </x:c>
      <x:c r="AC38" s="872" t="str">
        <x:v>HIGH</x:v>
      </x:c>
      <x:c r="AD38" s="872" t="str">
        <x:v>HIGH</x:v>
      </x:c>
      <x:c r="AE38" s="872" t="str">
        <x:v>MEDIUM</x:v>
      </x:c>
      <x:c r="AF38" s="872" t="str">
        <x:v>MEDIUM</x:v>
      </x:c>
      <x:c r="AG38" s="872" t="str">
        <x:v>HIGH</x:v>
      </x:c>
      <x:c r="AH38" s="872" t="str">
        <x:v>LOW</x:v>
      </x:c>
      <x:c r="AI38" s="872" t="str">
        <x:v>PENDING</x:v>
      </x:c>
      <x:c r="AJ38" s="872" t="str">
        <x:v>OFFICIAL_WEBSITE</x:v>
      </x:c>
      <x:c r="AK38" s="872" t="str">
        <x:v>OFFICIAL_ORIGINAL</x:v>
      </x:c>
      <x:c r="AL38" s="872" t="str">
        <x:v>VERSIONED</x:v>
      </x:c>
      <x:c r="AM38" s="872"/>
      <x:c r="AN38" s="872" t="str">
        <x:v>CURRENT</x:v>
      </x:c>
      <x:c r="AO38" s="872" t="str">
        <x:v>CS001</x:v>
      </x:c>
      <x:c r="AP38" s="872" t="str">
        <x:v>Official coverage expansion. The current ASC Farm Standard lists data submission requirements as a normative reference; direct-file traceability still requires confirmation.</x:v>
      </x:c>
      <x:c r="AQ38" s="878" t="n">
        <x:v>46265.588784722226</x:v>
      </x:c>
      <x:c r="AR38" s="874" t="str">
        <x:v>{"action": "APPLY_FIELD_UPDATES", "review_fingerprint": "", "source_id": "CS019", "updates": {}}</x:v>
      </x:c>
    </x:row>
    <x:row r="39" s="36" customFormat="1" ht="30" customHeight="1">
      <x:c r="A39" s="871" t="str">
        <x:v>REV-2be6880a04daed16</x:v>
      </x:c>
      <x:c r="B39" s="871" t="str">
        <x:v>SELECTION_REVIEW</x:v>
      </x:c>
      <x:c r="C39" s="871" t="str">
        <x:v>CS019</x:v>
      </x:c>
      <x:c r="D39" s="872" t="str">
        <x:v>ASC Data Submission Requirements</x:v>
      </x:c>
      <x:c r="E39" s="871" t="str">
        <x:v>SELECTION_PENDING</x:v>
      </x:c>
      <x:c r="F39" s="871" t="str">
        <x:v>APPLY_FIELD_UPDATES</x:v>
      </x:c>
      <x:c r="G39" s="872" t="str">
        <x:v>PENDING</x:v>
      </x:c>
      <x:c r="H39" s="872"/>
      <x:c r="I39" s="875"/>
      <x:c r="J39" s="872"/>
      <x:c r="K39" s="873" t="str">
        <x:v>PENDING</x:v>
      </x:c>
      <x:c r="L39" s="876"/>
      <x:c r="M39" s="873" t="str">
        <x:v>operator_selection_decision is PENDING; mandatory assessment is not HIGH: version_currency, traceability. Required action: Review the human-governed source fields and choose INCLUDE, PENDING or EXCLUDE in Human Operation Desktop.</x:v>
      </x:c>
      <x:c r="N39" s="874"/>
      <x:c r="O39" s="874"/>
      <x:c r="P39" s="872" t="str">
        <x:v>https://programme-centre.asc-aqua.org/resource-hub/?filter=farm</x:v>
      </x:c>
      <x:c r="Q39" s="872"/>
      <x:c r="R39" s="872" t="str">
        <x:v>C_Certification_Scheme</x:v>
      </x:c>
      <x:c r="S39" s="872" t="str">
        <x:v>Aquaculture Stewardship Council</x:v>
      </x:c>
      <x:c r="T39" s="872" t="str">
        <x:v>International</x:v>
      </x:c>
      <x:c r="U39" s="872" t="str">
        <x:v>Scheme standard</x:v>
      </x:c>
      <x:c r="V39" s="872" t="str">
        <x:v>Certification scheme</x:v>
      </x:c>
      <x:c r="W39" s="872" t="str">
        <x:v>Referenced normative</x:v>
      </x:c>
      <x:c r="X39" s="872" t="str">
        <x:v>English</x:v>
      </x:c>
      <x:c r="Y39" s="872" t="str">
        <x:v>pdf</x:v>
      </x:c>
      <x:c r="Z39" s="872"/>
      <x:c r="AA39" s="877"/>
      <x:c r="AB39" s="872" t="str">
        <x:v>Official referenced source from Aquaculture Stewardship Council; included because an applicable law, permit or certification scheme may make its provisions binding within the approved scope.</x:v>
      </x:c>
      <x:c r="AC39" s="872" t="str">
        <x:v>HIGH</x:v>
      </x:c>
      <x:c r="AD39" s="872" t="str">
        <x:v>HIGH</x:v>
      </x:c>
      <x:c r="AE39" s="872" t="str">
        <x:v>MEDIUM</x:v>
      </x:c>
      <x:c r="AF39" s="872" t="str">
        <x:v>MEDIUM</x:v>
      </x:c>
      <x:c r="AG39" s="872" t="str">
        <x:v>HIGH</x:v>
      </x:c>
      <x:c r="AH39" s="872" t="str">
        <x:v>LOW</x:v>
      </x:c>
      <x:c r="AI39" s="872" t="str">
        <x:v>PENDING</x:v>
      </x:c>
      <x:c r="AJ39" s="872" t="str">
        <x:v>OFFICIAL_WEBSITE</x:v>
      </x:c>
      <x:c r="AK39" s="872" t="str">
        <x:v>OFFICIAL_ORIGINAL</x:v>
      </x:c>
      <x:c r="AL39" s="872" t="str">
        <x:v>VERSIONED</x:v>
      </x:c>
      <x:c r="AM39" s="872"/>
      <x:c r="AN39" s="872" t="str">
        <x:v>CURRENT</x:v>
      </x:c>
      <x:c r="AO39" s="872" t="str">
        <x:v>CS001</x:v>
      </x:c>
      <x:c r="AP39" s="872" t="str">
        <x:v>Official coverage expansion. The current ASC Farm Standard lists data submission requirements as a normative reference; direct-file traceability still requires confirmation.</x:v>
      </x:c>
      <x:c r="AQ39" s="878" t="n">
        <x:v>46265.588784722226</x:v>
      </x:c>
      <x:c r="AR39" s="874" t="str">
        <x:v>{"action": "APPLY_FIELD_UPDATES", "review_fingerprint": "b82e48cc8412d5b6", "source_id": "CS019", "updates": {}}</x:v>
      </x:c>
    </x:row>
    <x:row r="40" s="36" customFormat="1" ht="30" customHeight="1">
      <x:c r="A40" s="871" t="str">
        <x:v>REV-b7cf4742f051899b</x:v>
      </x:c>
      <x:c r="B40" s="871" t="str">
        <x:v>SOURCE_REVIEW</x:v>
      </x:c>
      <x:c r="C40" s="871" t="str">
        <x:v>CS020</x:v>
      </x:c>
      <x:c r="D40" s="872" t="str">
        <x:v>GLOBALG.A.P. GRASP v2 - Checklist</x:v>
      </x:c>
      <x:c r="E40" s="871" t="str">
        <x:v>DUPLICATE_OFFICIAL_URL</x:v>
      </x:c>
      <x:c r="F40" s="871" t="str">
        <x:v>APPLY_FIELD_UPDATES</x:v>
      </x:c>
      <x:c r="G40" s="872" t="str">
        <x:v>PENDING</x:v>
      </x:c>
      <x:c r="H40" s="872"/>
      <x:c r="I40" s="875"/>
      <x:c r="J40" s="872"/>
      <x:c r="K40" s="873" t="str">
        <x:v>PENDING</x:v>
      </x:c>
      <x:c r="L40" s="876"/>
      <x:c r="M40" s="873" t="str">
        <x:v>The official URL is shared by 4 current source records. Required action: Confirm whether this record is a distinct source, correct its identity, or exclude it.</x:v>
      </x:c>
      <x:c r="N40" s="874"/>
      <x:c r="O40" s="874"/>
      <x:c r="P40" s="872" t="str">
        <x:v>https://globalgap.org/what-we-offer/solutions/grasp/</x:v>
      </x:c>
      <x:c r="Q40" s="872"/>
      <x:c r="R40" s="872" t="str">
        <x:v>C_Certification_Scheme</x:v>
      </x:c>
      <x:c r="S40" s="872" t="str">
        <x:v>GLOBALG.A.P.</x:v>
      </x:c>
      <x:c r="T40" s="872" t="str">
        <x:v>International</x:v>
      </x:c>
      <x:c r="U40" s="872" t="str">
        <x:v>Audit / assessment document</x:v>
      </x:c>
      <x:c r="V40" s="872" t="str">
        <x:v>Certification scheme</x:v>
      </x:c>
      <x:c r="W40" s="872" t="str">
        <x:v>Audit / assessment tool</x:v>
      </x:c>
      <x:c r="X40" s="872" t="str">
        <x:v>English</x:v>
      </x:c>
      <x:c r="Y40" s="872" t="str">
        <x:v>xlsx</x:v>
      </x:c>
      <x:c r="Z40" s="872" t="str">
        <x:v>V2</x:v>
      </x:c>
      <x:c r="AA40" s="877"/>
      <x:c r="AB40" s="872" t="str">
        <x:v>Official assessment tool from GLOBALG.A.P.; included to structure compliance checks and trace evidence back to its linked normative source.</x:v>
      </x:c>
      <x:c r="AC40" s="872" t="str">
        <x:v>HIGH</x:v>
      </x:c>
      <x:c r="AD40" s="872" t="str">
        <x:v>HIGH</x:v>
      </x:c>
      <x:c r="AE40" s="872" t="str">
        <x:v>HIGH</x:v>
      </x:c>
      <x:c r="AF40" s="872" t="str">
        <x:v>MEDIUM</x:v>
      </x:c>
      <x:c r="AG40" s="872" t="str">
        <x:v>HIGH</x:v>
      </x:c>
      <x:c r="AH40" s="872" t="str">
        <x:v>LOW</x:v>
      </x:c>
      <x:c r="AI40" s="872" t="str">
        <x:v>PENDING</x:v>
      </x:c>
      <x:c r="AJ40" s="872" t="str">
        <x:v>OFFICIAL_WEBSITE</x:v>
      </x:c>
      <x:c r="AK40" s="872" t="str">
        <x:v>OFFICIAL_ORIGINAL</x:v>
      </x:c>
      <x:c r="AL40" s="872" t="str">
        <x:v>VERSIONED</x:v>
      </x:c>
      <x:c r="AM40" s="872"/>
      <x:c r="AN40" s="872" t="str">
        <x:v>CURRENT</x:v>
      </x:c>
      <x:c r="AO40" s="872" t="str">
        <x:v>CS011</x:v>
      </x:c>
      <x:c r="AP40" s="872" t="str">
        <x:v>Official coverage expansion. Assessment tool linked to CS011 and CS016; direct-file URL must be confirmed before automated retrieval.</x:v>
      </x:c>
      <x:c r="AQ40" s="878" t="n">
        <x:v>46265.588784722226</x:v>
      </x:c>
      <x:c r="AR40" s="874" t="str">
        <x:v>{"action": "APPLY_FIELD_UPDATES", "review_fingerprint": "", "source_id": "CS020", "updates": {}}</x:v>
      </x:c>
    </x:row>
    <x:row r="41" s="36" customFormat="1" ht="30" customHeight="1">
      <x:c r="A41" s="871" t="str">
        <x:v>REV-ac272b358bc945ab</x:v>
      </x:c>
      <x:c r="B41" s="871" t="str">
        <x:v>SOURCE_REVIEW</x:v>
      </x:c>
      <x:c r="C41" s="871" t="str">
        <x:v>CS020</x:v>
      </x:c>
      <x:c r="D41" s="872" t="str">
        <x:v>GLOBALG.A.P. GRASP v2 - Checklist</x:v>
      </x:c>
      <x:c r="E41" s="871" t="str">
        <x:v>MISSING_RETRIEVAL_URL</x:v>
      </x:c>
      <x:c r="F41" s="871" t="str">
        <x:v>APPLY_FIELD_UPDATES</x:v>
      </x:c>
      <x:c r="G41" s="872" t="str">
        <x:v>PENDING</x:v>
      </x:c>
      <x:c r="H41" s="872"/>
      <x:c r="I41" s="875"/>
      <x:c r="J41" s="872"/>
      <x:c r="K41" s="873" t="str">
        <x:v>PENDING</x:v>
      </x:c>
      <x:c r="L41" s="876"/>
      <x:c r="M41" s="873" t="str">
        <x:v>The source has no exact retrieval target. Required action: Provide the complete official HTML target when available, otherwise the original official file URL.</x:v>
      </x:c>
      <x:c r="N41" s="874"/>
      <x:c r="O41" s="874"/>
      <x:c r="P41" s="872" t="str">
        <x:v>https://globalgap.org/what-we-offer/solutions/grasp/</x:v>
      </x:c>
      <x:c r="Q41" s="872"/>
      <x:c r="R41" s="872" t="str">
        <x:v>C_Certification_Scheme</x:v>
      </x:c>
      <x:c r="S41" s="872" t="str">
        <x:v>GLOBALG.A.P.</x:v>
      </x:c>
      <x:c r="T41" s="872" t="str">
        <x:v>International</x:v>
      </x:c>
      <x:c r="U41" s="872" t="str">
        <x:v>Audit / assessment document</x:v>
      </x:c>
      <x:c r="V41" s="872" t="str">
        <x:v>Certification scheme</x:v>
      </x:c>
      <x:c r="W41" s="872" t="str">
        <x:v>Audit / assessment tool</x:v>
      </x:c>
      <x:c r="X41" s="872" t="str">
        <x:v>English</x:v>
      </x:c>
      <x:c r="Y41" s="872" t="str">
        <x:v>xlsx</x:v>
      </x:c>
      <x:c r="Z41" s="872" t="str">
        <x:v>V2</x:v>
      </x:c>
      <x:c r="AA41" s="877"/>
      <x:c r="AB41" s="872" t="str">
        <x:v>Official assessment tool from GLOBALG.A.P.; included to structure compliance checks and trace evidence back to its linked normative source.</x:v>
      </x:c>
      <x:c r="AC41" s="872" t="str">
        <x:v>HIGH</x:v>
      </x:c>
      <x:c r="AD41" s="872" t="str">
        <x:v>HIGH</x:v>
      </x:c>
      <x:c r="AE41" s="872" t="str">
        <x:v>HIGH</x:v>
      </x:c>
      <x:c r="AF41" s="872" t="str">
        <x:v>MEDIUM</x:v>
      </x:c>
      <x:c r="AG41" s="872" t="str">
        <x:v>HIGH</x:v>
      </x:c>
      <x:c r="AH41" s="872" t="str">
        <x:v>LOW</x:v>
      </x:c>
      <x:c r="AI41" s="872" t="str">
        <x:v>PENDING</x:v>
      </x:c>
      <x:c r="AJ41" s="872" t="str">
        <x:v>OFFICIAL_WEBSITE</x:v>
      </x:c>
      <x:c r="AK41" s="872" t="str">
        <x:v>OFFICIAL_ORIGINAL</x:v>
      </x:c>
      <x:c r="AL41" s="872" t="str">
        <x:v>VERSIONED</x:v>
      </x:c>
      <x:c r="AM41" s="872"/>
      <x:c r="AN41" s="872" t="str">
        <x:v>CURRENT</x:v>
      </x:c>
      <x:c r="AO41" s="872" t="str">
        <x:v>CS011</x:v>
      </x:c>
      <x:c r="AP41" s="872" t="str">
        <x:v>Official coverage expansion. Assessment tool linked to CS011 and CS016; direct-file URL must be confirmed before automated retrieval.</x:v>
      </x:c>
      <x:c r="AQ41" s="878" t="n">
        <x:v>46265.588784722226</x:v>
      </x:c>
      <x:c r="AR41" s="874" t="str">
        <x:v>{"action": "APPLY_FIELD_UPDATES", "review_fingerprint": "", "source_id": "CS020", "updates": {}}</x:v>
      </x:c>
    </x:row>
    <x:row r="42" s="36" customFormat="1" ht="30" customHeight="1">
      <x:c r="A42" s="871" t="str">
        <x:v>REV-78bb928250592fe1</x:v>
      </x:c>
      <x:c r="B42" s="871" t="str">
        <x:v>SELECTION_REVIEW</x:v>
      </x:c>
      <x:c r="C42" s="871" t="str">
        <x:v>CS020</x:v>
      </x:c>
      <x:c r="D42" s="872" t="str">
        <x:v>GLOBALG.A.P. GRASP v2 - Checklist</x:v>
      </x:c>
      <x:c r="E42" s="871" t="str">
        <x:v>SELECTION_PENDING</x:v>
      </x:c>
      <x:c r="F42" s="871" t="str">
        <x:v>APPLY_FIELD_UPDATES</x:v>
      </x:c>
      <x:c r="G42" s="872" t="str">
        <x:v>PENDING</x:v>
      </x:c>
      <x:c r="H42" s="872"/>
      <x:c r="I42" s="875"/>
      <x:c r="J42" s="872"/>
      <x:c r="K42" s="873" t="str">
        <x:v>PENDING</x:v>
      </x:c>
      <x:c r="L42" s="876"/>
      <x:c r="M42" s="873" t="str">
        <x:v>operator_selection_decision is PENDING; mandatory assessment is not HIGH: traceability. Required action: Review the human-governed source fields and choose INCLUDE, PENDING or EXCLUDE in Human Operation Desktop.</x:v>
      </x:c>
      <x:c r="N42" s="874"/>
      <x:c r="O42" s="874"/>
      <x:c r="P42" s="872" t="str">
        <x:v>https://globalgap.org/what-we-offer/solutions/grasp/</x:v>
      </x:c>
      <x:c r="Q42" s="872"/>
      <x:c r="R42" s="872" t="str">
        <x:v>C_Certification_Scheme</x:v>
      </x:c>
      <x:c r="S42" s="872" t="str">
        <x:v>GLOBALG.A.P.</x:v>
      </x:c>
      <x:c r="T42" s="872" t="str">
        <x:v>International</x:v>
      </x:c>
      <x:c r="U42" s="872" t="str">
        <x:v>Audit / assessment document</x:v>
      </x:c>
      <x:c r="V42" s="872" t="str">
        <x:v>Certification scheme</x:v>
      </x:c>
      <x:c r="W42" s="872" t="str">
        <x:v>Audit / assessment tool</x:v>
      </x:c>
      <x:c r="X42" s="872" t="str">
        <x:v>English</x:v>
      </x:c>
      <x:c r="Y42" s="872" t="str">
        <x:v>xlsx</x:v>
      </x:c>
      <x:c r="Z42" s="872" t="str">
        <x:v>V2</x:v>
      </x:c>
      <x:c r="AA42" s="877"/>
      <x:c r="AB42" s="872" t="str">
        <x:v>Official assessment tool from GLOBALG.A.P.; included to structure compliance checks and trace evidence back to its linked normative source.</x:v>
      </x:c>
      <x:c r="AC42" s="872" t="str">
        <x:v>HIGH</x:v>
      </x:c>
      <x:c r="AD42" s="872" t="str">
        <x:v>HIGH</x:v>
      </x:c>
      <x:c r="AE42" s="872" t="str">
        <x:v>HIGH</x:v>
      </x:c>
      <x:c r="AF42" s="872" t="str">
        <x:v>MEDIUM</x:v>
      </x:c>
      <x:c r="AG42" s="872" t="str">
        <x:v>HIGH</x:v>
      </x:c>
      <x:c r="AH42" s="872" t="str">
        <x:v>LOW</x:v>
      </x:c>
      <x:c r="AI42" s="872" t="str">
        <x:v>PENDING</x:v>
      </x:c>
      <x:c r="AJ42" s="872" t="str">
        <x:v>OFFICIAL_WEBSITE</x:v>
      </x:c>
      <x:c r="AK42" s="872" t="str">
        <x:v>OFFICIAL_ORIGINAL</x:v>
      </x:c>
      <x:c r="AL42" s="872" t="str">
        <x:v>VERSIONED</x:v>
      </x:c>
      <x:c r="AM42" s="872"/>
      <x:c r="AN42" s="872" t="str">
        <x:v>CURRENT</x:v>
      </x:c>
      <x:c r="AO42" s="872" t="str">
        <x:v>CS011</x:v>
      </x:c>
      <x:c r="AP42" s="872" t="str">
        <x:v>Official coverage expansion. Assessment tool linked to CS011 and CS016; direct-file URL must be confirmed before automated retrieval.</x:v>
      </x:c>
      <x:c r="AQ42" s="878" t="n">
        <x:v>46265.588784722226</x:v>
      </x:c>
      <x:c r="AR42" s="874" t="str">
        <x:v>{"action": "APPLY_FIELD_UPDATES", "review_fingerprint": "6e686c8ad913d6cc", "source_id": "CS020", "updates": {}}</x:v>
      </x:c>
    </x:row>
    <x:row r="43" s="36" customFormat="1" ht="30" customHeight="1">
      <x:c r="A43" s="871" t="str">
        <x:v>REV-3db73811739f9af9</x:v>
      </x:c>
      <x:c r="B43" s="871" t="str">
        <x:v>SELECTION_REVIEW</x:v>
      </x:c>
      <x:c r="C43" s="871" t="str">
        <x:v>PA006</x:v>
      </x:c>
      <x:c r="D43" s="872" t="str">
        <x:v>Organic Production and Labelling Regulations</x:v>
      </x:c>
      <x:c r="E43" s="871" t="str">
        <x:v>SELECTION_PENDING</x:v>
      </x:c>
      <x:c r="F43" s="871" t="str">
        <x:v>APPLY_FIELD_UPDATES</x:v>
      </x:c>
      <x:c r="G43" s="872" t="str">
        <x:v>PENDING</x:v>
      </x:c>
      <x:c r="H43" s="872"/>
      <x:c r="I43" s="875"/>
      <x:c r="J43" s="872"/>
      <x:c r="K43" s="873" t="str">
        <x:v>PENDING</x:v>
      </x:c>
      <x:c r="L43" s="876"/>
      <x:c r="M43" s="873" t="str">
        <x:v>operator_selection_decision is PENDING; mandatory assessment is not HIGH: scope_relevance. Required action: Review the human-governed source fields and choose INCLUDE, PENDING or EXCLUDE in Human Operation Desktop.</x:v>
      </x:c>
      <x:c r="N43" s="874"/>
      <x:c r="O43" s="874"/>
      <x:c r="P43" s="872" t="str">
        <x:v>https://lovdata.no/dokument/SF/forskrift/2022-06-11-1171</x:v>
      </x:c>
      <x:c r="Q43" s="872" t="str">
        <x:v>https://lovdata.no/dokument/SF/forskrift/2022-06-11-1171</x:v>
      </x:c>
      <x:c r="R43" s="872" t="str">
        <x:v>A_Public_Authority</x:v>
      </x:c>
      <x:c r="S43" s="872" t="str">
        <x:v>Norwegian Government</x:v>
      </x:c>
      <x:c r="T43" s="872" t="str">
        <x:v>Norway</x:v>
      </x:c>
      <x:c r="U43" s="872" t="str">
        <x:v>Regulation</x:v>
      </x:c>
      <x:c r="V43" s="872" t="str">
        <x:v>Public authority</x:v>
      </x:c>
      <x:c r="W43" s="872" t="str">
        <x:v>Primary normative</x:v>
      </x:c>
      <x:c r="X43" s="872" t="str">
        <x:v>Norwegian</x:v>
      </x:c>
      <x:c r="Y43" s="872" t="str">
        <x:v>html</x:v>
      </x:c>
      <x:c r="Z43" s="872"/>
      <x:c r="AA43" s="877"/>
      <x:c r="AB43" s="872" t="str">
        <x:v>Official regulation issued by Norwegian Government; included because it may impose binding requirements on an in-scope aquaculture asset, activity, permit or certification.</x:v>
      </x:c>
      <x:c r="AC43" s="872" t="str">
        <x:v>HIGH</x:v>
      </x:c>
      <x:c r="AD43" s="872" t="str">
        <x:v>MEDIUM</x:v>
      </x:c>
      <x:c r="AE43" s="872" t="str">
        <x:v>HIGH</x:v>
      </x:c>
      <x:c r="AF43" s="872" t="str">
        <x:v>HIGH</x:v>
      </x:c>
      <x:c r="AG43" s="872" t="str">
        <x:v>HIGH</x:v>
      </x:c>
      <x:c r="AH43" s="872" t="str">
        <x:v>HIGH</x:v>
      </x:c>
      <x:c r="AI43" s="872" t="str">
        <x:v>PENDING</x:v>
      </x:c>
      <x:c r="AJ43" s="872" t="str">
        <x:v>OFFICIAL_WEBSITE</x:v>
      </x:c>
      <x:c r="AK43" s="872" t="str">
        <x:v>OFFICIAL_ORIGINAL</x:v>
      </x:c>
      <x:c r="AL43" s="872" t="str">
        <x:v>ROLLING</x:v>
      </x:c>
      <x:c r="AM43" s="872"/>
      <x:c r="AN43" s="872" t="str">
        <x:v>CURRENT</x:v>
      </x:c>
      <x:c r="AO43" s="872"/>
      <x:c r="AP43" s="872" t="str">
        <x:v>Project-mentioned candidate. Include only for organic production or labelling scope.</x:v>
      </x:c>
      <x:c r="AQ43" s="878" t="n">
        <x:v>46265.588784722226</x:v>
      </x:c>
      <x:c r="AR43" s="874" t="str">
        <x:v>{"action": "APPLY_FIELD_UPDATES", "review_fingerprint": "7ea1c42e6affc6b1", "source_id": "PA006", "updates": {}}</x:v>
      </x:c>
    </x:row>
    <x:row r="44" s="36" customFormat="1" ht="30" customHeight="1">
      <x:c r="A44" s="871" t="str">
        <x:v>REV-be50ad8672bd8071</x:v>
      </x:c>
      <x:c r="B44" s="871" t="str">
        <x:v>SELECTION_REVIEW</x:v>
      </x:c>
      <x:c r="C44" s="871" t="str">
        <x:v>PA008</x:v>
      </x:c>
      <x:c r="D44" s="872" t="str">
        <x:v>Water Framework Regulations</x:v>
      </x:c>
      <x:c r="E44" s="871" t="str">
        <x:v>SELECTION_PENDING</x:v>
      </x:c>
      <x:c r="F44" s="871" t="str">
        <x:v>APPLY_FIELD_UPDATES</x:v>
      </x:c>
      <x:c r="G44" s="872" t="str">
        <x:v>PENDING</x:v>
      </x:c>
      <x:c r="H44" s="872"/>
      <x:c r="I44" s="875"/>
      <x:c r="J44" s="872"/>
      <x:c r="K44" s="873" t="str">
        <x:v>PENDING</x:v>
      </x:c>
      <x:c r="L44" s="876"/>
      <x:c r="M44" s="873" t="str">
        <x:v>operator_selection_decision is PENDING; mandatory assessment is not HIGH: scope_relevance. Required action: Review the human-governed source fields and choose INCLUDE, PENDING or EXCLUDE in Human Operation Desktop.</x:v>
      </x:c>
      <x:c r="N44" s="874"/>
      <x:c r="O44" s="874"/>
      <x:c r="P44" s="872" t="str">
        <x:v>https://lovdata.no/dokument/SF/forskrift/2006-12-15-1446</x:v>
      </x:c>
      <x:c r="Q44" s="872" t="str">
        <x:v>https://lovdata.no/dokument/SF/forskrift/2006-12-15-1446</x:v>
      </x:c>
      <x:c r="R44" s="872" t="str">
        <x:v>A_Public_Authority</x:v>
      </x:c>
      <x:c r="S44" s="872" t="str">
        <x:v>Norwegian Government</x:v>
      </x:c>
      <x:c r="T44" s="872" t="str">
        <x:v>Norway</x:v>
      </x:c>
      <x:c r="U44" s="872" t="str">
        <x:v>Regulation</x:v>
      </x:c>
      <x:c r="V44" s="872" t="str">
        <x:v>Public authority</x:v>
      </x:c>
      <x:c r="W44" s="872" t="str">
        <x:v>Referenced normative</x:v>
      </x:c>
      <x:c r="X44" s="872" t="str">
        <x:v>Norwegian</x:v>
      </x:c>
      <x:c r="Y44" s="872" t="str">
        <x:v>html</x:v>
      </x:c>
      <x:c r="Z44" s="872"/>
      <x:c r="AA44" s="877"/>
      <x:c r="AB44" s="872" t="str">
        <x:v>Official referenced source from Norwegian Government; included because an applicable law, permit or certification scheme may make its provisions binding within the approved scope.</x:v>
      </x:c>
      <x:c r="AC44" s="872" t="str">
        <x:v>HIGH</x:v>
      </x:c>
      <x:c r="AD44" s="872" t="str">
        <x:v>MEDIUM</x:v>
      </x:c>
      <x:c r="AE44" s="872" t="str">
        <x:v>HIGH</x:v>
      </x:c>
      <x:c r="AF44" s="872" t="str">
        <x:v>HIGH</x:v>
      </x:c>
      <x:c r="AG44" s="872" t="str">
        <x:v>HIGH</x:v>
      </x:c>
      <x:c r="AH44" s="872" t="str">
        <x:v>HIGH</x:v>
      </x:c>
      <x:c r="AI44" s="872" t="str">
        <x:v>PENDING</x:v>
      </x:c>
      <x:c r="AJ44" s="872" t="str">
        <x:v>OFFICIAL_WEBSITE</x:v>
      </x:c>
      <x:c r="AK44" s="872" t="str">
        <x:v>OFFICIAL_ORIGINAL</x:v>
      </x:c>
      <x:c r="AL44" s="872" t="str">
        <x:v>ROLLING</x:v>
      </x:c>
      <x:c r="AM44" s="872"/>
      <x:c r="AN44" s="872" t="str">
        <x:v>CURRENT</x:v>
      </x:c>
      <x:c r="AO44" s="872"/>
      <x:c r="AP44" s="872" t="str">
        <x:v>Project-mentioned candidate. Relevance depends on recipient and water-body assessment.</x:v>
      </x:c>
      <x:c r="AQ44" s="878" t="n">
        <x:v>46265.588784722226</x:v>
      </x:c>
      <x:c r="AR44" s="874" t="str">
        <x:v>{"action": "APPLY_FIELD_UPDATES", "review_fingerprint": "346ad8f278fbd1da", "source_id": "PA008", "updates": {}}</x:v>
      </x:c>
    </x:row>
    <x:row r="45" s="36" customFormat="1" ht="30" customHeight="1">
      <x:c r="A45" s="871" t="str">
        <x:v>REV-11b1978f24021c7d</x:v>
      </x:c>
      <x:c r="B45" s="871" t="str">
        <x:v>SELECTION_REVIEW</x:v>
      </x:c>
      <x:c r="C45" s="871" t="str">
        <x:v>PA010</x:v>
      </x:c>
      <x:c r="D45" s="872" t="str">
        <x:v>Regulation (EU) 2016/429 on transmissible animal diseases (Animal Health Law)</x:v>
      </x:c>
      <x:c r="E45" s="871" t="str">
        <x:v>SELECTION_PENDING</x:v>
      </x:c>
      <x:c r="F45" s="871" t="str">
        <x:v>APPLY_FIELD_UPDATES</x:v>
      </x:c>
      <x:c r="G45" s="872" t="str">
        <x:v>PENDING</x:v>
      </x:c>
      <x:c r="H45" s="872"/>
      <x:c r="I45" s="875"/>
      <x:c r="J45" s="872"/>
      <x:c r="K45" s="873" t="str">
        <x:v>PENDING</x:v>
      </x:c>
      <x:c r="L45" s="876"/>
      <x:c r="M45" s="873" t="str">
        <x:v>operator_selection_decision is PENDING; mandatory assessment is not HIGH: scope_relevance. Required action: Review the human-governed source fields and choose INCLUDE, PENDING or EXCLUDE in Human Operation Desktop.</x:v>
      </x:c>
      <x:c r="N45" s="874"/>
      <x:c r="O45" s="874"/>
      <x:c r="P45" s="872" t="str">
        <x:v>https://eur-lex.europa.eu/legal-content/EN/TXT/?uri=CELEX:32016R0429</x:v>
      </x:c>
      <x:c r="Q45" s="872" t="str">
        <x:v>https://publications.europa.eu/resource/oj/JOL_2016_084_R_0001.ENG</x:v>
      </x:c>
      <x:c r="R45" s="872" t="str">
        <x:v>A_Public_Authority</x:v>
      </x:c>
      <x:c r="S45" s="872" t="str">
        <x:v>European Parliament and Council of the European Union</x:v>
      </x:c>
      <x:c r="T45" s="872" t="str">
        <x:v>EU / EEA</x:v>
      </x:c>
      <x:c r="U45" s="872" t="str">
        <x:v>Regulation</x:v>
      </x:c>
      <x:c r="V45" s="872" t="str">
        <x:v>Public authority</x:v>
      </x:c>
      <x:c r="W45" s="872" t="str">
        <x:v>Referenced normative</x:v>
      </x:c>
      <x:c r="X45" s="872" t="str">
        <x:v>English</x:v>
      </x:c>
      <x:c r="Y45" s="872" t="str">
        <x:v>html</x:v>
      </x:c>
      <x:c r="Z45" s="872"/>
      <x:c r="AA45" s="877"/>
      <x:c r="AB45" s="872" t="str">
        <x:v>Official referenced source from European Parliament and Council of the European Union; included because an applicable law, permit or certification scheme may make its provisions binding within the approved scope.</x:v>
      </x:c>
      <x:c r="AC45" s="872" t="str">
        <x:v>HIGH</x:v>
      </x:c>
      <x:c r="AD45" s="872" t="str">
        <x:v>MEDIUM</x:v>
      </x:c>
      <x:c r="AE45" s="872" t="str">
        <x:v>HIGH</x:v>
      </x:c>
      <x:c r="AF45" s="872" t="str">
        <x:v>HIGH</x:v>
      </x:c>
      <x:c r="AG45" s="872" t="str">
        <x:v>HIGH</x:v>
      </x:c>
      <x:c r="AH45" s="872" t="str">
        <x:v>HIGH</x:v>
      </x:c>
      <x:c r="AI45" s="872" t="str">
        <x:v>PENDING</x:v>
      </x:c>
      <x:c r="AJ45" s="872" t="str">
        <x:v>OFFICIAL_WEBSITE</x:v>
      </x:c>
      <x:c r="AK45" s="872" t="str">
        <x:v>OFFICIAL_ORIGINAL</x:v>
      </x:c>
      <x:c r="AL45" s="872" t="str">
        <x:v>ROLLING</x:v>
      </x:c>
      <x:c r="AM45" s="872"/>
      <x:c r="AN45" s="872" t="str">
        <x:v>CURRENT</x:v>
      </x:c>
      <x:c r="AO45" s="872"/>
      <x:c r="AP45" s="872" t="str">
        <x:v>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x:v>
      </x:c>
      <x:c r="AQ45" s="878" t="n">
        <x:v>46265.588784722226</x:v>
      </x:c>
      <x:c r="AR45" s="874" t="str">
        <x:v>{"action": "APPLY_FIELD_UPDATES", "review_fingerprint": "8daa1a47a52c9720", "source_id": "PA010", "updates": {}}</x:v>
      </x:c>
    </x:row>
    <x:row r="46" s="36" customFormat="1" ht="30" customHeight="1">
      <x:c r="A46" s="871" t="str">
        <x:v>REV-8a99efd674a1471a</x:v>
      </x:c>
      <x:c r="B46" s="871" t="str">
        <x:v>SELECTION_REVIEW</x:v>
      </x:c>
      <x:c r="C46" s="871" t="str">
        <x:v>PA014</x:v>
      </x:c>
      <x:c r="D46" s="872" t="str">
        <x:v>Animal Health Personnel Act</x:v>
      </x:c>
      <x:c r="E46" s="871" t="str">
        <x:v>SELECTION_PENDING</x:v>
      </x:c>
      <x:c r="F46" s="871" t="str">
        <x:v>APPLY_FIELD_UPDATES</x:v>
      </x:c>
      <x:c r="G46" s="872" t="str">
        <x:v>PENDING</x:v>
      </x:c>
      <x:c r="H46" s="872"/>
      <x:c r="I46" s="875"/>
      <x:c r="J46" s="872"/>
      <x:c r="K46" s="873" t="str">
        <x:v>PENDING</x:v>
      </x:c>
      <x:c r="L46" s="876"/>
      <x:c r="M46" s="873" t="str">
        <x:v>operator_selection_decision is PENDING; mandatory assessment is not HIGH: scope_relevance. Required action: Review the human-governed source fields and choose INCLUDE, PENDING or EXCLUDE in Human Operation Desktop.</x:v>
      </x:c>
      <x:c r="N46" s="874"/>
      <x:c r="O46" s="874"/>
      <x:c r="P46" s="872" t="str">
        <x:v>https://lovdata.no/dokument/NL/lov/2001-06-15-75</x:v>
      </x:c>
      <x:c r="Q46" s="872" t="str">
        <x:v>https://lovdata.no/dokument/NL/lov/2001-06-15-75</x:v>
      </x:c>
      <x:c r="R46" s="872" t="str">
        <x:v>A_Public_Authority</x:v>
      </x:c>
      <x:c r="S46" s="872" t="str">
        <x:v>Norwegian Ministry of Agriculture and Food</x:v>
      </x:c>
      <x:c r="T46" s="872" t="str">
        <x:v>Norway</x:v>
      </x:c>
      <x:c r="U46" s="872" t="str">
        <x:v>Law</x:v>
      </x:c>
      <x:c r="V46" s="872" t="str">
        <x:v>Public authority</x:v>
      </x:c>
      <x:c r="W46" s="872" t="str">
        <x:v>Primary normative</x:v>
      </x:c>
      <x:c r="X46" s="872" t="str">
        <x:v>Norwegian</x:v>
      </x:c>
      <x:c r="Y46" s="872" t="str">
        <x:v>html</x:v>
      </x:c>
      <x:c r="Z46" s="872"/>
      <x:c r="AA46" s="877"/>
      <x:c r="AB46" s="872" t="str">
        <x:v>Official law issued by Norwegian Ministry of Agriculture and Food; included because it may impose binding requirements on an in-scope aquaculture asset, activity, permit or certification.</x:v>
      </x:c>
      <x:c r="AC46" s="872" t="str">
        <x:v>HIGH</x:v>
      </x:c>
      <x:c r="AD46" s="872" t="str">
        <x:v>MEDIUM</x:v>
      </x:c>
      <x:c r="AE46" s="872" t="str">
        <x:v>HIGH</x:v>
      </x:c>
      <x:c r="AF46" s="872" t="str">
        <x:v>HIGH</x:v>
      </x:c>
      <x:c r="AG46" s="872" t="str">
        <x:v>HIGH</x:v>
      </x:c>
      <x:c r="AH46" s="872" t="str">
        <x:v>HIGH</x:v>
      </x:c>
      <x:c r="AI46" s="872" t="str">
        <x:v>PENDING</x:v>
      </x:c>
      <x:c r="AJ46" s="872" t="str">
        <x:v>OFFICIAL_WEBSITE</x:v>
      </x:c>
      <x:c r="AK46" s="872" t="str">
        <x:v>OFFICIAL_ORIGINAL</x:v>
      </x:c>
      <x:c r="AL46" s="872" t="str">
        <x:v>ROLLING</x:v>
      </x:c>
      <x:c r="AM46" s="872"/>
      <x:c r="AN46" s="872" t="str">
        <x:v>CURRENT</x:v>
      </x:c>
      <x:c r="AO46" s="872"/>
      <x:c r="AP46" s="872" t="str">
        <x:v>Official expansion. Relevant where veterinarians or aquatic animal health personnel perform regulated tasks.</x:v>
      </x:c>
      <x:c r="AQ46" s="878" t="n">
        <x:v>46265.588784722226</x:v>
      </x:c>
      <x:c r="AR46" s="874" t="str">
        <x:v>{"action": "APPLY_FIELD_UPDATES", "review_fingerprint": "393bf6198b6fe800", "source_id": "PA014", "updates": {}}</x:v>
      </x:c>
    </x:row>
    <x:row r="47" s="36" customFormat="1" ht="30" customHeight="1">
      <x:c r="A47" s="871" t="str">
        <x:v>REV-38d94cf11ed8c0cd</x:v>
      </x:c>
      <x:c r="B47" s="871" t="str">
        <x:v>SELECTION_REVIEW</x:v>
      </x:c>
      <x:c r="C47" s="871" t="str">
        <x:v>PA018</x:v>
      </x:c>
      <x:c r="D47" s="872" t="str">
        <x:v>Ship Safety and Security Act</x:v>
      </x:c>
      <x:c r="E47" s="871" t="str">
        <x:v>SELECTION_PENDING</x:v>
      </x:c>
      <x:c r="F47" s="871" t="str">
        <x:v>APPLY_FIELD_UPDATES</x:v>
      </x:c>
      <x:c r="G47" s="872" t="str">
        <x:v>PENDING</x:v>
      </x:c>
      <x:c r="H47" s="872"/>
      <x:c r="I47" s="875"/>
      <x:c r="J47" s="872"/>
      <x:c r="K47" s="873" t="str">
        <x:v>PENDING</x:v>
      </x:c>
      <x:c r="L47" s="876"/>
      <x:c r="M47" s="873" t="str">
        <x:v>operator_selection_decision is PENDING; mandatory assessment is not HIGH: scope_relevance. Required action: Review the human-governed source fields and choose INCLUDE, PENDING or EXCLUDE in Human Operation Desktop.</x:v>
      </x:c>
      <x:c r="N47" s="874"/>
      <x:c r="O47" s="874"/>
      <x:c r="P47" s="872" t="str">
        <x:v>https://lovdata.no/dokument/NL/lov/2007-02-16-9</x:v>
      </x:c>
      <x:c r="Q47" s="872" t="str">
        <x:v>https://lovdata.no/dokument/NL/lov/2007-02-16-9</x:v>
      </x:c>
      <x:c r="R47" s="872" t="str">
        <x:v>A_Public_Authority</x:v>
      </x:c>
      <x:c r="S47" s="872" t="str">
        <x:v>Norwegian Government</x:v>
      </x:c>
      <x:c r="T47" s="872" t="str">
        <x:v>Norway</x:v>
      </x:c>
      <x:c r="U47" s="872" t="str">
        <x:v>Law</x:v>
      </x:c>
      <x:c r="V47" s="872" t="str">
        <x:v>Public authority</x:v>
      </x:c>
      <x:c r="W47" s="872" t="str">
        <x:v>Primary normative</x:v>
      </x:c>
      <x:c r="X47" s="872" t="str">
        <x:v>Norwegian</x:v>
      </x:c>
      <x:c r="Y47" s="872" t="str">
        <x:v>html</x:v>
      </x:c>
      <x:c r="Z47" s="872"/>
      <x:c r="AA47" s="877"/>
      <x:c r="AB47" s="872" t="str">
        <x:v>Official law issued by Norwegian Government; included because it may impose binding requirements on an in-scope aquaculture asset, activity, permit or certification.</x:v>
      </x:c>
      <x:c r="AC47" s="872" t="str">
        <x:v>HIGH</x:v>
      </x:c>
      <x:c r="AD47" s="872" t="str">
        <x:v>MEDIUM</x:v>
      </x:c>
      <x:c r="AE47" s="872" t="str">
        <x:v>HIGH</x:v>
      </x:c>
      <x:c r="AF47" s="872" t="str">
        <x:v>HIGH</x:v>
      </x:c>
      <x:c r="AG47" s="872" t="str">
        <x:v>HIGH</x:v>
      </x:c>
      <x:c r="AH47" s="872" t="str">
        <x:v>HIGH</x:v>
      </x:c>
      <x:c r="AI47" s="872" t="str">
        <x:v>PENDING</x:v>
      </x:c>
      <x:c r="AJ47" s="872" t="str">
        <x:v>OFFICIAL_WEBSITE</x:v>
      </x:c>
      <x:c r="AK47" s="872" t="str">
        <x:v>OFFICIAL_ORIGINAL</x:v>
      </x:c>
      <x:c r="AL47" s="872" t="str">
        <x:v>ROLLING</x:v>
      </x:c>
      <x:c r="AM47" s="872"/>
      <x:c r="AN47" s="872" t="str">
        <x:v>CURRENT</x:v>
      </x:c>
      <x:c r="AO47" s="872"/>
      <x:c r="AP47" s="872" t="str">
        <x:v>Official expansion. Conditional on vessels and maritime operations within client scope.</x:v>
      </x:c>
      <x:c r="AQ47" s="878" t="n">
        <x:v>46265.588784722226</x:v>
      </x:c>
      <x:c r="AR47" s="874" t="str">
        <x:v>{"action": "APPLY_FIELD_UPDATES", "review_fingerprint": "ab9b16769056818d", "source_id": "PA018", "updates": {}}</x:v>
      </x:c>
    </x:row>
    <x:row r="48" s="36" customFormat="1" ht="30" customHeight="1">
      <x:c r="A48" s="871" t="str">
        <x:v>REV-5e690579aaf1d5c9</x:v>
      </x:c>
      <x:c r="B48" s="871" t="str">
        <x:v>SELECTION_REVIEW</x:v>
      </x:c>
      <x:c r="C48" s="871" t="str">
        <x:v>PA019</x:v>
      </x:c>
      <x:c r="D48" s="872" t="str">
        <x:v>Regulation on transport of aquaculture animals</x:v>
      </x:c>
      <x:c r="E48" s="871" t="str">
        <x:v>SELECTION_PENDING</x:v>
      </x:c>
      <x:c r="F48" s="871" t="str">
        <x:v>APPLY_FIELD_UPDATES</x:v>
      </x:c>
      <x:c r="G48" s="872" t="str">
        <x:v>PENDING</x:v>
      </x:c>
      <x:c r="H48" s="872"/>
      <x:c r="I48" s="875"/>
      <x:c r="J48" s="872"/>
      <x:c r="K48" s="873" t="str">
        <x:v>PENDING</x:v>
      </x:c>
      <x:c r="L48" s="876"/>
      <x:c r="M48" s="873" t="str">
        <x:v>operator_selection_decision is PENDING; mandatory assessment is not HIGH: scope_relevance. Required action: Review the human-governed source fields and choose INCLUDE, PENDING or EXCLUDE in Human Operation Desktop.</x:v>
      </x:c>
      <x:c r="N48" s="874"/>
      <x:c r="O48" s="874"/>
      <x:c r="P48" s="872" t="str">
        <x:v>https://lovdata.no/dokument/SF/forskrift/2008-06-17-820</x:v>
      </x:c>
      <x:c r="Q48" s="872" t="str">
        <x:v>https://lovdata.no/dokument/SF/forskrift/2008-06-17-820</x:v>
      </x:c>
      <x:c r="R48" s="872" t="str">
        <x:v>A_Public_Authority</x:v>
      </x:c>
      <x:c r="S48" s="872" t="str">
        <x:v>Norwegian Government</x:v>
      </x:c>
      <x:c r="T48" s="872" t="str">
        <x:v>Norway</x:v>
      </x:c>
      <x:c r="U48" s="872" t="str">
        <x:v>Regulation</x:v>
      </x:c>
      <x:c r="V48" s="872" t="str">
        <x:v>Public authority</x:v>
      </x:c>
      <x:c r="W48" s="872" t="str">
        <x:v>Primary normative</x:v>
      </x:c>
      <x:c r="X48" s="872" t="str">
        <x:v>Norwegian</x:v>
      </x:c>
      <x:c r="Y48" s="872" t="str">
        <x:v>html</x:v>
      </x:c>
      <x:c r="Z48" s="872"/>
      <x:c r="AA48" s="877"/>
      <x:c r="AB48" s="872" t="str">
        <x:v>Official regulation issued by Norwegian Government; included because it may impose binding requirements on an in-scope aquaculture asset, activity, permit or certification.</x:v>
      </x:c>
      <x:c r="AC48" s="872" t="str">
        <x:v>HIGH</x:v>
      </x:c>
      <x:c r="AD48" s="872" t="str">
        <x:v>MEDIUM</x:v>
      </x:c>
      <x:c r="AE48" s="872" t="str">
        <x:v>HIGH</x:v>
      </x:c>
      <x:c r="AF48" s="872" t="str">
        <x:v>HIGH</x:v>
      </x:c>
      <x:c r="AG48" s="872" t="str">
        <x:v>HIGH</x:v>
      </x:c>
      <x:c r="AH48" s="872" t="str">
        <x:v>HIGH</x:v>
      </x:c>
      <x:c r="AI48" s="872" t="str">
        <x:v>PENDING</x:v>
      </x:c>
      <x:c r="AJ48" s="872" t="str">
        <x:v>OFFICIAL_WEBSITE</x:v>
      </x:c>
      <x:c r="AK48" s="872" t="str">
        <x:v>OFFICIAL_ORIGINAL</x:v>
      </x:c>
      <x:c r="AL48" s="872" t="str">
        <x:v>ROLLING</x:v>
      </x:c>
      <x:c r="AM48" s="872"/>
      <x:c r="AN48" s="872" t="str">
        <x:v>CURRENT</x:v>
      </x:c>
      <x:c r="AO48" s="872"/>
      <x:c r="AP48" s="872" t="str">
        <x:v>Official expansion from Mattilsynet. Conditional on live-animal transport activities.</x:v>
      </x:c>
      <x:c r="AQ48" s="878" t="n">
        <x:v>46265.588784722226</x:v>
      </x:c>
      <x:c r="AR48" s="874" t="str">
        <x:v>{"action": "APPLY_FIELD_UPDATES", "review_fingerprint": "757291b3753c0884", "source_id": "PA019", "updates": {}}</x:v>
      </x:c>
    </x:row>
    <x:row r="49" s="36" customFormat="1" ht="30" customHeight="1">
      <x:c r="A49" s="871" t="str">
        <x:v>REV-b58ddb9b2cdd1606</x:v>
      </x:c>
      <x:c r="B49" s="871" t="str">
        <x:v>SELECTION_REVIEW</x:v>
      </x:c>
      <x:c r="C49" s="871" t="str">
        <x:v>PA020</x:v>
      </x:c>
      <x:c r="D49" s="872" t="str">
        <x:v>Regulation on slaughterhouses and processing facilities for aquaculture animals</x:v>
      </x:c>
      <x:c r="E49" s="871" t="str">
        <x:v>SELECTION_PENDING</x:v>
      </x:c>
      <x:c r="F49" s="871" t="str">
        <x:v>APPLY_FIELD_UPDATES</x:v>
      </x:c>
      <x:c r="G49" s="872" t="str">
        <x:v>PENDING</x:v>
      </x:c>
      <x:c r="H49" s="872"/>
      <x:c r="I49" s="875"/>
      <x:c r="J49" s="872"/>
      <x:c r="K49" s="873" t="str">
        <x:v>PENDING</x:v>
      </x:c>
      <x:c r="L49" s="876"/>
      <x:c r="M49" s="873" t="str">
        <x:v>operator_selection_decision is PENDING; mandatory assessment is not HIGH: scope_relevance. Required action: Review the human-governed source fields and choose INCLUDE, PENDING or EXCLUDE in Human Operation Desktop.</x:v>
      </x:c>
      <x:c r="N49" s="874"/>
      <x:c r="O49" s="874"/>
      <x:c r="P49" s="872" t="str">
        <x:v>https://lovdata.no/dokument/SF/forskrift/2006-10-30-1250</x:v>
      </x:c>
      <x:c r="Q49" s="872" t="str">
        <x:v>https://lovdata.no/dokument/SF/forskrift/2006-10-30-1250</x:v>
      </x:c>
      <x:c r="R49" s="872" t="str">
        <x:v>A_Public_Authority</x:v>
      </x:c>
      <x:c r="S49" s="872" t="str">
        <x:v>Norwegian Ministry of Trade, Industry and Fisheries</x:v>
      </x:c>
      <x:c r="T49" s="872" t="str">
        <x:v>Norway</x:v>
      </x:c>
      <x:c r="U49" s="872" t="str">
        <x:v>Regulation</x:v>
      </x:c>
      <x:c r="V49" s="872" t="str">
        <x:v>Public authority</x:v>
      </x:c>
      <x:c r="W49" s="872" t="str">
        <x:v>Primary normative</x:v>
      </x:c>
      <x:c r="X49" s="872" t="str">
        <x:v>Norwegian</x:v>
      </x:c>
      <x:c r="Y49" s="872" t="str">
        <x:v>html</x:v>
      </x:c>
      <x:c r="Z49" s="872"/>
      <x:c r="AA49" s="877"/>
      <x:c r="AB49" s="872" t="str">
        <x:v>Official regulation issued by Norwegian Ministry of Trade, Industry and Fisheries; included because it may impose binding requirements on an in-scope aquaculture asset, activity, permit or certification.</x:v>
      </x:c>
      <x:c r="AC49" s="872" t="str">
        <x:v>HIGH</x:v>
      </x:c>
      <x:c r="AD49" s="872" t="str">
        <x:v>MEDIUM</x:v>
      </x:c>
      <x:c r="AE49" s="872" t="str">
        <x:v>HIGH</x:v>
      </x:c>
      <x:c r="AF49" s="872" t="str">
        <x:v>HIGH</x:v>
      </x:c>
      <x:c r="AG49" s="872" t="str">
        <x:v>HIGH</x:v>
      </x:c>
      <x:c r="AH49" s="872" t="str">
        <x:v>HIGH</x:v>
      </x:c>
      <x:c r="AI49" s="872" t="str">
        <x:v>PENDING</x:v>
      </x:c>
      <x:c r="AJ49" s="872" t="str">
        <x:v>OFFICIAL_WEBSITE</x:v>
      </x:c>
      <x:c r="AK49" s="872" t="str">
        <x:v>OFFICIAL_ORIGINAL</x:v>
      </x:c>
      <x:c r="AL49" s="872" t="str">
        <x:v>ROLLING</x:v>
      </x:c>
      <x:c r="AM49" s="872"/>
      <x:c r="AN49" s="872" t="str">
        <x:v>CURRENT</x:v>
      </x:c>
      <x:c r="AO49" s="872"/>
      <x:c r="AP49" s="872" t="str">
        <x:v>Official expansion from Mattilsynet. Include only when slaughter or processing is in scope.</x:v>
      </x:c>
      <x:c r="AQ49" s="878" t="n">
        <x:v>46265.588784722226</x:v>
      </x:c>
      <x:c r="AR49" s="874" t="str">
        <x:v>{"action": "APPLY_FIELD_UPDATES", "review_fingerprint": "ed5ca11ea51bc5e6", "source_id": "PA020", "updates": {}}</x:v>
      </x:c>
    </x:row>
    <x:row r="50" s="36" customFormat="1" ht="30" customHeight="1">
      <x:c r="A50" s="871" t="str">
        <x:v>REV-88a0b98a803fe812</x:v>
      </x:c>
      <x:c r="B50" s="871" t="str">
        <x:v>SELECTION_REVIEW</x:v>
      </x:c>
      <x:c r="C50" s="871" t="str">
        <x:v>PA021</x:v>
      </x:c>
      <x:c r="D50" s="872" t="str">
        <x:v>Regulation on permits for aquaculture of salmon, trout and rainbow trout (Salmon Allocation Regulations)</x:v>
      </x:c>
      <x:c r="E50" s="871" t="str">
        <x:v>SELECTION_PENDING</x:v>
      </x:c>
      <x:c r="F50" s="871" t="str">
        <x:v>APPLY_FIELD_UPDATES</x:v>
      </x:c>
      <x:c r="G50" s="872" t="str">
        <x:v>PENDING</x:v>
      </x:c>
      <x:c r="H50" s="872"/>
      <x:c r="I50" s="875"/>
      <x:c r="J50" s="872"/>
      <x:c r="K50" s="873" t="str">
        <x:v>PENDING</x:v>
      </x:c>
      <x:c r="L50" s="876"/>
      <x:c r="M50" s="873" t="str">
        <x:v>operator_selection_decision is PENDING; mandatory assessment is not HIGH: scope_relevance. Required action: Review the human-governed source fields and choose INCLUDE, PENDING or EXCLUDE in Human Operation Desktop.</x:v>
      </x:c>
      <x:c r="N50" s="874"/>
      <x:c r="O50" s="874"/>
      <x:c r="P50" s="872" t="str">
        <x:v>https://lovdata.no/dokument/SF/forskrift/2022-11-07-1929</x:v>
      </x:c>
      <x:c r="Q50" s="872" t="str">
        <x:v>https://lovdata.no/dokument/SF/forskrift/2022-11-07-1929</x:v>
      </x:c>
      <x:c r="R50" s="872" t="str">
        <x:v>A_Public_Authority</x:v>
      </x:c>
      <x:c r="S50" s="872" t="str">
        <x:v>Norwegian Ministry of Trade, Industry and Fisheries</x:v>
      </x:c>
      <x:c r="T50" s="872" t="str">
        <x:v>Norway</x:v>
      </x:c>
      <x:c r="U50" s="872" t="str">
        <x:v>Regulation</x:v>
      </x:c>
      <x:c r="V50" s="872" t="str">
        <x:v>Public authority</x:v>
      </x:c>
      <x:c r="W50" s="872" t="str">
        <x:v>Primary normative</x:v>
      </x:c>
      <x:c r="X50" s="872" t="str">
        <x:v>Norwegian</x:v>
      </x:c>
      <x:c r="Y50" s="872" t="str">
        <x:v>html</x:v>
      </x:c>
      <x:c r="Z50" s="872"/>
      <x:c r="AA50" s="877"/>
      <x:c r="AB50" s="872" t="str">
        <x:v>Official regulation issued by Norwegian Ministry of Trade, Industry and Fisheries; included because it may impose binding requirements on an in-scope aquaculture asset, activity, permit or certification.</x:v>
      </x:c>
      <x:c r="AC50" s="872" t="str">
        <x:v>HIGH</x:v>
      </x:c>
      <x:c r="AD50" s="872" t="str">
        <x:v>MEDIUM</x:v>
      </x:c>
      <x:c r="AE50" s="872" t="str">
        <x:v>HIGH</x:v>
      </x:c>
      <x:c r="AF50" s="872" t="str">
        <x:v>HIGH</x:v>
      </x:c>
      <x:c r="AG50" s="872" t="str">
        <x:v>HIGH</x:v>
      </x:c>
      <x:c r="AH50" s="872" t="str">
        <x:v>HIGH</x:v>
      </x:c>
      <x:c r="AI50" s="872" t="str">
        <x:v>PENDING</x:v>
      </x:c>
      <x:c r="AJ50" s="872" t="str">
        <x:v>OFFICIAL_WEBSITE</x:v>
      </x:c>
      <x:c r="AK50" s="872" t="str">
        <x:v>OFFICIAL_ORIGINAL</x:v>
      </x:c>
      <x:c r="AL50" s="872" t="str">
        <x:v>ROLLING</x:v>
      </x:c>
      <x:c r="AM50" s="872"/>
      <x:c r="AN50" s="872" t="str">
        <x:v>CURRENT</x:v>
      </x:c>
      <x:c r="AO50" s="872"/>
      <x:c r="AP50" s="872" t="str">
        <x:v>Official expansion from Fiskeridirektoratet's aquaculture regulation index; conditional on species and permit type.</x:v>
      </x:c>
      <x:c r="AQ50" s="878" t="n">
        <x:v>46265.588784722226</x:v>
      </x:c>
      <x:c r="AR50" s="874" t="str">
        <x:v>{"action": "APPLY_FIELD_UPDATES", "review_fingerprint": "edc10b0b9e392793", "source_id": "PA021", "updates": {}}</x:v>
      </x:c>
    </x:row>
    <x:row r="51" s="36" customFormat="1" ht="30" customHeight="1">
      <x:c r="A51" s="871" t="str">
        <x:v>REV-a4a9fae91c3828f8</x:v>
      </x:c>
      <x:c r="B51" s="871" t="str">
        <x:v>SELECTION_REVIEW</x:v>
      </x:c>
      <x:c r="C51" s="871" t="str">
        <x:v>PA022</x:v>
      </x:c>
      <x:c r="D51" s="872" t="str">
        <x:v>Regulation on technical standards for land-based aquaculture facilities for fish</x:v>
      </x:c>
      <x:c r="E51" s="871" t="str">
        <x:v>SELECTION_PENDING</x:v>
      </x:c>
      <x:c r="F51" s="871" t="str">
        <x:v>APPLY_FIELD_UPDATES</x:v>
      </x:c>
      <x:c r="G51" s="872" t="str">
        <x:v>PENDING</x:v>
      </x:c>
      <x:c r="H51" s="872"/>
      <x:c r="I51" s="875"/>
      <x:c r="J51" s="872"/>
      <x:c r="K51" s="873" t="str">
        <x:v>PENDING</x:v>
      </x:c>
      <x:c r="L51" s="876"/>
      <x:c r="M51" s="873" t="str">
        <x:v>operator_selection_decision is PENDING; mandatory assessment is not HIGH: scope_relevance. Required action: Review the human-governed source fields and choose INCLUDE, PENDING or EXCLUDE in Human Operation Desktop.</x:v>
      </x:c>
      <x:c r="N51" s="874"/>
      <x:c r="O51" s="874"/>
      <x:c r="P51" s="872" t="str">
        <x:v>https://lovdata.no/dokument/SF/forskrift/2017-06-19-941</x:v>
      </x:c>
      <x:c r="Q51" s="872" t="str">
        <x:v>https://lovdata.no/dokument/SF/forskrift/2017-06-19-941</x:v>
      </x:c>
      <x:c r="R51" s="872" t="str">
        <x:v>A_Public_Authority</x:v>
      </x:c>
      <x:c r="S51" s="872" t="str">
        <x:v>Norwegian Ministry of Trade, Industry and Fisheries</x:v>
      </x:c>
      <x:c r="T51" s="872" t="str">
        <x:v>Norway</x:v>
      </x:c>
      <x:c r="U51" s="872" t="str">
        <x:v>Regulation</x:v>
      </x:c>
      <x:c r="V51" s="872" t="str">
        <x:v>Public authority</x:v>
      </x:c>
      <x:c r="W51" s="872" t="str">
        <x:v>Primary normative</x:v>
      </x:c>
      <x:c r="X51" s="872" t="str">
        <x:v>Norwegian</x:v>
      </x:c>
      <x:c r="Y51" s="872" t="str">
        <x:v>html</x:v>
      </x:c>
      <x:c r="Z51" s="872"/>
      <x:c r="AA51" s="877"/>
      <x:c r="AB51" s="872" t="str">
        <x:v>Official regulation issued by Norwegian Ministry of Trade, Industry and Fisheries; included because it may impose binding requirements on an in-scope aquaculture asset, activity, permit or certification.</x:v>
      </x:c>
      <x:c r="AC51" s="872" t="str">
        <x:v>HIGH</x:v>
      </x:c>
      <x:c r="AD51" s="872" t="str">
        <x:v>MEDIUM</x:v>
      </x:c>
      <x:c r="AE51" s="872" t="str">
        <x:v>HIGH</x:v>
      </x:c>
      <x:c r="AF51" s="872" t="str">
        <x:v>HIGH</x:v>
      </x:c>
      <x:c r="AG51" s="872" t="str">
        <x:v>HIGH</x:v>
      </x:c>
      <x:c r="AH51" s="872" t="str">
        <x:v>HIGH</x:v>
      </x:c>
      <x:c r="AI51" s="872" t="str">
        <x:v>PENDING</x:v>
      </x:c>
      <x:c r="AJ51" s="872" t="str">
        <x:v>OFFICIAL_WEBSITE</x:v>
      </x:c>
      <x:c r="AK51" s="872" t="str">
        <x:v>OFFICIAL_ORIGINAL</x:v>
      </x:c>
      <x:c r="AL51" s="872" t="str">
        <x:v>ROLLING</x:v>
      </x:c>
      <x:c r="AM51" s="872"/>
      <x:c r="AN51" s="872" t="str">
        <x:v>CURRENT</x:v>
      </x:c>
      <x:c r="AO51" s="872"/>
      <x:c r="AP51" s="872" t="str">
        <x:v>Official expansion. Include only for land-based facilities.</x:v>
      </x:c>
      <x:c r="AQ51" s="878" t="n">
        <x:v>46265.588784722226</x:v>
      </x:c>
      <x:c r="AR51" s="874" t="str">
        <x:v>{"action": "APPLY_FIELD_UPDATES", "review_fingerprint": "c01670ba1de8d6cc", "source_id": "PA022", "updates": {}}</x:v>
      </x:c>
    </x:row>
    <x:row r="52" s="36" customFormat="1" ht="30" customHeight="1">
      <x:c r="A52" s="871" t="str">
        <x:v>REV-0ca7023d06f32682</x:v>
      </x:c>
      <x:c r="B52" s="871" t="str">
        <x:v>SELECTION_REVIEW</x:v>
      </x:c>
      <x:c r="C52" s="871" t="str">
        <x:v>PA028</x:v>
      </x:c>
      <x:c r="D52" s="872" t="str">
        <x:v>Norwegian Aquaculture Register</x:v>
      </x:c>
      <x:c r="E52" s="871" t="str">
        <x:v>SELECTION_PENDING</x:v>
      </x:c>
      <x:c r="F52" s="871" t="str">
        <x:v>APPLY_FIELD_UPDATES</x:v>
      </x:c>
      <x:c r="G52" s="872" t="str">
        <x:v>PENDING</x:v>
      </x:c>
      <x:c r="H52" s="872"/>
      <x:c r="I52" s="875"/>
      <x:c r="J52" s="872"/>
      <x:c r="K52" s="873" t="str">
        <x:v>PENDING</x:v>
      </x:c>
      <x:c r="L52" s="876"/>
      <x:c r="M52" s="873" t="str">
        <x:v>operator_selection_decision is PENDING; mandatory assessment is not HIGH: scope_relevance. Required action: Review the human-governed source fields and choose INCLUDE, PENDING or EXCLUDE in Human Operation Desktop.</x:v>
      </x:c>
      <x:c r="N52" s="874"/>
      <x:c r="O52" s="874"/>
      <x:c r="P52" s="872" t="str">
        <x:v>https://www.fiskeridir.no/registre/akvakulturregisteret</x:v>
      </x:c>
      <x:c r="Q52" s="872" t="str">
        <x:v>https://www.fiskeridir.no/registre/akvakulturregisteret</x:v>
      </x:c>
      <x:c r="R52" s="872" t="str">
        <x:v>A_Public_Authority</x:v>
      </x:c>
      <x:c r="S52" s="872" t="str">
        <x:v>Norwegian Directorate of Fisheries</x:v>
      </x:c>
      <x:c r="T52" s="872" t="str">
        <x:v>Norway</x:v>
      </x:c>
      <x:c r="U52" s="872" t="str">
        <x:v>Other</x:v>
      </x:c>
      <x:c r="V52" s="872" t="str">
        <x:v>Public authority</x:v>
      </x:c>
      <x:c r="W52" s="872" t="str">
        <x:v>Context / evidence</x:v>
      </x:c>
      <x:c r="X52" s="872" t="str">
        <x:v>Norwegian</x:v>
      </x:c>
      <x:c r="Y52" s="872" t="str">
        <x:v>html</x:v>
      </x:c>
      <x:c r="Z52" s="872"/>
      <x:c r="AA52" s="877"/>
      <x:c r="AB52" s="872" t="str">
        <x:v>Official context source from Norwegian Directorate of Fisheries; included for applicability, site identity or source discovery, not for generating standalone requirements.</x:v>
      </x:c>
      <x:c r="AC52" s="872" t="str">
        <x:v>HIGH</x:v>
      </x:c>
      <x:c r="AD52" s="872" t="str">
        <x:v>MEDIUM</x:v>
      </x:c>
      <x:c r="AE52" s="872" t="str">
        <x:v>HIGH</x:v>
      </x:c>
      <x:c r="AF52" s="872" t="str">
        <x:v>HIGH</x:v>
      </x:c>
      <x:c r="AG52" s="872" t="str">
        <x:v>HIGH</x:v>
      </x:c>
      <x:c r="AH52" s="872" t="str">
        <x:v>HIGH</x:v>
      </x:c>
      <x:c r="AI52" s="872" t="str">
        <x:v>PENDING</x:v>
      </x:c>
      <x:c r="AJ52" s="872" t="str">
        <x:v>OFFICIAL_WEBSITE</x:v>
      </x:c>
      <x:c r="AK52" s="872" t="str">
        <x:v>OFFICIAL_ORIGINAL</x:v>
      </x:c>
      <x:c r="AL52" s="872" t="str">
        <x:v>ROLLING</x:v>
      </x:c>
      <x:c r="AM52" s="872"/>
      <x:c r="AN52" s="872" t="str">
        <x:v>CURRENT</x:v>
      </x:c>
      <x:c r="AO52" s="872" t="str">
        <x:v>PA032</x:v>
      </x:c>
      <x:c r="AP52" s="872" t="str">
        <x:v>Official expansion. Applicability and site identity source, not a primary source of normative text.</x:v>
      </x:c>
      <x:c r="AQ52" s="878" t="n">
        <x:v>46265.588784722226</x:v>
      </x:c>
      <x:c r="AR52" s="874" t="str">
        <x:v>{"action": "APPLY_FIELD_UPDATES", "review_fingerprint": "bb95a3f828b803ee", "source_id": "PA028", "updates": {}}</x:v>
      </x:c>
    </x:row>
    <x:row r="53" s="36" customFormat="1" ht="30" customHeight="1">
      <x:c r="A53" s="871" t="str">
        <x:v>REV-42380bf7d1594e91</x:v>
      </x:c>
      <x:c r="B53" s="871" t="str">
        <x:v>SELECTION_REVIEW</x:v>
      </x:c>
      <x:c r="C53" s="871" t="str">
        <x:v>PA030</x:v>
      </x:c>
      <x:c r="D53" s="872" t="str">
        <x:v>Regulation on special requirements for aquaculture-related activities in or near national salmon rivers and fjords</x:v>
      </x:c>
      <x:c r="E53" s="871" t="str">
        <x:v>SELECTION_PENDING</x:v>
      </x:c>
      <x:c r="F53" s="871" t="str">
        <x:v>APPLY_FIELD_UPDATES</x:v>
      </x:c>
      <x:c r="G53" s="872" t="str">
        <x:v>PENDING</x:v>
      </x:c>
      <x:c r="H53" s="872"/>
      <x:c r="I53" s="875"/>
      <x:c r="J53" s="872"/>
      <x:c r="K53" s="873" t="str">
        <x:v>PENDING</x:v>
      </x:c>
      <x:c r="L53" s="876"/>
      <x:c r="M53" s="873" t="str">
        <x:v>operator_selection_decision is PENDING; mandatory assessment is not HIGH: scope_relevance. Required action: Review the human-governed source fields and choose INCLUDE, PENDING or EXCLUDE in Human Operation Desktop.</x:v>
      </x:c>
      <x:c r="N53" s="874"/>
      <x:c r="O53" s="874"/>
      <x:c r="P53" s="872" t="str">
        <x:v>https://lovdata.no/dokument/SF/forskrift/2009-06-22-961</x:v>
      </x:c>
      <x:c r="Q53" s="872" t="str">
        <x:v>https://lovdata.no/dokument/SF/forskrift/2009-06-22-961</x:v>
      </x:c>
      <x:c r="R53" s="872" t="str">
        <x:v>A_Public_Authority</x:v>
      </x:c>
      <x:c r="S53" s="872" t="str">
        <x:v>Norwegian Ministry of Trade, Industry and Fisheries</x:v>
      </x:c>
      <x:c r="T53" s="872" t="str">
        <x:v>Norway</x:v>
      </x:c>
      <x:c r="U53" s="872" t="str">
        <x:v>Regulation</x:v>
      </x:c>
      <x:c r="V53" s="872" t="str">
        <x:v>Public authority</x:v>
      </x:c>
      <x:c r="W53" s="872" t="str">
        <x:v>Primary normative</x:v>
      </x:c>
      <x:c r="X53" s="872" t="str">
        <x:v>Norwegian</x:v>
      </x:c>
      <x:c r="Y53" s="872" t="str">
        <x:v>html</x:v>
      </x:c>
      <x:c r="Z53" s="872"/>
      <x:c r="AA53" s="877"/>
      <x:c r="AB53" s="872" t="str">
        <x:v>Official regulation issued by Norwegian Ministry of Trade, Industry and Fisheries; included because it may impose binding requirements on an in-scope aquaculture asset, activity, permit or certification.</x:v>
      </x:c>
      <x:c r="AC53" s="872" t="str">
        <x:v>HIGH</x:v>
      </x:c>
      <x:c r="AD53" s="872" t="str">
        <x:v>MEDIUM</x:v>
      </x:c>
      <x:c r="AE53" s="872" t="str">
        <x:v>HIGH</x:v>
      </x:c>
      <x:c r="AF53" s="872" t="str">
        <x:v>HIGH</x:v>
      </x:c>
      <x:c r="AG53" s="872" t="str">
        <x:v>HIGH</x:v>
      </x:c>
      <x:c r="AH53" s="872" t="str">
        <x:v>HIGH</x:v>
      </x:c>
      <x:c r="AI53" s="872" t="str">
        <x:v>PENDING</x:v>
      </x:c>
      <x:c r="AJ53" s="872" t="str">
        <x:v>OFFICIAL_WEBSITE</x:v>
      </x:c>
      <x:c r="AK53" s="872" t="str">
        <x:v>OFFICIAL_ORIGINAL</x:v>
      </x:c>
      <x:c r="AL53" s="872" t="str">
        <x:v>ROLLING</x:v>
      </x:c>
      <x:c r="AM53" s="872"/>
      <x:c r="AN53" s="872" t="str">
        <x:v>CURRENT</x:v>
      </x:c>
      <x:c r="AO53" s="872"/>
      <x:c r="AP53" s="872" t="str">
        <x:v>Official expansion from the aquaculture regulation index. Site-specific applicability must be established.</x:v>
      </x:c>
      <x:c r="AQ53" s="878" t="n">
        <x:v>46265.588784722226</x:v>
      </x:c>
      <x:c r="AR53" s="874" t="str">
        <x:v>{"action": "APPLY_FIELD_UPDATES", "review_fingerprint": "7d55f58a81a9f1ca", "source_id": "PA030", "updates": {}}</x:v>
      </x:c>
    </x:row>
    <x:row r="54" s="36" customFormat="1" ht="30" customHeight="1">
      <x:c r="A54" s="871" t="str">
        <x:v>REV-8bc860f54ae05aff</x:v>
      </x:c>
      <x:c r="B54" s="871" t="str">
        <x:v>SELECTION_REVIEW</x:v>
      </x:c>
      <x:c r="C54" s="871" t="str">
        <x:v>PA033</x:v>
      </x:c>
      <x:c r="D54" s="872" t="str">
        <x:v>Regulation on catch-based aquaculture</x:v>
      </x:c>
      <x:c r="E54" s="871" t="str">
        <x:v>SELECTION_PENDING</x:v>
      </x:c>
      <x:c r="F54" s="871" t="str">
        <x:v>APPLY_FIELD_UPDATES</x:v>
      </x:c>
      <x:c r="G54" s="872" t="str">
        <x:v>PENDING</x:v>
      </x:c>
      <x:c r="H54" s="872"/>
      <x:c r="I54" s="875"/>
      <x:c r="J54" s="872"/>
      <x:c r="K54" s="873" t="str">
        <x:v>PENDING</x:v>
      </x:c>
      <x:c r="L54" s="876"/>
      <x:c r="M54" s="873" t="str">
        <x:v>operator_selection_decision is PENDING; mandatory assessment is not HIGH: scope_relevance. Required action: Review the human-governed source fields and choose INCLUDE, PENDING or EXCLUDE in Human Operation Desktop.</x:v>
      </x:c>
      <x:c r="N54" s="874"/>
      <x:c r="O54" s="874"/>
      <x:c r="P54" s="872" t="str">
        <x:v>https://lovdata.no/dokument/SF/forskrift/2014-12-15-1831</x:v>
      </x:c>
      <x:c r="Q54" s="872" t="str">
        <x:v>https://lovdata.no/dokument/SF/forskrift/2014-12-15-1831</x:v>
      </x:c>
      <x:c r="R54" s="872" t="str">
        <x:v>A_Public_Authority</x:v>
      </x:c>
      <x:c r="S54" s="872" t="str">
        <x:v>Norwegian Ministry of Trade, Industry and Fisheries</x:v>
      </x:c>
      <x:c r="T54" s="872" t="str">
        <x:v>Norway</x:v>
      </x:c>
      <x:c r="U54" s="872" t="str">
        <x:v>Regulation</x:v>
      </x:c>
      <x:c r="V54" s="872" t="str">
        <x:v>Public authority</x:v>
      </x:c>
      <x:c r="W54" s="872" t="str">
        <x:v>Primary normative</x:v>
      </x:c>
      <x:c r="X54" s="872" t="str">
        <x:v>Norwegian</x:v>
      </x:c>
      <x:c r="Y54" s="872" t="str">
        <x:v>html</x:v>
      </x:c>
      <x:c r="Z54" s="872"/>
      <x:c r="AA54" s="877"/>
      <x:c r="AB54" s="872" t="str">
        <x:v>Official regulation issued by Norwegian Ministry of Trade, Industry and Fisheries; included because it may impose binding requirements on an in-scope aquaculture asset, activity, permit or certification.</x:v>
      </x:c>
      <x:c r="AC54" s="872" t="str">
        <x:v>HIGH</x:v>
      </x:c>
      <x:c r="AD54" s="872" t="str">
        <x:v>MEDIUM</x:v>
      </x:c>
      <x:c r="AE54" s="872" t="str">
        <x:v>HIGH</x:v>
      </x:c>
      <x:c r="AF54" s="872" t="str">
        <x:v>HIGH</x:v>
      </x:c>
      <x:c r="AG54" s="872" t="str">
        <x:v>HIGH</x:v>
      </x:c>
      <x:c r="AH54" s="872" t="str">
        <x:v>HIGH</x:v>
      </x:c>
      <x:c r="AI54" s="872" t="str">
        <x:v>PENDING</x:v>
      </x:c>
      <x:c r="AJ54" s="872" t="str">
        <x:v>OFFICIAL_WEBSITE</x:v>
      </x:c>
      <x:c r="AK54" s="872" t="str">
        <x:v>OFFICIAL_ORIGINAL</x:v>
      </x:c>
      <x:c r="AL54" s="872" t="str">
        <x:v>ROLLING</x:v>
      </x:c>
      <x:c r="AM54" s="872"/>
      <x:c r="AN54" s="872" t="str">
        <x:v>CURRENT</x:v>
      </x:c>
      <x:c r="AO54" s="872"/>
      <x:c r="AP54" s="872" t="str">
        <x:v>Official coverage expansion from the aquaculture regulation index. Include only for catch-based aquaculture activities.</x:v>
      </x:c>
      <x:c r="AQ54" s="878" t="n">
        <x:v>46265.588784722226</x:v>
      </x:c>
      <x:c r="AR54" s="874" t="str">
        <x:v>{"action": "APPLY_FIELD_UPDATES", "review_fingerprint": "54566c8cdc525021", "source_id": "PA033", "updates": {}}</x:v>
      </x:c>
    </x:row>
    <x:row r="55" s="36" customFormat="1" ht="30" customHeight="1">
      <x:c r="A55" s="871" t="str">
        <x:v>REV-d2d4ca5ed0b4f7ee</x:v>
      </x:c>
      <x:c r="B55" s="871" t="str">
        <x:v>SELECTION_REVIEW</x:v>
      </x:c>
      <x:c r="C55" s="871" t="str">
        <x:v>PA034</x:v>
      </x:c>
      <x:c r="D55" s="872" t="str">
        <x:v>Regulation on coordination and time limits for processing aquaculture applications</x:v>
      </x:c>
      <x:c r="E55" s="871" t="str">
        <x:v>SELECTION_PENDING</x:v>
      </x:c>
      <x:c r="F55" s="871" t="str">
        <x:v>APPLY_FIELD_UPDATES</x:v>
      </x:c>
      <x:c r="G55" s="872" t="str">
        <x:v>PENDING</x:v>
      </x:c>
      <x:c r="H55" s="872"/>
      <x:c r="I55" s="875"/>
      <x:c r="J55" s="872"/>
      <x:c r="K55" s="873" t="str">
        <x:v>PENDING</x:v>
      </x:c>
      <x:c r="L55" s="876"/>
      <x:c r="M55" s="873" t="str">
        <x:v>operator_selection_decision is PENDING; mandatory assessment is not HIGH: scope_relevance. Required action: Review the human-governed source fields and choose INCLUDE, PENDING or EXCLUDE in Human Operation Desktop.</x:v>
      </x:c>
      <x:c r="N55" s="874"/>
      <x:c r="O55" s="874"/>
      <x:c r="P55" s="872" t="str">
        <x:v>https://lovdata.no/dokument/SF/forskrift/2010-05-18-708</x:v>
      </x:c>
      <x:c r="Q55" s="872" t="str">
        <x:v>https://lovdata.no/dokument/SF/forskrift/2010-05-18-708</x:v>
      </x:c>
      <x:c r="R55" s="872" t="str">
        <x:v>A_Public_Authority</x:v>
      </x:c>
      <x:c r="S55" s="872" t="str">
        <x:v>Norwegian Ministry of Trade, Industry and Fisheries</x:v>
      </x:c>
      <x:c r="T55" s="872" t="str">
        <x:v>Norway</x:v>
      </x:c>
      <x:c r="U55" s="872" t="str">
        <x:v>Regulation</x:v>
      </x:c>
      <x:c r="V55" s="872" t="str">
        <x:v>Public authority</x:v>
      </x:c>
      <x:c r="W55" s="872" t="str">
        <x:v>Referenced normative</x:v>
      </x:c>
      <x:c r="X55" s="872" t="str">
        <x:v>Norwegian</x:v>
      </x:c>
      <x:c r="Y55" s="872" t="str">
        <x:v>html</x:v>
      </x:c>
      <x:c r="Z55" s="872"/>
      <x:c r="AA55" s="877"/>
      <x:c r="AB55" s="872" t="str">
        <x:v>Official referenced source from Norwegian Ministry of Trade, Industry and Fisheries; included because an applicable law, permit or certification scheme may make its provisions binding within the approved scope.</x:v>
      </x:c>
      <x:c r="AC55" s="872" t="str">
        <x:v>HIGH</x:v>
      </x:c>
      <x:c r="AD55" s="872" t="str">
        <x:v>MEDIUM</x:v>
      </x:c>
      <x:c r="AE55" s="872" t="str">
        <x:v>HIGH</x:v>
      </x:c>
      <x:c r="AF55" s="872" t="str">
        <x:v>HIGH</x:v>
      </x:c>
      <x:c r="AG55" s="872" t="str">
        <x:v>HIGH</x:v>
      </x:c>
      <x:c r="AH55" s="872" t="str">
        <x:v>HIGH</x:v>
      </x:c>
      <x:c r="AI55" s="872" t="str">
        <x:v>PENDING</x:v>
      </x:c>
      <x:c r="AJ55" s="872" t="str">
        <x:v>OFFICIAL_WEBSITE</x:v>
      </x:c>
      <x:c r="AK55" s="872" t="str">
        <x:v>OFFICIAL_ORIGINAL</x:v>
      </x:c>
      <x:c r="AL55" s="872" t="str">
        <x:v>ROLLING</x:v>
      </x:c>
      <x:c r="AM55" s="872"/>
      <x:c r="AN55" s="872" t="str">
        <x:v>CURRENT</x:v>
      </x:c>
      <x:c r="AO55" s="872"/>
      <x:c r="AP55" s="872" t="str">
        <x:v>Official coverage expansion. Relevant to permitting workflow rather than routine operational controls.</x:v>
      </x:c>
      <x:c r="AQ55" s="878" t="n">
        <x:v>46265.588784722226</x:v>
      </x:c>
      <x:c r="AR55" s="874" t="str">
        <x:v>{"action": "APPLY_FIELD_UPDATES", "review_fingerprint": "acaddfd29d6e9a98", "source_id": "PA034", "updates": {}}</x:v>
      </x:c>
    </x:row>
    <x:row r="56" s="36" customFormat="1" ht="30" customHeight="1">
      <x:c r="A56" s="871" t="str">
        <x:v>REV-ca12b1deebe26073</x:v>
      </x:c>
      <x:c r="B56" s="871" t="str">
        <x:v>SELECTION_REVIEW</x:v>
      </x:c>
      <x:c r="C56" s="871" t="str">
        <x:v>PA035</x:v>
      </x:c>
      <x:c r="D56" s="872" t="str">
        <x:v>Regulation on reactions for violations of the Aquaculture Act</x:v>
      </x:c>
      <x:c r="E56" s="871" t="str">
        <x:v>SELECTION_PENDING</x:v>
      </x:c>
      <x:c r="F56" s="871" t="str">
        <x:v>APPLY_FIELD_UPDATES</x:v>
      </x:c>
      <x:c r="G56" s="872" t="str">
        <x:v>PENDING</x:v>
      </x:c>
      <x:c r="H56" s="872"/>
      <x:c r="I56" s="875"/>
      <x:c r="J56" s="872"/>
      <x:c r="K56" s="873" t="str">
        <x:v>PENDING</x:v>
      </x:c>
      <x:c r="L56" s="876"/>
      <x:c r="M56" s="873" t="str">
        <x:v>operator_selection_decision is PENDING; mandatory assessment is not HIGH: scope_relevance. Required action: Review the human-governed source fields and choose INCLUDE, PENDING or EXCLUDE in Human Operation Desktop.</x:v>
      </x:c>
      <x:c r="N56" s="874"/>
      <x:c r="O56" s="874"/>
      <x:c r="P56" s="872" t="str">
        <x:v>https://lovdata.no/dokument/SF/forskrift/2013-12-20-1675</x:v>
      </x:c>
      <x:c r="Q56" s="872" t="str">
        <x:v>https://lovdata.no/dokument/SF/forskrift/2013-12-20-1675</x:v>
      </x:c>
      <x:c r="R56" s="872" t="str">
        <x:v>A_Public_Authority</x:v>
      </x:c>
      <x:c r="S56" s="872" t="str">
        <x:v>Norwegian Ministry of Trade, Industry and Fisheries</x:v>
      </x:c>
      <x:c r="T56" s="872" t="str">
        <x:v>Norway</x:v>
      </x:c>
      <x:c r="U56" s="872" t="str">
        <x:v>Regulation</x:v>
      </x:c>
      <x:c r="V56" s="872" t="str">
        <x:v>Public authority</x:v>
      </x:c>
      <x:c r="W56" s="872" t="str">
        <x:v>Referenced normative</x:v>
      </x:c>
      <x:c r="X56" s="872" t="str">
        <x:v>Norwegian</x:v>
      </x:c>
      <x:c r="Y56" s="872" t="str">
        <x:v>html</x:v>
      </x:c>
      <x:c r="Z56" s="872"/>
      <x:c r="AA56" s="877"/>
      <x:c r="AB56" s="872" t="str">
        <x:v>Official referenced source from Norwegian Ministry of Trade, Industry and Fisheries; included because an applicable law, permit or certification scheme may make its provisions binding within the approved scope.</x:v>
      </x:c>
      <x:c r="AC56" s="872" t="str">
        <x:v>HIGH</x:v>
      </x:c>
      <x:c r="AD56" s="872" t="str">
        <x:v>MEDIUM</x:v>
      </x:c>
      <x:c r="AE56" s="872" t="str">
        <x:v>HIGH</x:v>
      </x:c>
      <x:c r="AF56" s="872" t="str">
        <x:v>HIGH</x:v>
      </x:c>
      <x:c r="AG56" s="872" t="str">
        <x:v>HIGH</x:v>
      </x:c>
      <x:c r="AH56" s="872" t="str">
        <x:v>HIGH</x:v>
      </x:c>
      <x:c r="AI56" s="872" t="str">
        <x:v>PENDING</x:v>
      </x:c>
      <x:c r="AJ56" s="872" t="str">
        <x:v>OFFICIAL_WEBSITE</x:v>
      </x:c>
      <x:c r="AK56" s="872" t="str">
        <x:v>OFFICIAL_ORIGINAL</x:v>
      </x:c>
      <x:c r="AL56" s="872" t="str">
        <x:v>ROLLING</x:v>
      </x:c>
      <x:c r="AM56" s="872"/>
      <x:c r="AN56" s="872" t="str">
        <x:v>CURRENT</x:v>
      </x:c>
      <x:c r="AO56" s="872"/>
      <x:c r="AP56" s="872" t="str">
        <x:v>Official coverage expansion. Supports enforcement and consequence mapping; it is not normally the source of the underlying operational duty.</x:v>
      </x:c>
      <x:c r="AQ56" s="878" t="n">
        <x:v>46265.588784722226</x:v>
      </x:c>
      <x:c r="AR56" s="874" t="str">
        <x:v>{"action": "APPLY_FIELD_UPDATES", "review_fingerprint": "708db2fbed93295a", "source_id": "PA035", "updates": {}}</x:v>
      </x:c>
    </x:row>
    <x:row r="57" s="36" customFormat="1" ht="30" customHeight="1">
      <x:c r="A57" s="871" t="str">
        <x:v>REV-28d3c4454f7bba5a</x:v>
      </x:c>
      <x:c r="B57" s="871" t="str">
        <x:v>SELECTION_REVIEW</x:v>
      </x:c>
      <x:c r="C57" s="871" t="str">
        <x:v>PA036</x:v>
      </x:c>
      <x:c r="D57" s="872" t="str">
        <x:v>Regulation on permits for aquaculture of species other than salmon, trout and rainbow trout</x:v>
      </x:c>
      <x:c r="E57" s="871" t="str">
        <x:v>SELECTION_PENDING</x:v>
      </x:c>
      <x:c r="F57" s="871" t="str">
        <x:v>APPLY_FIELD_UPDATES</x:v>
      </x:c>
      <x:c r="G57" s="872" t="str">
        <x:v>PENDING</x:v>
      </x:c>
      <x:c r="H57" s="872"/>
      <x:c r="I57" s="875"/>
      <x:c r="J57" s="872"/>
      <x:c r="K57" s="873" t="str">
        <x:v>PENDING</x:v>
      </x:c>
      <x:c r="L57" s="876"/>
      <x:c r="M57" s="873" t="str">
        <x:v>operator_selection_decision is PENDING; mandatory assessment is not HIGH: scope_relevance. Required action: Review the human-governed source fields and choose INCLUDE, PENDING or EXCLUDE in Human Operation Desktop.</x:v>
      </x:c>
      <x:c r="N57" s="874"/>
      <x:c r="O57" s="874"/>
      <x:c r="P57" s="872" t="str">
        <x:v>https://lovdata.no/dokument/SF/forskrift/2004-12-22-1799</x:v>
      </x:c>
      <x:c r="Q57" s="872" t="str">
        <x:v>https://lovdata.no/dokument/SF/forskrift/2004-12-22-1799</x:v>
      </x:c>
      <x:c r="R57" s="872" t="str">
        <x:v>A_Public_Authority</x:v>
      </x:c>
      <x:c r="S57" s="872" t="str">
        <x:v>Norwegian Ministry of Trade, Industry and Fisheries</x:v>
      </x:c>
      <x:c r="T57" s="872" t="str">
        <x:v>Norway</x:v>
      </x:c>
      <x:c r="U57" s="872" t="str">
        <x:v>Regulation</x:v>
      </x:c>
      <x:c r="V57" s="872" t="str">
        <x:v>Public authority</x:v>
      </x:c>
      <x:c r="W57" s="872" t="str">
        <x:v>Primary normative</x:v>
      </x:c>
      <x:c r="X57" s="872" t="str">
        <x:v>Norwegian</x:v>
      </x:c>
      <x:c r="Y57" s="872" t="str">
        <x:v>html</x:v>
      </x:c>
      <x:c r="Z57" s="872"/>
      <x:c r="AA57" s="877"/>
      <x:c r="AB57" s="872" t="str">
        <x:v>Official regulation issued by Norwegian Ministry of Trade, Industry and Fisheries; included because it may impose binding requirements on an in-scope aquaculture asset, activity, permit or certification.</x:v>
      </x:c>
      <x:c r="AC57" s="872" t="str">
        <x:v>HIGH</x:v>
      </x:c>
      <x:c r="AD57" s="872" t="str">
        <x:v>MEDIUM</x:v>
      </x:c>
      <x:c r="AE57" s="872" t="str">
        <x:v>HIGH</x:v>
      </x:c>
      <x:c r="AF57" s="872" t="str">
        <x:v>HIGH</x:v>
      </x:c>
      <x:c r="AG57" s="872" t="str">
        <x:v>HIGH</x:v>
      </x:c>
      <x:c r="AH57" s="872" t="str">
        <x:v>HIGH</x:v>
      </x:c>
      <x:c r="AI57" s="872" t="str">
        <x:v>PENDING</x:v>
      </x:c>
      <x:c r="AJ57" s="872" t="str">
        <x:v>OFFICIAL_WEBSITE</x:v>
      </x:c>
      <x:c r="AK57" s="872" t="str">
        <x:v>OFFICIAL_ORIGINAL</x:v>
      </x:c>
      <x:c r="AL57" s="872" t="str">
        <x:v>ROLLING</x:v>
      </x:c>
      <x:c r="AM57" s="872"/>
      <x:c r="AN57" s="872" t="str">
        <x:v>CURRENT</x:v>
      </x:c>
      <x:c r="AO57" s="872"/>
      <x:c r="AP57" s="872" t="str">
        <x:v>Official coverage expansion. Include only when other species are within the approved scope.</x:v>
      </x:c>
      <x:c r="AQ57" s="878" t="n">
        <x:v>46265.588784722226</x:v>
      </x:c>
      <x:c r="AR57" s="874" t="str">
        <x:v>{"action": "APPLY_FIELD_UPDATES", "review_fingerprint": "5aff726b21fb8fae", "source_id": "PA036", "updates": {}}</x:v>
      </x:c>
    </x:row>
    <x:row r="58" s="36" customFormat="1" ht="30" customHeight="1">
      <x:c r="A58" s="871" t="str">
        <x:v>REV-def747dcbe0fb75b</x:v>
      </x:c>
      <x:c r="B58" s="871" t="str">
        <x:v>SELECTION_REVIEW</x:v>
      </x:c>
      <x:c r="C58" s="871" t="str">
        <x:v>PA037</x:v>
      </x:c>
      <x:c r="D58" s="872" t="str">
        <x:v>Regulation on fees and charges relating to aquaculture activities</x:v>
      </x:c>
      <x:c r="E58" s="871" t="str">
        <x:v>SELECTION_PENDING</x:v>
      </x:c>
      <x:c r="F58" s="871" t="str">
        <x:v>APPLY_FIELD_UPDATES</x:v>
      </x:c>
      <x:c r="G58" s="872" t="str">
        <x:v>PENDING</x:v>
      </x:c>
      <x:c r="H58" s="872"/>
      <x:c r="I58" s="875"/>
      <x:c r="J58" s="872"/>
      <x:c r="K58" s="873" t="str">
        <x:v>PENDING</x:v>
      </x:c>
      <x:c r="L58" s="876"/>
      <x:c r="M58" s="873" t="str">
        <x:v>operator_selection_decision is PENDING; mandatory assessment is not HIGH: scope_relevance. Required action: Review the human-governed source fields and choose INCLUDE, PENDING or EXCLUDE in Human Operation Desktop.</x:v>
      </x:c>
      <x:c r="N58" s="874"/>
      <x:c r="O58" s="874"/>
      <x:c r="P58" s="872" t="str">
        <x:v>https://lovdata.no/dokument/SF/forskrift/2001-12-21-1597</x:v>
      </x:c>
      <x:c r="Q58" s="872" t="str">
        <x:v>https://lovdata.no/dokument/SF/forskrift/2001-12-21-1597</x:v>
      </x:c>
      <x:c r="R58" s="872" t="str">
        <x:v>A_Public_Authority</x:v>
      </x:c>
      <x:c r="S58" s="872" t="str">
        <x:v>Norwegian Ministry of Trade, Industry and Fisheries</x:v>
      </x:c>
      <x:c r="T58" s="872" t="str">
        <x:v>Norway</x:v>
      </x:c>
      <x:c r="U58" s="872" t="str">
        <x:v>Regulation</x:v>
      </x:c>
      <x:c r="V58" s="872" t="str">
        <x:v>Public authority</x:v>
      </x:c>
      <x:c r="W58" s="872" t="str">
        <x:v>Referenced normative</x:v>
      </x:c>
      <x:c r="X58" s="872" t="str">
        <x:v>Norwegian</x:v>
      </x:c>
      <x:c r="Y58" s="872" t="str">
        <x:v>html</x:v>
      </x:c>
      <x:c r="Z58" s="872"/>
      <x:c r="AA58" s="877"/>
      <x:c r="AB58" s="872" t="str">
        <x:v>Official referenced source from Norwegian Ministry of Trade, Industry and Fisheries; included because an applicable law, permit or certification scheme may make its provisions binding within the approved scope.</x:v>
      </x:c>
      <x:c r="AC58" s="872" t="str">
        <x:v>HIGH</x:v>
      </x:c>
      <x:c r="AD58" s="872" t="str">
        <x:v>MEDIUM</x:v>
      </x:c>
      <x:c r="AE58" s="872" t="str">
        <x:v>HIGH</x:v>
      </x:c>
      <x:c r="AF58" s="872" t="str">
        <x:v>HIGH</x:v>
      </x:c>
      <x:c r="AG58" s="872" t="str">
        <x:v>HIGH</x:v>
      </x:c>
      <x:c r="AH58" s="872" t="str">
        <x:v>HIGH</x:v>
      </x:c>
      <x:c r="AI58" s="872" t="str">
        <x:v>PENDING</x:v>
      </x:c>
      <x:c r="AJ58" s="872" t="str">
        <x:v>OFFICIAL_WEBSITE</x:v>
      </x:c>
      <x:c r="AK58" s="872" t="str">
        <x:v>OFFICIAL_ORIGINAL</x:v>
      </x:c>
      <x:c r="AL58" s="872" t="str">
        <x:v>ROLLING</x:v>
      </x:c>
      <x:c r="AM58" s="872"/>
      <x:c r="AN58" s="872" t="str">
        <x:v>CURRENT</x:v>
      </x:c>
      <x:c r="AO58" s="872"/>
      <x:c r="AP58" s="872" t="str">
        <x:v>Official coverage expansion. Administrative and financial relevance depends on the permit or application process.</x:v>
      </x:c>
      <x:c r="AQ58" s="878" t="n">
        <x:v>46265.588784722226</x:v>
      </x:c>
      <x:c r="AR58" s="874" t="str">
        <x:v>{"action": "APPLY_FIELD_UPDATES", "review_fingerprint": "57f009c61c5acc19", "source_id": "PA037", "updates": {}}</x:v>
      </x:c>
    </x:row>
    <x:row r="59" s="36" customFormat="1" ht="30" customHeight="1">
      <x:c r="A59" s="871" t="str">
        <x:v>REV-09e5620806d3b4b7</x:v>
      </x:c>
      <x:c r="B59" s="871" t="str">
        <x:v>SELECTION_REVIEW</x:v>
      </x:c>
      <x:c r="C59" s="871" t="str">
        <x:v>PA038</x:v>
      </x:c>
      <x:c r="D59" s="872" t="str">
        <x:v>Regulation on sea ranching</x:v>
      </x:c>
      <x:c r="E59" s="871" t="str">
        <x:v>SELECTION_PENDING</x:v>
      </x:c>
      <x:c r="F59" s="871" t="str">
        <x:v>APPLY_FIELD_UPDATES</x:v>
      </x:c>
      <x:c r="G59" s="872" t="str">
        <x:v>PENDING</x:v>
      </x:c>
      <x:c r="H59" s="872"/>
      <x:c r="I59" s="875"/>
      <x:c r="J59" s="872"/>
      <x:c r="K59" s="873" t="str">
        <x:v>PENDING</x:v>
      </x:c>
      <x:c r="L59" s="876"/>
      <x:c r="M59" s="873" t="str">
        <x:v>operator_selection_decision is PENDING; mandatory assessment is not HIGH: scope_relevance. Required action: Review the human-governed source fields and choose INCLUDE, PENDING or EXCLUDE in Human Operation Desktop.</x:v>
      </x:c>
      <x:c r="N59" s="874"/>
      <x:c r="O59" s="874"/>
      <x:c r="P59" s="872" t="str">
        <x:v>https://lovdata.no/dokument/SF/forskrift/2003-08-28-1110</x:v>
      </x:c>
      <x:c r="Q59" s="872" t="str">
        <x:v>https://lovdata.no/dokument/SF/forskrift/2003-08-28-1110</x:v>
      </x:c>
      <x:c r="R59" s="872" t="str">
        <x:v>A_Public_Authority</x:v>
      </x:c>
      <x:c r="S59" s="872" t="str">
        <x:v>Norwegian Ministry of Trade, Industry and Fisheries</x:v>
      </x:c>
      <x:c r="T59" s="872" t="str">
        <x:v>Norway</x:v>
      </x:c>
      <x:c r="U59" s="872" t="str">
        <x:v>Regulation</x:v>
      </x:c>
      <x:c r="V59" s="872" t="str">
        <x:v>Public authority</x:v>
      </x:c>
      <x:c r="W59" s="872" t="str">
        <x:v>Primary normative</x:v>
      </x:c>
      <x:c r="X59" s="872" t="str">
        <x:v>Norwegian</x:v>
      </x:c>
      <x:c r="Y59" s="872" t="str">
        <x:v>html</x:v>
      </x:c>
      <x:c r="Z59" s="872"/>
      <x:c r="AA59" s="877"/>
      <x:c r="AB59" s="872" t="str">
        <x:v>Official regulation issued by Norwegian Ministry of Trade, Industry and Fisheries; included because it may impose binding requirements on an in-scope aquaculture asset, activity, permit or certification.</x:v>
      </x:c>
      <x:c r="AC59" s="872" t="str">
        <x:v>HIGH</x:v>
      </x:c>
      <x:c r="AD59" s="872" t="str">
        <x:v>MEDIUM</x:v>
      </x:c>
      <x:c r="AE59" s="872" t="str">
        <x:v>HIGH</x:v>
      </x:c>
      <x:c r="AF59" s="872" t="str">
        <x:v>HIGH</x:v>
      </x:c>
      <x:c r="AG59" s="872" t="str">
        <x:v>HIGH</x:v>
      </x:c>
      <x:c r="AH59" s="872" t="str">
        <x:v>HIGH</x:v>
      </x:c>
      <x:c r="AI59" s="872" t="str">
        <x:v>PENDING</x:v>
      </x:c>
      <x:c r="AJ59" s="872" t="str">
        <x:v>OFFICIAL_WEBSITE</x:v>
      </x:c>
      <x:c r="AK59" s="872" t="str">
        <x:v>OFFICIAL_ORIGINAL</x:v>
      </x:c>
      <x:c r="AL59" s="872" t="str">
        <x:v>ROLLING</x:v>
      </x:c>
      <x:c r="AM59" s="872"/>
      <x:c r="AN59" s="872" t="str">
        <x:v>CURRENT</x:v>
      </x:c>
      <x:c r="AO59" s="872"/>
      <x:c r="AP59" s="872" t="str">
        <x:v>Official coverage expansion. Include only for sea-ranching operations.</x:v>
      </x:c>
      <x:c r="AQ59" s="878" t="n">
        <x:v>46265.588784722226</x:v>
      </x:c>
      <x:c r="AR59" s="874" t="str">
        <x:v>{"action": "APPLY_FIELD_UPDATES", "review_fingerprint": "f049e3b0684bc9b1", "source_id": "PA038", "updates": {}}</x:v>
      </x:c>
    </x:row>
    <x:row r="60" s="36" customFormat="1" ht="30" customHeight="1">
      <x:c r="A60" s="871" t="str">
        <x:v>REV-08abf17250d2fafc</x:v>
      </x:c>
      <x:c r="B60" s="871" t="str">
        <x:v>SELECTION_REVIEW</x:v>
      </x:c>
      <x:c r="C60" s="871" t="str">
        <x:v>PA049</x:v>
      </x:c>
      <x:c r="D60" s="872" t="str">
        <x:v>Regulation on working environment, safety and health for persons working on board ships</x:v>
      </x:c>
      <x:c r="E60" s="871" t="str">
        <x:v>SELECTION_PENDING</x:v>
      </x:c>
      <x:c r="F60" s="871" t="str">
        <x:v>APPLY_FIELD_UPDATES</x:v>
      </x:c>
      <x:c r="G60" s="872" t="str">
        <x:v>PENDING</x:v>
      </x:c>
      <x:c r="H60" s="872"/>
      <x:c r="I60" s="875"/>
      <x:c r="J60" s="872"/>
      <x:c r="K60" s="873" t="str">
        <x:v>PENDING</x:v>
      </x:c>
      <x:c r="L60" s="876"/>
      <x:c r="M60" s="873" t="str">
        <x:v>operator_selection_decision is PENDING; mandatory assessment is not HIGH: scope_relevance. Required action: Review the human-governed source fields and choose INCLUDE, PENDING or EXCLUDE in Human Operation Desktop.</x:v>
      </x:c>
      <x:c r="N60" s="874"/>
      <x:c r="O60" s="874"/>
      <x:c r="P60" s="872" t="str">
        <x:v>https://lovdata.no/dokument/SF/forskrift/2005-01-01-8</x:v>
      </x:c>
      <x:c r="Q60" s="872" t="str">
        <x:v>https://lovdata.no/dokument/SF/forskrift/2005-01-01-8</x:v>
      </x:c>
      <x:c r="R60" s="872" t="str">
        <x:v>A_Public_Authority</x:v>
      </x:c>
      <x:c r="S60" s="872" t="str">
        <x:v>Norwegian Ministry of Trade, Industry and Fisheries</x:v>
      </x:c>
      <x:c r="T60" s="872" t="str">
        <x:v>Norway</x:v>
      </x:c>
      <x:c r="U60" s="872" t="str">
        <x:v>Regulation</x:v>
      </x:c>
      <x:c r="V60" s="872" t="str">
        <x:v>Public authority</x:v>
      </x:c>
      <x:c r="W60" s="872" t="str">
        <x:v>Primary normative</x:v>
      </x:c>
      <x:c r="X60" s="872" t="str">
        <x:v>Norwegian</x:v>
      </x:c>
      <x:c r="Y60" s="872" t="str">
        <x:v>html</x:v>
      </x:c>
      <x:c r="Z60" s="872"/>
      <x:c r="AA60" s="877"/>
      <x:c r="AB60" s="872" t="str">
        <x:v>Official regulation issued by Norwegian Ministry of Trade, Industry and Fisheries; included because it may impose binding requirements on an in-scope aquaculture asset, activity, permit or certification.</x:v>
      </x:c>
      <x:c r="AC60" s="872" t="str">
        <x:v>HIGH</x:v>
      </x:c>
      <x:c r="AD60" s="872" t="str">
        <x:v>MEDIUM</x:v>
      </x:c>
      <x:c r="AE60" s="872" t="str">
        <x:v>HIGH</x:v>
      </x:c>
      <x:c r="AF60" s="872" t="str">
        <x:v>HIGH</x:v>
      </x:c>
      <x:c r="AG60" s="872" t="str">
        <x:v>HIGH</x:v>
      </x:c>
      <x:c r="AH60" s="872" t="str">
        <x:v>HIGH</x:v>
      </x:c>
      <x:c r="AI60" s="872" t="str">
        <x:v>PENDING</x:v>
      </x:c>
      <x:c r="AJ60" s="872" t="str">
        <x:v>OFFICIAL_WEBSITE</x:v>
      </x:c>
      <x:c r="AK60" s="872" t="str">
        <x:v>OFFICIAL_ORIGINAL</x:v>
      </x:c>
      <x:c r="AL60" s="872" t="str">
        <x:v>ROLLING</x:v>
      </x:c>
      <x:c r="AM60" s="872"/>
      <x:c r="AN60" s="872" t="str">
        <x:v>CURRENT</x:v>
      </x:c>
      <x:c r="AO60" s="872" t="str">
        <x:v>PA018</x:v>
      </x:c>
      <x:c r="AP60" s="872" t="str">
        <x:v>Official maritime HSE expansion. Include only for personnel and vessels falling within maritime scope.</x:v>
      </x:c>
      <x:c r="AQ60" s="878" t="n">
        <x:v>46265.588784722226</x:v>
      </x:c>
      <x:c r="AR60" s="874" t="str">
        <x:v>{"action": "APPLY_FIELD_UPDATES", "review_fingerprint": "592922b943f7c326", "source_id": "PA049", "updates": {}}</x:v>
      </x:c>
    </x:row>
    <x:row r="61" s="36" customFormat="1" ht="30" customHeight="1">
      <x:c r="A61" s="871" t="str">
        <x:v>REV-78daad66361ae720</x:v>
      </x:c>
      <x:c r="B61" s="871" t="str">
        <x:v>SELECTION_REVIEW</x:v>
      </x:c>
      <x:c r="C61" s="871" t="str">
        <x:v>PA051</x:v>
      </x:c>
      <x:c r="D61" s="872" t="str">
        <x:v>Planning and Building Act</x:v>
      </x:c>
      <x:c r="E61" s="871" t="str">
        <x:v>SELECTION_PENDING</x:v>
      </x:c>
      <x:c r="F61" s="871" t="str">
        <x:v>APPLY_FIELD_UPDATES</x:v>
      </x:c>
      <x:c r="G61" s="872" t="str">
        <x:v>PENDING</x:v>
      </x:c>
      <x:c r="H61" s="872"/>
      <x:c r="I61" s="875"/>
      <x:c r="J61" s="872"/>
      <x:c r="K61" s="873" t="str">
        <x:v>PENDING</x:v>
      </x:c>
      <x:c r="L61" s="876"/>
      <x:c r="M61" s="873" t="str">
        <x:v>operator_selection_decision is PENDING; mandatory assessment is not HIGH: scope_relevance. Required action: Review the human-governed source fields and choose INCLUDE, PENDING or EXCLUDE in Human Operation Desktop.</x:v>
      </x:c>
      <x:c r="N61" s="874"/>
      <x:c r="O61" s="874"/>
      <x:c r="P61" s="872" t="str">
        <x:v>https://lovdata.no/dokument/NL/lov/2008-06-27-71</x:v>
      </x:c>
      <x:c r="Q61" s="872" t="str">
        <x:v>https://lovdata.no/dokument/NL/lov/2008-06-27-71</x:v>
      </x:c>
      <x:c r="R61" s="872" t="str">
        <x:v>A_Public_Authority</x:v>
      </x:c>
      <x:c r="S61" s="872" t="str">
        <x:v>Norwegian Ministry of Local Government and Regional Development</x:v>
      </x:c>
      <x:c r="T61" s="872" t="str">
        <x:v>Norway</x:v>
      </x:c>
      <x:c r="U61" s="872" t="str">
        <x:v>Law</x:v>
      </x:c>
      <x:c r="V61" s="872" t="str">
        <x:v>Public authority</x:v>
      </x:c>
      <x:c r="W61" s="872" t="str">
        <x:v>Referenced normative</x:v>
      </x:c>
      <x:c r="X61" s="872" t="str">
        <x:v>Norwegian</x:v>
      </x:c>
      <x:c r="Y61" s="872" t="str">
        <x:v>html</x:v>
      </x:c>
      <x:c r="Z61" s="872"/>
      <x:c r="AA61" s="877"/>
      <x:c r="AB61" s="872" t="str">
        <x:v>Official referenced source from Norwegian Ministry of Local Government and Regional Development; included because an applicable law, permit or certification scheme may make its provisions binding within the approved scope.</x:v>
      </x:c>
      <x:c r="AC61" s="872" t="str">
        <x:v>HIGH</x:v>
      </x:c>
      <x:c r="AD61" s="872" t="str">
        <x:v>MEDIUM</x:v>
      </x:c>
      <x:c r="AE61" s="872" t="str">
        <x:v>HIGH</x:v>
      </x:c>
      <x:c r="AF61" s="872" t="str">
        <x:v>HIGH</x:v>
      </x:c>
      <x:c r="AG61" s="872" t="str">
        <x:v>HIGH</x:v>
      </x:c>
      <x:c r="AH61" s="872" t="str">
        <x:v>HIGH</x:v>
      </x:c>
      <x:c r="AI61" s="872" t="str">
        <x:v>PENDING</x:v>
      </x:c>
      <x:c r="AJ61" s="872" t="str">
        <x:v>OFFICIAL_WEBSITE</x:v>
      </x:c>
      <x:c r="AK61" s="872" t="str">
        <x:v>OFFICIAL_ORIGINAL</x:v>
      </x:c>
      <x:c r="AL61" s="872" t="str">
        <x:v>ROLLING</x:v>
      </x:c>
      <x:c r="AM61" s="872"/>
      <x:c r="AN61" s="872" t="str">
        <x:v>CURRENT</x:v>
      </x:c>
      <x:c r="AO61" s="872"/>
      <x:c r="AP61" s="872" t="str">
        <x:v>Official permitting expansion. Relevance depends on municipal plans, land-based works and the specific application.</x:v>
      </x:c>
      <x:c r="AQ61" s="878" t="n">
        <x:v>46265.588784722226</x:v>
      </x:c>
      <x:c r="AR61" s="874" t="str">
        <x:v>{"action": "APPLY_FIELD_UPDATES", "review_fingerprint": "a8ed12eafe7eed53", "source_id": "PA051", "updates": {}}</x:v>
      </x:c>
    </x:row>
    <x:row r="62" s="36" customFormat="1" ht="30" customHeight="1">
      <x:c r="A62" s="871" t="str">
        <x:v>REV-d3908fb134b22832</x:v>
      </x:c>
      <x:c r="B62" s="871" t="str">
        <x:v>SELECTION_REVIEW</x:v>
      </x:c>
      <x:c r="C62" s="871" t="str">
        <x:v>PA052</x:v>
      </x:c>
      <x:c r="D62" s="872" t="str">
        <x:v>Cultural Heritage Act</x:v>
      </x:c>
      <x:c r="E62" s="871" t="str">
        <x:v>SELECTION_PENDING</x:v>
      </x:c>
      <x:c r="F62" s="871" t="str">
        <x:v>APPLY_FIELD_UPDATES</x:v>
      </x:c>
      <x:c r="G62" s="872" t="str">
        <x:v>PENDING</x:v>
      </x:c>
      <x:c r="H62" s="872"/>
      <x:c r="I62" s="875"/>
      <x:c r="J62" s="872"/>
      <x:c r="K62" s="873" t="str">
        <x:v>PENDING</x:v>
      </x:c>
      <x:c r="L62" s="876"/>
      <x:c r="M62" s="873" t="str">
        <x:v>operator_selection_decision is PENDING; mandatory assessment is not HIGH: scope_relevance. Required action: Review the human-governed source fields and choose INCLUDE, PENDING or EXCLUDE in Human Operation Desktop.</x:v>
      </x:c>
      <x:c r="N62" s="874"/>
      <x:c r="O62" s="874"/>
      <x:c r="P62" s="872" t="str">
        <x:v>https://lovdata.no/dokument/NL/lov/1978-06-09-50</x:v>
      </x:c>
      <x:c r="Q62" s="872" t="str">
        <x:v>https://lovdata.no/dokument/NL/lov/1978-06-09-50</x:v>
      </x:c>
      <x:c r="R62" s="872" t="str">
        <x:v>A_Public_Authority</x:v>
      </x:c>
      <x:c r="S62" s="872" t="str">
        <x:v>Norwegian Ministry of Climate and Environment</x:v>
      </x:c>
      <x:c r="T62" s="872" t="str">
        <x:v>Norway</x:v>
      </x:c>
      <x:c r="U62" s="872" t="str">
        <x:v>Law</x:v>
      </x:c>
      <x:c r="V62" s="872" t="str">
        <x:v>Public authority</x:v>
      </x:c>
      <x:c r="W62" s="872" t="str">
        <x:v>Referenced normative</x:v>
      </x:c>
      <x:c r="X62" s="872" t="str">
        <x:v>Norwegian</x:v>
      </x:c>
      <x:c r="Y62" s="872" t="str">
        <x:v>html</x:v>
      </x:c>
      <x:c r="Z62" s="872"/>
      <x:c r="AA62" s="877"/>
      <x:c r="AB62" s="872" t="str">
        <x:v>Official referenced source from Norwegian Ministry of Climate and Environment; included because an applicable law, permit or certification scheme may make its provisions binding within the approved scope.</x:v>
      </x:c>
      <x:c r="AC62" s="872" t="str">
        <x:v>HIGH</x:v>
      </x:c>
      <x:c r="AD62" s="872" t="str">
        <x:v>MEDIUM</x:v>
      </x:c>
      <x:c r="AE62" s="872" t="str">
        <x:v>HIGH</x:v>
      </x:c>
      <x:c r="AF62" s="872" t="str">
        <x:v>HIGH</x:v>
      </x:c>
      <x:c r="AG62" s="872" t="str">
        <x:v>HIGH</x:v>
      </x:c>
      <x:c r="AH62" s="872" t="str">
        <x:v>HIGH</x:v>
      </x:c>
      <x:c r="AI62" s="872" t="str">
        <x:v>PENDING</x:v>
      </x:c>
      <x:c r="AJ62" s="872" t="str">
        <x:v>OFFICIAL_WEBSITE</x:v>
      </x:c>
      <x:c r="AK62" s="872" t="str">
        <x:v>OFFICIAL_ORIGINAL</x:v>
      </x:c>
      <x:c r="AL62" s="872" t="str">
        <x:v>ROLLING</x:v>
      </x:c>
      <x:c r="AM62" s="872"/>
      <x:c r="AN62" s="872" t="str">
        <x:v>CURRENT</x:v>
      </x:c>
      <x:c r="AO62" s="872"/>
      <x:c r="AP62" s="872" t="str">
        <x:v>Official permitting expansion. Site-specific relevance depends on registered or discovered cultural heritage.</x:v>
      </x:c>
      <x:c r="AQ62" s="878" t="n">
        <x:v>46265.588784722226</x:v>
      </x:c>
      <x:c r="AR62" s="874" t="str">
        <x:v>{"action": "APPLY_FIELD_UPDATES", "review_fingerprint": "51e4af1b6de668a2", "source_id": "PA052", "updates": {}}</x:v>
      </x:c>
    </x:row>
    <x:row r="63" s="36" customFormat="1" ht="30" customHeight="1">
      <x:c r="A63" s="871" t="str">
        <x:v>REV-ba46aa18556a4cb1</x:v>
      </x:c>
      <x:c r="B63" s="871" t="str">
        <x:v>SELECTION_REVIEW</x:v>
      </x:c>
      <x:c r="C63" s="871" t="str">
        <x:v>PA053</x:v>
      </x:c>
      <x:c r="D63" s="872" t="str">
        <x:v>Water Resources Act</x:v>
      </x:c>
      <x:c r="E63" s="871" t="str">
        <x:v>SELECTION_PENDING</x:v>
      </x:c>
      <x:c r="F63" s="871" t="str">
        <x:v>APPLY_FIELD_UPDATES</x:v>
      </x:c>
      <x:c r="G63" s="872" t="str">
        <x:v>PENDING</x:v>
      </x:c>
      <x:c r="H63" s="872"/>
      <x:c r="I63" s="875"/>
      <x:c r="J63" s="872"/>
      <x:c r="K63" s="873" t="str">
        <x:v>PENDING</x:v>
      </x:c>
      <x:c r="L63" s="876"/>
      <x:c r="M63" s="873" t="str">
        <x:v>operator_selection_decision is PENDING; mandatory assessment is not HIGH: scope_relevance. Required action: Review the human-governed source fields and choose INCLUDE, PENDING or EXCLUDE in Human Operation Desktop.</x:v>
      </x:c>
      <x:c r="N63" s="874"/>
      <x:c r="O63" s="874"/>
      <x:c r="P63" s="872" t="str">
        <x:v>https://lovdata.no/dokument/NL/lov/2000-11-24-82</x:v>
      </x:c>
      <x:c r="Q63" s="872" t="str">
        <x:v>https://lovdata.no/dokument/NL/lov/2000-11-24-82</x:v>
      </x:c>
      <x:c r="R63" s="872" t="str">
        <x:v>A_Public_Authority</x:v>
      </x:c>
      <x:c r="S63" s="872" t="str">
        <x:v>Norwegian Ministry of Energy</x:v>
      </x:c>
      <x:c r="T63" s="872" t="str">
        <x:v>Norway</x:v>
      </x:c>
      <x:c r="U63" s="872" t="str">
        <x:v>Law</x:v>
      </x:c>
      <x:c r="V63" s="872" t="str">
        <x:v>Public authority</x:v>
      </x:c>
      <x:c r="W63" s="872" t="str">
        <x:v>Referenced normative</x:v>
      </x:c>
      <x:c r="X63" s="872" t="str">
        <x:v>Norwegian</x:v>
      </x:c>
      <x:c r="Y63" s="872" t="str">
        <x:v>html</x:v>
      </x:c>
      <x:c r="Z63" s="872"/>
      <x:c r="AA63" s="877"/>
      <x:c r="AB63" s="872" t="str">
        <x:v>Official referenced source from Norwegian Ministry of Energy; included because an applicable law, permit or certification scheme may make its provisions binding within the approved scope.</x:v>
      </x:c>
      <x:c r="AC63" s="872" t="str">
        <x:v>HIGH</x:v>
      </x:c>
      <x:c r="AD63" s="872" t="str">
        <x:v>MEDIUM</x:v>
      </x:c>
      <x:c r="AE63" s="872" t="str">
        <x:v>HIGH</x:v>
      </x:c>
      <x:c r="AF63" s="872" t="str">
        <x:v>HIGH</x:v>
      </x:c>
      <x:c r="AG63" s="872" t="str">
        <x:v>HIGH</x:v>
      </x:c>
      <x:c r="AH63" s="872" t="str">
        <x:v>HIGH</x:v>
      </x:c>
      <x:c r="AI63" s="872" t="str">
        <x:v>PENDING</x:v>
      </x:c>
      <x:c r="AJ63" s="872" t="str">
        <x:v>OFFICIAL_WEBSITE</x:v>
      </x:c>
      <x:c r="AK63" s="872" t="str">
        <x:v>OFFICIAL_ORIGINAL</x:v>
      </x:c>
      <x:c r="AL63" s="872" t="str">
        <x:v>ROLLING</x:v>
      </x:c>
      <x:c r="AM63" s="872"/>
      <x:c r="AN63" s="872" t="str">
        <x:v>CURRENT</x:v>
      </x:c>
      <x:c r="AO63" s="872"/>
      <x:c r="AP63" s="872" t="str">
        <x:v>Official permitting expansion. Particularly relevant to freshwater or water-abstraction and discharge arrangements.</x:v>
      </x:c>
      <x:c r="AQ63" s="878" t="n">
        <x:v>46265.588784722226</x:v>
      </x:c>
      <x:c r="AR63" s="874" t="str">
        <x:v>{"action": "APPLY_FIELD_UPDATES", "review_fingerprint": "c7c35b75a0e155ba", "source_id": "PA053", "updates": {}}</x:v>
      </x:c>
    </x:row>
    <x:row r="64" s="36" customFormat="1" ht="30" customHeight="1">
      <x:c r="A64" s="871" t="str">
        <x:v>REV-31b9ef60bf439dac</x:v>
      </x:c>
      <x:c r="B64" s="871" t="str">
        <x:v>SELECTION_REVIEW</x:v>
      </x:c>
      <x:c r="C64" s="871" t="str">
        <x:v>PA054</x:v>
      </x:c>
      <x:c r="D64" s="872" t="str">
        <x:v>Marine Nature Protection Act</x:v>
      </x:c>
      <x:c r="E64" s="871" t="str">
        <x:v>SELECTION_PENDING</x:v>
      </x:c>
      <x:c r="F64" s="871" t="str">
        <x:v>APPLY_FIELD_UPDATES</x:v>
      </x:c>
      <x:c r="G64" s="872" t="str">
        <x:v>PENDING</x:v>
      </x:c>
      <x:c r="H64" s="872"/>
      <x:c r="I64" s="875"/>
      <x:c r="J64" s="872"/>
      <x:c r="K64" s="873" t="str">
        <x:v>PENDING</x:v>
      </x:c>
      <x:c r="L64" s="876"/>
      <x:c r="M64" s="873" t="str">
        <x:v>operator_selection_decision is PENDING; mandatory assessment is not HIGH: scope_relevance. Required action: Review the human-governed source fields and choose INCLUDE, PENDING or EXCLUDE in Human Operation Desktop.</x:v>
      </x:c>
      <x:c r="N64" s="874"/>
      <x:c r="O64" s="874"/>
      <x:c r="P64" s="872" t="str">
        <x:v>https://lovdata.no/dokument/NL/lov/2025-06-10-33</x:v>
      </x:c>
      <x:c r="Q64" s="872" t="str">
        <x:v>https://lovdata.no/dokument/NL/lov/2025-06-10-33</x:v>
      </x:c>
      <x:c r="R64" s="872" t="str">
        <x:v>A_Public_Authority</x:v>
      </x:c>
      <x:c r="S64" s="872" t="str">
        <x:v>Norwegian Ministry of Climate and Environment</x:v>
      </x:c>
      <x:c r="T64" s="872" t="str">
        <x:v>Norway</x:v>
      </x:c>
      <x:c r="U64" s="872" t="str">
        <x:v>Law</x:v>
      </x:c>
      <x:c r="V64" s="872" t="str">
        <x:v>Public authority</x:v>
      </x:c>
      <x:c r="W64" s="872" t="str">
        <x:v>Referenced normative</x:v>
      </x:c>
      <x:c r="X64" s="872" t="str">
        <x:v>Norwegian</x:v>
      </x:c>
      <x:c r="Y64" s="872" t="str">
        <x:v>html</x:v>
      </x:c>
      <x:c r="Z64" s="872"/>
      <x:c r="AA64" s="877" t="n">
        <x:v>46023</x:v>
      </x:c>
      <x:c r="AB64" s="872" t="str">
        <x:v>Official referenced source from Norwegian Ministry of Climate and Environment; included because an applicable law, permit or certification scheme may make its provisions binding within the approved scope.</x:v>
      </x:c>
      <x:c r="AC64" s="872" t="str">
        <x:v>HIGH</x:v>
      </x:c>
      <x:c r="AD64" s="872" t="str">
        <x:v>MEDIUM</x:v>
      </x:c>
      <x:c r="AE64" s="872" t="str">
        <x:v>HIGH</x:v>
      </x:c>
      <x:c r="AF64" s="872" t="str">
        <x:v>HIGH</x:v>
      </x:c>
      <x:c r="AG64" s="872" t="str">
        <x:v>HIGH</x:v>
      </x:c>
      <x:c r="AH64" s="872" t="str">
        <x:v>HIGH</x:v>
      </x:c>
      <x:c r="AI64" s="872" t="str">
        <x:v>PENDING</x:v>
      </x:c>
      <x:c r="AJ64" s="872" t="str">
        <x:v>OFFICIAL_WEBSITE</x:v>
      </x:c>
      <x:c r="AK64" s="872" t="str">
        <x:v>OFFICIAL_ORIGINAL</x:v>
      </x:c>
      <x:c r="AL64" s="872" t="str">
        <x:v>ROLLING</x:v>
      </x:c>
      <x:c r="AM64" s="872"/>
      <x:c r="AN64" s="872" t="str">
        <x:v>CURRENT</x:v>
      </x:c>
      <x:c r="AO64" s="872"/>
      <x:c r="AP64" s="872" t="str">
        <x:v>Official future-facing coverage expansion. Offshore and site-specific applicability must be confirmed before use.</x:v>
      </x:c>
      <x:c r="AQ64" s="878" t="n">
        <x:v>46265.588784722226</x:v>
      </x:c>
      <x:c r="AR64" s="874" t="str">
        <x:v>{"action": "APPLY_FIELD_UPDATES", "review_fingerprint": "4b0ab5dfe88c2c37", "source_id": "PA054", "updates": {}}</x:v>
      </x:c>
    </x:row>
    <x:row r="65" s="36" customFormat="1" ht="30" customHeight="1">
      <x:c r="A65" s="871" t="str">
        <x:v>REV-0381f660340b93db</x:v>
      </x:c>
      <x:c r="B65" s="871" t="str">
        <x:v>SELECTION_REVIEW</x:v>
      </x:c>
      <x:c r="C65" s="871" t="str">
        <x:v>PA056</x:v>
      </x:c>
      <x:c r="D65" s="872" t="str">
        <x:v>Fiskeridirektoratet guidance for land-based aquaculture facilities</x:v>
      </x:c>
      <x:c r="E65" s="871" t="str">
        <x:v>SELECTION_PENDING</x:v>
      </x:c>
      <x:c r="F65" s="871" t="str">
        <x:v>APPLY_FIELD_UPDATES</x:v>
      </x:c>
      <x:c r="G65" s="872" t="str">
        <x:v>PENDING</x:v>
      </x:c>
      <x:c r="H65" s="872"/>
      <x:c r="I65" s="875"/>
      <x:c r="J65" s="872"/>
      <x:c r="K65" s="873" t="str">
        <x:v>PENDING</x:v>
      </x:c>
      <x:c r="L65" s="876"/>
      <x:c r="M65" s="873" t="str">
        <x:v>operator_selection_decision is PENDING; mandatory assessment is not HIGH: scope_relevance. Required action: Review the human-governed source fields and choose INCLUDE, PENDING or EXCLUDE in Human Operation Desktop.</x:v>
      </x:c>
      <x:c r="N65" s="874"/>
      <x:c r="O65" s="874"/>
      <x:c r="P65" s="872" t="str">
        <x:v>https://www.fiskeridir.no/akvakultur/landbaserte-anlegg</x:v>
      </x:c>
      <x:c r="Q65" s="872" t="str">
        <x:v>https://www.fiskeridir.no/akvakultur/landbaserte-anlegg</x:v>
      </x:c>
      <x:c r="R65" s="872" t="str">
        <x:v>A_Public_Authority</x:v>
      </x:c>
      <x:c r="S65" s="872" t="str">
        <x:v>Norwegian Directorate of Fisheries</x:v>
      </x:c>
      <x:c r="T65" s="872" t="str">
        <x:v>Norway</x:v>
      </x:c>
      <x:c r="U65" s="872" t="str">
        <x:v>Interpretation document</x:v>
      </x:c>
      <x:c r="V65" s="872" t="str">
        <x:v>Public authority</x:v>
      </x:c>
      <x:c r="W65" s="872" t="str">
        <x:v>Guidance / interpretation</x:v>
      </x:c>
      <x:c r="X65" s="872" t="str">
        <x:v>Norwegian</x:v>
      </x:c>
      <x:c r="Y65" s="872" t="str">
        <x:v>html</x:v>
      </x:c>
      <x:c r="Z65" s="872"/>
      <x:c r="AA65" s="877"/>
      <x:c r="AB65" s="872" t="str">
        <x:v>Official guidance from Norwegian Directorate of Fisheries; included to interpret and operationalise linked normative requirements, not as independent legal or certification authority.</x:v>
      </x:c>
      <x:c r="AC65" s="872" t="str">
        <x:v>HIGH</x:v>
      </x:c>
      <x:c r="AD65" s="872" t="str">
        <x:v>MEDIUM</x:v>
      </x:c>
      <x:c r="AE65" s="872" t="str">
        <x:v>HIGH</x:v>
      </x:c>
      <x:c r="AF65" s="872" t="str">
        <x:v>HIGH</x:v>
      </x:c>
      <x:c r="AG65" s="872" t="str">
        <x:v>HIGH</x:v>
      </x:c>
      <x:c r="AH65" s="872" t="str">
        <x:v>HIGH</x:v>
      </x:c>
      <x:c r="AI65" s="872" t="str">
        <x:v>PENDING</x:v>
      </x:c>
      <x:c r="AJ65" s="872" t="str">
        <x:v>OFFICIAL_WEBSITE</x:v>
      </x:c>
      <x:c r="AK65" s="872" t="str">
        <x:v>OFFICIAL_ORIGINAL</x:v>
      </x:c>
      <x:c r="AL65" s="872" t="str">
        <x:v>ROLLING</x:v>
      </x:c>
      <x:c r="AM65" s="872"/>
      <x:c r="AN65" s="872" t="str">
        <x:v>CURRENT</x:v>
      </x:c>
      <x:c r="AO65" s="872" t="str">
        <x:v>PA022</x:v>
      </x:c>
      <x:c r="AP65" s="872" t="str">
        <x:v>Official land-based facility guidance. Include only when land-based facilities are within scope.</x:v>
      </x:c>
      <x:c r="AQ65" s="878" t="n">
        <x:v>46265.588784722226</x:v>
      </x:c>
      <x:c r="AR65" s="874" t="str">
        <x:v>{"action": "APPLY_FIELD_UPDATES", "review_fingerprint": "53b27dd90f18f14e", "source_id": "PA056", "updates": {}}</x:v>
      </x:c>
    </x:row>
    <x:row r="66" s="36" customFormat="1" ht="30" customHeight="1">
      <x:c r="A66" s="871" t="str">
        <x:v>REV-ff9d56cee895c584</x:v>
      </x:c>
      <x:c r="B66" s="871" t="str">
        <x:v>SELECTION_REVIEW</x:v>
      </x:c>
      <x:c r="C66" s="871" t="str">
        <x:v>PA057</x:v>
      </x:c>
      <x:c r="D66" s="872" t="str">
        <x:v>Guidance for condition assessment of land-based aquaculture facilities</x:v>
      </x:c>
      <x:c r="E66" s="871" t="str">
        <x:v>SELECTION_PENDING</x:v>
      </x:c>
      <x:c r="F66" s="871" t="str">
        <x:v>APPLY_FIELD_UPDATES</x:v>
      </x:c>
      <x:c r="G66" s="872" t="str">
        <x:v>PENDING</x:v>
      </x:c>
      <x:c r="H66" s="872"/>
      <x:c r="I66" s="875"/>
      <x:c r="J66" s="872"/>
      <x:c r="K66" s="873" t="str">
        <x:v>PENDING</x:v>
      </x:c>
      <x:c r="L66" s="876"/>
      <x:c r="M66" s="873" t="str">
        <x:v>operator_selection_decision is PENDING; mandatory assessment is not HIGH: scope_relevance. Required action: Review the human-governed source fields and choose INCLUDE, PENDING or EXCLUDE in Human Operation Desktop.</x:v>
      </x:c>
      <x:c r="N66" s="874"/>
      <x:c r="O66" s="874"/>
      <x:c r="P66" s="872" t="str">
        <x:v>https://www.fiskeridir.no/Akvakultur/Dokumenter/Veiledere/Tilstandsanalyse-av-landbaserte-anlegg</x:v>
      </x:c>
      <x:c r="Q66" s="872" t="str">
        <x:v>https://www.fiskeridir.no/Akvakultur/Dokumenter/Veiledere/Tilstandsanalyse-av-landbaserte-anlegg/_/attachment/download/df2fc451-04b7-4984-8628-770e2cf13ac9%3Ad6ae5a53d45201b6bb2458a1e3506f3f9cd7e3fe/Veileder_tilstandsanalyse_20241011.pdf</x:v>
      </x:c>
      <x:c r="R66" s="872" t="str">
        <x:v>A_Public_Authority</x:v>
      </x:c>
      <x:c r="S66" s="872" t="str">
        <x:v>Norwegian Directorate of Fisheries</x:v>
      </x:c>
      <x:c r="T66" s="872" t="str">
        <x:v>Norway</x:v>
      </x:c>
      <x:c r="U66" s="872" t="str">
        <x:v>Interpretation document</x:v>
      </x:c>
      <x:c r="V66" s="872" t="str">
        <x:v>Public authority</x:v>
      </x:c>
      <x:c r="W66" s="872" t="str">
        <x:v>Guidance / interpretation</x:v>
      </x:c>
      <x:c r="X66" s="872" t="str">
        <x:v>Norwegian</x:v>
      </x:c>
      <x:c r="Y66" s="872" t="str">
        <x:v>pdf</x:v>
      </x:c>
      <x:c r="Z66" s="872" t="str">
        <x:v>2024-10-11</x:v>
      </x:c>
      <x:c r="AA66" s="877"/>
      <x:c r="AB66" s="872" t="str">
        <x:v>Official guidance from Norwegian Directorate of Fisheries; included to interpret and operationalise linked normative requirements, not as independent legal or certification authority.</x:v>
      </x:c>
      <x:c r="AC66" s="872" t="str">
        <x:v>HIGH</x:v>
      </x:c>
      <x:c r="AD66" s="872" t="str">
        <x:v>MEDIUM</x:v>
      </x:c>
      <x:c r="AE66" s="872" t="str">
        <x:v>HIGH</x:v>
      </x:c>
      <x:c r="AF66" s="872" t="str">
        <x:v>HIGH</x:v>
      </x:c>
      <x:c r="AG66" s="872" t="str">
        <x:v>HIGH</x:v>
      </x:c>
      <x:c r="AH66" s="872" t="str">
        <x:v>HIGH</x:v>
      </x:c>
      <x:c r="AI66" s="872" t="str">
        <x:v>PENDING</x:v>
      </x:c>
      <x:c r="AJ66" s="872" t="str">
        <x:v>OFFICIAL_WEBSITE</x:v>
      </x:c>
      <x:c r="AK66" s="872" t="str">
        <x:v>OFFICIAL_ORIGINAL</x:v>
      </x:c>
      <x:c r="AL66" s="872" t="str">
        <x:v>VERSIONED</x:v>
      </x:c>
      <x:c r="AM66" s="872"/>
      <x:c r="AN66" s="872" t="str">
        <x:v>CURRENT</x:v>
      </x:c>
      <x:c r="AO66" s="872" t="str">
        <x:v>PA022</x:v>
      </x:c>
      <x:c r="AP66" s="872" t="str">
        <x:v>Official technical guidance linked to land-based facility regulation and NS 3424. Conditional on land-based scope.</x:v>
      </x:c>
      <x:c r="AQ66" s="878" t="n">
        <x:v>46265.588784722226</x:v>
      </x:c>
      <x:c r="AR66" s="874" t="str">
        <x:v>{"action": "APPLY_FIELD_UPDATES", "review_fingerprint": "b2a04fc285ef603a", "source_id": "PA057", "updates": {}}</x:v>
      </x:c>
    </x:row>
    <x:row r="67" s="36" customFormat="1" ht="30" customHeight="1">
      <x:c r="A67" s="871" t="str">
        <x:v>REV-784cf5dc18502a0e</x:v>
      </x:c>
      <x:c r="B67" s="871" t="str">
        <x:v>SOURCE_REVIEW</x:v>
      </x:c>
      <x:c r="C67" s="871" t="str">
        <x:v>SB001</x:v>
      </x:c>
      <x:c r="D67" s="872" t="str">
        <x:v>NS 9415:2021+AC:2024 Floating aquaculture farms - Site survey, design, execution and use</x:v>
      </x:c>
      <x:c r="E67" s="871" t="str">
        <x:v>PAYWALL_BLOCKED</x:v>
      </x:c>
      <x:c r="F67" s="871" t="str">
        <x:v>APPLY_FIELD_UPDATES</x:v>
      </x:c>
      <x:c r="G67" s="872" t="str">
        <x:v>PENDING</x:v>
      </x:c>
      <x:c r="H67" s="872"/>
      <x:c r="I67" s="875"/>
      <x:c r="J67" s="872"/>
      <x:c r="K67" s="873" t="str">
        <x:v>PENDING</x:v>
      </x:c>
      <x:c r="L67" s="876"/>
      <x:c r="M67" s="873" t="str">
        <x:v>Official access is restricted by a paywall or licence; provide an authorised copy or retrieval route. Required action: Place an authorised copy in Data/00_Human_Intake or record an authorised retrieval route.</x:v>
      </x:c>
      <x:c r="N67" s="874"/>
      <x:c r="O67" s="874"/>
      <x:c r="P67" s="872" t="str">
        <x:v>https://online.standard.no/nb/ns-9415-2021</x:v>
      </x:c>
      <x:c r="Q67" s="872"/>
      <x:c r="R67" s="872" t="str">
        <x:v>B_Standards_Body</x:v>
      </x:c>
      <x:c r="S67" s="872" t="str">
        <x:v>Standards Norway</x:v>
      </x:c>
      <x:c r="T67" s="872" t="str">
        <x:v>Norway</x:v>
      </x:c>
      <x:c r="U67" s="872" t="str">
        <x:v>Technical standard</x:v>
      </x:c>
      <x:c r="V67" s="872" t="str">
        <x:v>Standards body</x:v>
      </x:c>
      <x:c r="W67" s="872" t="str">
        <x:v>Referenced normative</x:v>
      </x:c>
      <x:c r="X67" s="872" t="str">
        <x:v>Norwegian</x:v>
      </x:c>
      <x:c r="Y67" s="872" t="str">
        <x:v>pdf</x:v>
      </x:c>
      <x:c r="Z67" s="872" t="str">
        <x:v>2021+AC:2024</x:v>
      </x:c>
      <x:c r="AA67" s="877"/>
      <x:c r="AB67" s="872" t="str">
        <x:v>Official referenced source from Standards Norway; included because an applicable law, permit or certification scheme may make its provisions binding within the approved scope.</x:v>
      </x:c>
      <x:c r="AC67" s="872" t="str">
        <x:v>HIGH</x:v>
      </x:c>
      <x:c r="AD67" s="872" t="str">
        <x:v>HIGH</x:v>
      </x:c>
      <x:c r="AE67" s="872" t="str">
        <x:v>HIGH</x:v>
      </x:c>
      <x:c r="AF67" s="872" t="str">
        <x:v>HIGH</x:v>
      </x:c>
      <x:c r="AG67" s="872" t="str">
        <x:v>MEDIUM</x:v>
      </x:c>
      <x:c r="AH67" s="872" t="str">
        <x:v>LOW</x:v>
      </x:c>
      <x:c r="AI67" s="872" t="str">
        <x:v>PENDING</x:v>
      </x:c>
      <x:c r="AJ67" s="872" t="str">
        <x:v>OFFICIAL_WEBSITE</x:v>
      </x:c>
      <x:c r="AK67" s="872" t="str">
        <x:v>OFFICIAL_ORIGINAL</x:v>
      </x:c>
      <x:c r="AL67" s="872" t="str">
        <x:v>VERSIONED</x:v>
      </x:c>
      <x:c r="AM67" s="872"/>
      <x:c r="AN67" s="872" t="str">
        <x:v>CURRENT</x:v>
      </x:c>
      <x:c r="AO67" s="872" t="str">
        <x:v>PA004</x:v>
      </x:c>
      <x:c r="AP67" s="872" t="str">
        <x:v>Project-mentioned standard referenced by NYTEK23. Licensed access is required before automated retrieval.</x:v>
      </x:c>
      <x:c r="AQ67" s="878" t="n">
        <x:v>46265.588784722226</x:v>
      </x:c>
      <x:c r="AR67" s="874" t="str">
        <x:v>{"action": "APPLY_FIELD_UPDATES", "review_fingerprint": "", "source_id": "SB001", "updates": {}}</x:v>
      </x:c>
    </x:row>
    <x:row r="68" s="36" customFormat="1" ht="30" customHeight="1">
      <x:c r="A68" s="871" t="str">
        <x:v>REV-779ff3399935b76c</x:v>
      </x:c>
      <x:c r="B68" s="871" t="str">
        <x:v>SELECTION_REVIEW</x:v>
      </x:c>
      <x:c r="C68" s="871" t="str">
        <x:v>SB001</x:v>
      </x:c>
      <x:c r="D68" s="872" t="str">
        <x:v>NS 9415:2021+AC:2024 Floating aquaculture farms - Site survey, design, execution and use</x:v>
      </x:c>
      <x:c r="E68" s="871" t="str">
        <x:v>SELECTION_PENDING</x:v>
      </x:c>
      <x:c r="F68" s="871" t="str">
        <x:v>APPLY_FIELD_UPDATES</x:v>
      </x:c>
      <x:c r="G68" s="872" t="str">
        <x:v>PENDING</x:v>
      </x:c>
      <x:c r="H68" s="872"/>
      <x:c r="I68" s="875"/>
      <x:c r="J68" s="872"/>
      <x:c r="K68" s="873" t="str">
        <x:v>PENDING</x:v>
      </x:c>
      <x:c r="L68" s="876"/>
      <x:c r="M68" s="873" t="str">
        <x:v>operator_selection_decision is PENDING; mandatory assessment is not HIGH: access_permission. Required action: Review the human-governed source fields and choose INCLUDE, PENDING or EXCLUDE in Human Operation Desktop.</x:v>
      </x:c>
      <x:c r="N68" s="874"/>
      <x:c r="O68" s="874"/>
      <x:c r="P68" s="872" t="str">
        <x:v>https://online.standard.no/nb/ns-9415-2021</x:v>
      </x:c>
      <x:c r="Q68" s="872"/>
      <x:c r="R68" s="872" t="str">
        <x:v>B_Standards_Body</x:v>
      </x:c>
      <x:c r="S68" s="872" t="str">
        <x:v>Standards Norway</x:v>
      </x:c>
      <x:c r="T68" s="872" t="str">
        <x:v>Norway</x:v>
      </x:c>
      <x:c r="U68" s="872" t="str">
        <x:v>Technical standard</x:v>
      </x:c>
      <x:c r="V68" s="872" t="str">
        <x:v>Standards body</x:v>
      </x:c>
      <x:c r="W68" s="872" t="str">
        <x:v>Referenced normative</x:v>
      </x:c>
      <x:c r="X68" s="872" t="str">
        <x:v>Norwegian</x:v>
      </x:c>
      <x:c r="Y68" s="872" t="str">
        <x:v>pdf</x:v>
      </x:c>
      <x:c r="Z68" s="872" t="str">
        <x:v>2021+AC:2024</x:v>
      </x:c>
      <x:c r="AA68" s="877"/>
      <x:c r="AB68" s="872" t="str">
        <x:v>Official referenced source from Standards Norway; included because an applicable law, permit or certification scheme may make its provisions binding within the approved scope.</x:v>
      </x:c>
      <x:c r="AC68" s="872" t="str">
        <x:v>HIGH</x:v>
      </x:c>
      <x:c r="AD68" s="872" t="str">
        <x:v>HIGH</x:v>
      </x:c>
      <x:c r="AE68" s="872" t="str">
        <x:v>HIGH</x:v>
      </x:c>
      <x:c r="AF68" s="872" t="str">
        <x:v>HIGH</x:v>
      </x:c>
      <x:c r="AG68" s="872" t="str">
        <x:v>MEDIUM</x:v>
      </x:c>
      <x:c r="AH68" s="872" t="str">
        <x:v>LOW</x:v>
      </x:c>
      <x:c r="AI68" s="872" t="str">
        <x:v>PENDING</x:v>
      </x:c>
      <x:c r="AJ68" s="872" t="str">
        <x:v>OFFICIAL_WEBSITE</x:v>
      </x:c>
      <x:c r="AK68" s="872" t="str">
        <x:v>OFFICIAL_ORIGINAL</x:v>
      </x:c>
      <x:c r="AL68" s="872" t="str">
        <x:v>VERSIONED</x:v>
      </x:c>
      <x:c r="AM68" s="872"/>
      <x:c r="AN68" s="872" t="str">
        <x:v>CURRENT</x:v>
      </x:c>
      <x:c r="AO68" s="872" t="str">
        <x:v>PA004</x:v>
      </x:c>
      <x:c r="AP68" s="872" t="str">
        <x:v>Project-mentioned standard referenced by NYTEK23. Licensed access is required before automated retrieval.</x:v>
      </x:c>
      <x:c r="AQ68" s="878" t="n">
        <x:v>46265.588784722226</x:v>
      </x:c>
      <x:c r="AR68" s="874" t="str">
        <x:v>{"action": "APPLY_FIELD_UPDATES", "review_fingerprint": "67ebd3027c2b43ad", "source_id": "SB001", "updates": {}}</x:v>
      </x:c>
    </x:row>
    <x:row r="69" s="36" customFormat="1" ht="30" customHeight="1">
      <x:c r="A69" s="871" t="str">
        <x:v>REV-b67ef5f6e4427800</x:v>
      </x:c>
      <x:c r="B69" s="871" t="str">
        <x:v>SOURCE_REVIEW</x:v>
      </x:c>
      <x:c r="C69" s="871" t="str">
        <x:v>SB002</x:v>
      </x:c>
      <x:c r="D69" s="872" t="str">
        <x:v>NS 9410:2016 Environmental monitoring of benthic impact from marine fish farms</x:v>
      </x:c>
      <x:c r="E69" s="871" t="str">
        <x:v>PAYWALL_BLOCKED</x:v>
      </x:c>
      <x:c r="F69" s="871" t="str">
        <x:v>APPLY_FIELD_UPDATES</x:v>
      </x:c>
      <x:c r="G69" s="872" t="str">
        <x:v>PENDING</x:v>
      </x:c>
      <x:c r="H69" s="872"/>
      <x:c r="I69" s="875"/>
      <x:c r="J69" s="872"/>
      <x:c r="K69" s="873" t="str">
        <x:v>PENDING</x:v>
      </x:c>
      <x:c r="L69" s="876"/>
      <x:c r="M69" s="873" t="str">
        <x:v>Official access is restricted by a paywall or licence; provide an authorised copy or retrieval route. Required action: Place an authorised copy in Data/00_Human_Intake or record an authorised retrieval route.</x:v>
      </x:c>
      <x:c r="N69" s="874"/>
      <x:c r="O69" s="874"/>
      <x:c r="P69" s="872" t="str">
        <x:v>https://online.standard.no/ns-9410-2016</x:v>
      </x:c>
      <x:c r="Q69" s="872"/>
      <x:c r="R69" s="872" t="str">
        <x:v>B_Standards_Body</x:v>
      </x:c>
      <x:c r="S69" s="872" t="str">
        <x:v>Standards Norway</x:v>
      </x:c>
      <x:c r="T69" s="872" t="str">
        <x:v>Norway</x:v>
      </x:c>
      <x:c r="U69" s="872" t="str">
        <x:v>Technical standard</x:v>
      </x:c>
      <x:c r="V69" s="872" t="str">
        <x:v>Standards body</x:v>
      </x:c>
      <x:c r="W69" s="872" t="str">
        <x:v>Referenced normative</x:v>
      </x:c>
      <x:c r="X69" s="872" t="str">
        <x:v>Norwegian</x:v>
      </x:c>
      <x:c r="Y69" s="872" t="str">
        <x:v>pdf</x:v>
      </x:c>
      <x:c r="Z69" s="872" t="str">
        <x:v>2016</x:v>
      </x:c>
      <x:c r="AA69" s="877"/>
      <x:c r="AB69" s="872" t="str">
        <x:v>Official referenced source from Standards Norway; included because an applicable law, permit or certification scheme may make its provisions binding within the approved scope.</x:v>
      </x:c>
      <x:c r="AC69" s="872" t="str">
        <x:v>HIGH</x:v>
      </x:c>
      <x:c r="AD69" s="872" t="str">
        <x:v>HIGH</x:v>
      </x:c>
      <x:c r="AE69" s="872" t="str">
        <x:v>MEDIUM</x:v>
      </x:c>
      <x:c r="AF69" s="872" t="str">
        <x:v>HIGH</x:v>
      </x:c>
      <x:c r="AG69" s="872" t="str">
        <x:v>MEDIUM</x:v>
      </x:c>
      <x:c r="AH69" s="872" t="str">
        <x:v>LOW</x:v>
      </x:c>
      <x:c r="AI69" s="872" t="str">
        <x:v>PENDING</x:v>
      </x:c>
      <x:c r="AJ69" s="872" t="str">
        <x:v>OFFICIAL_WEBSITE</x:v>
      </x:c>
      <x:c r="AK69" s="872" t="str">
        <x:v>OFFICIAL_ORIGINAL</x:v>
      </x:c>
      <x:c r="AL69" s="872" t="str">
        <x:v>VERSIONED</x:v>
      </x:c>
      <x:c r="AM69" s="872"/>
      <x:c r="AN69" s="872" t="str">
        <x:v>CURRENT</x:v>
      </x:c>
      <x:c r="AO69" s="872" t="str">
        <x:v>PA044</x:v>
      </x:c>
      <x:c r="AP69" s="872" t="str">
        <x:v>Official expansion from environmental authority guidance. Licensed access is required.</x:v>
      </x:c>
      <x:c r="AQ69" s="878" t="n">
        <x:v>46265.588784722226</x:v>
      </x:c>
      <x:c r="AR69" s="874" t="str">
        <x:v>{"action": "APPLY_FIELD_UPDATES", "review_fingerprint": "", "source_id": "SB002", "updates": {}}</x:v>
      </x:c>
    </x:row>
    <x:row r="70" s="36" customFormat="1" ht="30" customHeight="1">
      <x:c r="A70" s="871" t="str">
        <x:v>REV-3d4b6e7ac89e359f</x:v>
      </x:c>
      <x:c r="B70" s="871" t="str">
        <x:v>SELECTION_REVIEW</x:v>
      </x:c>
      <x:c r="C70" s="871" t="str">
        <x:v>SB002</x:v>
      </x:c>
      <x:c r="D70" s="872" t="str">
        <x:v>NS 9410:2016 Environmental monitoring of benthic impact from marine fish farms</x:v>
      </x:c>
      <x:c r="E70" s="871" t="str">
        <x:v>SELECTION_PENDING</x:v>
      </x:c>
      <x:c r="F70" s="871" t="str">
        <x:v>APPLY_FIELD_UPDATES</x:v>
      </x:c>
      <x:c r="G70" s="872" t="str">
        <x:v>PENDING</x:v>
      </x:c>
      <x:c r="H70" s="872"/>
      <x:c r="I70" s="875"/>
      <x:c r="J70" s="872"/>
      <x:c r="K70" s="873" t="str">
        <x:v>PENDING</x:v>
      </x:c>
      <x:c r="L70" s="876"/>
      <x:c r="M70" s="873" t="str">
        <x:v>operator_selection_decision is PENDING; mandatory assessment is not HIGH: version_currency, access_permission. Required action: Review the human-governed source fields and choose INCLUDE, PENDING or EXCLUDE in Human Operation Desktop.</x:v>
      </x:c>
      <x:c r="N70" s="874"/>
      <x:c r="O70" s="874"/>
      <x:c r="P70" s="872" t="str">
        <x:v>https://online.standard.no/ns-9410-2016</x:v>
      </x:c>
      <x:c r="Q70" s="872"/>
      <x:c r="R70" s="872" t="str">
        <x:v>B_Standards_Body</x:v>
      </x:c>
      <x:c r="S70" s="872" t="str">
        <x:v>Standards Norway</x:v>
      </x:c>
      <x:c r="T70" s="872" t="str">
        <x:v>Norway</x:v>
      </x:c>
      <x:c r="U70" s="872" t="str">
        <x:v>Technical standard</x:v>
      </x:c>
      <x:c r="V70" s="872" t="str">
        <x:v>Standards body</x:v>
      </x:c>
      <x:c r="W70" s="872" t="str">
        <x:v>Referenced normative</x:v>
      </x:c>
      <x:c r="X70" s="872" t="str">
        <x:v>Norwegian</x:v>
      </x:c>
      <x:c r="Y70" s="872" t="str">
        <x:v>pdf</x:v>
      </x:c>
      <x:c r="Z70" s="872" t="str">
        <x:v>2016</x:v>
      </x:c>
      <x:c r="AA70" s="877"/>
      <x:c r="AB70" s="872" t="str">
        <x:v>Official referenced source from Standards Norway; included because an applicable law, permit or certification scheme may make its provisions binding within the approved scope.</x:v>
      </x:c>
      <x:c r="AC70" s="872" t="str">
        <x:v>HIGH</x:v>
      </x:c>
      <x:c r="AD70" s="872" t="str">
        <x:v>HIGH</x:v>
      </x:c>
      <x:c r="AE70" s="872" t="str">
        <x:v>MEDIUM</x:v>
      </x:c>
      <x:c r="AF70" s="872" t="str">
        <x:v>HIGH</x:v>
      </x:c>
      <x:c r="AG70" s="872" t="str">
        <x:v>MEDIUM</x:v>
      </x:c>
      <x:c r="AH70" s="872" t="str">
        <x:v>LOW</x:v>
      </x:c>
      <x:c r="AI70" s="872" t="str">
        <x:v>PENDING</x:v>
      </x:c>
      <x:c r="AJ70" s="872" t="str">
        <x:v>OFFICIAL_WEBSITE</x:v>
      </x:c>
      <x:c r="AK70" s="872" t="str">
        <x:v>OFFICIAL_ORIGINAL</x:v>
      </x:c>
      <x:c r="AL70" s="872" t="str">
        <x:v>VERSIONED</x:v>
      </x:c>
      <x:c r="AM70" s="872"/>
      <x:c r="AN70" s="872" t="str">
        <x:v>CURRENT</x:v>
      </x:c>
      <x:c r="AO70" s="872" t="str">
        <x:v>PA044</x:v>
      </x:c>
      <x:c r="AP70" s="872" t="str">
        <x:v>Official expansion from environmental authority guidance. Licensed access is required.</x:v>
      </x:c>
      <x:c r="AQ70" s="878" t="n">
        <x:v>46265.588784722226</x:v>
      </x:c>
      <x:c r="AR70" s="874" t="str">
        <x:v>{"action": "APPLY_FIELD_UPDATES", "review_fingerprint": "02c1420139993870", "source_id": "SB002", "updates": {}}</x:v>
      </x:c>
    </x:row>
    <x:row r="71" s="36" customFormat="1" ht="30" customHeight="1">
      <x:c r="A71" s="871" t="str">
        <x:v>REV-fdc488df4ab840ed</x:v>
      </x:c>
      <x:c r="B71" s="871" t="str">
        <x:v>SOURCE_REVIEW</x:v>
      </x:c>
      <x:c r="C71" s="871" t="str">
        <x:v>SB003</x:v>
      </x:c>
      <x:c r="D71" s="872" t="str">
        <x:v>NS 9416:2013 Land-based aquaculture facilities for fish</x:v>
      </x:c>
      <x:c r="E71" s="871" t="str">
        <x:v>PAYWALL_BLOCKED</x:v>
      </x:c>
      <x:c r="F71" s="871" t="str">
        <x:v>APPLY_FIELD_UPDATES</x:v>
      </x:c>
      <x:c r="G71" s="872" t="str">
        <x:v>PENDING</x:v>
      </x:c>
      <x:c r="H71" s="872"/>
      <x:c r="I71" s="875"/>
      <x:c r="J71" s="872"/>
      <x:c r="K71" s="873" t="str">
        <x:v>PENDING</x:v>
      </x:c>
      <x:c r="L71" s="876"/>
      <x:c r="M71" s="873" t="str">
        <x:v>Official access is restricted by a paywall or licence; provide an authorised copy or retrieval route. Required action: Place an authorised copy in Data/00_Human_Intake or record an authorised retrieval route.</x:v>
      </x:c>
      <x:c r="N71" s="874"/>
      <x:c r="O71" s="874"/>
      <x:c r="P71" s="872" t="str">
        <x:v>https://online.standard.no/nb/ns-9416-2013</x:v>
      </x:c>
      <x:c r="Q71" s="872"/>
      <x:c r="R71" s="872" t="str">
        <x:v>B_Standards_Body</x:v>
      </x:c>
      <x:c r="S71" s="872" t="str">
        <x:v>Standards Norway</x:v>
      </x:c>
      <x:c r="T71" s="872" t="str">
        <x:v>Norway</x:v>
      </x:c>
      <x:c r="U71" s="872" t="str">
        <x:v>Technical standard</x:v>
      </x:c>
      <x:c r="V71" s="872" t="str">
        <x:v>Standards body</x:v>
      </x:c>
      <x:c r="W71" s="872" t="str">
        <x:v>Referenced normative</x:v>
      </x:c>
      <x:c r="X71" s="872" t="str">
        <x:v>Norwegian</x:v>
      </x:c>
      <x:c r="Y71" s="872" t="str">
        <x:v>pdf</x:v>
      </x:c>
      <x:c r="Z71" s="872" t="str">
        <x:v>2013</x:v>
      </x:c>
      <x:c r="AA71" s="877"/>
      <x:c r="AB71" s="872" t="str">
        <x:v>Official referenced source from Standards Norway; included because an applicable law, permit or certification scheme may make its provisions binding within the approved scope.</x:v>
      </x:c>
      <x:c r="AC71" s="872" t="str">
        <x:v>HIGH</x:v>
      </x:c>
      <x:c r="AD71" s="872" t="str">
        <x:v>MEDIUM</x:v>
      </x:c>
      <x:c r="AE71" s="872" t="str">
        <x:v>MEDIUM</x:v>
      </x:c>
      <x:c r="AF71" s="872" t="str">
        <x:v>HIGH</x:v>
      </x:c>
      <x:c r="AG71" s="872" t="str">
        <x:v>MEDIUM</x:v>
      </x:c>
      <x:c r="AH71" s="872" t="str">
        <x:v>LOW</x:v>
      </x:c>
      <x:c r="AI71" s="872" t="str">
        <x:v>PENDING</x:v>
      </x:c>
      <x:c r="AJ71" s="872" t="str">
        <x:v>OFFICIAL_WEBSITE</x:v>
      </x:c>
      <x:c r="AK71" s="872" t="str">
        <x:v>OFFICIAL_ORIGINAL</x:v>
      </x:c>
      <x:c r="AL71" s="872" t="str">
        <x:v>VERSIONED</x:v>
      </x:c>
      <x:c r="AM71" s="872"/>
      <x:c r="AN71" s="872" t="str">
        <x:v>CURRENT</x:v>
      </x:c>
      <x:c r="AO71" s="872" t="str">
        <x:v>PA022</x:v>
      </x:c>
      <x:c r="AP71" s="872" t="str">
        <x:v>Referenced by PA022. A revision project is active, so currency requires explicit monitoring.</x:v>
      </x:c>
      <x:c r="AQ71" s="878" t="n">
        <x:v>46265.588784722226</x:v>
      </x:c>
      <x:c r="AR71" s="874" t="str">
        <x:v>{"action": "APPLY_FIELD_UPDATES", "review_fingerprint": "", "source_id": "SB003", "updates": {}}</x:v>
      </x:c>
    </x:row>
    <x:row r="72" s="36" customFormat="1" ht="30" customHeight="1">
      <x:c r="A72" s="871" t="str">
        <x:v>REV-9d33321ed9ed79c4</x:v>
      </x:c>
      <x:c r="B72" s="871" t="str">
        <x:v>SELECTION_REVIEW</x:v>
      </x:c>
      <x:c r="C72" s="871" t="str">
        <x:v>SB003</x:v>
      </x:c>
      <x:c r="D72" s="872" t="str">
        <x:v>NS 9416:2013 Land-based aquaculture facilities for fish</x:v>
      </x:c>
      <x:c r="E72" s="871" t="str">
        <x:v>SELECTION_PENDING</x:v>
      </x:c>
      <x:c r="F72" s="871" t="str">
        <x:v>APPLY_FIELD_UPDATES</x:v>
      </x:c>
      <x:c r="G72" s="872" t="str">
        <x:v>PENDING</x:v>
      </x:c>
      <x:c r="H72" s="872"/>
      <x:c r="I72" s="875"/>
      <x:c r="J72" s="872"/>
      <x:c r="K72" s="873" t="str">
        <x:v>PENDING</x:v>
      </x:c>
      <x:c r="L72" s="876"/>
      <x:c r="M72" s="873" t="str">
        <x:v>operator_selection_decision is PENDING; mandatory assessment is not HIGH: scope_relevance, version_currency, access_permission. Required action: Review the human-governed source fields and choose INCLUDE, PENDING or EXCLUDE in Human Operation Desktop.</x:v>
      </x:c>
      <x:c r="N72" s="874"/>
      <x:c r="O72" s="874"/>
      <x:c r="P72" s="872" t="str">
        <x:v>https://online.standard.no/nb/ns-9416-2013</x:v>
      </x:c>
      <x:c r="Q72" s="872"/>
      <x:c r="R72" s="872" t="str">
        <x:v>B_Standards_Body</x:v>
      </x:c>
      <x:c r="S72" s="872" t="str">
        <x:v>Standards Norway</x:v>
      </x:c>
      <x:c r="T72" s="872" t="str">
        <x:v>Norway</x:v>
      </x:c>
      <x:c r="U72" s="872" t="str">
        <x:v>Technical standard</x:v>
      </x:c>
      <x:c r="V72" s="872" t="str">
        <x:v>Standards body</x:v>
      </x:c>
      <x:c r="W72" s="872" t="str">
        <x:v>Referenced normative</x:v>
      </x:c>
      <x:c r="X72" s="872" t="str">
        <x:v>Norwegian</x:v>
      </x:c>
      <x:c r="Y72" s="872" t="str">
        <x:v>pdf</x:v>
      </x:c>
      <x:c r="Z72" s="872" t="str">
        <x:v>2013</x:v>
      </x:c>
      <x:c r="AA72" s="877"/>
      <x:c r="AB72" s="872" t="str">
        <x:v>Official referenced source from Standards Norway; included because an applicable law, permit or certification scheme may make its provisions binding within the approved scope.</x:v>
      </x:c>
      <x:c r="AC72" s="872" t="str">
        <x:v>HIGH</x:v>
      </x:c>
      <x:c r="AD72" s="872" t="str">
        <x:v>MEDIUM</x:v>
      </x:c>
      <x:c r="AE72" s="872" t="str">
        <x:v>MEDIUM</x:v>
      </x:c>
      <x:c r="AF72" s="872" t="str">
        <x:v>HIGH</x:v>
      </x:c>
      <x:c r="AG72" s="872" t="str">
        <x:v>MEDIUM</x:v>
      </x:c>
      <x:c r="AH72" s="872" t="str">
        <x:v>LOW</x:v>
      </x:c>
      <x:c r="AI72" s="872" t="str">
        <x:v>PENDING</x:v>
      </x:c>
      <x:c r="AJ72" s="872" t="str">
        <x:v>OFFICIAL_WEBSITE</x:v>
      </x:c>
      <x:c r="AK72" s="872" t="str">
        <x:v>OFFICIAL_ORIGINAL</x:v>
      </x:c>
      <x:c r="AL72" s="872" t="str">
        <x:v>VERSIONED</x:v>
      </x:c>
      <x:c r="AM72" s="872"/>
      <x:c r="AN72" s="872" t="str">
        <x:v>CURRENT</x:v>
      </x:c>
      <x:c r="AO72" s="872" t="str">
        <x:v>PA022</x:v>
      </x:c>
      <x:c r="AP72" s="872" t="str">
        <x:v>Referenced by PA022. A revision project is active, so currency requires explicit monitoring.</x:v>
      </x:c>
      <x:c r="AQ72" s="878" t="n">
        <x:v>46265.588784722226</x:v>
      </x:c>
      <x:c r="AR72" s="874" t="str">
        <x:v>{"action": "APPLY_FIELD_UPDATES", "review_fingerprint": "85002338ac67ddd5", "source_id": "SB003", "updates": {}}</x:v>
      </x:c>
    </x:row>
    <x:row r="73" s="36" customFormat="1" ht="30" customHeight="1">
      <x:c r="A73" s="871" t="str">
        <x:v>REV-2c541c1006635469</x:v>
      </x:c>
      <x:c r="B73" s="871" t="str">
        <x:v>SOURCE_REVIEW</x:v>
      </x:c>
      <x:c r="C73" s="871" t="str">
        <x:v>SB004</x:v>
      </x:c>
      <x:c r="D73" s="872" t="str">
        <x:v>NS 5814:2021+AC:2023 Requirements for risk assessments</x:v>
      </x:c>
      <x:c r="E73" s="871" t="str">
        <x:v>PAYWALL_BLOCKED</x:v>
      </x:c>
      <x:c r="F73" s="871" t="str">
        <x:v>APPLY_FIELD_UPDATES</x:v>
      </x:c>
      <x:c r="G73" s="872" t="str">
        <x:v>PENDING</x:v>
      </x:c>
      <x:c r="H73" s="872"/>
      <x:c r="I73" s="875"/>
      <x:c r="J73" s="872"/>
      <x:c r="K73" s="873" t="str">
        <x:v>PENDING</x:v>
      </x:c>
      <x:c r="L73" s="876"/>
      <x:c r="M73" s="873" t="str">
        <x:v>Official access is restricted by a paywall or licence; provide an authorised copy or retrieval route. Required action: Place an authorised copy in Data/00_Human_Intake or record an authorised retrieval route.</x:v>
      </x:c>
      <x:c r="N73" s="874"/>
      <x:c r="O73" s="874"/>
      <x:c r="P73" s="872" t="str">
        <x:v>https://standard.no/fagomrader/risikostyring/ns-5814-krav-til-risikovurderinger/</x:v>
      </x:c>
      <x:c r="Q73" s="872"/>
      <x:c r="R73" s="872" t="str">
        <x:v>B_Standards_Body</x:v>
      </x:c>
      <x:c r="S73" s="872" t="str">
        <x:v>Standards Norway</x:v>
      </x:c>
      <x:c r="T73" s="872" t="str">
        <x:v>Norway</x:v>
      </x:c>
      <x:c r="U73" s="872" t="str">
        <x:v>Technical standard</x:v>
      </x:c>
      <x:c r="V73" s="872" t="str">
        <x:v>Standards body</x:v>
      </x:c>
      <x:c r="W73" s="872" t="str">
        <x:v>Guidance / interpretation</x:v>
      </x:c>
      <x:c r="X73" s="872" t="str">
        <x:v>Norwegian</x:v>
      </x:c>
      <x:c r="Y73" s="872" t="str">
        <x:v>pdf</x:v>
      </x:c>
      <x:c r="Z73" s="872" t="str">
        <x:v>2021+AC:2023</x:v>
      </x:c>
      <x:c r="AA73" s="877"/>
      <x:c r="AB73" s="872" t="str">
        <x:v>Official guidance from Standards Norway; included to interpret and operationalise linked normative requirements, not as independent legal or certification authority.</x:v>
      </x:c>
      <x:c r="AC73" s="872" t="str">
        <x:v>HIGH</x:v>
      </x:c>
      <x:c r="AD73" s="872" t="str">
        <x:v>MEDIUM</x:v>
      </x:c>
      <x:c r="AE73" s="872" t="str">
        <x:v>HIGH</x:v>
      </x:c>
      <x:c r="AF73" s="872" t="str">
        <x:v>HIGH</x:v>
      </x:c>
      <x:c r="AG73" s="872" t="str">
        <x:v>MEDIUM</x:v>
      </x:c>
      <x:c r="AH73" s="872" t="str">
        <x:v>LOW</x:v>
      </x:c>
      <x:c r="AI73" s="872" t="str">
        <x:v>PENDING</x:v>
      </x:c>
      <x:c r="AJ73" s="872" t="str">
        <x:v>OFFICIAL_WEBSITE</x:v>
      </x:c>
      <x:c r="AK73" s="872" t="str">
        <x:v>OFFICIAL_ORIGINAL</x:v>
      </x:c>
      <x:c r="AL73" s="872" t="str">
        <x:v>VERSIONED</x:v>
      </x:c>
      <x:c r="AM73" s="872"/>
      <x:c r="AN73" s="872" t="str">
        <x:v>CURRENT</x:v>
      </x:c>
      <x:c r="AO73" s="872"/>
      <x:c r="AP73" s="872" t="str">
        <x:v>Official expansion from Fiskeridirektoratet risk-management guidance. Include only if adopted by contract, policy or method.</x:v>
      </x:c>
      <x:c r="AQ73" s="878" t="n">
        <x:v>46265.588784722226</x:v>
      </x:c>
      <x:c r="AR73" s="874" t="str">
        <x:v>{"action": "APPLY_FIELD_UPDATES", "review_fingerprint": "", "source_id": "SB004", "updates": {}}</x:v>
      </x:c>
    </x:row>
    <x:row r="74" s="36" customFormat="1" ht="30" customHeight="1">
      <x:c r="A74" s="871" t="str">
        <x:v>REV-945b505540840ece</x:v>
      </x:c>
      <x:c r="B74" s="871" t="str">
        <x:v>SELECTION_REVIEW</x:v>
      </x:c>
      <x:c r="C74" s="871" t="str">
        <x:v>SB004</x:v>
      </x:c>
      <x:c r="D74" s="872" t="str">
        <x:v>NS 5814:2021+AC:2023 Requirements for risk assessments</x:v>
      </x:c>
      <x:c r="E74" s="871" t="str">
        <x:v>SELECTION_PENDING</x:v>
      </x:c>
      <x:c r="F74" s="871" t="str">
        <x:v>APPLY_FIELD_UPDATES</x:v>
      </x:c>
      <x:c r="G74" s="872" t="str">
        <x:v>PENDING</x:v>
      </x:c>
      <x:c r="H74" s="872"/>
      <x:c r="I74" s="875"/>
      <x:c r="J74" s="872"/>
      <x:c r="K74" s="873" t="str">
        <x:v>PENDING</x:v>
      </x:c>
      <x:c r="L74" s="876"/>
      <x:c r="M74" s="873" t="str">
        <x:v>operator_selection_decision is PENDING; mandatory assessment is not HIGH: scope_relevance, access_permission. Required action: Review the human-governed source fields and choose INCLUDE, PENDING or EXCLUDE in Human Operation Desktop.</x:v>
      </x:c>
      <x:c r="N74" s="874"/>
      <x:c r="O74" s="874"/>
      <x:c r="P74" s="872" t="str">
        <x:v>https://standard.no/fagomrader/risikostyring/ns-5814-krav-til-risikovurderinger/</x:v>
      </x:c>
      <x:c r="Q74" s="872"/>
      <x:c r="R74" s="872" t="str">
        <x:v>B_Standards_Body</x:v>
      </x:c>
      <x:c r="S74" s="872" t="str">
        <x:v>Standards Norway</x:v>
      </x:c>
      <x:c r="T74" s="872" t="str">
        <x:v>Norway</x:v>
      </x:c>
      <x:c r="U74" s="872" t="str">
        <x:v>Technical standard</x:v>
      </x:c>
      <x:c r="V74" s="872" t="str">
        <x:v>Standards body</x:v>
      </x:c>
      <x:c r="W74" s="872" t="str">
        <x:v>Guidance / interpretation</x:v>
      </x:c>
      <x:c r="X74" s="872" t="str">
        <x:v>Norwegian</x:v>
      </x:c>
      <x:c r="Y74" s="872" t="str">
        <x:v>pdf</x:v>
      </x:c>
      <x:c r="Z74" s="872" t="str">
        <x:v>2021+AC:2023</x:v>
      </x:c>
      <x:c r="AA74" s="877"/>
      <x:c r="AB74" s="872" t="str">
        <x:v>Official guidance from Standards Norway; included to interpret and operationalise linked normative requirements, not as independent legal or certification authority.</x:v>
      </x:c>
      <x:c r="AC74" s="872" t="str">
        <x:v>HIGH</x:v>
      </x:c>
      <x:c r="AD74" s="872" t="str">
        <x:v>MEDIUM</x:v>
      </x:c>
      <x:c r="AE74" s="872" t="str">
        <x:v>HIGH</x:v>
      </x:c>
      <x:c r="AF74" s="872" t="str">
        <x:v>HIGH</x:v>
      </x:c>
      <x:c r="AG74" s="872" t="str">
        <x:v>MEDIUM</x:v>
      </x:c>
      <x:c r="AH74" s="872" t="str">
        <x:v>LOW</x:v>
      </x:c>
      <x:c r="AI74" s="872" t="str">
        <x:v>PENDING</x:v>
      </x:c>
      <x:c r="AJ74" s="872" t="str">
        <x:v>OFFICIAL_WEBSITE</x:v>
      </x:c>
      <x:c r="AK74" s="872" t="str">
        <x:v>OFFICIAL_ORIGINAL</x:v>
      </x:c>
      <x:c r="AL74" s="872" t="str">
        <x:v>VERSIONED</x:v>
      </x:c>
      <x:c r="AM74" s="872"/>
      <x:c r="AN74" s="872" t="str">
        <x:v>CURRENT</x:v>
      </x:c>
      <x:c r="AO74" s="872"/>
      <x:c r="AP74" s="872" t="str">
        <x:v>Official expansion from Fiskeridirektoratet risk-management guidance. Include only if adopted by contract, policy or method.</x:v>
      </x:c>
      <x:c r="AQ74" s="878" t="n">
        <x:v>46265.588784722226</x:v>
      </x:c>
      <x:c r="AR74" s="874" t="str">
        <x:v>{"action": "APPLY_FIELD_UPDATES", "review_fingerprint": "a1a32979499c0ceb", "source_id": "SB004", "updates": {}}</x:v>
      </x:c>
    </x:row>
    <x:row r="75" s="36" customFormat="1" ht="30" customHeight="1">
      <x:c r="A75" s="871" t="str">
        <x:v>REV-5e455e12bbb7caf0</x:v>
      </x:c>
      <x:c r="B75" s="871" t="str">
        <x:v>SOURCE_REVIEW</x:v>
      </x:c>
      <x:c r="C75" s="871" t="str">
        <x:v>SB005</x:v>
      </x:c>
      <x:c r="D75" s="872" t="str">
        <x:v>NS-ISO 31000:2018 Risk management - Guidelines</x:v>
      </x:c>
      <x:c r="E75" s="871" t="str">
        <x:v>PAYWALL_BLOCKED</x:v>
      </x:c>
      <x:c r="F75" s="871" t="str">
        <x:v>APPLY_FIELD_UPDATES</x:v>
      </x:c>
      <x:c r="G75" s="872" t="str">
        <x:v>PENDING</x:v>
      </x:c>
      <x:c r="H75" s="872"/>
      <x:c r="I75" s="875"/>
      <x:c r="J75" s="872"/>
      <x:c r="K75" s="873" t="str">
        <x:v>PENDING</x:v>
      </x:c>
      <x:c r="L75" s="876"/>
      <x:c r="M75" s="873" t="str">
        <x:v>Official access is restricted by a paywall or licence; provide an authorised copy or retrieval route. Required action: Place an authorised copy in Data/00_Human_Intake or record an authorised retrieval route.</x:v>
      </x:c>
      <x:c r="N75" s="874"/>
      <x:c r="O75" s="874"/>
      <x:c r="P75" s="872" t="str">
        <x:v>https://standard.no/fagomrader/risikostyring/iso-31000-risikostyring--retningslinjer/</x:v>
      </x:c>
      <x:c r="Q75" s="872"/>
      <x:c r="R75" s="872" t="str">
        <x:v>B_Standards_Body</x:v>
      </x:c>
      <x:c r="S75" s="872" t="str">
        <x:v>Standards Norway / ISO</x:v>
      </x:c>
      <x:c r="T75" s="872" t="str">
        <x:v>International</x:v>
      </x:c>
      <x:c r="U75" s="872" t="str">
        <x:v>Technical standard</x:v>
      </x:c>
      <x:c r="V75" s="872" t="str">
        <x:v>Standards body</x:v>
      </x:c>
      <x:c r="W75" s="872" t="str">
        <x:v>Guidance / interpretation</x:v>
      </x:c>
      <x:c r="X75" s="872" t="str">
        <x:v>Norwegian</x:v>
      </x:c>
      <x:c r="Y75" s="872" t="str">
        <x:v>pdf</x:v>
      </x:c>
      <x:c r="Z75" s="872" t="str">
        <x:v>2018</x:v>
      </x:c>
      <x:c r="AA75" s="877"/>
      <x:c r="AB75" s="872" t="str">
        <x:v>Official guidance from Standards Norway / ISO; included to interpret and operationalise linked normative requirements, not as independent legal or certification authority.</x:v>
      </x:c>
      <x:c r="AC75" s="872" t="str">
        <x:v>HIGH</x:v>
      </x:c>
      <x:c r="AD75" s="872" t="str">
        <x:v>MEDIUM</x:v>
      </x:c>
      <x:c r="AE75" s="872" t="str">
        <x:v>HIGH</x:v>
      </x:c>
      <x:c r="AF75" s="872" t="str">
        <x:v>HIGH</x:v>
      </x:c>
      <x:c r="AG75" s="872" t="str">
        <x:v>MEDIUM</x:v>
      </x:c>
      <x:c r="AH75" s="872" t="str">
        <x:v>LOW</x:v>
      </x:c>
      <x:c r="AI75" s="872" t="str">
        <x:v>PENDING</x:v>
      </x:c>
      <x:c r="AJ75" s="872" t="str">
        <x:v>OFFICIAL_WEBSITE</x:v>
      </x:c>
      <x:c r="AK75" s="872" t="str">
        <x:v>OFFICIAL_ORIGINAL</x:v>
      </x:c>
      <x:c r="AL75" s="872" t="str">
        <x:v>VERSIONED</x:v>
      </x:c>
      <x:c r="AM75" s="872"/>
      <x:c r="AN75" s="872" t="str">
        <x:v>CURRENT</x:v>
      </x:c>
      <x:c r="AO75" s="872"/>
      <x:c r="AP75" s="872" t="str">
        <x:v>Official expansion. Provides guidance rather than certifiable requirements unless contractually adopted.</x:v>
      </x:c>
      <x:c r="AQ75" s="878" t="n">
        <x:v>46265.588784722226</x:v>
      </x:c>
      <x:c r="AR75" s="874" t="str">
        <x:v>{"action": "APPLY_FIELD_UPDATES", "review_fingerprint": "", "source_id": "SB005", "updates": {}}</x:v>
      </x:c>
    </x:row>
    <x:row r="76" s="36" customFormat="1" ht="30" customHeight="1">
      <x:c r="A76" s="871" t="str">
        <x:v>REV-980402c80249837f</x:v>
      </x:c>
      <x:c r="B76" s="871" t="str">
        <x:v>SELECTION_REVIEW</x:v>
      </x:c>
      <x:c r="C76" s="871" t="str">
        <x:v>SB005</x:v>
      </x:c>
      <x:c r="D76" s="872" t="str">
        <x:v>NS-ISO 31000:2018 Risk management - Guidelines</x:v>
      </x:c>
      <x:c r="E76" s="871" t="str">
        <x:v>SELECTION_PENDING</x:v>
      </x:c>
      <x:c r="F76" s="871" t="str">
        <x:v>APPLY_FIELD_UPDATES</x:v>
      </x:c>
      <x:c r="G76" s="872" t="str">
        <x:v>PENDING</x:v>
      </x:c>
      <x:c r="H76" s="872"/>
      <x:c r="I76" s="875"/>
      <x:c r="J76" s="872"/>
      <x:c r="K76" s="873" t="str">
        <x:v>PENDING</x:v>
      </x:c>
      <x:c r="L76" s="876"/>
      <x:c r="M76" s="873" t="str">
        <x:v>operator_selection_decision is PENDING; mandatory assessment is not HIGH: scope_relevance, access_permission. Required action: Review the human-governed source fields and choose INCLUDE, PENDING or EXCLUDE in Human Operation Desktop.</x:v>
      </x:c>
      <x:c r="N76" s="874"/>
      <x:c r="O76" s="874"/>
      <x:c r="P76" s="872" t="str">
        <x:v>https://standard.no/fagomrader/risikostyring/iso-31000-risikostyring--retningslinjer/</x:v>
      </x:c>
      <x:c r="Q76" s="872"/>
      <x:c r="R76" s="872" t="str">
        <x:v>B_Standards_Body</x:v>
      </x:c>
      <x:c r="S76" s="872" t="str">
        <x:v>Standards Norway / ISO</x:v>
      </x:c>
      <x:c r="T76" s="872" t="str">
        <x:v>International</x:v>
      </x:c>
      <x:c r="U76" s="872" t="str">
        <x:v>Technical standard</x:v>
      </x:c>
      <x:c r="V76" s="872" t="str">
        <x:v>Standards body</x:v>
      </x:c>
      <x:c r="W76" s="872" t="str">
        <x:v>Guidance / interpretation</x:v>
      </x:c>
      <x:c r="X76" s="872" t="str">
        <x:v>Norwegian</x:v>
      </x:c>
      <x:c r="Y76" s="872" t="str">
        <x:v>pdf</x:v>
      </x:c>
      <x:c r="Z76" s="872" t="str">
        <x:v>2018</x:v>
      </x:c>
      <x:c r="AA76" s="877"/>
      <x:c r="AB76" s="872" t="str">
        <x:v>Official guidance from Standards Norway / ISO; included to interpret and operationalise linked normative requirements, not as independent legal or certification authority.</x:v>
      </x:c>
      <x:c r="AC76" s="872" t="str">
        <x:v>HIGH</x:v>
      </x:c>
      <x:c r="AD76" s="872" t="str">
        <x:v>MEDIUM</x:v>
      </x:c>
      <x:c r="AE76" s="872" t="str">
        <x:v>HIGH</x:v>
      </x:c>
      <x:c r="AF76" s="872" t="str">
        <x:v>HIGH</x:v>
      </x:c>
      <x:c r="AG76" s="872" t="str">
        <x:v>MEDIUM</x:v>
      </x:c>
      <x:c r="AH76" s="872" t="str">
        <x:v>LOW</x:v>
      </x:c>
      <x:c r="AI76" s="872" t="str">
        <x:v>PENDING</x:v>
      </x:c>
      <x:c r="AJ76" s="872" t="str">
        <x:v>OFFICIAL_WEBSITE</x:v>
      </x:c>
      <x:c r="AK76" s="872" t="str">
        <x:v>OFFICIAL_ORIGINAL</x:v>
      </x:c>
      <x:c r="AL76" s="872" t="str">
        <x:v>VERSIONED</x:v>
      </x:c>
      <x:c r="AM76" s="872"/>
      <x:c r="AN76" s="872" t="str">
        <x:v>CURRENT</x:v>
      </x:c>
      <x:c r="AO76" s="872"/>
      <x:c r="AP76" s="872" t="str">
        <x:v>Official expansion. Provides guidance rather than certifiable requirements unless contractually adopted.</x:v>
      </x:c>
      <x:c r="AQ76" s="878" t="n">
        <x:v>46265.588784722226</x:v>
      </x:c>
      <x:c r="AR76" s="874" t="str">
        <x:v>{"action": "APPLY_FIELD_UPDATES", "review_fingerprint": "4b4d927c74e0fbb4", "source_id": "SB005", "updates": {}}</x:v>
      </x:c>
    </x:row>
    <x:row r="77" s="36" customFormat="1" ht="30" customHeight="1">
      <x:c r="A77" s="871" t="str">
        <x:v>REV-2a1fcf1e0acd8b82</x:v>
      </x:c>
      <x:c r="B77" s="871" t="str">
        <x:v>SOURCE_REVIEW</x:v>
      </x:c>
      <x:c r="C77" s="871" t="str">
        <x:v>SB006</x:v>
      </x:c>
      <x:c r="D77" s="872" t="str">
        <x:v>NS-EN ISO 9001:2015 Quality management systems - Requirements</x:v>
      </x:c>
      <x:c r="E77" s="871" t="str">
        <x:v>PAYWALL_BLOCKED</x:v>
      </x:c>
      <x:c r="F77" s="871" t="str">
        <x:v>APPLY_FIELD_UPDATES</x:v>
      </x:c>
      <x:c r="G77" s="872" t="str">
        <x:v>PENDING</x:v>
      </x:c>
      <x:c r="H77" s="872"/>
      <x:c r="I77" s="875"/>
      <x:c r="J77" s="872"/>
      <x:c r="K77" s="873" t="str">
        <x:v>PENDING</x:v>
      </x:c>
      <x:c r="L77" s="876"/>
      <x:c r="M77" s="873" t="str">
        <x:v>Official access is restricted by a paywall or licence; provide an authorised copy or retrieval route. Required action: Place an authorised copy in Data/00_Human_Intake or record an authorised retrieval route.</x:v>
      </x:c>
      <x:c r="N77" s="874"/>
      <x:c r="O77" s="874"/>
      <x:c r="P77" s="872" t="str">
        <x:v>https://standard.no/fagomrader/kvalitetsstyring---iso-9000/ledelsessystemer-for-kvalitet--iso-9001/</x:v>
      </x:c>
      <x:c r="Q77" s="872"/>
      <x:c r="R77" s="872" t="str">
        <x:v>B_Standards_Body</x:v>
      </x:c>
      <x:c r="S77" s="872" t="str">
        <x:v>Standards Norway / ISO</x:v>
      </x:c>
      <x:c r="T77" s="872" t="str">
        <x:v>International</x:v>
      </x:c>
      <x:c r="U77" s="872" t="str">
        <x:v>Technical standard</x:v>
      </x:c>
      <x:c r="V77" s="872" t="str">
        <x:v>Standards body</x:v>
      </x:c>
      <x:c r="W77" s="872" t="str">
        <x:v>Referenced normative</x:v>
      </x:c>
      <x:c r="X77" s="872" t="str">
        <x:v>Norwegian</x:v>
      </x:c>
      <x:c r="Y77" s="872" t="str">
        <x:v>pdf</x:v>
      </x:c>
      <x:c r="Z77" s="872" t="str">
        <x:v>2015</x:v>
      </x:c>
      <x:c r="AA77" s="877"/>
      <x:c r="AB77" s="872" t="str">
        <x:v>Official referenced source from Standards Norway / ISO; included because an applicable law, permit or certification scheme may make its provisions binding within the approved scope.</x:v>
      </x:c>
      <x:c r="AC77" s="872" t="str">
        <x:v>HIGH</x:v>
      </x:c>
      <x:c r="AD77" s="872" t="str">
        <x:v>MEDIUM</x:v>
      </x:c>
      <x:c r="AE77" s="872" t="str">
        <x:v>HIGH</x:v>
      </x:c>
      <x:c r="AF77" s="872" t="str">
        <x:v>HIGH</x:v>
      </x:c>
      <x:c r="AG77" s="872" t="str">
        <x:v>MEDIUM</x:v>
      </x:c>
      <x:c r="AH77" s="872" t="str">
        <x:v>LOW</x:v>
      </x:c>
      <x:c r="AI77" s="872" t="str">
        <x:v>PENDING</x:v>
      </x:c>
      <x:c r="AJ77" s="872" t="str">
        <x:v>OFFICIAL_WEBSITE</x:v>
      </x:c>
      <x:c r="AK77" s="872" t="str">
        <x:v>OFFICIAL_ORIGINAL</x:v>
      </x:c>
      <x:c r="AL77" s="872" t="str">
        <x:v>VERSIONED</x:v>
      </x:c>
      <x:c r="AM77" s="872"/>
      <x:c r="AN77" s="872" t="str">
        <x:v>CURRENT</x:v>
      </x:c>
      <x:c r="AO77" s="872"/>
      <x:c r="AP77" s="872" t="str">
        <x:v>Official expansion from Fiskeridirektoratet risk-management guidance. Include only if client certification or contract makes it applicable.</x:v>
      </x:c>
      <x:c r="AQ77" s="878" t="n">
        <x:v>46265.588784722226</x:v>
      </x:c>
      <x:c r="AR77" s="874" t="str">
        <x:v>{"action": "APPLY_FIELD_UPDATES", "review_fingerprint": "", "source_id": "SB006", "updates": {}}</x:v>
      </x:c>
    </x:row>
    <x:row r="78" s="36" customFormat="1" ht="30" customHeight="1">
      <x:c r="A78" s="871" t="str">
        <x:v>REV-ebcd9646bba2130d</x:v>
      </x:c>
      <x:c r="B78" s="871" t="str">
        <x:v>SELECTION_REVIEW</x:v>
      </x:c>
      <x:c r="C78" s="871" t="str">
        <x:v>SB006</x:v>
      </x:c>
      <x:c r="D78" s="872" t="str">
        <x:v>NS-EN ISO 9001:2015 Quality management systems - Requirements</x:v>
      </x:c>
      <x:c r="E78" s="871" t="str">
        <x:v>SELECTION_PENDING</x:v>
      </x:c>
      <x:c r="F78" s="871" t="str">
        <x:v>APPLY_FIELD_UPDATES</x:v>
      </x:c>
      <x:c r="G78" s="872" t="str">
        <x:v>PENDING</x:v>
      </x:c>
      <x:c r="H78" s="872"/>
      <x:c r="I78" s="875"/>
      <x:c r="J78" s="872"/>
      <x:c r="K78" s="873" t="str">
        <x:v>PENDING</x:v>
      </x:c>
      <x:c r="L78" s="876"/>
      <x:c r="M78" s="873" t="str">
        <x:v>operator_selection_decision is PENDING; mandatory assessment is not HIGH: scope_relevance, access_permission. Required action: Review the human-governed source fields and choose INCLUDE, PENDING or EXCLUDE in Human Operation Desktop.</x:v>
      </x:c>
      <x:c r="N78" s="874"/>
      <x:c r="O78" s="874"/>
      <x:c r="P78" s="872" t="str">
        <x:v>https://standard.no/fagomrader/kvalitetsstyring---iso-9000/ledelsessystemer-for-kvalitet--iso-9001/</x:v>
      </x:c>
      <x:c r="Q78" s="872"/>
      <x:c r="R78" s="872" t="str">
        <x:v>B_Standards_Body</x:v>
      </x:c>
      <x:c r="S78" s="872" t="str">
        <x:v>Standards Norway / ISO</x:v>
      </x:c>
      <x:c r="T78" s="872" t="str">
        <x:v>International</x:v>
      </x:c>
      <x:c r="U78" s="872" t="str">
        <x:v>Technical standard</x:v>
      </x:c>
      <x:c r="V78" s="872" t="str">
        <x:v>Standards body</x:v>
      </x:c>
      <x:c r="W78" s="872" t="str">
        <x:v>Referenced normative</x:v>
      </x:c>
      <x:c r="X78" s="872" t="str">
        <x:v>Norwegian</x:v>
      </x:c>
      <x:c r="Y78" s="872" t="str">
        <x:v>pdf</x:v>
      </x:c>
      <x:c r="Z78" s="872" t="str">
        <x:v>2015</x:v>
      </x:c>
      <x:c r="AA78" s="877"/>
      <x:c r="AB78" s="872" t="str">
        <x:v>Official referenced source from Standards Norway / ISO; included because an applicable law, permit or certification scheme may make its provisions binding within the approved scope.</x:v>
      </x:c>
      <x:c r="AC78" s="872" t="str">
        <x:v>HIGH</x:v>
      </x:c>
      <x:c r="AD78" s="872" t="str">
        <x:v>MEDIUM</x:v>
      </x:c>
      <x:c r="AE78" s="872" t="str">
        <x:v>HIGH</x:v>
      </x:c>
      <x:c r="AF78" s="872" t="str">
        <x:v>HIGH</x:v>
      </x:c>
      <x:c r="AG78" s="872" t="str">
        <x:v>MEDIUM</x:v>
      </x:c>
      <x:c r="AH78" s="872" t="str">
        <x:v>LOW</x:v>
      </x:c>
      <x:c r="AI78" s="872" t="str">
        <x:v>PENDING</x:v>
      </x:c>
      <x:c r="AJ78" s="872" t="str">
        <x:v>OFFICIAL_WEBSITE</x:v>
      </x:c>
      <x:c r="AK78" s="872" t="str">
        <x:v>OFFICIAL_ORIGINAL</x:v>
      </x:c>
      <x:c r="AL78" s="872" t="str">
        <x:v>VERSIONED</x:v>
      </x:c>
      <x:c r="AM78" s="872"/>
      <x:c r="AN78" s="872" t="str">
        <x:v>CURRENT</x:v>
      </x:c>
      <x:c r="AO78" s="872"/>
      <x:c r="AP78" s="872" t="str">
        <x:v>Official expansion from Fiskeridirektoratet risk-management guidance. Include only if client certification or contract makes it applicable.</x:v>
      </x:c>
      <x:c r="AQ78" s="878" t="n">
        <x:v>46265.588784722226</x:v>
      </x:c>
      <x:c r="AR78" s="874" t="str">
        <x:v>{"action": "APPLY_FIELD_UPDATES", "review_fingerprint": "3bb0b4727b115e1d", "source_id": "SB006", "updates": {}}</x:v>
      </x:c>
    </x:row>
    <x:row r="79" s="36" customFormat="1" ht="30" customHeight="1">
      <x:c r="A79" s="871" t="str">
        <x:v>REV-c819746bf1c8c6f3</x:v>
      </x:c>
      <x:c r="B79" s="871" t="str">
        <x:v>SOURCE_REVIEW</x:v>
      </x:c>
      <x:c r="C79" s="871" t="str">
        <x:v>SB007</x:v>
      </x:c>
      <x:c r="D79" s="872" t="str">
        <x:v>NS 3424:2012 Condition survey of construction works - Content and execution</x:v>
      </x:c>
      <x:c r="E79" s="871" t="str">
        <x:v>PAYWALL_BLOCKED</x:v>
      </x:c>
      <x:c r="F79" s="871" t="str">
        <x:v>APPLY_FIELD_UPDATES</x:v>
      </x:c>
      <x:c r="G79" s="872" t="str">
        <x:v>PENDING</x:v>
      </x:c>
      <x:c r="H79" s="872"/>
      <x:c r="I79" s="875"/>
      <x:c r="J79" s="872"/>
      <x:c r="K79" s="873" t="str">
        <x:v>PENDING</x:v>
      </x:c>
      <x:c r="L79" s="876"/>
      <x:c r="M79" s="873" t="str">
        <x:v>Official access is restricted by a paywall or licence; provide an authorised copy or retrieval route. Required action: Place an authorised copy in Data/00_Human_Intake or record an authorised retrieval route.</x:v>
      </x:c>
      <x:c r="N79" s="874"/>
      <x:c r="O79" s="874"/>
      <x:c r="P79" s="872" t="str">
        <x:v>https://online.standard.no/nb/ns-3424-2012</x:v>
      </x:c>
      <x:c r="Q79" s="872"/>
      <x:c r="R79" s="872" t="str">
        <x:v>B_Standards_Body</x:v>
      </x:c>
      <x:c r="S79" s="872" t="str">
        <x:v>Standards Norway</x:v>
      </x:c>
      <x:c r="T79" s="872" t="str">
        <x:v>Norway</x:v>
      </x:c>
      <x:c r="U79" s="872" t="str">
        <x:v>Technical standard</x:v>
      </x:c>
      <x:c r="V79" s="872" t="str">
        <x:v>Standards body</x:v>
      </x:c>
      <x:c r="W79" s="872" t="str">
        <x:v>Referenced normative</x:v>
      </x:c>
      <x:c r="X79" s="872" t="str">
        <x:v>Norwegian</x:v>
      </x:c>
      <x:c r="Y79" s="872" t="str">
        <x:v>pdf</x:v>
      </x:c>
      <x:c r="Z79" s="872" t="str">
        <x:v>2012</x:v>
      </x:c>
      <x:c r="AA79" s="877"/>
      <x:c r="AB79" s="872" t="str">
        <x:v>Official referenced source from Standards Norway; included because an applicable law, permit or certification scheme may make its provisions binding within the approved scope.</x:v>
      </x:c>
      <x:c r="AC79" s="872" t="str">
        <x:v>HIGH</x:v>
      </x:c>
      <x:c r="AD79" s="872" t="str">
        <x:v>MEDIUM</x:v>
      </x:c>
      <x:c r="AE79" s="872" t="str">
        <x:v>HIGH</x:v>
      </x:c>
      <x:c r="AF79" s="872" t="str">
        <x:v>HIGH</x:v>
      </x:c>
      <x:c r="AG79" s="872" t="str">
        <x:v>MEDIUM</x:v>
      </x:c>
      <x:c r="AH79" s="872" t="str">
        <x:v>LOW</x:v>
      </x:c>
      <x:c r="AI79" s="872" t="str">
        <x:v>PENDING</x:v>
      </x:c>
      <x:c r="AJ79" s="872" t="str">
        <x:v>OFFICIAL_WEBSITE</x:v>
      </x:c>
      <x:c r="AK79" s="872" t="str">
        <x:v>OFFICIAL_ORIGINAL</x:v>
      </x:c>
      <x:c r="AL79" s="872" t="str">
        <x:v>VERSIONED</x:v>
      </x:c>
      <x:c r="AM79" s="872"/>
      <x:c r="AN79" s="872" t="str">
        <x:v>CURRENT</x:v>
      </x:c>
      <x:c r="AO79" s="872" t="str">
        <x:v>PA022</x:v>
      </x:c>
      <x:c r="AP79" s="872" t="str">
        <x:v>Directly referenced by PA057 for condition assessment of land-based facilities. Licensed access is required.</x:v>
      </x:c>
      <x:c r="AQ79" s="878" t="n">
        <x:v>46265.588784722226</x:v>
      </x:c>
      <x:c r="AR79" s="874" t="str">
        <x:v>{"action": "APPLY_FIELD_UPDATES", "review_fingerprint": "", "source_id": "SB007", "updates": {}}</x:v>
      </x:c>
    </x:row>
    <x:row r="80" s="36" customFormat="1" ht="30" customHeight="1">
      <x:c r="A80" s="871" t="str">
        <x:v>REV-17446ba115f980df</x:v>
      </x:c>
      <x:c r="B80" s="871" t="str">
        <x:v>SELECTION_REVIEW</x:v>
      </x:c>
      <x:c r="C80" s="871" t="str">
        <x:v>SB007</x:v>
      </x:c>
      <x:c r="D80" s="872" t="str">
        <x:v>NS 3424:2012 Condition survey of construction works - Content and execution</x:v>
      </x:c>
      <x:c r="E80" s="871" t="str">
        <x:v>SELECTION_PENDING</x:v>
      </x:c>
      <x:c r="F80" s="871" t="str">
        <x:v>APPLY_FIELD_UPDATES</x:v>
      </x:c>
      <x:c r="G80" s="872" t="str">
        <x:v>PENDING</x:v>
      </x:c>
      <x:c r="H80" s="872"/>
      <x:c r="I80" s="875"/>
      <x:c r="J80" s="872"/>
      <x:c r="K80" s="873" t="str">
        <x:v>PENDING</x:v>
      </x:c>
      <x:c r="L80" s="876"/>
      <x:c r="M80" s="873" t="str">
        <x:v>operator_selection_decision is PENDING; mandatory assessment is not HIGH: scope_relevance, access_permission. Required action: Review the human-governed source fields and choose INCLUDE, PENDING or EXCLUDE in Human Operation Desktop.</x:v>
      </x:c>
      <x:c r="N80" s="874"/>
      <x:c r="O80" s="874"/>
      <x:c r="P80" s="872" t="str">
        <x:v>https://online.standard.no/nb/ns-3424-2012</x:v>
      </x:c>
      <x:c r="Q80" s="872"/>
      <x:c r="R80" s="872" t="str">
        <x:v>B_Standards_Body</x:v>
      </x:c>
      <x:c r="S80" s="872" t="str">
        <x:v>Standards Norway</x:v>
      </x:c>
      <x:c r="T80" s="872" t="str">
        <x:v>Norway</x:v>
      </x:c>
      <x:c r="U80" s="872" t="str">
        <x:v>Technical standard</x:v>
      </x:c>
      <x:c r="V80" s="872" t="str">
        <x:v>Standards body</x:v>
      </x:c>
      <x:c r="W80" s="872" t="str">
        <x:v>Referenced normative</x:v>
      </x:c>
      <x:c r="X80" s="872" t="str">
        <x:v>Norwegian</x:v>
      </x:c>
      <x:c r="Y80" s="872" t="str">
        <x:v>pdf</x:v>
      </x:c>
      <x:c r="Z80" s="872" t="str">
        <x:v>2012</x:v>
      </x:c>
      <x:c r="AA80" s="877"/>
      <x:c r="AB80" s="872" t="str">
        <x:v>Official referenced source from Standards Norway; included because an applicable law, permit or certification scheme may make its provisions binding within the approved scope.</x:v>
      </x:c>
      <x:c r="AC80" s="872" t="str">
        <x:v>HIGH</x:v>
      </x:c>
      <x:c r="AD80" s="872" t="str">
        <x:v>MEDIUM</x:v>
      </x:c>
      <x:c r="AE80" s="872" t="str">
        <x:v>HIGH</x:v>
      </x:c>
      <x:c r="AF80" s="872" t="str">
        <x:v>HIGH</x:v>
      </x:c>
      <x:c r="AG80" s="872" t="str">
        <x:v>MEDIUM</x:v>
      </x:c>
      <x:c r="AH80" s="872" t="str">
        <x:v>LOW</x:v>
      </x:c>
      <x:c r="AI80" s="872" t="str">
        <x:v>PENDING</x:v>
      </x:c>
      <x:c r="AJ80" s="872" t="str">
        <x:v>OFFICIAL_WEBSITE</x:v>
      </x:c>
      <x:c r="AK80" s="872" t="str">
        <x:v>OFFICIAL_ORIGINAL</x:v>
      </x:c>
      <x:c r="AL80" s="872" t="str">
        <x:v>VERSIONED</x:v>
      </x:c>
      <x:c r="AM80" s="872"/>
      <x:c r="AN80" s="872" t="str">
        <x:v>CURRENT</x:v>
      </x:c>
      <x:c r="AO80" s="872" t="str">
        <x:v>PA022</x:v>
      </x:c>
      <x:c r="AP80" s="872" t="str">
        <x:v>Directly referenced by PA057 for condition assessment of land-based facilities. Licensed access is required.</x:v>
      </x:c>
      <x:c r="AQ80" s="878" t="n">
        <x:v>46265.588784722226</x:v>
      </x:c>
      <x:c r="AR80" s="874" t="str">
        <x:v>{"action": "APPLY_FIELD_UPDATES", "review_fingerprint": "fafdc29001abfe5a", "source_id": "SB007", "updates": {}}</x:v>
      </x:c>
    </x:row>
    <x:row r="81" s="36" customFormat="1" ht="30" customHeight="1">
      <x:c r="A81" s="871"/>
      <x:c r="B81" s="871"/>
      <x:c r="C81" s="871"/>
      <x:c r="D81" s="872"/>
      <x:c r="E81" s="871"/>
      <x:c r="F81" s="871"/>
      <x:c r="G81" s="872"/>
      <x:c r="H81" s="872"/>
      <x:c r="I81" s="875"/>
      <x:c r="J81" s="872"/>
      <x:c r="K81" s="873"/>
      <x:c r="L81" s="876"/>
      <x:c r="M81" s="873"/>
      <x:c r="N81" s="874"/>
      <x:c r="O81" s="874"/>
      <x:c r="P81" s="872"/>
      <x:c r="Q81" s="872"/>
      <x:c r="R81" s="872"/>
      <x:c r="S81" s="872"/>
      <x:c r="T81" s="872"/>
      <x:c r="U81" s="872"/>
      <x:c r="V81" s="872"/>
      <x:c r="W81" s="872"/>
      <x:c r="X81" s="872"/>
      <x:c r="Y81" s="872"/>
      <x:c r="Z81" s="872"/>
      <x:c r="AA81" s="877"/>
      <x:c r="AB81" s="872"/>
      <x:c r="AC81" s="872"/>
      <x:c r="AD81" s="872"/>
      <x:c r="AE81" s="872"/>
      <x:c r="AF81" s="872"/>
      <x:c r="AG81" s="872"/>
      <x:c r="AH81" s="872"/>
      <x:c r="AI81" s="872"/>
      <x:c r="AJ81" s="872"/>
      <x:c r="AK81" s="872"/>
      <x:c r="AL81" s="872"/>
      <x:c r="AM81" s="872"/>
      <x:c r="AN81" s="872"/>
      <x:c r="AO81" s="872"/>
      <x:c r="AP81" s="872"/>
      <x:c r="AQ81" s="878"/>
      <x:c r="AR81" s="874"/>
    </x:row>
    <x:row r="82" s="36" customFormat="1" ht="30" customHeight="1">
      <x:c r="A82" s="871"/>
      <x:c r="B82" s="871"/>
      <x:c r="C82" s="871"/>
      <x:c r="D82" s="872"/>
      <x:c r="E82" s="871"/>
      <x:c r="F82" s="871"/>
      <x:c r="G82" s="872"/>
      <x:c r="H82" s="872"/>
      <x:c r="I82" s="875"/>
      <x:c r="J82" s="872"/>
      <x:c r="K82" s="873"/>
      <x:c r="L82" s="876"/>
      <x:c r="M82" s="873"/>
      <x:c r="N82" s="874"/>
      <x:c r="O82" s="874"/>
      <x:c r="P82" s="872"/>
      <x:c r="Q82" s="872"/>
      <x:c r="R82" s="872"/>
      <x:c r="S82" s="872"/>
      <x:c r="T82" s="872"/>
      <x:c r="U82" s="872"/>
      <x:c r="V82" s="872"/>
      <x:c r="W82" s="872"/>
      <x:c r="X82" s="872"/>
      <x:c r="Y82" s="872"/>
      <x:c r="Z82" s="872"/>
      <x:c r="AA82" s="877"/>
      <x:c r="AB82" s="872"/>
      <x:c r="AC82" s="872"/>
      <x:c r="AD82" s="872"/>
      <x:c r="AE82" s="872"/>
      <x:c r="AF82" s="872"/>
      <x:c r="AG82" s="872"/>
      <x:c r="AH82" s="872"/>
      <x:c r="AI82" s="872"/>
      <x:c r="AJ82" s="872"/>
      <x:c r="AK82" s="872"/>
      <x:c r="AL82" s="872"/>
      <x:c r="AM82" s="872"/>
      <x:c r="AN82" s="872"/>
      <x:c r="AO82" s="872"/>
      <x:c r="AP82" s="872"/>
      <x:c r="AQ82" s="878"/>
      <x:c r="AR82" s="874"/>
    </x:row>
    <x:row r="83" s="36" customFormat="1" ht="30" customHeight="1">
      <x:c r="A83" s="871"/>
      <x:c r="B83" s="871"/>
      <x:c r="C83" s="871"/>
      <x:c r="D83" s="872"/>
      <x:c r="E83" s="871"/>
      <x:c r="F83" s="871"/>
      <x:c r="G83" s="872"/>
      <x:c r="H83" s="872"/>
      <x:c r="I83" s="875"/>
      <x:c r="J83" s="872"/>
      <x:c r="K83" s="873"/>
      <x:c r="L83" s="876"/>
      <x:c r="M83" s="873"/>
      <x:c r="N83" s="874"/>
      <x:c r="O83" s="874"/>
      <x:c r="P83" s="872"/>
      <x:c r="Q83" s="872"/>
      <x:c r="R83" s="872"/>
      <x:c r="S83" s="872"/>
      <x:c r="T83" s="872"/>
      <x:c r="U83" s="872"/>
      <x:c r="V83" s="872"/>
      <x:c r="W83" s="872"/>
      <x:c r="X83" s="872"/>
      <x:c r="Y83" s="872"/>
      <x:c r="Z83" s="872"/>
      <x:c r="AA83" s="877"/>
      <x:c r="AB83" s="872"/>
      <x:c r="AC83" s="872"/>
      <x:c r="AD83" s="872"/>
      <x:c r="AE83" s="872"/>
      <x:c r="AF83" s="872"/>
      <x:c r="AG83" s="872"/>
      <x:c r="AH83" s="872"/>
      <x:c r="AI83" s="872"/>
      <x:c r="AJ83" s="872"/>
      <x:c r="AK83" s="872"/>
      <x:c r="AL83" s="872"/>
      <x:c r="AM83" s="872"/>
      <x:c r="AN83" s="872"/>
      <x:c r="AO83" s="872"/>
      <x:c r="AP83" s="872"/>
      <x:c r="AQ83" s="878"/>
      <x:c r="AR83" s="874"/>
    </x:row>
    <x:row r="84" s="36" customFormat="1" ht="30" customHeight="1">
      <x:c r="A84" s="871"/>
      <x:c r="B84" s="871"/>
      <x:c r="C84" s="871"/>
      <x:c r="D84" s="872"/>
      <x:c r="E84" s="871"/>
      <x:c r="F84" s="871"/>
      <x:c r="G84" s="872"/>
      <x:c r="H84" s="872"/>
      <x:c r="I84" s="875"/>
      <x:c r="J84" s="872"/>
      <x:c r="K84" s="873"/>
      <x:c r="L84" s="876"/>
      <x:c r="M84" s="873"/>
      <x:c r="N84" s="874"/>
      <x:c r="O84" s="874"/>
      <x:c r="P84" s="872"/>
      <x:c r="Q84" s="872"/>
      <x:c r="R84" s="872"/>
      <x:c r="S84" s="872"/>
      <x:c r="T84" s="872"/>
      <x:c r="U84" s="872"/>
      <x:c r="V84" s="872"/>
      <x:c r="W84" s="872"/>
      <x:c r="X84" s="872"/>
      <x:c r="Y84" s="872"/>
      <x:c r="Z84" s="872"/>
      <x:c r="AA84" s="877"/>
      <x:c r="AB84" s="872"/>
      <x:c r="AC84" s="872"/>
      <x:c r="AD84" s="872"/>
      <x:c r="AE84" s="872"/>
      <x:c r="AF84" s="872"/>
      <x:c r="AG84" s="872"/>
      <x:c r="AH84" s="872"/>
      <x:c r="AI84" s="872"/>
      <x:c r="AJ84" s="872"/>
      <x:c r="AK84" s="872"/>
      <x:c r="AL84" s="872"/>
      <x:c r="AM84" s="872"/>
      <x:c r="AN84" s="872"/>
      <x:c r="AO84" s="872"/>
      <x:c r="AP84" s="872"/>
      <x:c r="AQ84" s="878"/>
      <x:c r="AR84" s="874"/>
    </x:row>
    <x:row r="85" s="36" customFormat="1" ht="30" customHeight="1">
      <x:c r="A85" s="871"/>
      <x:c r="B85" s="871"/>
      <x:c r="C85" s="871"/>
      <x:c r="D85" s="872"/>
      <x:c r="E85" s="871"/>
      <x:c r="F85" s="871"/>
      <x:c r="G85" s="872"/>
      <x:c r="H85" s="872"/>
      <x:c r="I85" s="875"/>
      <x:c r="J85" s="872"/>
      <x:c r="K85" s="873"/>
      <x:c r="L85" s="876"/>
      <x:c r="M85" s="873"/>
      <x:c r="N85" s="874"/>
      <x:c r="O85" s="874"/>
      <x:c r="P85" s="872"/>
      <x:c r="Q85" s="872"/>
      <x:c r="R85" s="872"/>
      <x:c r="S85" s="872"/>
      <x:c r="T85" s="872"/>
      <x:c r="U85" s="872"/>
      <x:c r="V85" s="872"/>
      <x:c r="W85" s="872"/>
      <x:c r="X85" s="872"/>
      <x:c r="Y85" s="872"/>
      <x:c r="Z85" s="872"/>
      <x:c r="AA85" s="877"/>
      <x:c r="AB85" s="872"/>
      <x:c r="AC85" s="872"/>
      <x:c r="AD85" s="872"/>
      <x:c r="AE85" s="872"/>
      <x:c r="AF85" s="872"/>
      <x:c r="AG85" s="872"/>
      <x:c r="AH85" s="872"/>
      <x:c r="AI85" s="872"/>
      <x:c r="AJ85" s="872"/>
      <x:c r="AK85" s="872"/>
      <x:c r="AL85" s="872"/>
      <x:c r="AM85" s="872"/>
      <x:c r="AN85" s="872"/>
      <x:c r="AO85" s="872"/>
      <x:c r="AP85" s="872"/>
      <x:c r="AQ85" s="878"/>
      <x:c r="AR85" s="874"/>
    </x:row>
    <x:row r="86" s="36" customFormat="1" ht="30" customHeight="1">
      <x:c r="A86" s="871"/>
      <x:c r="B86" s="871"/>
      <x:c r="C86" s="871"/>
      <x:c r="D86" s="872"/>
      <x:c r="E86" s="871"/>
      <x:c r="F86" s="871"/>
      <x:c r="G86" s="872"/>
      <x:c r="H86" s="872"/>
      <x:c r="I86" s="875"/>
      <x:c r="J86" s="872"/>
      <x:c r="K86" s="873"/>
      <x:c r="L86" s="876"/>
      <x:c r="M86" s="873"/>
      <x:c r="N86" s="874"/>
      <x:c r="O86" s="874"/>
      <x:c r="P86" s="872"/>
      <x:c r="Q86" s="872"/>
      <x:c r="R86" s="872"/>
      <x:c r="S86" s="872"/>
      <x:c r="T86" s="872"/>
      <x:c r="U86" s="872"/>
      <x:c r="V86" s="872"/>
      <x:c r="W86" s="872"/>
      <x:c r="X86" s="872"/>
      <x:c r="Y86" s="872"/>
      <x:c r="Z86" s="872"/>
      <x:c r="AA86" s="877"/>
      <x:c r="AB86" s="872"/>
      <x:c r="AC86" s="872"/>
      <x:c r="AD86" s="872"/>
      <x:c r="AE86" s="872"/>
      <x:c r="AF86" s="872"/>
      <x:c r="AG86" s="872"/>
      <x:c r="AH86" s="872"/>
      <x:c r="AI86" s="872"/>
      <x:c r="AJ86" s="872"/>
      <x:c r="AK86" s="872"/>
      <x:c r="AL86" s="872"/>
      <x:c r="AM86" s="872"/>
      <x:c r="AN86" s="872"/>
      <x:c r="AO86" s="872"/>
      <x:c r="AP86" s="872"/>
      <x:c r="AQ86" s="878"/>
      <x:c r="AR86" s="874"/>
    </x:row>
    <x:row r="87" s="36" customFormat="1" ht="30" customHeight="1">
      <x:c r="A87" s="871"/>
      <x:c r="B87" s="871"/>
      <x:c r="C87" s="871"/>
      <x:c r="D87" s="872"/>
      <x:c r="E87" s="871"/>
      <x:c r="F87" s="871"/>
      <x:c r="G87" s="872"/>
      <x:c r="H87" s="872"/>
      <x:c r="I87" s="875"/>
      <x:c r="J87" s="872"/>
      <x:c r="K87" s="873"/>
      <x:c r="L87" s="876"/>
      <x:c r="M87" s="873"/>
      <x:c r="N87" s="874"/>
      <x:c r="O87" s="874"/>
      <x:c r="P87" s="872"/>
      <x:c r="Q87" s="872"/>
      <x:c r="R87" s="872"/>
      <x:c r="S87" s="872"/>
      <x:c r="T87" s="872"/>
      <x:c r="U87" s="872"/>
      <x:c r="V87" s="872"/>
      <x:c r="W87" s="872"/>
      <x:c r="X87" s="872"/>
      <x:c r="Y87" s="872"/>
      <x:c r="Z87" s="872"/>
      <x:c r="AA87" s="877"/>
      <x:c r="AB87" s="872"/>
      <x:c r="AC87" s="872"/>
      <x:c r="AD87" s="872"/>
      <x:c r="AE87" s="872"/>
      <x:c r="AF87" s="872"/>
      <x:c r="AG87" s="872"/>
      <x:c r="AH87" s="872"/>
      <x:c r="AI87" s="872"/>
      <x:c r="AJ87" s="872"/>
      <x:c r="AK87" s="872"/>
      <x:c r="AL87" s="872"/>
      <x:c r="AM87" s="872"/>
      <x:c r="AN87" s="872"/>
      <x:c r="AO87" s="872"/>
      <x:c r="AP87" s="872"/>
      <x:c r="AQ87" s="878"/>
      <x:c r="AR87" s="874"/>
    </x:row>
    <x:row r="88" s="36" customFormat="1" ht="30" customHeight="1">
      <x:c r="A88" s="871"/>
      <x:c r="B88" s="871"/>
      <x:c r="C88" s="871"/>
      <x:c r="D88" s="872"/>
      <x:c r="E88" s="871"/>
      <x:c r="F88" s="871"/>
      <x:c r="G88" s="872"/>
      <x:c r="H88" s="872"/>
      <x:c r="I88" s="875"/>
      <x:c r="J88" s="872"/>
      <x:c r="K88" s="873"/>
      <x:c r="L88" s="876"/>
      <x:c r="M88" s="873"/>
      <x:c r="N88" s="874"/>
      <x:c r="O88" s="874"/>
      <x:c r="P88" s="872"/>
      <x:c r="Q88" s="872"/>
      <x:c r="R88" s="872"/>
      <x:c r="S88" s="872"/>
      <x:c r="T88" s="872"/>
      <x:c r="U88" s="872"/>
      <x:c r="V88" s="872"/>
      <x:c r="W88" s="872"/>
      <x:c r="X88" s="872"/>
      <x:c r="Y88" s="872"/>
      <x:c r="Z88" s="872"/>
      <x:c r="AA88" s="877"/>
      <x:c r="AB88" s="872"/>
      <x:c r="AC88" s="872"/>
      <x:c r="AD88" s="872"/>
      <x:c r="AE88" s="872"/>
      <x:c r="AF88" s="872"/>
      <x:c r="AG88" s="872"/>
      <x:c r="AH88" s="872"/>
      <x:c r="AI88" s="872"/>
      <x:c r="AJ88" s="872"/>
      <x:c r="AK88" s="872"/>
      <x:c r="AL88" s="872"/>
      <x:c r="AM88" s="872"/>
      <x:c r="AN88" s="872"/>
      <x:c r="AO88" s="872"/>
      <x:c r="AP88" s="872"/>
      <x:c r="AQ88" s="878"/>
      <x:c r="AR88" s="874"/>
    </x:row>
    <x:row r="89" s="36" customFormat="1" ht="30" customHeight="1">
      <x:c r="A89" s="871"/>
      <x:c r="B89" s="871"/>
      <x:c r="C89" s="871"/>
      <x:c r="D89" s="872"/>
      <x:c r="E89" s="871"/>
      <x:c r="F89" s="871"/>
      <x:c r="G89" s="872"/>
      <x:c r="H89" s="872"/>
      <x:c r="I89" s="875"/>
      <x:c r="J89" s="872"/>
      <x:c r="K89" s="873"/>
      <x:c r="L89" s="876"/>
      <x:c r="M89" s="873"/>
      <x:c r="N89" s="874"/>
      <x:c r="O89" s="874"/>
      <x:c r="P89" s="872"/>
      <x:c r="Q89" s="872"/>
      <x:c r="R89" s="872"/>
      <x:c r="S89" s="872"/>
      <x:c r="T89" s="872"/>
      <x:c r="U89" s="872"/>
      <x:c r="V89" s="872"/>
      <x:c r="W89" s="872"/>
      <x:c r="X89" s="872"/>
      <x:c r="Y89" s="872"/>
      <x:c r="Z89" s="872"/>
      <x:c r="AA89" s="877"/>
      <x:c r="AB89" s="872"/>
      <x:c r="AC89" s="872"/>
      <x:c r="AD89" s="872"/>
      <x:c r="AE89" s="872"/>
      <x:c r="AF89" s="872"/>
      <x:c r="AG89" s="872"/>
      <x:c r="AH89" s="872"/>
      <x:c r="AI89" s="872"/>
      <x:c r="AJ89" s="872"/>
      <x:c r="AK89" s="872"/>
      <x:c r="AL89" s="872"/>
      <x:c r="AM89" s="872"/>
      <x:c r="AN89" s="872"/>
      <x:c r="AO89" s="872"/>
      <x:c r="AP89" s="872"/>
      <x:c r="AQ89" s="878"/>
      <x:c r="AR89" s="874"/>
    </x:row>
    <x:row r="90" s="36" customFormat="1" ht="30" customHeight="1">
      <x:c r="A90" s="871"/>
      <x:c r="B90" s="871"/>
      <x:c r="C90" s="871"/>
      <x:c r="D90" s="872"/>
      <x:c r="E90" s="871"/>
      <x:c r="F90" s="871"/>
      <x:c r="G90" s="872"/>
      <x:c r="H90" s="872"/>
      <x:c r="I90" s="875"/>
      <x:c r="J90" s="872"/>
      <x:c r="K90" s="873"/>
      <x:c r="L90" s="876"/>
      <x:c r="M90" s="873"/>
      <x:c r="N90" s="874"/>
      <x:c r="O90" s="874"/>
      <x:c r="P90" s="872"/>
      <x:c r="Q90" s="872"/>
      <x:c r="R90" s="872"/>
      <x:c r="S90" s="872"/>
      <x:c r="T90" s="872"/>
      <x:c r="U90" s="872"/>
      <x:c r="V90" s="872"/>
      <x:c r="W90" s="872"/>
      <x:c r="X90" s="872"/>
      <x:c r="Y90" s="872"/>
      <x:c r="Z90" s="872"/>
      <x:c r="AA90" s="877"/>
      <x:c r="AB90" s="872"/>
      <x:c r="AC90" s="872"/>
      <x:c r="AD90" s="872"/>
      <x:c r="AE90" s="872"/>
      <x:c r="AF90" s="872"/>
      <x:c r="AG90" s="872"/>
      <x:c r="AH90" s="872"/>
      <x:c r="AI90" s="872"/>
      <x:c r="AJ90" s="872"/>
      <x:c r="AK90" s="872"/>
      <x:c r="AL90" s="872"/>
      <x:c r="AM90" s="872"/>
      <x:c r="AN90" s="872"/>
      <x:c r="AO90" s="872"/>
      <x:c r="AP90" s="872"/>
      <x:c r="AQ90" s="878"/>
      <x:c r="AR90" s="874"/>
    </x:row>
    <x:row r="91" s="36" customFormat="1" ht="30" customHeight="1">
      <x:c r="A91" s="871"/>
      <x:c r="B91" s="871"/>
      <x:c r="C91" s="871"/>
      <x:c r="D91" s="872"/>
      <x:c r="E91" s="871"/>
      <x:c r="F91" s="871"/>
      <x:c r="G91" s="872"/>
      <x:c r="H91" s="872"/>
      <x:c r="I91" s="875"/>
      <x:c r="J91" s="872"/>
      <x:c r="K91" s="873"/>
      <x:c r="L91" s="876"/>
      <x:c r="M91" s="873"/>
      <x:c r="N91" s="874"/>
      <x:c r="O91" s="874"/>
      <x:c r="P91" s="872"/>
      <x:c r="Q91" s="872"/>
      <x:c r="R91" s="872"/>
      <x:c r="S91" s="872"/>
      <x:c r="T91" s="872"/>
      <x:c r="U91" s="872"/>
      <x:c r="V91" s="872"/>
      <x:c r="W91" s="872"/>
      <x:c r="X91" s="872"/>
      <x:c r="Y91" s="872"/>
      <x:c r="Z91" s="872"/>
      <x:c r="AA91" s="877"/>
      <x:c r="AB91" s="872"/>
      <x:c r="AC91" s="872"/>
      <x:c r="AD91" s="872"/>
      <x:c r="AE91" s="872"/>
      <x:c r="AF91" s="872"/>
      <x:c r="AG91" s="872"/>
      <x:c r="AH91" s="872"/>
      <x:c r="AI91" s="872"/>
      <x:c r="AJ91" s="872"/>
      <x:c r="AK91" s="872"/>
      <x:c r="AL91" s="872"/>
      <x:c r="AM91" s="872"/>
      <x:c r="AN91" s="872"/>
      <x:c r="AO91" s="872"/>
      <x:c r="AP91" s="872"/>
      <x:c r="AQ91" s="878"/>
      <x:c r="AR91" s="874"/>
    </x:row>
    <x:row r="92" s="36" customFormat="1" ht="30" customHeight="1">
      <x:c r="A92" s="871"/>
      <x:c r="B92" s="871"/>
      <x:c r="C92" s="871"/>
      <x:c r="D92" s="872"/>
      <x:c r="E92" s="871"/>
      <x:c r="F92" s="871"/>
      <x:c r="G92" s="872"/>
      <x:c r="H92" s="872"/>
      <x:c r="I92" s="875"/>
      <x:c r="J92" s="872"/>
      <x:c r="K92" s="873"/>
      <x:c r="L92" s="876"/>
      <x:c r="M92" s="873"/>
      <x:c r="N92" s="874"/>
      <x:c r="O92" s="874"/>
      <x:c r="P92" s="872"/>
      <x:c r="Q92" s="872"/>
      <x:c r="R92" s="872"/>
      <x:c r="S92" s="872"/>
      <x:c r="T92" s="872"/>
      <x:c r="U92" s="872"/>
      <x:c r="V92" s="872"/>
      <x:c r="W92" s="872"/>
      <x:c r="X92" s="872"/>
      <x:c r="Y92" s="872"/>
      <x:c r="Z92" s="872"/>
      <x:c r="AA92" s="877"/>
      <x:c r="AB92" s="872"/>
      <x:c r="AC92" s="872"/>
      <x:c r="AD92" s="872"/>
      <x:c r="AE92" s="872"/>
      <x:c r="AF92" s="872"/>
      <x:c r="AG92" s="872"/>
      <x:c r="AH92" s="872"/>
      <x:c r="AI92" s="872"/>
      <x:c r="AJ92" s="872"/>
      <x:c r="AK92" s="872"/>
      <x:c r="AL92" s="872"/>
      <x:c r="AM92" s="872"/>
      <x:c r="AN92" s="872"/>
      <x:c r="AO92" s="872"/>
      <x:c r="AP92" s="872"/>
      <x:c r="AQ92" s="878"/>
      <x:c r="AR92" s="874"/>
    </x:row>
    <x:row r="93" s="36" customFormat="1" ht="30" customHeight="1">
      <x:c r="A93" s="871"/>
      <x:c r="B93" s="871"/>
      <x:c r="C93" s="871"/>
      <x:c r="D93" s="872"/>
      <x:c r="E93" s="871"/>
      <x:c r="F93" s="871"/>
      <x:c r="G93" s="872"/>
      <x:c r="H93" s="872"/>
      <x:c r="I93" s="875"/>
      <x:c r="J93" s="872"/>
      <x:c r="K93" s="873"/>
      <x:c r="L93" s="876"/>
      <x:c r="M93" s="873"/>
      <x:c r="N93" s="874"/>
      <x:c r="O93" s="874"/>
      <x:c r="P93" s="872"/>
      <x:c r="Q93" s="872"/>
      <x:c r="R93" s="872"/>
      <x:c r="S93" s="872"/>
      <x:c r="T93" s="872"/>
      <x:c r="U93" s="872"/>
      <x:c r="V93" s="872"/>
      <x:c r="W93" s="872"/>
      <x:c r="X93" s="872"/>
      <x:c r="Y93" s="872"/>
      <x:c r="Z93" s="872"/>
      <x:c r="AA93" s="877"/>
      <x:c r="AB93" s="872"/>
      <x:c r="AC93" s="872"/>
      <x:c r="AD93" s="872"/>
      <x:c r="AE93" s="872"/>
      <x:c r="AF93" s="872"/>
      <x:c r="AG93" s="872"/>
      <x:c r="AH93" s="872"/>
      <x:c r="AI93" s="872"/>
      <x:c r="AJ93" s="872"/>
      <x:c r="AK93" s="872"/>
      <x:c r="AL93" s="872"/>
      <x:c r="AM93" s="872"/>
      <x:c r="AN93" s="872"/>
      <x:c r="AO93" s="872"/>
      <x:c r="AP93" s="872"/>
      <x:c r="AQ93" s="878"/>
      <x:c r="AR93" s="874"/>
    </x:row>
    <x:row r="94" s="36" customFormat="1" ht="30" customHeight="1">
      <x:c r="A94" s="871"/>
      <x:c r="B94" s="871"/>
      <x:c r="C94" s="871"/>
      <x:c r="D94" s="872"/>
      <x:c r="E94" s="871"/>
      <x:c r="F94" s="871"/>
      <x:c r="G94" s="872"/>
      <x:c r="H94" s="872"/>
      <x:c r="I94" s="875"/>
      <x:c r="J94" s="872"/>
      <x:c r="K94" s="873"/>
      <x:c r="L94" s="876"/>
      <x:c r="M94" s="873"/>
      <x:c r="N94" s="874"/>
      <x:c r="O94" s="874"/>
      <x:c r="P94" s="872"/>
      <x:c r="Q94" s="872"/>
      <x:c r="R94" s="872"/>
      <x:c r="S94" s="872"/>
      <x:c r="T94" s="872"/>
      <x:c r="U94" s="872"/>
      <x:c r="V94" s="872"/>
      <x:c r="W94" s="872"/>
      <x:c r="X94" s="872"/>
      <x:c r="Y94" s="872"/>
      <x:c r="Z94" s="872"/>
      <x:c r="AA94" s="877"/>
      <x:c r="AB94" s="872"/>
      <x:c r="AC94" s="872"/>
      <x:c r="AD94" s="872"/>
      <x:c r="AE94" s="872"/>
      <x:c r="AF94" s="872"/>
      <x:c r="AG94" s="872"/>
      <x:c r="AH94" s="872"/>
      <x:c r="AI94" s="872"/>
      <x:c r="AJ94" s="872"/>
      <x:c r="AK94" s="872"/>
      <x:c r="AL94" s="872"/>
      <x:c r="AM94" s="872"/>
      <x:c r="AN94" s="872"/>
      <x:c r="AO94" s="872"/>
      <x:c r="AP94" s="872"/>
      <x:c r="AQ94" s="878"/>
      <x:c r="AR94" s="874"/>
    </x:row>
    <x:row r="95" s="36" customFormat="1" ht="30" customHeight="1">
      <x:c r="A95" s="871"/>
      <x:c r="B95" s="871"/>
      <x:c r="C95" s="871"/>
      <x:c r="D95" s="872"/>
      <x:c r="E95" s="871"/>
      <x:c r="F95" s="871"/>
      <x:c r="G95" s="872"/>
      <x:c r="H95" s="872"/>
      <x:c r="I95" s="875"/>
      <x:c r="J95" s="872"/>
      <x:c r="K95" s="873"/>
      <x:c r="L95" s="876"/>
      <x:c r="M95" s="873"/>
      <x:c r="N95" s="874"/>
      <x:c r="O95" s="874"/>
      <x:c r="P95" s="872"/>
      <x:c r="Q95" s="872"/>
      <x:c r="R95" s="872"/>
      <x:c r="S95" s="872"/>
      <x:c r="T95" s="872"/>
      <x:c r="U95" s="872"/>
      <x:c r="V95" s="872"/>
      <x:c r="W95" s="872"/>
      <x:c r="X95" s="872"/>
      <x:c r="Y95" s="872"/>
      <x:c r="Z95" s="872"/>
      <x:c r="AA95" s="877"/>
      <x:c r="AB95" s="872"/>
      <x:c r="AC95" s="872"/>
      <x:c r="AD95" s="872"/>
      <x:c r="AE95" s="872"/>
      <x:c r="AF95" s="872"/>
      <x:c r="AG95" s="872"/>
      <x:c r="AH95" s="872"/>
      <x:c r="AI95" s="872"/>
      <x:c r="AJ95" s="872"/>
      <x:c r="AK95" s="872"/>
      <x:c r="AL95" s="872"/>
      <x:c r="AM95" s="872"/>
      <x:c r="AN95" s="872"/>
      <x:c r="AO95" s="872"/>
      <x:c r="AP95" s="872"/>
      <x:c r="AQ95" s="878"/>
      <x:c r="AR95" s="874"/>
    </x:row>
    <x:row r="96" s="36" customFormat="1" ht="30" customHeight="1">
      <x:c r="A96" s="871"/>
      <x:c r="B96" s="871"/>
      <x:c r="C96" s="871"/>
      <x:c r="D96" s="872"/>
      <x:c r="E96" s="871"/>
      <x:c r="F96" s="871"/>
      <x:c r="G96" s="872"/>
      <x:c r="H96" s="872"/>
      <x:c r="I96" s="875"/>
      <x:c r="J96" s="872"/>
      <x:c r="K96" s="873"/>
      <x:c r="L96" s="876"/>
      <x:c r="M96" s="873"/>
      <x:c r="N96" s="874"/>
      <x:c r="O96" s="874"/>
      <x:c r="P96" s="872"/>
      <x:c r="Q96" s="872"/>
      <x:c r="R96" s="872"/>
      <x:c r="S96" s="872"/>
      <x:c r="T96" s="872"/>
      <x:c r="U96" s="872"/>
      <x:c r="V96" s="872"/>
      <x:c r="W96" s="872"/>
      <x:c r="X96" s="872"/>
      <x:c r="Y96" s="872"/>
      <x:c r="Z96" s="872"/>
      <x:c r="AA96" s="877"/>
      <x:c r="AB96" s="872"/>
      <x:c r="AC96" s="872"/>
      <x:c r="AD96" s="872"/>
      <x:c r="AE96" s="872"/>
      <x:c r="AF96" s="872"/>
      <x:c r="AG96" s="872"/>
      <x:c r="AH96" s="872"/>
      <x:c r="AI96" s="872"/>
      <x:c r="AJ96" s="872"/>
      <x:c r="AK96" s="872"/>
      <x:c r="AL96" s="872"/>
      <x:c r="AM96" s="872"/>
      <x:c r="AN96" s="872"/>
      <x:c r="AO96" s="872"/>
      <x:c r="AP96" s="872"/>
      <x:c r="AQ96" s="878"/>
      <x:c r="AR96" s="874"/>
    </x:row>
    <x:row r="97" s="36" customFormat="1" ht="30" customHeight="1">
      <x:c r="A97" s="871"/>
      <x:c r="B97" s="871"/>
      <x:c r="C97" s="871"/>
      <x:c r="D97" s="872"/>
      <x:c r="E97" s="871"/>
      <x:c r="F97" s="871"/>
      <x:c r="G97" s="872"/>
      <x:c r="H97" s="872"/>
      <x:c r="I97" s="875"/>
      <x:c r="J97" s="872"/>
      <x:c r="K97" s="873"/>
      <x:c r="L97" s="876"/>
      <x:c r="M97" s="873"/>
      <x:c r="N97" s="874"/>
      <x:c r="O97" s="874"/>
      <x:c r="P97" s="872"/>
      <x:c r="Q97" s="872"/>
      <x:c r="R97" s="872"/>
      <x:c r="S97" s="872"/>
      <x:c r="T97" s="872"/>
      <x:c r="U97" s="872"/>
      <x:c r="V97" s="872"/>
      <x:c r="W97" s="872"/>
      <x:c r="X97" s="872"/>
      <x:c r="Y97" s="872"/>
      <x:c r="Z97" s="872"/>
      <x:c r="AA97" s="877"/>
      <x:c r="AB97" s="872"/>
      <x:c r="AC97" s="872"/>
      <x:c r="AD97" s="872"/>
      <x:c r="AE97" s="872"/>
      <x:c r="AF97" s="872"/>
      <x:c r="AG97" s="872"/>
      <x:c r="AH97" s="872"/>
      <x:c r="AI97" s="872"/>
      <x:c r="AJ97" s="872"/>
      <x:c r="AK97" s="872"/>
      <x:c r="AL97" s="872"/>
      <x:c r="AM97" s="872"/>
      <x:c r="AN97" s="872"/>
      <x:c r="AO97" s="872"/>
      <x:c r="AP97" s="872"/>
      <x:c r="AQ97" s="878"/>
      <x:c r="AR97" s="874"/>
    </x:row>
    <x:row r="98" s="36" customFormat="1" ht="30" customHeight="1">
      <x:c r="A98" s="871"/>
      <x:c r="B98" s="871"/>
      <x:c r="C98" s="871"/>
      <x:c r="D98" s="872"/>
      <x:c r="E98" s="871"/>
      <x:c r="F98" s="871"/>
      <x:c r="G98" s="872"/>
      <x:c r="H98" s="872"/>
      <x:c r="I98" s="875"/>
      <x:c r="J98" s="872"/>
      <x:c r="K98" s="873"/>
      <x:c r="L98" s="876"/>
      <x:c r="M98" s="873"/>
      <x:c r="N98" s="874"/>
      <x:c r="O98" s="874"/>
      <x:c r="P98" s="872"/>
      <x:c r="Q98" s="872"/>
      <x:c r="R98" s="872"/>
      <x:c r="S98" s="872"/>
      <x:c r="T98" s="872"/>
      <x:c r="U98" s="872"/>
      <x:c r="V98" s="872"/>
      <x:c r="W98" s="872"/>
      <x:c r="X98" s="872"/>
      <x:c r="Y98" s="872"/>
      <x:c r="Z98" s="872"/>
      <x:c r="AA98" s="877"/>
      <x:c r="AB98" s="872"/>
      <x:c r="AC98" s="872"/>
      <x:c r="AD98" s="872"/>
      <x:c r="AE98" s="872"/>
      <x:c r="AF98" s="872"/>
      <x:c r="AG98" s="872"/>
      <x:c r="AH98" s="872"/>
      <x:c r="AI98" s="872"/>
      <x:c r="AJ98" s="872"/>
      <x:c r="AK98" s="872"/>
      <x:c r="AL98" s="872"/>
      <x:c r="AM98" s="872"/>
      <x:c r="AN98" s="872"/>
      <x:c r="AO98" s="872"/>
      <x:c r="AP98" s="872"/>
      <x:c r="AQ98" s="878"/>
      <x:c r="AR98" s="874"/>
    </x:row>
    <x:row r="99" s="36" customFormat="1" ht="30" customHeight="1">
      <x:c r="A99" s="871"/>
      <x:c r="B99" s="871"/>
      <x:c r="C99" s="871"/>
      <x:c r="D99" s="872"/>
      <x:c r="E99" s="871"/>
      <x:c r="F99" s="871"/>
      <x:c r="G99" s="872"/>
      <x:c r="H99" s="872"/>
      <x:c r="I99" s="875"/>
      <x:c r="J99" s="872"/>
      <x:c r="K99" s="873"/>
      <x:c r="L99" s="876"/>
      <x:c r="M99" s="873"/>
      <x:c r="N99" s="874"/>
      <x:c r="O99" s="874"/>
      <x:c r="P99" s="872"/>
      <x:c r="Q99" s="872"/>
      <x:c r="R99" s="872"/>
      <x:c r="S99" s="872"/>
      <x:c r="T99" s="872"/>
      <x:c r="U99" s="872"/>
      <x:c r="V99" s="872"/>
      <x:c r="W99" s="872"/>
      <x:c r="X99" s="872"/>
      <x:c r="Y99" s="872"/>
      <x:c r="Z99" s="872"/>
      <x:c r="AA99" s="877"/>
      <x:c r="AB99" s="872"/>
      <x:c r="AC99" s="872"/>
      <x:c r="AD99" s="872"/>
      <x:c r="AE99" s="872"/>
      <x:c r="AF99" s="872"/>
      <x:c r="AG99" s="872"/>
      <x:c r="AH99" s="872"/>
      <x:c r="AI99" s="872"/>
      <x:c r="AJ99" s="872"/>
      <x:c r="AK99" s="872"/>
      <x:c r="AL99" s="872"/>
      <x:c r="AM99" s="872"/>
      <x:c r="AN99" s="872"/>
      <x:c r="AO99" s="872"/>
      <x:c r="AP99" s="872"/>
      <x:c r="AQ99" s="878"/>
      <x:c r="AR99" s="874"/>
    </x:row>
    <x:row r="100" s="36" customFormat="1" ht="30" customHeight="1">
      <x:c r="A100" s="871"/>
      <x:c r="B100" s="871"/>
      <x:c r="C100" s="871"/>
      <x:c r="D100" s="872"/>
      <x:c r="E100" s="871"/>
      <x:c r="F100" s="871"/>
      <x:c r="G100" s="872"/>
      <x:c r="H100" s="872"/>
      <x:c r="I100" s="875"/>
      <x:c r="J100" s="872"/>
      <x:c r="K100" s="873"/>
      <x:c r="L100" s="876"/>
      <x:c r="M100" s="873"/>
      <x:c r="N100" s="874"/>
      <x:c r="O100" s="874"/>
      <x:c r="P100" s="872"/>
      <x:c r="Q100" s="872"/>
      <x:c r="R100" s="872"/>
      <x:c r="S100" s="872"/>
      <x:c r="T100" s="872"/>
      <x:c r="U100" s="872"/>
      <x:c r="V100" s="872"/>
      <x:c r="W100" s="872"/>
      <x:c r="X100" s="872"/>
      <x:c r="Y100" s="872"/>
      <x:c r="Z100" s="872"/>
      <x:c r="AA100" s="877"/>
      <x:c r="AB100" s="872"/>
      <x:c r="AC100" s="872"/>
      <x:c r="AD100" s="872"/>
      <x:c r="AE100" s="872"/>
      <x:c r="AF100" s="872"/>
      <x:c r="AG100" s="872"/>
      <x:c r="AH100" s="872"/>
      <x:c r="AI100" s="872"/>
      <x:c r="AJ100" s="872"/>
      <x:c r="AK100" s="872"/>
      <x:c r="AL100" s="872"/>
      <x:c r="AM100" s="872"/>
      <x:c r="AN100" s="872"/>
      <x:c r="AO100" s="872"/>
      <x:c r="AP100" s="872"/>
      <x:c r="AQ100" s="878"/>
      <x:c r="AR100" s="874"/>
    </x:row>
    <x:row r="101" s="36" customFormat="1" ht="30" customHeight="1">
      <x:c r="A101" s="871"/>
      <x:c r="B101" s="871"/>
      <x:c r="C101" s="871"/>
      <x:c r="D101" s="872"/>
      <x:c r="E101" s="871"/>
      <x:c r="F101" s="871"/>
      <x:c r="G101" s="872"/>
      <x:c r="H101" s="872"/>
      <x:c r="I101" s="875"/>
      <x:c r="J101" s="872"/>
      <x:c r="K101" s="873"/>
      <x:c r="L101" s="876"/>
      <x:c r="M101" s="873"/>
      <x:c r="N101" s="874"/>
      <x:c r="O101" s="874"/>
      <x:c r="P101" s="872"/>
      <x:c r="Q101" s="872"/>
      <x:c r="R101" s="872"/>
      <x:c r="S101" s="872"/>
      <x:c r="T101" s="872"/>
      <x:c r="U101" s="872"/>
      <x:c r="V101" s="872"/>
      <x:c r="W101" s="872"/>
      <x:c r="X101" s="872"/>
      <x:c r="Y101" s="872"/>
      <x:c r="Z101" s="872"/>
      <x:c r="AA101" s="877"/>
      <x:c r="AB101" s="872"/>
      <x:c r="AC101" s="872"/>
      <x:c r="AD101" s="872"/>
      <x:c r="AE101" s="872"/>
      <x:c r="AF101" s="872"/>
      <x:c r="AG101" s="872"/>
      <x:c r="AH101" s="872"/>
      <x:c r="AI101" s="872"/>
      <x:c r="AJ101" s="872"/>
      <x:c r="AK101" s="872"/>
      <x:c r="AL101" s="872"/>
      <x:c r="AM101" s="872"/>
      <x:c r="AN101" s="872"/>
      <x:c r="AO101" s="872"/>
      <x:c r="AP101" s="872"/>
      <x:c r="AQ101" s="878"/>
      <x:c r="AR101" s="874"/>
    </x:row>
    <x:row r="102" s="36" customFormat="1" ht="30" customHeight="1">
      <x:c r="A102" s="871"/>
      <x:c r="B102" s="871"/>
      <x:c r="C102" s="871"/>
      <x:c r="D102" s="872"/>
      <x:c r="E102" s="871"/>
      <x:c r="F102" s="871"/>
      <x:c r="G102" s="872"/>
      <x:c r="H102" s="872"/>
      <x:c r="I102" s="875"/>
      <x:c r="J102" s="872"/>
      <x:c r="K102" s="873"/>
      <x:c r="L102" s="876"/>
      <x:c r="M102" s="873"/>
      <x:c r="N102" s="874"/>
      <x:c r="O102" s="874"/>
      <x:c r="P102" s="872"/>
      <x:c r="Q102" s="872"/>
      <x:c r="R102" s="872"/>
      <x:c r="S102" s="872"/>
      <x:c r="T102" s="872"/>
      <x:c r="U102" s="872"/>
      <x:c r="V102" s="872"/>
      <x:c r="W102" s="872"/>
      <x:c r="X102" s="872"/>
      <x:c r="Y102" s="872"/>
      <x:c r="Z102" s="872"/>
      <x:c r="AA102" s="877"/>
      <x:c r="AB102" s="872"/>
      <x:c r="AC102" s="872"/>
      <x:c r="AD102" s="872"/>
      <x:c r="AE102" s="872"/>
      <x:c r="AF102" s="872"/>
      <x:c r="AG102" s="872"/>
      <x:c r="AH102" s="872"/>
      <x:c r="AI102" s="872"/>
      <x:c r="AJ102" s="872"/>
      <x:c r="AK102" s="872"/>
      <x:c r="AL102" s="872"/>
      <x:c r="AM102" s="872"/>
      <x:c r="AN102" s="872"/>
      <x:c r="AO102" s="872"/>
      <x:c r="AP102" s="872"/>
      <x:c r="AQ102" s="878"/>
      <x:c r="AR102" s="874"/>
    </x:row>
    <x:row r="103" s="36" customFormat="1" ht="30" customHeight="1">
      <x:c r="A103" s="871"/>
      <x:c r="B103" s="871"/>
      <x:c r="C103" s="871"/>
      <x:c r="D103" s="872"/>
      <x:c r="E103" s="871"/>
      <x:c r="F103" s="871"/>
      <x:c r="G103" s="872"/>
      <x:c r="H103" s="872"/>
      <x:c r="I103" s="875"/>
      <x:c r="J103" s="872"/>
      <x:c r="K103" s="873"/>
      <x:c r="L103" s="876"/>
      <x:c r="M103" s="873"/>
      <x:c r="N103" s="874"/>
      <x:c r="O103" s="874"/>
      <x:c r="P103" s="872"/>
      <x:c r="Q103" s="872"/>
      <x:c r="R103" s="872"/>
      <x:c r="S103" s="872"/>
      <x:c r="T103" s="872"/>
      <x:c r="U103" s="872"/>
      <x:c r="V103" s="872"/>
      <x:c r="W103" s="872"/>
      <x:c r="X103" s="872"/>
      <x:c r="Y103" s="872"/>
      <x:c r="Z103" s="872"/>
      <x:c r="AA103" s="877"/>
      <x:c r="AB103" s="872"/>
      <x:c r="AC103" s="872"/>
      <x:c r="AD103" s="872"/>
      <x:c r="AE103" s="872"/>
      <x:c r="AF103" s="872"/>
      <x:c r="AG103" s="872"/>
      <x:c r="AH103" s="872"/>
      <x:c r="AI103" s="872"/>
      <x:c r="AJ103" s="872"/>
      <x:c r="AK103" s="872"/>
      <x:c r="AL103" s="872"/>
      <x:c r="AM103" s="872"/>
      <x:c r="AN103" s="872"/>
      <x:c r="AO103" s="872"/>
      <x:c r="AP103" s="872"/>
      <x:c r="AQ103" s="878"/>
      <x:c r="AR103" s="874"/>
    </x:row>
    <x:row r="104" s="36" customFormat="1" ht="30" customHeight="1">
      <x:c r="A104" s="871"/>
      <x:c r="B104" s="871"/>
      <x:c r="C104" s="871"/>
      <x:c r="D104" s="872"/>
      <x:c r="E104" s="871"/>
      <x:c r="F104" s="871"/>
      <x:c r="G104" s="872"/>
      <x:c r="H104" s="872"/>
      <x:c r="I104" s="875"/>
      <x:c r="J104" s="872"/>
      <x:c r="K104" s="873"/>
      <x:c r="L104" s="876"/>
      <x:c r="M104" s="873"/>
      <x:c r="N104" s="874"/>
      <x:c r="O104" s="874"/>
      <x:c r="P104" s="872"/>
      <x:c r="Q104" s="872"/>
      <x:c r="R104" s="872"/>
      <x:c r="S104" s="872"/>
      <x:c r="T104" s="872"/>
      <x:c r="U104" s="872"/>
      <x:c r="V104" s="872"/>
      <x:c r="W104" s="872"/>
      <x:c r="X104" s="872"/>
      <x:c r="Y104" s="872"/>
      <x:c r="Z104" s="872"/>
      <x:c r="AA104" s="877"/>
      <x:c r="AB104" s="872"/>
      <x:c r="AC104" s="872"/>
      <x:c r="AD104" s="872"/>
      <x:c r="AE104" s="872"/>
      <x:c r="AF104" s="872"/>
      <x:c r="AG104" s="872"/>
      <x:c r="AH104" s="872"/>
      <x:c r="AI104" s="872"/>
      <x:c r="AJ104" s="872"/>
      <x:c r="AK104" s="872"/>
      <x:c r="AL104" s="872"/>
      <x:c r="AM104" s="872"/>
      <x:c r="AN104" s="872"/>
      <x:c r="AO104" s="872"/>
      <x:c r="AP104" s="872"/>
      <x:c r="AQ104" s="878"/>
      <x:c r="AR104" s="874"/>
    </x:row>
    <x:row r="105" s="36" customFormat="1" ht="30" customHeight="1">
      <x:c r="A105" s="871"/>
      <x:c r="B105" s="871"/>
      <x:c r="C105" s="871"/>
      <x:c r="D105" s="872"/>
      <x:c r="E105" s="871"/>
      <x:c r="F105" s="871"/>
      <x:c r="G105" s="872"/>
      <x:c r="H105" s="872"/>
      <x:c r="I105" s="875"/>
      <x:c r="J105" s="872"/>
      <x:c r="K105" s="873"/>
      <x:c r="L105" s="876"/>
      <x:c r="M105" s="873"/>
      <x:c r="N105" s="874"/>
      <x:c r="O105" s="874"/>
      <x:c r="P105" s="872"/>
      <x:c r="Q105" s="872"/>
      <x:c r="R105" s="872"/>
      <x:c r="S105" s="872"/>
      <x:c r="T105" s="872"/>
      <x:c r="U105" s="872"/>
      <x:c r="V105" s="872"/>
      <x:c r="W105" s="872"/>
      <x:c r="X105" s="872"/>
      <x:c r="Y105" s="872"/>
      <x:c r="Z105" s="872"/>
      <x:c r="AA105" s="877"/>
      <x:c r="AB105" s="872"/>
      <x:c r="AC105" s="872"/>
      <x:c r="AD105" s="872"/>
      <x:c r="AE105" s="872"/>
      <x:c r="AF105" s="872"/>
      <x:c r="AG105" s="872"/>
      <x:c r="AH105" s="872"/>
      <x:c r="AI105" s="872"/>
      <x:c r="AJ105" s="872"/>
      <x:c r="AK105" s="872"/>
      <x:c r="AL105" s="872"/>
      <x:c r="AM105" s="872"/>
      <x:c r="AN105" s="872"/>
      <x:c r="AO105" s="872"/>
      <x:c r="AP105" s="872"/>
      <x:c r="AQ105" s="878"/>
      <x:c r="AR105" s="874"/>
    </x:row>
    <x:row r="106" s="36" customFormat="1" ht="30" customHeight="1">
      <x:c r="A106" s="871"/>
      <x:c r="B106" s="871"/>
      <x:c r="C106" s="871"/>
      <x:c r="D106" s="872"/>
      <x:c r="E106" s="871"/>
      <x:c r="F106" s="871"/>
      <x:c r="G106" s="872"/>
      <x:c r="H106" s="872"/>
      <x:c r="I106" s="875"/>
      <x:c r="J106" s="872"/>
      <x:c r="K106" s="873"/>
      <x:c r="L106" s="876"/>
      <x:c r="M106" s="873"/>
      <x:c r="N106" s="874"/>
      <x:c r="O106" s="874"/>
      <x:c r="P106" s="872"/>
      <x:c r="Q106" s="872"/>
      <x:c r="R106" s="872"/>
      <x:c r="S106" s="872"/>
      <x:c r="T106" s="872"/>
      <x:c r="U106" s="872"/>
      <x:c r="V106" s="872"/>
      <x:c r="W106" s="872"/>
      <x:c r="X106" s="872"/>
      <x:c r="Y106" s="872"/>
      <x:c r="Z106" s="872"/>
      <x:c r="AA106" s="877"/>
      <x:c r="AB106" s="872"/>
      <x:c r="AC106" s="872"/>
      <x:c r="AD106" s="872"/>
      <x:c r="AE106" s="872"/>
      <x:c r="AF106" s="872"/>
      <x:c r="AG106" s="872"/>
      <x:c r="AH106" s="872"/>
      <x:c r="AI106" s="872"/>
      <x:c r="AJ106" s="872"/>
      <x:c r="AK106" s="872"/>
      <x:c r="AL106" s="872"/>
      <x:c r="AM106" s="872"/>
      <x:c r="AN106" s="872"/>
      <x:c r="AO106" s="872"/>
      <x:c r="AP106" s="872"/>
      <x:c r="AQ106" s="878"/>
      <x:c r="AR106" s="874"/>
    </x:row>
    <x:row r="107" s="36" customFormat="1" ht="30" customHeight="1">
      <x:c r="A107" s="871"/>
      <x:c r="B107" s="871"/>
      <x:c r="C107" s="871"/>
      <x:c r="D107" s="872"/>
      <x:c r="E107" s="871"/>
      <x:c r="F107" s="871"/>
      <x:c r="G107" s="872"/>
      <x:c r="H107" s="872"/>
      <x:c r="I107" s="875"/>
      <x:c r="J107" s="872"/>
      <x:c r="K107" s="873"/>
      <x:c r="L107" s="876"/>
      <x:c r="M107" s="873"/>
      <x:c r="N107" s="874"/>
      <x:c r="O107" s="874"/>
      <x:c r="P107" s="872"/>
      <x:c r="Q107" s="872"/>
      <x:c r="R107" s="872"/>
      <x:c r="S107" s="872"/>
      <x:c r="T107" s="872"/>
      <x:c r="U107" s="872"/>
      <x:c r="V107" s="872"/>
      <x:c r="W107" s="872"/>
      <x:c r="X107" s="872"/>
      <x:c r="Y107" s="872"/>
      <x:c r="Z107" s="872"/>
      <x:c r="AA107" s="877"/>
      <x:c r="AB107" s="872"/>
      <x:c r="AC107" s="872"/>
      <x:c r="AD107" s="872"/>
      <x:c r="AE107" s="872"/>
      <x:c r="AF107" s="872"/>
      <x:c r="AG107" s="872"/>
      <x:c r="AH107" s="872"/>
      <x:c r="AI107" s="872"/>
      <x:c r="AJ107" s="872"/>
      <x:c r="AK107" s="872"/>
      <x:c r="AL107" s="872"/>
      <x:c r="AM107" s="872"/>
      <x:c r="AN107" s="872"/>
      <x:c r="AO107" s="872"/>
      <x:c r="AP107" s="872"/>
      <x:c r="AQ107" s="878"/>
      <x:c r="AR107" s="874"/>
    </x:row>
    <x:row r="108" s="36" customFormat="1" ht="30" customHeight="1">
      <x:c r="A108" s="871"/>
      <x:c r="B108" s="871"/>
      <x:c r="C108" s="871"/>
      <x:c r="D108" s="872"/>
      <x:c r="E108" s="871"/>
      <x:c r="F108" s="871"/>
      <x:c r="G108" s="872"/>
      <x:c r="H108" s="872"/>
      <x:c r="I108" s="875"/>
      <x:c r="J108" s="872"/>
      <x:c r="K108" s="873"/>
      <x:c r="L108" s="876"/>
      <x:c r="M108" s="873"/>
      <x:c r="N108" s="874"/>
      <x:c r="O108" s="874"/>
      <x:c r="P108" s="872"/>
      <x:c r="Q108" s="872"/>
      <x:c r="R108" s="872"/>
      <x:c r="S108" s="872"/>
      <x:c r="T108" s="872"/>
      <x:c r="U108" s="872"/>
      <x:c r="V108" s="872"/>
      <x:c r="W108" s="872"/>
      <x:c r="X108" s="872"/>
      <x:c r="Y108" s="872"/>
      <x:c r="Z108" s="872"/>
      <x:c r="AA108" s="877"/>
      <x:c r="AB108" s="872"/>
      <x:c r="AC108" s="872"/>
      <x:c r="AD108" s="872"/>
      <x:c r="AE108" s="872"/>
      <x:c r="AF108" s="872"/>
      <x:c r="AG108" s="872"/>
      <x:c r="AH108" s="872"/>
      <x:c r="AI108" s="872"/>
      <x:c r="AJ108" s="872"/>
      <x:c r="AK108" s="872"/>
      <x:c r="AL108" s="872"/>
      <x:c r="AM108" s="872"/>
      <x:c r="AN108" s="872"/>
      <x:c r="AO108" s="872"/>
      <x:c r="AP108" s="872"/>
      <x:c r="AQ108" s="878"/>
      <x:c r="AR108" s="874"/>
    </x:row>
    <x:row r="109" s="36" customFormat="1" ht="30" customHeight="1">
      <x:c r="A109" s="871"/>
      <x:c r="B109" s="871"/>
      <x:c r="C109" s="871"/>
      <x:c r="D109" s="872"/>
      <x:c r="E109" s="871"/>
      <x:c r="F109" s="871"/>
      <x:c r="G109" s="872"/>
      <x:c r="H109" s="872"/>
      <x:c r="I109" s="875"/>
      <x:c r="J109" s="872"/>
      <x:c r="K109" s="873"/>
      <x:c r="L109" s="876"/>
      <x:c r="M109" s="873"/>
      <x:c r="N109" s="874"/>
      <x:c r="O109" s="874"/>
      <x:c r="P109" s="872"/>
      <x:c r="Q109" s="872"/>
      <x:c r="R109" s="872"/>
      <x:c r="S109" s="872"/>
      <x:c r="T109" s="872"/>
      <x:c r="U109" s="872"/>
      <x:c r="V109" s="872"/>
      <x:c r="W109" s="872"/>
      <x:c r="X109" s="872"/>
      <x:c r="Y109" s="872"/>
      <x:c r="Z109" s="872"/>
      <x:c r="AA109" s="877"/>
      <x:c r="AB109" s="872"/>
      <x:c r="AC109" s="872"/>
      <x:c r="AD109" s="872"/>
      <x:c r="AE109" s="872"/>
      <x:c r="AF109" s="872"/>
      <x:c r="AG109" s="872"/>
      <x:c r="AH109" s="872"/>
      <x:c r="AI109" s="872"/>
      <x:c r="AJ109" s="872"/>
      <x:c r="AK109" s="872"/>
      <x:c r="AL109" s="872"/>
      <x:c r="AM109" s="872"/>
      <x:c r="AN109" s="872"/>
      <x:c r="AO109" s="872"/>
      <x:c r="AP109" s="872"/>
      <x:c r="AQ109" s="878"/>
      <x:c r="AR109" s="874"/>
    </x:row>
    <x:row r="110" s="36" customFormat="1" ht="30" customHeight="1">
      <x:c r="A110" s="871"/>
      <x:c r="B110" s="871"/>
      <x:c r="C110" s="871"/>
      <x:c r="D110" s="872"/>
      <x:c r="E110" s="871"/>
      <x:c r="F110" s="871"/>
      <x:c r="G110" s="872"/>
      <x:c r="H110" s="872"/>
      <x:c r="I110" s="875"/>
      <x:c r="J110" s="872"/>
      <x:c r="K110" s="873"/>
      <x:c r="L110" s="876"/>
      <x:c r="M110" s="873"/>
      <x:c r="N110" s="874"/>
      <x:c r="O110" s="874"/>
      <x:c r="P110" s="872"/>
      <x:c r="Q110" s="872"/>
      <x:c r="R110" s="872"/>
      <x:c r="S110" s="872"/>
      <x:c r="T110" s="872"/>
      <x:c r="U110" s="872"/>
      <x:c r="V110" s="872"/>
      <x:c r="W110" s="872"/>
      <x:c r="X110" s="872"/>
      <x:c r="Y110" s="872"/>
      <x:c r="Z110" s="872"/>
      <x:c r="AA110" s="877"/>
      <x:c r="AB110" s="872"/>
      <x:c r="AC110" s="872"/>
      <x:c r="AD110" s="872"/>
      <x:c r="AE110" s="872"/>
      <x:c r="AF110" s="872"/>
      <x:c r="AG110" s="872"/>
      <x:c r="AH110" s="872"/>
      <x:c r="AI110" s="872"/>
      <x:c r="AJ110" s="872"/>
      <x:c r="AK110" s="872"/>
      <x:c r="AL110" s="872"/>
      <x:c r="AM110" s="872"/>
      <x:c r="AN110" s="872"/>
      <x:c r="AO110" s="872"/>
      <x:c r="AP110" s="872"/>
      <x:c r="AQ110" s="878"/>
      <x:c r="AR110" s="874"/>
    </x:row>
    <x:row r="111" s="36" customFormat="1" ht="30" customHeight="1">
      <x:c r="A111" s="871"/>
      <x:c r="B111" s="871"/>
      <x:c r="C111" s="871"/>
      <x:c r="D111" s="872"/>
      <x:c r="E111" s="871"/>
      <x:c r="F111" s="871"/>
      <x:c r="G111" s="872"/>
      <x:c r="H111" s="872"/>
      <x:c r="I111" s="875"/>
      <x:c r="J111" s="872"/>
      <x:c r="K111" s="873"/>
      <x:c r="L111" s="876"/>
      <x:c r="M111" s="873"/>
      <x:c r="N111" s="874"/>
      <x:c r="O111" s="874"/>
      <x:c r="P111" s="872"/>
      <x:c r="Q111" s="872"/>
      <x:c r="R111" s="872"/>
      <x:c r="S111" s="872"/>
      <x:c r="T111" s="872"/>
      <x:c r="U111" s="872"/>
      <x:c r="V111" s="872"/>
      <x:c r="W111" s="872"/>
      <x:c r="X111" s="872"/>
      <x:c r="Y111" s="872"/>
      <x:c r="Z111" s="872"/>
      <x:c r="AA111" s="877"/>
      <x:c r="AB111" s="872"/>
      <x:c r="AC111" s="872"/>
      <x:c r="AD111" s="872"/>
      <x:c r="AE111" s="872"/>
      <x:c r="AF111" s="872"/>
      <x:c r="AG111" s="872"/>
      <x:c r="AH111" s="872"/>
      <x:c r="AI111" s="872"/>
      <x:c r="AJ111" s="872"/>
      <x:c r="AK111" s="872"/>
      <x:c r="AL111" s="872"/>
      <x:c r="AM111" s="872"/>
      <x:c r="AN111" s="872"/>
      <x:c r="AO111" s="872"/>
      <x:c r="AP111" s="872"/>
      <x:c r="AQ111" s="878"/>
      <x:c r="AR111" s="874"/>
    </x:row>
    <x:row r="112" s="36" customFormat="1" ht="30" customHeight="1">
      <x:c r="A112" s="871"/>
      <x:c r="B112" s="871"/>
      <x:c r="C112" s="871"/>
      <x:c r="D112" s="872"/>
      <x:c r="E112" s="871"/>
      <x:c r="F112" s="871"/>
      <x:c r="G112" s="872"/>
      <x:c r="H112" s="872"/>
      <x:c r="I112" s="875"/>
      <x:c r="J112" s="872"/>
      <x:c r="K112" s="873"/>
      <x:c r="L112" s="876"/>
      <x:c r="M112" s="873"/>
      <x:c r="N112" s="874"/>
      <x:c r="O112" s="874"/>
      <x:c r="P112" s="872"/>
      <x:c r="Q112" s="872"/>
      <x:c r="R112" s="872"/>
      <x:c r="S112" s="872"/>
      <x:c r="T112" s="872"/>
      <x:c r="U112" s="872"/>
      <x:c r="V112" s="872"/>
      <x:c r="W112" s="872"/>
      <x:c r="X112" s="872"/>
      <x:c r="Y112" s="872"/>
      <x:c r="Z112" s="872"/>
      <x:c r="AA112" s="877"/>
      <x:c r="AB112" s="872"/>
      <x:c r="AC112" s="872"/>
      <x:c r="AD112" s="872"/>
      <x:c r="AE112" s="872"/>
      <x:c r="AF112" s="872"/>
      <x:c r="AG112" s="872"/>
      <x:c r="AH112" s="872"/>
      <x:c r="AI112" s="872"/>
      <x:c r="AJ112" s="872"/>
      <x:c r="AK112" s="872"/>
      <x:c r="AL112" s="872"/>
      <x:c r="AM112" s="872"/>
      <x:c r="AN112" s="872"/>
      <x:c r="AO112" s="872"/>
      <x:c r="AP112" s="872"/>
      <x:c r="AQ112" s="878"/>
      <x:c r="AR112" s="874"/>
    </x:row>
    <x:row r="113" s="36" customFormat="1" ht="30" customHeight="1">
      <x:c r="A113" s="871"/>
      <x:c r="B113" s="871"/>
      <x:c r="C113" s="871"/>
      <x:c r="D113" s="872"/>
      <x:c r="E113" s="871"/>
      <x:c r="F113" s="871"/>
      <x:c r="G113" s="872"/>
      <x:c r="H113" s="872"/>
      <x:c r="I113" s="875"/>
      <x:c r="J113" s="872"/>
      <x:c r="K113" s="873"/>
      <x:c r="L113" s="876"/>
      <x:c r="M113" s="873"/>
      <x:c r="N113" s="874"/>
      <x:c r="O113" s="874"/>
      <x:c r="P113" s="872"/>
      <x:c r="Q113" s="872"/>
      <x:c r="R113" s="872"/>
      <x:c r="S113" s="872"/>
      <x:c r="T113" s="872"/>
      <x:c r="U113" s="872"/>
      <x:c r="V113" s="872"/>
      <x:c r="W113" s="872"/>
      <x:c r="X113" s="872"/>
      <x:c r="Y113" s="872"/>
      <x:c r="Z113" s="872"/>
      <x:c r="AA113" s="877"/>
      <x:c r="AB113" s="872"/>
      <x:c r="AC113" s="872"/>
      <x:c r="AD113" s="872"/>
      <x:c r="AE113" s="872"/>
      <x:c r="AF113" s="872"/>
      <x:c r="AG113" s="872"/>
      <x:c r="AH113" s="872"/>
      <x:c r="AI113" s="872"/>
      <x:c r="AJ113" s="872"/>
      <x:c r="AK113" s="872"/>
      <x:c r="AL113" s="872"/>
      <x:c r="AM113" s="872"/>
      <x:c r="AN113" s="872"/>
      <x:c r="AO113" s="872"/>
      <x:c r="AP113" s="872"/>
      <x:c r="AQ113" s="878"/>
      <x:c r="AR113" s="874"/>
    </x:row>
    <x:row r="114" s="36" customFormat="1" ht="30" customHeight="1">
      <x:c r="A114" s="871"/>
      <x:c r="B114" s="871"/>
      <x:c r="C114" s="871"/>
      <x:c r="D114" s="872"/>
      <x:c r="E114" s="871"/>
      <x:c r="F114" s="871"/>
      <x:c r="G114" s="872"/>
      <x:c r="H114" s="872"/>
      <x:c r="I114" s="875"/>
      <x:c r="J114" s="872"/>
      <x:c r="K114" s="873"/>
      <x:c r="L114" s="876"/>
      <x:c r="M114" s="873"/>
      <x:c r="N114" s="874"/>
      <x:c r="O114" s="874"/>
      <x:c r="P114" s="872"/>
      <x:c r="Q114" s="872"/>
      <x:c r="R114" s="872"/>
      <x:c r="S114" s="872"/>
      <x:c r="T114" s="872"/>
      <x:c r="U114" s="872"/>
      <x:c r="V114" s="872"/>
      <x:c r="W114" s="872"/>
      <x:c r="X114" s="872"/>
      <x:c r="Y114" s="872"/>
      <x:c r="Z114" s="872"/>
      <x:c r="AA114" s="877"/>
      <x:c r="AB114" s="872"/>
      <x:c r="AC114" s="872"/>
      <x:c r="AD114" s="872"/>
      <x:c r="AE114" s="872"/>
      <x:c r="AF114" s="872"/>
      <x:c r="AG114" s="872"/>
      <x:c r="AH114" s="872"/>
      <x:c r="AI114" s="872"/>
      <x:c r="AJ114" s="872"/>
      <x:c r="AK114" s="872"/>
      <x:c r="AL114" s="872"/>
      <x:c r="AM114" s="872"/>
      <x:c r="AN114" s="872"/>
      <x:c r="AO114" s="872"/>
      <x:c r="AP114" s="872"/>
      <x:c r="AQ114" s="878"/>
      <x:c r="AR114" s="874"/>
    </x:row>
    <x:row r="115" s="36" customFormat="1" ht="30" customHeight="1">
      <x:c r="A115" s="871"/>
      <x:c r="B115" s="871"/>
      <x:c r="C115" s="871"/>
      <x:c r="D115" s="872"/>
      <x:c r="E115" s="871"/>
      <x:c r="F115" s="871"/>
      <x:c r="G115" s="872"/>
      <x:c r="H115" s="872"/>
      <x:c r="I115" s="875"/>
      <x:c r="J115" s="872"/>
      <x:c r="K115" s="873"/>
      <x:c r="L115" s="876"/>
      <x:c r="M115" s="873"/>
      <x:c r="N115" s="874"/>
      <x:c r="O115" s="874"/>
      <x:c r="P115" s="872"/>
      <x:c r="Q115" s="872"/>
      <x:c r="R115" s="872"/>
      <x:c r="S115" s="872"/>
      <x:c r="T115" s="872"/>
      <x:c r="U115" s="872"/>
      <x:c r="V115" s="872"/>
      <x:c r="W115" s="872"/>
      <x:c r="X115" s="872"/>
      <x:c r="Y115" s="872"/>
      <x:c r="Z115" s="872"/>
      <x:c r="AA115" s="877"/>
      <x:c r="AB115" s="872"/>
      <x:c r="AC115" s="872"/>
      <x:c r="AD115" s="872"/>
      <x:c r="AE115" s="872"/>
      <x:c r="AF115" s="872"/>
      <x:c r="AG115" s="872"/>
      <x:c r="AH115" s="872"/>
      <x:c r="AI115" s="872"/>
      <x:c r="AJ115" s="872"/>
      <x:c r="AK115" s="872"/>
      <x:c r="AL115" s="872"/>
      <x:c r="AM115" s="872"/>
      <x:c r="AN115" s="872"/>
      <x:c r="AO115" s="872"/>
      <x:c r="AP115" s="872"/>
      <x:c r="AQ115" s="878"/>
      <x:c r="AR115" s="874"/>
    </x:row>
    <x:row r="116" s="36" customFormat="1" ht="30" customHeight="1">
      <x:c r="A116" s="871"/>
      <x:c r="B116" s="871"/>
      <x:c r="C116" s="871"/>
      <x:c r="D116" s="872"/>
      <x:c r="E116" s="871"/>
      <x:c r="F116" s="871"/>
      <x:c r="G116" s="872"/>
      <x:c r="H116" s="872"/>
      <x:c r="I116" s="875"/>
      <x:c r="J116" s="872"/>
      <x:c r="K116" s="873"/>
      <x:c r="L116" s="876"/>
      <x:c r="M116" s="873"/>
      <x:c r="N116" s="874"/>
      <x:c r="O116" s="874"/>
      <x:c r="P116" s="872"/>
      <x:c r="Q116" s="872"/>
      <x:c r="R116" s="872"/>
      <x:c r="S116" s="872"/>
      <x:c r="T116" s="872"/>
      <x:c r="U116" s="872"/>
      <x:c r="V116" s="872"/>
      <x:c r="W116" s="872"/>
      <x:c r="X116" s="872"/>
      <x:c r="Y116" s="872"/>
      <x:c r="Z116" s="872"/>
      <x:c r="AA116" s="877"/>
      <x:c r="AB116" s="872"/>
      <x:c r="AC116" s="872"/>
      <x:c r="AD116" s="872"/>
      <x:c r="AE116" s="872"/>
      <x:c r="AF116" s="872"/>
      <x:c r="AG116" s="872"/>
      <x:c r="AH116" s="872"/>
      <x:c r="AI116" s="872"/>
      <x:c r="AJ116" s="872"/>
      <x:c r="AK116" s="872"/>
      <x:c r="AL116" s="872"/>
      <x:c r="AM116" s="872"/>
      <x:c r="AN116" s="872"/>
      <x:c r="AO116" s="872"/>
      <x:c r="AP116" s="872"/>
      <x:c r="AQ116" s="878"/>
      <x:c r="AR116" s="874"/>
    </x:row>
    <x:row r="117" s="36" customFormat="1" ht="30" customHeight="1">
      <x:c r="A117" s="871"/>
      <x:c r="B117" s="871"/>
      <x:c r="C117" s="871"/>
      <x:c r="D117" s="872"/>
      <x:c r="E117" s="871"/>
      <x:c r="F117" s="871"/>
      <x:c r="G117" s="872"/>
      <x:c r="H117" s="872"/>
      <x:c r="I117" s="875"/>
      <x:c r="J117" s="872"/>
      <x:c r="K117" s="873"/>
      <x:c r="L117" s="876"/>
      <x:c r="M117" s="873"/>
      <x:c r="N117" s="874"/>
      <x:c r="O117" s="874"/>
      <x:c r="P117" s="872"/>
      <x:c r="Q117" s="872"/>
      <x:c r="R117" s="872"/>
      <x:c r="S117" s="872"/>
      <x:c r="T117" s="872"/>
      <x:c r="U117" s="872"/>
      <x:c r="V117" s="872"/>
      <x:c r="W117" s="872"/>
      <x:c r="X117" s="872"/>
      <x:c r="Y117" s="872"/>
      <x:c r="Z117" s="872"/>
      <x:c r="AA117" s="877"/>
      <x:c r="AB117" s="872"/>
      <x:c r="AC117" s="872"/>
      <x:c r="AD117" s="872"/>
      <x:c r="AE117" s="872"/>
      <x:c r="AF117" s="872"/>
      <x:c r="AG117" s="872"/>
      <x:c r="AH117" s="872"/>
      <x:c r="AI117" s="872"/>
      <x:c r="AJ117" s="872"/>
      <x:c r="AK117" s="872"/>
      <x:c r="AL117" s="872"/>
      <x:c r="AM117" s="872"/>
      <x:c r="AN117" s="872"/>
      <x:c r="AO117" s="872"/>
      <x:c r="AP117" s="872"/>
      <x:c r="AQ117" s="878"/>
      <x:c r="AR117" s="874"/>
    </x:row>
    <x:row r="118" s="36" customFormat="1" ht="30" customHeight="1">
      <x:c r="A118" s="871"/>
      <x:c r="B118" s="871"/>
      <x:c r="C118" s="871"/>
      <x:c r="D118" s="872"/>
      <x:c r="E118" s="871"/>
      <x:c r="F118" s="871"/>
      <x:c r="G118" s="872"/>
      <x:c r="H118" s="872"/>
      <x:c r="I118" s="875"/>
      <x:c r="J118" s="872"/>
      <x:c r="K118" s="873"/>
      <x:c r="L118" s="876"/>
      <x:c r="M118" s="873"/>
      <x:c r="N118" s="874"/>
      <x:c r="O118" s="874"/>
      <x:c r="P118" s="872"/>
      <x:c r="Q118" s="872"/>
      <x:c r="R118" s="872"/>
      <x:c r="S118" s="872"/>
      <x:c r="T118" s="872"/>
      <x:c r="U118" s="872"/>
      <x:c r="V118" s="872"/>
      <x:c r="W118" s="872"/>
      <x:c r="X118" s="872"/>
      <x:c r="Y118" s="872"/>
      <x:c r="Z118" s="872"/>
      <x:c r="AA118" s="877"/>
      <x:c r="AB118" s="872"/>
      <x:c r="AC118" s="872"/>
      <x:c r="AD118" s="872"/>
      <x:c r="AE118" s="872"/>
      <x:c r="AF118" s="872"/>
      <x:c r="AG118" s="872"/>
      <x:c r="AH118" s="872"/>
      <x:c r="AI118" s="872"/>
      <x:c r="AJ118" s="872"/>
      <x:c r="AK118" s="872"/>
      <x:c r="AL118" s="872"/>
      <x:c r="AM118" s="872"/>
      <x:c r="AN118" s="872"/>
      <x:c r="AO118" s="872"/>
      <x:c r="AP118" s="872"/>
      <x:c r="AQ118" s="878"/>
      <x:c r="AR118" s="874"/>
    </x:row>
    <x:row r="119" s="36" customFormat="1" ht="30" customHeight="1">
      <x:c r="A119" s="871"/>
      <x:c r="B119" s="871"/>
      <x:c r="C119" s="871"/>
      <x:c r="D119" s="872"/>
      <x:c r="E119" s="871"/>
      <x:c r="F119" s="871"/>
      <x:c r="G119" s="872"/>
      <x:c r="H119" s="872"/>
      <x:c r="I119" s="875"/>
      <x:c r="J119" s="872"/>
      <x:c r="K119" s="873"/>
      <x:c r="L119" s="876"/>
      <x:c r="M119" s="873"/>
      <x:c r="N119" s="874"/>
      <x:c r="O119" s="874"/>
      <x:c r="P119" s="872"/>
      <x:c r="Q119" s="872"/>
      <x:c r="R119" s="872"/>
      <x:c r="S119" s="872"/>
      <x:c r="T119" s="872"/>
      <x:c r="U119" s="872"/>
      <x:c r="V119" s="872"/>
      <x:c r="W119" s="872"/>
      <x:c r="X119" s="872"/>
      <x:c r="Y119" s="872"/>
      <x:c r="Z119" s="872"/>
      <x:c r="AA119" s="877"/>
      <x:c r="AB119" s="872"/>
      <x:c r="AC119" s="872"/>
      <x:c r="AD119" s="872"/>
      <x:c r="AE119" s="872"/>
      <x:c r="AF119" s="872"/>
      <x:c r="AG119" s="872"/>
      <x:c r="AH119" s="872"/>
      <x:c r="AI119" s="872"/>
      <x:c r="AJ119" s="872"/>
      <x:c r="AK119" s="872"/>
      <x:c r="AL119" s="872"/>
      <x:c r="AM119" s="872"/>
      <x:c r="AN119" s="872"/>
      <x:c r="AO119" s="872"/>
      <x:c r="AP119" s="872"/>
      <x:c r="AQ119" s="878"/>
      <x:c r="AR119" s="874"/>
    </x:row>
    <x:row r="120" s="36" customFormat="1" ht="30" customHeight="1">
      <x:c r="A120" s="871"/>
      <x:c r="B120" s="871"/>
      <x:c r="C120" s="871"/>
      <x:c r="D120" s="872"/>
      <x:c r="E120" s="871"/>
      <x:c r="F120" s="871"/>
      <x:c r="G120" s="872"/>
      <x:c r="H120" s="872"/>
      <x:c r="I120" s="875"/>
      <x:c r="J120" s="872"/>
      <x:c r="K120" s="873"/>
      <x:c r="L120" s="876"/>
      <x:c r="M120" s="873"/>
      <x:c r="N120" s="874"/>
      <x:c r="O120" s="874"/>
      <x:c r="P120" s="872"/>
      <x:c r="Q120" s="872"/>
      <x:c r="R120" s="872"/>
      <x:c r="S120" s="872"/>
      <x:c r="T120" s="872"/>
      <x:c r="U120" s="872"/>
      <x:c r="V120" s="872"/>
      <x:c r="W120" s="872"/>
      <x:c r="X120" s="872"/>
      <x:c r="Y120" s="872"/>
      <x:c r="Z120" s="872"/>
      <x:c r="AA120" s="877"/>
      <x:c r="AB120" s="872"/>
      <x:c r="AC120" s="872"/>
      <x:c r="AD120" s="872"/>
      <x:c r="AE120" s="872"/>
      <x:c r="AF120" s="872"/>
      <x:c r="AG120" s="872"/>
      <x:c r="AH120" s="872"/>
      <x:c r="AI120" s="872"/>
      <x:c r="AJ120" s="872"/>
      <x:c r="AK120" s="872"/>
      <x:c r="AL120" s="872"/>
      <x:c r="AM120" s="872"/>
      <x:c r="AN120" s="872"/>
      <x:c r="AO120" s="872"/>
      <x:c r="AP120" s="872"/>
      <x:c r="AQ120" s="878"/>
      <x:c r="AR120" s="874"/>
    </x:row>
    <x:row r="121" s="36" customFormat="1" ht="30" customHeight="1">
      <x:c r="A121" s="871"/>
      <x:c r="B121" s="871"/>
      <x:c r="C121" s="871"/>
      <x:c r="D121" s="872"/>
      <x:c r="E121" s="871"/>
      <x:c r="F121" s="871"/>
      <x:c r="G121" s="872"/>
      <x:c r="H121" s="872"/>
      <x:c r="I121" s="875"/>
      <x:c r="J121" s="872"/>
      <x:c r="K121" s="873"/>
      <x:c r="L121" s="876"/>
      <x:c r="M121" s="873"/>
      <x:c r="N121" s="874"/>
      <x:c r="O121" s="874"/>
      <x:c r="P121" s="872"/>
      <x:c r="Q121" s="872"/>
      <x:c r="R121" s="872"/>
      <x:c r="S121" s="872"/>
      <x:c r="T121" s="872"/>
      <x:c r="U121" s="872"/>
      <x:c r="V121" s="872"/>
      <x:c r="W121" s="872"/>
      <x:c r="X121" s="872"/>
      <x:c r="Y121" s="872"/>
      <x:c r="Z121" s="872"/>
      <x:c r="AA121" s="877"/>
      <x:c r="AB121" s="872"/>
      <x:c r="AC121" s="872"/>
      <x:c r="AD121" s="872"/>
      <x:c r="AE121" s="872"/>
      <x:c r="AF121" s="872"/>
      <x:c r="AG121" s="872"/>
      <x:c r="AH121" s="872"/>
      <x:c r="AI121" s="872"/>
      <x:c r="AJ121" s="872"/>
      <x:c r="AK121" s="872"/>
      <x:c r="AL121" s="872"/>
      <x:c r="AM121" s="872"/>
      <x:c r="AN121" s="872"/>
      <x:c r="AO121" s="872"/>
      <x:c r="AP121" s="872"/>
      <x:c r="AQ121" s="878"/>
      <x:c r="AR121" s="874"/>
    </x:row>
    <x:row r="122" s="36" customFormat="1" ht="30" customHeight="1">
      <x:c r="A122" s="871"/>
      <x:c r="B122" s="871"/>
      <x:c r="C122" s="871"/>
      <x:c r="D122" s="872"/>
      <x:c r="E122" s="871"/>
      <x:c r="F122" s="871"/>
      <x:c r="G122" s="872"/>
      <x:c r="H122" s="872"/>
      <x:c r="I122" s="875"/>
      <x:c r="J122" s="872"/>
      <x:c r="K122" s="873"/>
      <x:c r="L122" s="876"/>
      <x:c r="M122" s="873"/>
      <x:c r="N122" s="874"/>
      <x:c r="O122" s="874"/>
      <x:c r="P122" s="872"/>
      <x:c r="Q122" s="872"/>
      <x:c r="R122" s="872"/>
      <x:c r="S122" s="872"/>
      <x:c r="T122" s="872"/>
      <x:c r="U122" s="872"/>
      <x:c r="V122" s="872"/>
      <x:c r="W122" s="872"/>
      <x:c r="X122" s="872"/>
      <x:c r="Y122" s="872"/>
      <x:c r="Z122" s="872"/>
      <x:c r="AA122" s="877"/>
      <x:c r="AB122" s="872"/>
      <x:c r="AC122" s="872"/>
      <x:c r="AD122" s="872"/>
      <x:c r="AE122" s="872"/>
      <x:c r="AF122" s="872"/>
      <x:c r="AG122" s="872"/>
      <x:c r="AH122" s="872"/>
      <x:c r="AI122" s="872"/>
      <x:c r="AJ122" s="872"/>
      <x:c r="AK122" s="872"/>
      <x:c r="AL122" s="872"/>
      <x:c r="AM122" s="872"/>
      <x:c r="AN122" s="872"/>
      <x:c r="AO122" s="872"/>
      <x:c r="AP122" s="872"/>
      <x:c r="AQ122" s="878"/>
      <x:c r="AR122" s="874"/>
    </x:row>
    <x:row r="123" s="36" customFormat="1" ht="30" customHeight="1">
      <x:c r="A123" s="871"/>
      <x:c r="B123" s="871"/>
      <x:c r="C123" s="871"/>
      <x:c r="D123" s="872"/>
      <x:c r="E123" s="871"/>
      <x:c r="F123" s="871"/>
      <x:c r="G123" s="872"/>
      <x:c r="H123" s="872"/>
      <x:c r="I123" s="875"/>
      <x:c r="J123" s="872"/>
      <x:c r="K123" s="873"/>
      <x:c r="L123" s="876"/>
      <x:c r="M123" s="873"/>
      <x:c r="N123" s="874"/>
      <x:c r="O123" s="874"/>
      <x:c r="P123" s="872"/>
      <x:c r="Q123" s="872"/>
      <x:c r="R123" s="872"/>
      <x:c r="S123" s="872"/>
      <x:c r="T123" s="872"/>
      <x:c r="U123" s="872"/>
      <x:c r="V123" s="872"/>
      <x:c r="W123" s="872"/>
      <x:c r="X123" s="872"/>
      <x:c r="Y123" s="872"/>
      <x:c r="Z123" s="872"/>
      <x:c r="AA123" s="877"/>
      <x:c r="AB123" s="872"/>
      <x:c r="AC123" s="872"/>
      <x:c r="AD123" s="872"/>
      <x:c r="AE123" s="872"/>
      <x:c r="AF123" s="872"/>
      <x:c r="AG123" s="872"/>
      <x:c r="AH123" s="872"/>
      <x:c r="AI123" s="872"/>
      <x:c r="AJ123" s="872"/>
      <x:c r="AK123" s="872"/>
      <x:c r="AL123" s="872"/>
      <x:c r="AM123" s="872"/>
      <x:c r="AN123" s="872"/>
      <x:c r="AO123" s="872"/>
      <x:c r="AP123" s="872"/>
      <x:c r="AQ123" s="878"/>
      <x:c r="AR123" s="874"/>
    </x:row>
    <x:row r="124" s="36" customFormat="1" ht="30" customHeight="1">
      <x:c r="A124" s="871"/>
      <x:c r="B124" s="871"/>
      <x:c r="C124" s="871"/>
      <x:c r="D124" s="872"/>
      <x:c r="E124" s="871"/>
      <x:c r="F124" s="871"/>
      <x:c r="G124" s="872"/>
      <x:c r="H124" s="872"/>
      <x:c r="I124" s="875"/>
      <x:c r="J124" s="872"/>
      <x:c r="K124" s="873"/>
      <x:c r="L124" s="876"/>
      <x:c r="M124" s="873"/>
      <x:c r="N124" s="874"/>
      <x:c r="O124" s="874"/>
      <x:c r="P124" s="872"/>
      <x:c r="Q124" s="872"/>
      <x:c r="R124" s="872"/>
      <x:c r="S124" s="872"/>
      <x:c r="T124" s="872"/>
      <x:c r="U124" s="872"/>
      <x:c r="V124" s="872"/>
      <x:c r="W124" s="872"/>
      <x:c r="X124" s="872"/>
      <x:c r="Y124" s="872"/>
      <x:c r="Z124" s="872"/>
      <x:c r="AA124" s="877"/>
      <x:c r="AB124" s="872"/>
      <x:c r="AC124" s="872"/>
      <x:c r="AD124" s="872"/>
      <x:c r="AE124" s="872"/>
      <x:c r="AF124" s="872"/>
      <x:c r="AG124" s="872"/>
      <x:c r="AH124" s="872"/>
      <x:c r="AI124" s="872"/>
      <x:c r="AJ124" s="872"/>
      <x:c r="AK124" s="872"/>
      <x:c r="AL124" s="872"/>
      <x:c r="AM124" s="872"/>
      <x:c r="AN124" s="872"/>
      <x:c r="AO124" s="872"/>
      <x:c r="AP124" s="872"/>
      <x:c r="AQ124" s="878"/>
      <x:c r="AR124" s="874"/>
    </x:row>
    <x:row r="125" s="36" customFormat="1" ht="30" customHeight="1">
      <x:c r="A125" s="871"/>
      <x:c r="B125" s="871"/>
      <x:c r="C125" s="871"/>
      <x:c r="D125" s="872"/>
      <x:c r="E125" s="871"/>
      <x:c r="F125" s="871"/>
      <x:c r="G125" s="872"/>
      <x:c r="H125" s="872"/>
      <x:c r="I125" s="875"/>
      <x:c r="J125" s="872"/>
      <x:c r="K125" s="873"/>
      <x:c r="L125" s="876"/>
      <x:c r="M125" s="873"/>
      <x:c r="N125" s="874"/>
      <x:c r="O125" s="874"/>
      <x:c r="P125" s="872"/>
      <x:c r="Q125" s="872"/>
      <x:c r="R125" s="872"/>
      <x:c r="S125" s="872"/>
      <x:c r="T125" s="872"/>
      <x:c r="U125" s="872"/>
      <x:c r="V125" s="872"/>
      <x:c r="W125" s="872"/>
      <x:c r="X125" s="872"/>
      <x:c r="Y125" s="872"/>
      <x:c r="Z125" s="872"/>
      <x:c r="AA125" s="877"/>
      <x:c r="AB125" s="872"/>
      <x:c r="AC125" s="872"/>
      <x:c r="AD125" s="872"/>
      <x:c r="AE125" s="872"/>
      <x:c r="AF125" s="872"/>
      <x:c r="AG125" s="872"/>
      <x:c r="AH125" s="872"/>
      <x:c r="AI125" s="872"/>
      <x:c r="AJ125" s="872"/>
      <x:c r="AK125" s="872"/>
      <x:c r="AL125" s="872"/>
      <x:c r="AM125" s="872"/>
      <x:c r="AN125" s="872"/>
      <x:c r="AO125" s="872"/>
      <x:c r="AP125" s="872"/>
      <x:c r="AQ125" s="878"/>
      <x:c r="AR125" s="874"/>
    </x:row>
    <x:row r="126" s="36" customFormat="1" ht="30" customHeight="1">
      <x:c r="A126" s="871"/>
      <x:c r="B126" s="871"/>
      <x:c r="C126" s="871"/>
      <x:c r="D126" s="872"/>
      <x:c r="E126" s="871"/>
      <x:c r="F126" s="871"/>
      <x:c r="G126" s="872"/>
      <x:c r="H126" s="872"/>
      <x:c r="I126" s="875"/>
      <x:c r="J126" s="872"/>
      <x:c r="K126" s="873"/>
      <x:c r="L126" s="876"/>
      <x:c r="M126" s="873"/>
      <x:c r="N126" s="874"/>
      <x:c r="O126" s="874"/>
      <x:c r="P126" s="872"/>
      <x:c r="Q126" s="872"/>
      <x:c r="R126" s="872"/>
      <x:c r="S126" s="872"/>
      <x:c r="T126" s="872"/>
      <x:c r="U126" s="872"/>
      <x:c r="V126" s="872"/>
      <x:c r="W126" s="872"/>
      <x:c r="X126" s="872"/>
      <x:c r="Y126" s="872"/>
      <x:c r="Z126" s="872"/>
      <x:c r="AA126" s="877"/>
      <x:c r="AB126" s="872"/>
      <x:c r="AC126" s="872"/>
      <x:c r="AD126" s="872"/>
      <x:c r="AE126" s="872"/>
      <x:c r="AF126" s="872"/>
      <x:c r="AG126" s="872"/>
      <x:c r="AH126" s="872"/>
      <x:c r="AI126" s="872"/>
      <x:c r="AJ126" s="872"/>
      <x:c r="AK126" s="872"/>
      <x:c r="AL126" s="872"/>
      <x:c r="AM126" s="872"/>
      <x:c r="AN126" s="872"/>
      <x:c r="AO126" s="872"/>
      <x:c r="AP126" s="872"/>
      <x:c r="AQ126" s="878"/>
      <x:c r="AR126" s="874"/>
    </x:row>
    <x:row r="127" s="36" customFormat="1" ht="30" customHeight="1">
      <x:c r="A127" s="871"/>
      <x:c r="B127" s="871"/>
      <x:c r="C127" s="871"/>
      <x:c r="D127" s="872"/>
      <x:c r="E127" s="871"/>
      <x:c r="F127" s="871"/>
      <x:c r="G127" s="872"/>
      <x:c r="H127" s="872"/>
      <x:c r="I127" s="875"/>
      <x:c r="J127" s="872"/>
      <x:c r="K127" s="873"/>
      <x:c r="L127" s="876"/>
      <x:c r="M127" s="873"/>
      <x:c r="N127" s="874"/>
      <x:c r="O127" s="874"/>
      <x:c r="P127" s="872"/>
      <x:c r="Q127" s="872"/>
      <x:c r="R127" s="872"/>
      <x:c r="S127" s="872"/>
      <x:c r="T127" s="872"/>
      <x:c r="U127" s="872"/>
      <x:c r="V127" s="872"/>
      <x:c r="W127" s="872"/>
      <x:c r="X127" s="872"/>
      <x:c r="Y127" s="872"/>
      <x:c r="Z127" s="872"/>
      <x:c r="AA127" s="877"/>
      <x:c r="AB127" s="872"/>
      <x:c r="AC127" s="872"/>
      <x:c r="AD127" s="872"/>
      <x:c r="AE127" s="872"/>
      <x:c r="AF127" s="872"/>
      <x:c r="AG127" s="872"/>
      <x:c r="AH127" s="872"/>
      <x:c r="AI127" s="872"/>
      <x:c r="AJ127" s="872"/>
      <x:c r="AK127" s="872"/>
      <x:c r="AL127" s="872"/>
      <x:c r="AM127" s="872"/>
      <x:c r="AN127" s="872"/>
      <x:c r="AO127" s="872"/>
      <x:c r="AP127" s="872"/>
      <x:c r="AQ127" s="878"/>
      <x:c r="AR127" s="874"/>
    </x:row>
    <x:row r="128" s="36" customFormat="1" ht="30" customHeight="1">
      <x:c r="A128" s="871"/>
      <x:c r="B128" s="871"/>
      <x:c r="C128" s="871"/>
      <x:c r="D128" s="872"/>
      <x:c r="E128" s="871"/>
      <x:c r="F128" s="871"/>
      <x:c r="G128" s="872"/>
      <x:c r="H128" s="872"/>
      <x:c r="I128" s="875"/>
      <x:c r="J128" s="872"/>
      <x:c r="K128" s="873"/>
      <x:c r="L128" s="876"/>
      <x:c r="M128" s="873"/>
      <x:c r="N128" s="874"/>
      <x:c r="O128" s="874"/>
      <x:c r="P128" s="872"/>
      <x:c r="Q128" s="872"/>
      <x:c r="R128" s="872"/>
      <x:c r="S128" s="872"/>
      <x:c r="T128" s="872"/>
      <x:c r="U128" s="872"/>
      <x:c r="V128" s="872"/>
      <x:c r="W128" s="872"/>
      <x:c r="X128" s="872"/>
      <x:c r="Y128" s="872"/>
      <x:c r="Z128" s="872"/>
      <x:c r="AA128" s="877"/>
      <x:c r="AB128" s="872"/>
      <x:c r="AC128" s="872"/>
      <x:c r="AD128" s="872"/>
      <x:c r="AE128" s="872"/>
      <x:c r="AF128" s="872"/>
      <x:c r="AG128" s="872"/>
      <x:c r="AH128" s="872"/>
      <x:c r="AI128" s="872"/>
      <x:c r="AJ128" s="872"/>
      <x:c r="AK128" s="872"/>
      <x:c r="AL128" s="872"/>
      <x:c r="AM128" s="872"/>
      <x:c r="AN128" s="872"/>
      <x:c r="AO128" s="872"/>
      <x:c r="AP128" s="872"/>
      <x:c r="AQ128" s="878"/>
      <x:c r="AR128" s="874"/>
    </x:row>
    <x:row r="129" s="36" customFormat="1" ht="30" customHeight="1">
      <x:c r="A129" s="871"/>
      <x:c r="B129" s="871"/>
      <x:c r="C129" s="871"/>
      <x:c r="D129" s="872"/>
      <x:c r="E129" s="871"/>
      <x:c r="F129" s="871"/>
      <x:c r="G129" s="872"/>
      <x:c r="H129" s="872"/>
      <x:c r="I129" s="875"/>
      <x:c r="J129" s="872"/>
      <x:c r="K129" s="873"/>
      <x:c r="L129" s="876"/>
      <x:c r="M129" s="873"/>
      <x:c r="N129" s="874"/>
      <x:c r="O129" s="874"/>
      <x:c r="P129" s="872"/>
      <x:c r="Q129" s="872"/>
      <x:c r="R129" s="872"/>
      <x:c r="S129" s="872"/>
      <x:c r="T129" s="872"/>
      <x:c r="U129" s="872"/>
      <x:c r="V129" s="872"/>
      <x:c r="W129" s="872"/>
      <x:c r="X129" s="872"/>
      <x:c r="Y129" s="872"/>
      <x:c r="Z129" s="872"/>
      <x:c r="AA129" s="877"/>
      <x:c r="AB129" s="872"/>
      <x:c r="AC129" s="872"/>
      <x:c r="AD129" s="872"/>
      <x:c r="AE129" s="872"/>
      <x:c r="AF129" s="872"/>
      <x:c r="AG129" s="872"/>
      <x:c r="AH129" s="872"/>
      <x:c r="AI129" s="872"/>
      <x:c r="AJ129" s="872"/>
      <x:c r="AK129" s="872"/>
      <x:c r="AL129" s="872"/>
      <x:c r="AM129" s="872"/>
      <x:c r="AN129" s="872"/>
      <x:c r="AO129" s="872"/>
      <x:c r="AP129" s="872"/>
      <x:c r="AQ129" s="878"/>
      <x:c r="AR129" s="874"/>
    </x:row>
    <x:row r="130" s="36" customFormat="1" ht="30" customHeight="1">
      <x:c r="A130" s="871"/>
      <x:c r="B130" s="871"/>
      <x:c r="C130" s="871"/>
      <x:c r="D130" s="872"/>
      <x:c r="E130" s="871"/>
      <x:c r="F130" s="871"/>
      <x:c r="G130" s="872"/>
      <x:c r="H130" s="872"/>
      <x:c r="I130" s="875"/>
      <x:c r="J130" s="872"/>
      <x:c r="K130" s="873"/>
      <x:c r="L130" s="876"/>
      <x:c r="M130" s="873"/>
      <x:c r="N130" s="874"/>
      <x:c r="O130" s="874"/>
      <x:c r="P130" s="872"/>
      <x:c r="Q130" s="872"/>
      <x:c r="R130" s="872"/>
      <x:c r="S130" s="872"/>
      <x:c r="T130" s="872"/>
      <x:c r="U130" s="872"/>
      <x:c r="V130" s="872"/>
      <x:c r="W130" s="872"/>
      <x:c r="X130" s="872"/>
      <x:c r="Y130" s="872"/>
      <x:c r="Z130" s="872"/>
      <x:c r="AA130" s="877"/>
      <x:c r="AB130" s="872"/>
      <x:c r="AC130" s="872"/>
      <x:c r="AD130" s="872"/>
      <x:c r="AE130" s="872"/>
      <x:c r="AF130" s="872"/>
      <x:c r="AG130" s="872"/>
      <x:c r="AH130" s="872"/>
      <x:c r="AI130" s="872"/>
      <x:c r="AJ130" s="872"/>
      <x:c r="AK130" s="872"/>
      <x:c r="AL130" s="872"/>
      <x:c r="AM130" s="872"/>
      <x:c r="AN130" s="872"/>
      <x:c r="AO130" s="872"/>
      <x:c r="AP130" s="872"/>
      <x:c r="AQ130" s="878"/>
      <x:c r="AR130" s="874"/>
    </x:row>
    <x:row r="131" s="36" customFormat="1" ht="30" customHeight="1">
      <x:c r="A131" s="871"/>
      <x:c r="B131" s="871"/>
      <x:c r="C131" s="871"/>
      <x:c r="D131" s="872"/>
      <x:c r="E131" s="871"/>
      <x:c r="F131" s="871"/>
      <x:c r="G131" s="872"/>
      <x:c r="H131" s="872"/>
      <x:c r="I131" s="875"/>
      <x:c r="J131" s="872"/>
      <x:c r="K131" s="873"/>
      <x:c r="L131" s="876"/>
      <x:c r="M131" s="873"/>
      <x:c r="N131" s="874"/>
      <x:c r="O131" s="874"/>
      <x:c r="P131" s="872"/>
      <x:c r="Q131" s="872"/>
      <x:c r="R131" s="872"/>
      <x:c r="S131" s="872"/>
      <x:c r="T131" s="872"/>
      <x:c r="U131" s="872"/>
      <x:c r="V131" s="872"/>
      <x:c r="W131" s="872"/>
      <x:c r="X131" s="872"/>
      <x:c r="Y131" s="872"/>
      <x:c r="Z131" s="872"/>
      <x:c r="AA131" s="877"/>
      <x:c r="AB131" s="872"/>
      <x:c r="AC131" s="872"/>
      <x:c r="AD131" s="872"/>
      <x:c r="AE131" s="872"/>
      <x:c r="AF131" s="872"/>
      <x:c r="AG131" s="872"/>
      <x:c r="AH131" s="872"/>
      <x:c r="AI131" s="872"/>
      <x:c r="AJ131" s="872"/>
      <x:c r="AK131" s="872"/>
      <x:c r="AL131" s="872"/>
      <x:c r="AM131" s="872"/>
      <x:c r="AN131" s="872"/>
      <x:c r="AO131" s="872"/>
      <x:c r="AP131" s="872"/>
      <x:c r="AQ131" s="878"/>
      <x:c r="AR131" s="874"/>
    </x:row>
    <x:row r="132" s="36" customFormat="1" ht="30" customHeight="1">
      <x:c r="A132" s="871"/>
      <x:c r="B132" s="871"/>
      <x:c r="C132" s="871"/>
      <x:c r="D132" s="872"/>
      <x:c r="E132" s="871"/>
      <x:c r="F132" s="871"/>
      <x:c r="G132" s="872"/>
      <x:c r="H132" s="872"/>
      <x:c r="I132" s="875"/>
      <x:c r="J132" s="872"/>
      <x:c r="K132" s="873"/>
      <x:c r="L132" s="876"/>
      <x:c r="M132" s="873"/>
      <x:c r="N132" s="874"/>
      <x:c r="O132" s="874"/>
      <x:c r="P132" s="872"/>
      <x:c r="Q132" s="872"/>
      <x:c r="R132" s="872"/>
      <x:c r="S132" s="872"/>
      <x:c r="T132" s="872"/>
      <x:c r="U132" s="872"/>
      <x:c r="V132" s="872"/>
      <x:c r="W132" s="872"/>
      <x:c r="X132" s="872"/>
      <x:c r="Y132" s="872"/>
      <x:c r="Z132" s="872"/>
      <x:c r="AA132" s="877"/>
      <x:c r="AB132" s="872"/>
      <x:c r="AC132" s="872"/>
      <x:c r="AD132" s="872"/>
      <x:c r="AE132" s="872"/>
      <x:c r="AF132" s="872"/>
      <x:c r="AG132" s="872"/>
      <x:c r="AH132" s="872"/>
      <x:c r="AI132" s="872"/>
      <x:c r="AJ132" s="872"/>
      <x:c r="AK132" s="872"/>
      <x:c r="AL132" s="872"/>
      <x:c r="AM132" s="872"/>
      <x:c r="AN132" s="872"/>
      <x:c r="AO132" s="872"/>
      <x:c r="AP132" s="872"/>
      <x:c r="AQ132" s="878"/>
      <x:c r="AR132" s="874"/>
    </x:row>
    <x:row r="133" s="36" customFormat="1" ht="30" customHeight="1">
      <x:c r="A133" s="871"/>
      <x:c r="B133" s="871"/>
      <x:c r="C133" s="871"/>
      <x:c r="D133" s="872"/>
      <x:c r="E133" s="871"/>
      <x:c r="F133" s="871"/>
      <x:c r="G133" s="872"/>
      <x:c r="H133" s="872"/>
      <x:c r="I133" s="875"/>
      <x:c r="J133" s="872"/>
      <x:c r="K133" s="873"/>
      <x:c r="L133" s="876"/>
      <x:c r="M133" s="873"/>
      <x:c r="N133" s="874"/>
      <x:c r="O133" s="874"/>
      <x:c r="P133" s="872"/>
      <x:c r="Q133" s="872"/>
      <x:c r="R133" s="872"/>
      <x:c r="S133" s="872"/>
      <x:c r="T133" s="872"/>
      <x:c r="U133" s="872"/>
      <x:c r="V133" s="872"/>
      <x:c r="W133" s="872"/>
      <x:c r="X133" s="872"/>
      <x:c r="Y133" s="872"/>
      <x:c r="Z133" s="872"/>
      <x:c r="AA133" s="877"/>
      <x:c r="AB133" s="872"/>
      <x:c r="AC133" s="872"/>
      <x:c r="AD133" s="872"/>
      <x:c r="AE133" s="872"/>
      <x:c r="AF133" s="872"/>
      <x:c r="AG133" s="872"/>
      <x:c r="AH133" s="872"/>
      <x:c r="AI133" s="872"/>
      <x:c r="AJ133" s="872"/>
      <x:c r="AK133" s="872"/>
      <x:c r="AL133" s="872"/>
      <x:c r="AM133" s="872"/>
      <x:c r="AN133" s="872"/>
      <x:c r="AO133" s="872"/>
      <x:c r="AP133" s="872"/>
      <x:c r="AQ133" s="878"/>
      <x:c r="AR133" s="874"/>
    </x:row>
    <x:row r="134" s="36" customFormat="1" ht="30" customHeight="1">
      <x:c r="A134" s="871"/>
      <x:c r="B134" s="871"/>
      <x:c r="C134" s="871"/>
      <x:c r="D134" s="872"/>
      <x:c r="E134" s="871"/>
      <x:c r="F134" s="871"/>
      <x:c r="G134" s="872"/>
      <x:c r="H134" s="872"/>
      <x:c r="I134" s="875"/>
      <x:c r="J134" s="872"/>
      <x:c r="K134" s="873"/>
      <x:c r="L134" s="876"/>
      <x:c r="M134" s="873"/>
      <x:c r="N134" s="874"/>
      <x:c r="O134" s="874"/>
      <x:c r="P134" s="872"/>
      <x:c r="Q134" s="872"/>
      <x:c r="R134" s="872"/>
      <x:c r="S134" s="872"/>
      <x:c r="T134" s="872"/>
      <x:c r="U134" s="872"/>
      <x:c r="V134" s="872"/>
      <x:c r="W134" s="872"/>
      <x:c r="X134" s="872"/>
      <x:c r="Y134" s="872"/>
      <x:c r="Z134" s="872"/>
      <x:c r="AA134" s="877"/>
      <x:c r="AB134" s="872"/>
      <x:c r="AC134" s="872"/>
      <x:c r="AD134" s="872"/>
      <x:c r="AE134" s="872"/>
      <x:c r="AF134" s="872"/>
      <x:c r="AG134" s="872"/>
      <x:c r="AH134" s="872"/>
      <x:c r="AI134" s="872"/>
      <x:c r="AJ134" s="872"/>
      <x:c r="AK134" s="872"/>
      <x:c r="AL134" s="872"/>
      <x:c r="AM134" s="872"/>
      <x:c r="AN134" s="872"/>
      <x:c r="AO134" s="872"/>
      <x:c r="AP134" s="872"/>
      <x:c r="AQ134" s="878"/>
      <x:c r="AR134" s="874"/>
    </x:row>
    <x:row r="135" s="36" customFormat="1" ht="30" customHeight="1">
      <x:c r="A135" s="871"/>
      <x:c r="B135" s="871"/>
      <x:c r="C135" s="871"/>
      <x:c r="D135" s="872"/>
      <x:c r="E135" s="871"/>
      <x:c r="F135" s="871"/>
      <x:c r="G135" s="872"/>
      <x:c r="H135" s="872"/>
      <x:c r="I135" s="875"/>
      <x:c r="J135" s="872"/>
      <x:c r="K135" s="873"/>
      <x:c r="L135" s="876"/>
      <x:c r="M135" s="873"/>
      <x:c r="N135" s="874"/>
      <x:c r="O135" s="874"/>
      <x:c r="P135" s="872"/>
      <x:c r="Q135" s="872"/>
      <x:c r="R135" s="872"/>
      <x:c r="S135" s="872"/>
      <x:c r="T135" s="872"/>
      <x:c r="U135" s="872"/>
      <x:c r="V135" s="872"/>
      <x:c r="W135" s="872"/>
      <x:c r="X135" s="872"/>
      <x:c r="Y135" s="872"/>
      <x:c r="Z135" s="872"/>
      <x:c r="AA135" s="877"/>
      <x:c r="AB135" s="872"/>
      <x:c r="AC135" s="872"/>
      <x:c r="AD135" s="872"/>
      <x:c r="AE135" s="872"/>
      <x:c r="AF135" s="872"/>
      <x:c r="AG135" s="872"/>
      <x:c r="AH135" s="872"/>
      <x:c r="AI135" s="872"/>
      <x:c r="AJ135" s="872"/>
      <x:c r="AK135" s="872"/>
      <x:c r="AL135" s="872"/>
      <x:c r="AM135" s="872"/>
      <x:c r="AN135" s="872"/>
      <x:c r="AO135" s="872"/>
      <x:c r="AP135" s="872"/>
      <x:c r="AQ135" s="878"/>
      <x:c r="AR135" s="874"/>
    </x:row>
    <x:row r="136" s="36" customFormat="1" ht="30" customHeight="1">
      <x:c r="A136" s="871"/>
      <x:c r="B136" s="871"/>
      <x:c r="C136" s="871"/>
      <x:c r="D136" s="872"/>
      <x:c r="E136" s="871"/>
      <x:c r="F136" s="871"/>
      <x:c r="G136" s="872"/>
      <x:c r="H136" s="872"/>
      <x:c r="I136" s="875"/>
      <x:c r="J136" s="872"/>
      <x:c r="K136" s="873"/>
      <x:c r="L136" s="876"/>
      <x:c r="M136" s="873"/>
      <x:c r="N136" s="874"/>
      <x:c r="O136" s="874"/>
      <x:c r="P136" s="872"/>
      <x:c r="Q136" s="872"/>
      <x:c r="R136" s="872"/>
      <x:c r="S136" s="872"/>
      <x:c r="T136" s="872"/>
      <x:c r="U136" s="872"/>
      <x:c r="V136" s="872"/>
      <x:c r="W136" s="872"/>
      <x:c r="X136" s="872"/>
      <x:c r="Y136" s="872"/>
      <x:c r="Z136" s="872"/>
      <x:c r="AA136" s="877"/>
      <x:c r="AB136" s="872"/>
      <x:c r="AC136" s="872"/>
      <x:c r="AD136" s="872"/>
      <x:c r="AE136" s="872"/>
      <x:c r="AF136" s="872"/>
      <x:c r="AG136" s="872"/>
      <x:c r="AH136" s="872"/>
      <x:c r="AI136" s="872"/>
      <x:c r="AJ136" s="872"/>
      <x:c r="AK136" s="872"/>
      <x:c r="AL136" s="872"/>
      <x:c r="AM136" s="872"/>
      <x:c r="AN136" s="872"/>
      <x:c r="AO136" s="872"/>
      <x:c r="AP136" s="872"/>
      <x:c r="AQ136" s="878"/>
      <x:c r="AR136" s="874"/>
    </x:row>
    <x:row r="137" s="36" customFormat="1" ht="30" customHeight="1">
      <x:c r="A137" s="871"/>
      <x:c r="B137" s="871"/>
      <x:c r="C137" s="871"/>
      <x:c r="D137" s="872"/>
      <x:c r="E137" s="871"/>
      <x:c r="F137" s="871"/>
      <x:c r="G137" s="872"/>
      <x:c r="H137" s="872"/>
      <x:c r="I137" s="875"/>
      <x:c r="J137" s="872"/>
      <x:c r="K137" s="873"/>
      <x:c r="L137" s="876"/>
      <x:c r="M137" s="873"/>
      <x:c r="N137" s="874"/>
      <x:c r="O137" s="874"/>
      <x:c r="P137" s="872"/>
      <x:c r="Q137" s="872"/>
      <x:c r="R137" s="872"/>
      <x:c r="S137" s="872"/>
      <x:c r="T137" s="872"/>
      <x:c r="U137" s="872"/>
      <x:c r="V137" s="872"/>
      <x:c r="W137" s="872"/>
      <x:c r="X137" s="872"/>
      <x:c r="Y137" s="872"/>
      <x:c r="Z137" s="872"/>
      <x:c r="AA137" s="877"/>
      <x:c r="AB137" s="872"/>
      <x:c r="AC137" s="872"/>
      <x:c r="AD137" s="872"/>
      <x:c r="AE137" s="872"/>
      <x:c r="AF137" s="872"/>
      <x:c r="AG137" s="872"/>
      <x:c r="AH137" s="872"/>
      <x:c r="AI137" s="872"/>
      <x:c r="AJ137" s="872"/>
      <x:c r="AK137" s="872"/>
      <x:c r="AL137" s="872"/>
      <x:c r="AM137" s="872"/>
      <x:c r="AN137" s="872"/>
      <x:c r="AO137" s="872"/>
      <x:c r="AP137" s="872"/>
      <x:c r="AQ137" s="878"/>
      <x:c r="AR137" s="874"/>
    </x:row>
    <x:row r="138" s="36" customFormat="1" ht="30" customHeight="1">
      <x:c r="A138" s="871"/>
      <x:c r="B138" s="871"/>
      <x:c r="C138" s="871"/>
      <x:c r="D138" s="872"/>
      <x:c r="E138" s="871"/>
      <x:c r="F138" s="871"/>
      <x:c r="G138" s="872"/>
      <x:c r="H138" s="872"/>
      <x:c r="I138" s="875"/>
      <x:c r="J138" s="872"/>
      <x:c r="K138" s="873"/>
      <x:c r="L138" s="876"/>
      <x:c r="M138" s="873"/>
      <x:c r="N138" s="874"/>
      <x:c r="O138" s="874"/>
      <x:c r="P138" s="872"/>
      <x:c r="Q138" s="872"/>
      <x:c r="R138" s="872"/>
      <x:c r="S138" s="872"/>
      <x:c r="T138" s="872"/>
      <x:c r="U138" s="872"/>
      <x:c r="V138" s="872"/>
      <x:c r="W138" s="872"/>
      <x:c r="X138" s="872"/>
      <x:c r="Y138" s="872"/>
      <x:c r="Z138" s="872"/>
      <x:c r="AA138" s="877"/>
      <x:c r="AB138" s="872"/>
      <x:c r="AC138" s="872"/>
      <x:c r="AD138" s="872"/>
      <x:c r="AE138" s="872"/>
      <x:c r="AF138" s="872"/>
      <x:c r="AG138" s="872"/>
      <x:c r="AH138" s="872"/>
      <x:c r="AI138" s="872"/>
      <x:c r="AJ138" s="872"/>
      <x:c r="AK138" s="872"/>
      <x:c r="AL138" s="872"/>
      <x:c r="AM138" s="872"/>
      <x:c r="AN138" s="872"/>
      <x:c r="AO138" s="872"/>
      <x:c r="AP138" s="872"/>
      <x:c r="AQ138" s="878"/>
      <x:c r="AR138" s="874"/>
    </x:row>
    <x:row r="139" s="36" customFormat="1" ht="30" customHeight="1">
      <x:c r="A139" s="871"/>
      <x:c r="B139" s="871"/>
      <x:c r="C139" s="871"/>
      <x:c r="D139" s="872"/>
      <x:c r="E139" s="871"/>
      <x:c r="F139" s="871"/>
      <x:c r="G139" s="872"/>
      <x:c r="H139" s="872"/>
      <x:c r="I139" s="875"/>
      <x:c r="J139" s="872"/>
      <x:c r="K139" s="873"/>
      <x:c r="L139" s="876"/>
      <x:c r="M139" s="873"/>
      <x:c r="N139" s="874"/>
      <x:c r="O139" s="874"/>
      <x:c r="P139" s="872"/>
      <x:c r="Q139" s="872"/>
      <x:c r="R139" s="872"/>
      <x:c r="S139" s="872"/>
      <x:c r="T139" s="872"/>
      <x:c r="U139" s="872"/>
      <x:c r="V139" s="872"/>
      <x:c r="W139" s="872"/>
      <x:c r="X139" s="872"/>
      <x:c r="Y139" s="872"/>
      <x:c r="Z139" s="872"/>
      <x:c r="AA139" s="877"/>
      <x:c r="AB139" s="872"/>
      <x:c r="AC139" s="872"/>
      <x:c r="AD139" s="872"/>
      <x:c r="AE139" s="872"/>
      <x:c r="AF139" s="872"/>
      <x:c r="AG139" s="872"/>
      <x:c r="AH139" s="872"/>
      <x:c r="AI139" s="872"/>
      <x:c r="AJ139" s="872"/>
      <x:c r="AK139" s="872"/>
      <x:c r="AL139" s="872"/>
      <x:c r="AM139" s="872"/>
      <x:c r="AN139" s="872"/>
      <x:c r="AO139" s="872"/>
      <x:c r="AP139" s="872"/>
      <x:c r="AQ139" s="878"/>
      <x:c r="AR139" s="874"/>
    </x:row>
    <x:row r="140" s="36" customFormat="1" ht="30" customHeight="1">
      <x:c r="A140" s="871"/>
      <x:c r="B140" s="871"/>
      <x:c r="C140" s="871"/>
      <x:c r="D140" s="872"/>
      <x:c r="E140" s="871"/>
      <x:c r="F140" s="871"/>
      <x:c r="G140" s="872"/>
      <x:c r="H140" s="872"/>
      <x:c r="I140" s="875"/>
      <x:c r="J140" s="872"/>
      <x:c r="K140" s="873"/>
      <x:c r="L140" s="876"/>
      <x:c r="M140" s="873"/>
      <x:c r="N140" s="874"/>
      <x:c r="O140" s="874"/>
      <x:c r="P140" s="872"/>
      <x:c r="Q140" s="872"/>
      <x:c r="R140" s="872"/>
      <x:c r="S140" s="872"/>
      <x:c r="T140" s="872"/>
      <x:c r="U140" s="872"/>
      <x:c r="V140" s="872"/>
      <x:c r="W140" s="872"/>
      <x:c r="X140" s="872"/>
      <x:c r="Y140" s="872"/>
      <x:c r="Z140" s="872"/>
      <x:c r="AA140" s="877"/>
      <x:c r="AB140" s="872"/>
      <x:c r="AC140" s="872"/>
      <x:c r="AD140" s="872"/>
      <x:c r="AE140" s="872"/>
      <x:c r="AF140" s="872"/>
      <x:c r="AG140" s="872"/>
      <x:c r="AH140" s="872"/>
      <x:c r="AI140" s="872"/>
      <x:c r="AJ140" s="872"/>
      <x:c r="AK140" s="872"/>
      <x:c r="AL140" s="872"/>
      <x:c r="AM140" s="872"/>
      <x:c r="AN140" s="872"/>
      <x:c r="AO140" s="872"/>
      <x:c r="AP140" s="872"/>
      <x:c r="AQ140" s="878"/>
      <x:c r="AR140" s="874"/>
    </x:row>
    <x:row r="141" s="36" customFormat="1" ht="30" customHeight="1">
      <x:c r="A141" s="871"/>
      <x:c r="B141" s="871"/>
      <x:c r="C141" s="871"/>
      <x:c r="D141" s="872"/>
      <x:c r="E141" s="871"/>
      <x:c r="F141" s="871"/>
      <x:c r="G141" s="872"/>
      <x:c r="H141" s="872"/>
      <x:c r="I141" s="875"/>
      <x:c r="J141" s="872"/>
      <x:c r="K141" s="873"/>
      <x:c r="L141" s="876"/>
      <x:c r="M141" s="873"/>
      <x:c r="N141" s="874"/>
      <x:c r="O141" s="874"/>
      <x:c r="P141" s="872"/>
      <x:c r="Q141" s="872"/>
      <x:c r="R141" s="872"/>
      <x:c r="S141" s="872"/>
      <x:c r="T141" s="872"/>
      <x:c r="U141" s="872"/>
      <x:c r="V141" s="872"/>
      <x:c r="W141" s="872"/>
      <x:c r="X141" s="872"/>
      <x:c r="Y141" s="872"/>
      <x:c r="Z141" s="872"/>
      <x:c r="AA141" s="877"/>
      <x:c r="AB141" s="872"/>
      <x:c r="AC141" s="872"/>
      <x:c r="AD141" s="872"/>
      <x:c r="AE141" s="872"/>
      <x:c r="AF141" s="872"/>
      <x:c r="AG141" s="872"/>
      <x:c r="AH141" s="872"/>
      <x:c r="AI141" s="872"/>
      <x:c r="AJ141" s="872"/>
      <x:c r="AK141" s="872"/>
      <x:c r="AL141" s="872"/>
      <x:c r="AM141" s="872"/>
      <x:c r="AN141" s="872"/>
      <x:c r="AO141" s="872"/>
      <x:c r="AP141" s="872"/>
      <x:c r="AQ141" s="878"/>
      <x:c r="AR141" s="874"/>
    </x:row>
    <x:row r="142" s="36" customFormat="1" ht="30" customHeight="1">
      <x:c r="A142" s="871"/>
      <x:c r="B142" s="871"/>
      <x:c r="C142" s="871"/>
      <x:c r="D142" s="872"/>
      <x:c r="E142" s="871"/>
      <x:c r="F142" s="871"/>
      <x:c r="G142" s="872"/>
      <x:c r="H142" s="872"/>
      <x:c r="I142" s="875"/>
      <x:c r="J142" s="872"/>
      <x:c r="K142" s="873"/>
      <x:c r="L142" s="876"/>
      <x:c r="M142" s="873"/>
      <x:c r="N142" s="874"/>
      <x:c r="O142" s="874"/>
      <x:c r="P142" s="872"/>
      <x:c r="Q142" s="872"/>
      <x:c r="R142" s="872"/>
      <x:c r="S142" s="872"/>
      <x:c r="T142" s="872"/>
      <x:c r="U142" s="872"/>
      <x:c r="V142" s="872"/>
      <x:c r="W142" s="872"/>
      <x:c r="X142" s="872"/>
      <x:c r="Y142" s="872"/>
      <x:c r="Z142" s="872"/>
      <x:c r="AA142" s="877"/>
      <x:c r="AB142" s="872"/>
      <x:c r="AC142" s="872"/>
      <x:c r="AD142" s="872"/>
      <x:c r="AE142" s="872"/>
      <x:c r="AF142" s="872"/>
      <x:c r="AG142" s="872"/>
      <x:c r="AH142" s="872"/>
      <x:c r="AI142" s="872"/>
      <x:c r="AJ142" s="872"/>
      <x:c r="AK142" s="872"/>
      <x:c r="AL142" s="872"/>
      <x:c r="AM142" s="872"/>
      <x:c r="AN142" s="872"/>
      <x:c r="AO142" s="872"/>
      <x:c r="AP142" s="872"/>
      <x:c r="AQ142" s="878"/>
      <x:c r="AR142" s="874"/>
    </x:row>
    <x:row r="143" s="36" customFormat="1" ht="30" customHeight="1">
      <x:c r="A143" s="871"/>
      <x:c r="B143" s="871"/>
      <x:c r="C143" s="871"/>
      <x:c r="D143" s="872"/>
      <x:c r="E143" s="871"/>
      <x:c r="F143" s="871"/>
      <x:c r="G143" s="872"/>
      <x:c r="H143" s="872"/>
      <x:c r="I143" s="875"/>
      <x:c r="J143" s="872"/>
      <x:c r="K143" s="873"/>
      <x:c r="L143" s="876"/>
      <x:c r="M143" s="873"/>
      <x:c r="N143" s="874"/>
      <x:c r="O143" s="874"/>
      <x:c r="P143" s="872"/>
      <x:c r="Q143" s="872"/>
      <x:c r="R143" s="872"/>
      <x:c r="S143" s="872"/>
      <x:c r="T143" s="872"/>
      <x:c r="U143" s="872"/>
      <x:c r="V143" s="872"/>
      <x:c r="W143" s="872"/>
      <x:c r="X143" s="872"/>
      <x:c r="Y143" s="872"/>
      <x:c r="Z143" s="872"/>
      <x:c r="AA143" s="877"/>
      <x:c r="AB143" s="872"/>
      <x:c r="AC143" s="872"/>
      <x:c r="AD143" s="872"/>
      <x:c r="AE143" s="872"/>
      <x:c r="AF143" s="872"/>
      <x:c r="AG143" s="872"/>
      <x:c r="AH143" s="872"/>
      <x:c r="AI143" s="872"/>
      <x:c r="AJ143" s="872"/>
      <x:c r="AK143" s="872"/>
      <x:c r="AL143" s="872"/>
      <x:c r="AM143" s="872"/>
      <x:c r="AN143" s="872"/>
      <x:c r="AO143" s="872"/>
      <x:c r="AP143" s="872"/>
      <x:c r="AQ143" s="878"/>
      <x:c r="AR143" s="874"/>
    </x:row>
    <x:row r="144" s="36" customFormat="1" ht="30" customHeight="1">
      <x:c r="A144" s="871"/>
      <x:c r="B144" s="871"/>
      <x:c r="C144" s="871"/>
      <x:c r="D144" s="872"/>
      <x:c r="E144" s="871"/>
      <x:c r="F144" s="871"/>
      <x:c r="G144" s="872"/>
      <x:c r="H144" s="872"/>
      <x:c r="I144" s="875"/>
      <x:c r="J144" s="872"/>
      <x:c r="K144" s="873"/>
      <x:c r="L144" s="876"/>
      <x:c r="M144" s="873"/>
      <x:c r="N144" s="874"/>
      <x:c r="O144" s="874"/>
      <x:c r="P144" s="872"/>
      <x:c r="Q144" s="872"/>
      <x:c r="R144" s="872"/>
      <x:c r="S144" s="872"/>
      <x:c r="T144" s="872"/>
      <x:c r="U144" s="872"/>
      <x:c r="V144" s="872"/>
      <x:c r="W144" s="872"/>
      <x:c r="X144" s="872"/>
      <x:c r="Y144" s="872"/>
      <x:c r="Z144" s="872"/>
      <x:c r="AA144" s="877"/>
      <x:c r="AB144" s="872"/>
      <x:c r="AC144" s="872"/>
      <x:c r="AD144" s="872"/>
      <x:c r="AE144" s="872"/>
      <x:c r="AF144" s="872"/>
      <x:c r="AG144" s="872"/>
      <x:c r="AH144" s="872"/>
      <x:c r="AI144" s="872"/>
      <x:c r="AJ144" s="872"/>
      <x:c r="AK144" s="872"/>
      <x:c r="AL144" s="872"/>
      <x:c r="AM144" s="872"/>
      <x:c r="AN144" s="872"/>
      <x:c r="AO144" s="872"/>
      <x:c r="AP144" s="872"/>
      <x:c r="AQ144" s="878"/>
      <x:c r="AR144" s="874"/>
    </x:row>
    <x:row r="145" s="36" customFormat="1" ht="30" customHeight="1">
      <x:c r="A145" s="871"/>
      <x:c r="B145" s="871"/>
      <x:c r="C145" s="871"/>
      <x:c r="D145" s="872"/>
      <x:c r="E145" s="871"/>
      <x:c r="F145" s="871"/>
      <x:c r="G145" s="872"/>
      <x:c r="H145" s="872"/>
      <x:c r="I145" s="875"/>
      <x:c r="J145" s="872"/>
      <x:c r="K145" s="873"/>
      <x:c r="L145" s="876"/>
      <x:c r="M145" s="873"/>
      <x:c r="N145" s="874"/>
      <x:c r="O145" s="874"/>
      <x:c r="P145" s="872"/>
      <x:c r="Q145" s="872"/>
      <x:c r="R145" s="872"/>
      <x:c r="S145" s="872"/>
      <x:c r="T145" s="872"/>
      <x:c r="U145" s="872"/>
      <x:c r="V145" s="872"/>
      <x:c r="W145" s="872"/>
      <x:c r="X145" s="872"/>
      <x:c r="Y145" s="872"/>
      <x:c r="Z145" s="872"/>
      <x:c r="AA145" s="877"/>
      <x:c r="AB145" s="872"/>
      <x:c r="AC145" s="872"/>
      <x:c r="AD145" s="872"/>
      <x:c r="AE145" s="872"/>
      <x:c r="AF145" s="872"/>
      <x:c r="AG145" s="872"/>
      <x:c r="AH145" s="872"/>
      <x:c r="AI145" s="872"/>
      <x:c r="AJ145" s="872"/>
      <x:c r="AK145" s="872"/>
      <x:c r="AL145" s="872"/>
      <x:c r="AM145" s="872"/>
      <x:c r="AN145" s="872"/>
      <x:c r="AO145" s="872"/>
      <x:c r="AP145" s="872"/>
      <x:c r="AQ145" s="878"/>
      <x:c r="AR145" s="874"/>
    </x:row>
    <x:row r="146" s="36" customFormat="1" ht="30" customHeight="1">
      <x:c r="A146" s="871"/>
      <x:c r="B146" s="871"/>
      <x:c r="C146" s="871"/>
      <x:c r="D146" s="872"/>
      <x:c r="E146" s="871"/>
      <x:c r="F146" s="871"/>
      <x:c r="G146" s="872"/>
      <x:c r="H146" s="872"/>
      <x:c r="I146" s="875"/>
      <x:c r="J146" s="872"/>
      <x:c r="K146" s="873"/>
      <x:c r="L146" s="876"/>
      <x:c r="M146" s="873"/>
      <x:c r="N146" s="874"/>
      <x:c r="O146" s="874"/>
      <x:c r="P146" s="872"/>
      <x:c r="Q146" s="872"/>
      <x:c r="R146" s="872"/>
      <x:c r="S146" s="872"/>
      <x:c r="T146" s="872"/>
      <x:c r="U146" s="872"/>
      <x:c r="V146" s="872"/>
      <x:c r="W146" s="872"/>
      <x:c r="X146" s="872"/>
      <x:c r="Y146" s="872"/>
      <x:c r="Z146" s="872"/>
      <x:c r="AA146" s="877"/>
      <x:c r="AB146" s="872"/>
      <x:c r="AC146" s="872"/>
      <x:c r="AD146" s="872"/>
      <x:c r="AE146" s="872"/>
      <x:c r="AF146" s="872"/>
      <x:c r="AG146" s="872"/>
      <x:c r="AH146" s="872"/>
      <x:c r="AI146" s="872"/>
      <x:c r="AJ146" s="872"/>
      <x:c r="AK146" s="872"/>
      <x:c r="AL146" s="872"/>
      <x:c r="AM146" s="872"/>
      <x:c r="AN146" s="872"/>
      <x:c r="AO146" s="872"/>
      <x:c r="AP146" s="872"/>
      <x:c r="AQ146" s="878"/>
      <x:c r="AR146" s="874"/>
    </x:row>
    <x:row r="147" s="36" customFormat="1" ht="30" customHeight="1">
      <x:c r="A147" s="871"/>
      <x:c r="B147" s="871"/>
      <x:c r="C147" s="871"/>
      <x:c r="D147" s="872"/>
      <x:c r="E147" s="871"/>
      <x:c r="F147" s="871"/>
      <x:c r="G147" s="872"/>
      <x:c r="H147" s="872"/>
      <x:c r="I147" s="875"/>
      <x:c r="J147" s="872"/>
      <x:c r="K147" s="873"/>
      <x:c r="L147" s="876"/>
      <x:c r="M147" s="873"/>
      <x:c r="N147" s="874"/>
      <x:c r="O147" s="874"/>
      <x:c r="P147" s="872"/>
      <x:c r="Q147" s="872"/>
      <x:c r="R147" s="872"/>
      <x:c r="S147" s="872"/>
      <x:c r="T147" s="872"/>
      <x:c r="U147" s="872"/>
      <x:c r="V147" s="872"/>
      <x:c r="W147" s="872"/>
      <x:c r="X147" s="872"/>
      <x:c r="Y147" s="872"/>
      <x:c r="Z147" s="872"/>
      <x:c r="AA147" s="877"/>
      <x:c r="AB147" s="872"/>
      <x:c r="AC147" s="872"/>
      <x:c r="AD147" s="872"/>
      <x:c r="AE147" s="872"/>
      <x:c r="AF147" s="872"/>
      <x:c r="AG147" s="872"/>
      <x:c r="AH147" s="872"/>
      <x:c r="AI147" s="872"/>
      <x:c r="AJ147" s="872"/>
      <x:c r="AK147" s="872"/>
      <x:c r="AL147" s="872"/>
      <x:c r="AM147" s="872"/>
      <x:c r="AN147" s="872"/>
      <x:c r="AO147" s="872"/>
      <x:c r="AP147" s="872"/>
      <x:c r="AQ147" s="878"/>
      <x:c r="AR147" s="874"/>
    </x:row>
    <x:row r="148" s="36" customFormat="1" ht="30" customHeight="1">
      <x:c r="A148" s="871"/>
      <x:c r="B148" s="871"/>
      <x:c r="C148" s="871"/>
      <x:c r="D148" s="872"/>
      <x:c r="E148" s="871"/>
      <x:c r="F148" s="871"/>
      <x:c r="G148" s="872"/>
      <x:c r="H148" s="872"/>
      <x:c r="I148" s="875"/>
      <x:c r="J148" s="872"/>
      <x:c r="K148" s="873"/>
      <x:c r="L148" s="876"/>
      <x:c r="M148" s="873"/>
      <x:c r="N148" s="874"/>
      <x:c r="O148" s="874"/>
      <x:c r="P148" s="872"/>
      <x:c r="Q148" s="872"/>
      <x:c r="R148" s="872"/>
      <x:c r="S148" s="872"/>
      <x:c r="T148" s="872"/>
      <x:c r="U148" s="872"/>
      <x:c r="V148" s="872"/>
      <x:c r="W148" s="872"/>
      <x:c r="X148" s="872"/>
      <x:c r="Y148" s="872"/>
      <x:c r="Z148" s="872"/>
      <x:c r="AA148" s="877"/>
      <x:c r="AB148" s="872"/>
      <x:c r="AC148" s="872"/>
      <x:c r="AD148" s="872"/>
      <x:c r="AE148" s="872"/>
      <x:c r="AF148" s="872"/>
      <x:c r="AG148" s="872"/>
      <x:c r="AH148" s="872"/>
      <x:c r="AI148" s="872"/>
      <x:c r="AJ148" s="872"/>
      <x:c r="AK148" s="872"/>
      <x:c r="AL148" s="872"/>
      <x:c r="AM148" s="872"/>
      <x:c r="AN148" s="872"/>
      <x:c r="AO148" s="872"/>
      <x:c r="AP148" s="872"/>
      <x:c r="AQ148" s="878"/>
      <x:c r="AR148" s="874"/>
    </x:row>
    <x:row r="149" s="36" customFormat="1" ht="30" customHeight="1">
      <x:c r="A149" s="871"/>
      <x:c r="B149" s="871"/>
      <x:c r="C149" s="871"/>
      <x:c r="D149" s="872"/>
      <x:c r="E149" s="871"/>
      <x:c r="F149" s="871"/>
      <x:c r="G149" s="872"/>
      <x:c r="H149" s="872"/>
      <x:c r="I149" s="875"/>
      <x:c r="J149" s="872"/>
      <x:c r="K149" s="873"/>
      <x:c r="L149" s="876"/>
      <x:c r="M149" s="873"/>
      <x:c r="N149" s="874"/>
      <x:c r="O149" s="874"/>
      <x:c r="P149" s="872"/>
      <x:c r="Q149" s="872"/>
      <x:c r="R149" s="872"/>
      <x:c r="S149" s="872"/>
      <x:c r="T149" s="872"/>
      <x:c r="U149" s="872"/>
      <x:c r="V149" s="872"/>
      <x:c r="W149" s="872"/>
      <x:c r="X149" s="872"/>
      <x:c r="Y149" s="872"/>
      <x:c r="Z149" s="872"/>
      <x:c r="AA149" s="877"/>
      <x:c r="AB149" s="872"/>
      <x:c r="AC149" s="872"/>
      <x:c r="AD149" s="872"/>
      <x:c r="AE149" s="872"/>
      <x:c r="AF149" s="872"/>
      <x:c r="AG149" s="872"/>
      <x:c r="AH149" s="872"/>
      <x:c r="AI149" s="872"/>
      <x:c r="AJ149" s="872"/>
      <x:c r="AK149" s="872"/>
      <x:c r="AL149" s="872"/>
      <x:c r="AM149" s="872"/>
      <x:c r="AN149" s="872"/>
      <x:c r="AO149" s="872"/>
      <x:c r="AP149" s="872"/>
      <x:c r="AQ149" s="878"/>
      <x:c r="AR149" s="874"/>
    </x:row>
    <x:row r="150" s="36" customFormat="1" ht="30" customHeight="1">
      <x:c r="A150" s="871"/>
      <x:c r="B150" s="871"/>
      <x:c r="C150" s="871"/>
      <x:c r="D150" s="872"/>
      <x:c r="E150" s="871"/>
      <x:c r="F150" s="871"/>
      <x:c r="G150" s="872"/>
      <x:c r="H150" s="872"/>
      <x:c r="I150" s="875"/>
      <x:c r="J150" s="872"/>
      <x:c r="K150" s="873"/>
      <x:c r="L150" s="876"/>
      <x:c r="M150" s="873"/>
      <x:c r="N150" s="874"/>
      <x:c r="O150" s="874"/>
      <x:c r="P150" s="872"/>
      <x:c r="Q150" s="872"/>
      <x:c r="R150" s="872"/>
      <x:c r="S150" s="872"/>
      <x:c r="T150" s="872"/>
      <x:c r="U150" s="872"/>
      <x:c r="V150" s="872"/>
      <x:c r="W150" s="872"/>
      <x:c r="X150" s="872"/>
      <x:c r="Y150" s="872"/>
      <x:c r="Z150" s="872"/>
      <x:c r="AA150" s="877"/>
      <x:c r="AB150" s="872"/>
      <x:c r="AC150" s="872"/>
      <x:c r="AD150" s="872"/>
      <x:c r="AE150" s="872"/>
      <x:c r="AF150" s="872"/>
      <x:c r="AG150" s="872"/>
      <x:c r="AH150" s="872"/>
      <x:c r="AI150" s="872"/>
      <x:c r="AJ150" s="872"/>
      <x:c r="AK150" s="872"/>
      <x:c r="AL150" s="872"/>
      <x:c r="AM150" s="872"/>
      <x:c r="AN150" s="872"/>
      <x:c r="AO150" s="872"/>
      <x:c r="AP150" s="872"/>
      <x:c r="AQ150" s="878"/>
      <x:c r="AR150" s="874"/>
    </x:row>
    <x:row r="151" s="36" customFormat="1" ht="30" customHeight="1">
      <x:c r="A151" s="871"/>
      <x:c r="B151" s="871"/>
      <x:c r="C151" s="871"/>
      <x:c r="D151" s="872"/>
      <x:c r="E151" s="871"/>
      <x:c r="F151" s="871"/>
      <x:c r="G151" s="872"/>
      <x:c r="H151" s="872"/>
      <x:c r="I151" s="875"/>
      <x:c r="J151" s="872"/>
      <x:c r="K151" s="873"/>
      <x:c r="L151" s="876"/>
      <x:c r="M151" s="873"/>
      <x:c r="N151" s="874"/>
      <x:c r="O151" s="874"/>
      <x:c r="P151" s="872"/>
      <x:c r="Q151" s="872"/>
      <x:c r="R151" s="872"/>
      <x:c r="S151" s="872"/>
      <x:c r="T151" s="872"/>
      <x:c r="U151" s="872"/>
      <x:c r="V151" s="872"/>
      <x:c r="W151" s="872"/>
      <x:c r="X151" s="872"/>
      <x:c r="Y151" s="872"/>
      <x:c r="Z151" s="872"/>
      <x:c r="AA151" s="877"/>
      <x:c r="AB151" s="872"/>
      <x:c r="AC151" s="872"/>
      <x:c r="AD151" s="872"/>
      <x:c r="AE151" s="872"/>
      <x:c r="AF151" s="872"/>
      <x:c r="AG151" s="872"/>
      <x:c r="AH151" s="872"/>
      <x:c r="AI151" s="872"/>
      <x:c r="AJ151" s="872"/>
      <x:c r="AK151" s="872"/>
      <x:c r="AL151" s="872"/>
      <x:c r="AM151" s="872"/>
      <x:c r="AN151" s="872"/>
      <x:c r="AO151" s="872"/>
      <x:c r="AP151" s="872"/>
      <x:c r="AQ151" s="878"/>
      <x:c r="AR151" s="874"/>
    </x:row>
    <x:row r="152" s="36" customFormat="1" ht="30" customHeight="1">
      <x:c r="A152" s="871"/>
      <x:c r="B152" s="871"/>
      <x:c r="C152" s="871"/>
      <x:c r="D152" s="872"/>
      <x:c r="E152" s="871"/>
      <x:c r="F152" s="871"/>
      <x:c r="G152" s="872"/>
      <x:c r="H152" s="872"/>
      <x:c r="I152" s="875"/>
      <x:c r="J152" s="872"/>
      <x:c r="K152" s="873"/>
      <x:c r="L152" s="876"/>
      <x:c r="M152" s="873"/>
      <x:c r="N152" s="874"/>
      <x:c r="O152" s="874"/>
      <x:c r="P152" s="872"/>
      <x:c r="Q152" s="872"/>
      <x:c r="R152" s="872"/>
      <x:c r="S152" s="872"/>
      <x:c r="T152" s="872"/>
      <x:c r="U152" s="872"/>
      <x:c r="V152" s="872"/>
      <x:c r="W152" s="872"/>
      <x:c r="X152" s="872"/>
      <x:c r="Y152" s="872"/>
      <x:c r="Z152" s="872"/>
      <x:c r="AA152" s="877"/>
      <x:c r="AB152" s="872"/>
      <x:c r="AC152" s="872"/>
      <x:c r="AD152" s="872"/>
      <x:c r="AE152" s="872"/>
      <x:c r="AF152" s="872"/>
      <x:c r="AG152" s="872"/>
      <x:c r="AH152" s="872"/>
      <x:c r="AI152" s="872"/>
      <x:c r="AJ152" s="872"/>
      <x:c r="AK152" s="872"/>
      <x:c r="AL152" s="872"/>
      <x:c r="AM152" s="872"/>
      <x:c r="AN152" s="872"/>
      <x:c r="AO152" s="872"/>
      <x:c r="AP152" s="872"/>
      <x:c r="AQ152" s="878"/>
      <x:c r="AR152" s="874"/>
    </x:row>
    <x:row r="153" s="36" customFormat="1" ht="30" customHeight="1">
      <x:c r="A153" s="871"/>
      <x:c r="B153" s="871"/>
      <x:c r="C153" s="871"/>
      <x:c r="D153" s="872"/>
      <x:c r="E153" s="871"/>
      <x:c r="F153" s="871"/>
      <x:c r="G153" s="872"/>
      <x:c r="H153" s="872"/>
      <x:c r="I153" s="875"/>
      <x:c r="J153" s="872"/>
      <x:c r="K153" s="873"/>
      <x:c r="L153" s="876"/>
      <x:c r="M153" s="873"/>
      <x:c r="N153" s="874"/>
      <x:c r="O153" s="874"/>
      <x:c r="P153" s="872"/>
      <x:c r="Q153" s="872"/>
      <x:c r="R153" s="872"/>
      <x:c r="S153" s="872"/>
      <x:c r="T153" s="872"/>
      <x:c r="U153" s="872"/>
      <x:c r="V153" s="872"/>
      <x:c r="W153" s="872"/>
      <x:c r="X153" s="872"/>
      <x:c r="Y153" s="872"/>
      <x:c r="Z153" s="872"/>
      <x:c r="AA153" s="877"/>
      <x:c r="AB153" s="872"/>
      <x:c r="AC153" s="872"/>
      <x:c r="AD153" s="872"/>
      <x:c r="AE153" s="872"/>
      <x:c r="AF153" s="872"/>
      <x:c r="AG153" s="872"/>
      <x:c r="AH153" s="872"/>
      <x:c r="AI153" s="872"/>
      <x:c r="AJ153" s="872"/>
      <x:c r="AK153" s="872"/>
      <x:c r="AL153" s="872"/>
      <x:c r="AM153" s="872"/>
      <x:c r="AN153" s="872"/>
      <x:c r="AO153" s="872"/>
      <x:c r="AP153" s="872"/>
      <x:c r="AQ153" s="878"/>
      <x:c r="AR153" s="874"/>
    </x:row>
    <x:row r="154" s="36" customFormat="1" ht="30" customHeight="1">
      <x:c r="A154" s="871"/>
      <x:c r="B154" s="871"/>
      <x:c r="C154" s="871"/>
      <x:c r="D154" s="872"/>
      <x:c r="E154" s="871"/>
      <x:c r="F154" s="871"/>
      <x:c r="G154" s="872"/>
      <x:c r="H154" s="872"/>
      <x:c r="I154" s="875"/>
      <x:c r="J154" s="872"/>
      <x:c r="K154" s="873"/>
      <x:c r="L154" s="876"/>
      <x:c r="M154" s="873"/>
      <x:c r="N154" s="874"/>
      <x:c r="O154" s="874"/>
      <x:c r="P154" s="872"/>
      <x:c r="Q154" s="872"/>
      <x:c r="R154" s="872"/>
      <x:c r="S154" s="872"/>
      <x:c r="T154" s="872"/>
      <x:c r="U154" s="872"/>
      <x:c r="V154" s="872"/>
      <x:c r="W154" s="872"/>
      <x:c r="X154" s="872"/>
      <x:c r="Y154" s="872"/>
      <x:c r="Z154" s="872"/>
      <x:c r="AA154" s="877"/>
      <x:c r="AB154" s="872"/>
      <x:c r="AC154" s="872"/>
      <x:c r="AD154" s="872"/>
      <x:c r="AE154" s="872"/>
      <x:c r="AF154" s="872"/>
      <x:c r="AG154" s="872"/>
      <x:c r="AH154" s="872"/>
      <x:c r="AI154" s="872"/>
      <x:c r="AJ154" s="872"/>
      <x:c r="AK154" s="872"/>
      <x:c r="AL154" s="872"/>
      <x:c r="AM154" s="872"/>
      <x:c r="AN154" s="872"/>
      <x:c r="AO154" s="872"/>
      <x:c r="AP154" s="872"/>
      <x:c r="AQ154" s="878"/>
      <x:c r="AR154" s="874"/>
    </x:row>
    <x:row r="155" s="36" customFormat="1" ht="30" customHeight="1">
      <x:c r="A155" s="871"/>
      <x:c r="B155" s="871"/>
      <x:c r="C155" s="871"/>
      <x:c r="D155" s="872"/>
      <x:c r="E155" s="871"/>
      <x:c r="F155" s="871"/>
      <x:c r="G155" s="872"/>
      <x:c r="H155" s="872"/>
      <x:c r="I155" s="875"/>
      <x:c r="J155" s="872"/>
      <x:c r="K155" s="873"/>
      <x:c r="L155" s="876"/>
      <x:c r="M155" s="873"/>
      <x:c r="N155" s="874"/>
      <x:c r="O155" s="874"/>
      <x:c r="P155" s="872"/>
      <x:c r="Q155" s="872"/>
      <x:c r="R155" s="872"/>
      <x:c r="S155" s="872"/>
      <x:c r="T155" s="872"/>
      <x:c r="U155" s="872"/>
      <x:c r="V155" s="872"/>
      <x:c r="W155" s="872"/>
      <x:c r="X155" s="872"/>
      <x:c r="Y155" s="872"/>
      <x:c r="Z155" s="872"/>
      <x:c r="AA155" s="877"/>
      <x:c r="AB155" s="872"/>
      <x:c r="AC155" s="872"/>
      <x:c r="AD155" s="872"/>
      <x:c r="AE155" s="872"/>
      <x:c r="AF155" s="872"/>
      <x:c r="AG155" s="872"/>
      <x:c r="AH155" s="872"/>
      <x:c r="AI155" s="872"/>
      <x:c r="AJ155" s="872"/>
      <x:c r="AK155" s="872"/>
      <x:c r="AL155" s="872"/>
      <x:c r="AM155" s="872"/>
      <x:c r="AN155" s="872"/>
      <x:c r="AO155" s="872"/>
      <x:c r="AP155" s="872"/>
      <x:c r="AQ155" s="878"/>
      <x:c r="AR155" s="874"/>
    </x:row>
    <x:row r="156" s="36" customFormat="1" ht="30" customHeight="1">
      <x:c r="A156" s="871"/>
      <x:c r="B156" s="871"/>
      <x:c r="C156" s="871"/>
      <x:c r="D156" s="872"/>
      <x:c r="E156" s="871"/>
      <x:c r="F156" s="871"/>
      <x:c r="G156" s="872"/>
      <x:c r="H156" s="872"/>
      <x:c r="I156" s="875"/>
      <x:c r="J156" s="872"/>
      <x:c r="K156" s="873"/>
      <x:c r="L156" s="876"/>
      <x:c r="M156" s="873"/>
      <x:c r="N156" s="874"/>
      <x:c r="O156" s="874"/>
      <x:c r="P156" s="872"/>
      <x:c r="Q156" s="872"/>
      <x:c r="R156" s="872"/>
      <x:c r="S156" s="872"/>
      <x:c r="T156" s="872"/>
      <x:c r="U156" s="872"/>
      <x:c r="V156" s="872"/>
      <x:c r="W156" s="872"/>
      <x:c r="X156" s="872"/>
      <x:c r="Y156" s="872"/>
      <x:c r="Z156" s="872"/>
      <x:c r="AA156" s="877"/>
      <x:c r="AB156" s="872"/>
      <x:c r="AC156" s="872"/>
      <x:c r="AD156" s="872"/>
      <x:c r="AE156" s="872"/>
      <x:c r="AF156" s="872"/>
      <x:c r="AG156" s="872"/>
      <x:c r="AH156" s="872"/>
      <x:c r="AI156" s="872"/>
      <x:c r="AJ156" s="872"/>
      <x:c r="AK156" s="872"/>
      <x:c r="AL156" s="872"/>
      <x:c r="AM156" s="872"/>
      <x:c r="AN156" s="872"/>
      <x:c r="AO156" s="872"/>
      <x:c r="AP156" s="872"/>
      <x:c r="AQ156" s="878"/>
      <x:c r="AR156" s="874"/>
    </x:row>
    <x:row r="157" s="36" customFormat="1" ht="30" customHeight="1">
      <x:c r="A157" s="871"/>
      <x:c r="B157" s="871"/>
      <x:c r="C157" s="871"/>
      <x:c r="D157" s="872"/>
      <x:c r="E157" s="871"/>
      <x:c r="F157" s="871"/>
      <x:c r="G157" s="872"/>
      <x:c r="H157" s="872"/>
      <x:c r="I157" s="875"/>
      <x:c r="J157" s="872"/>
      <x:c r="K157" s="873"/>
      <x:c r="L157" s="876"/>
      <x:c r="M157" s="873"/>
      <x:c r="N157" s="874"/>
      <x:c r="O157" s="874"/>
      <x:c r="P157" s="872"/>
      <x:c r="Q157" s="872"/>
      <x:c r="R157" s="872"/>
      <x:c r="S157" s="872"/>
      <x:c r="T157" s="872"/>
      <x:c r="U157" s="872"/>
      <x:c r="V157" s="872"/>
      <x:c r="W157" s="872"/>
      <x:c r="X157" s="872"/>
      <x:c r="Y157" s="872"/>
      <x:c r="Z157" s="872"/>
      <x:c r="AA157" s="877"/>
      <x:c r="AB157" s="872"/>
      <x:c r="AC157" s="872"/>
      <x:c r="AD157" s="872"/>
      <x:c r="AE157" s="872"/>
      <x:c r="AF157" s="872"/>
      <x:c r="AG157" s="872"/>
      <x:c r="AH157" s="872"/>
      <x:c r="AI157" s="872"/>
      <x:c r="AJ157" s="872"/>
      <x:c r="AK157" s="872"/>
      <x:c r="AL157" s="872"/>
      <x:c r="AM157" s="872"/>
      <x:c r="AN157" s="872"/>
      <x:c r="AO157" s="872"/>
      <x:c r="AP157" s="872"/>
      <x:c r="AQ157" s="878"/>
      <x:c r="AR157" s="874"/>
    </x:row>
    <x:row r="158" s="36" customFormat="1" ht="30" customHeight="1">
      <x:c r="A158" s="871"/>
      <x:c r="B158" s="871"/>
      <x:c r="C158" s="871"/>
      <x:c r="D158" s="872"/>
      <x:c r="E158" s="871"/>
      <x:c r="F158" s="871"/>
      <x:c r="G158" s="872"/>
      <x:c r="H158" s="872"/>
      <x:c r="I158" s="875"/>
      <x:c r="J158" s="872"/>
      <x:c r="K158" s="873"/>
      <x:c r="L158" s="876"/>
      <x:c r="M158" s="873"/>
      <x:c r="N158" s="874"/>
      <x:c r="O158" s="874"/>
      <x:c r="P158" s="872"/>
      <x:c r="Q158" s="872"/>
      <x:c r="R158" s="872"/>
      <x:c r="S158" s="872"/>
      <x:c r="T158" s="872"/>
      <x:c r="U158" s="872"/>
      <x:c r="V158" s="872"/>
      <x:c r="W158" s="872"/>
      <x:c r="X158" s="872"/>
      <x:c r="Y158" s="872"/>
      <x:c r="Z158" s="872"/>
      <x:c r="AA158" s="877"/>
      <x:c r="AB158" s="872"/>
      <x:c r="AC158" s="872"/>
      <x:c r="AD158" s="872"/>
      <x:c r="AE158" s="872"/>
      <x:c r="AF158" s="872"/>
      <x:c r="AG158" s="872"/>
      <x:c r="AH158" s="872"/>
      <x:c r="AI158" s="872"/>
      <x:c r="AJ158" s="872"/>
      <x:c r="AK158" s="872"/>
      <x:c r="AL158" s="872"/>
      <x:c r="AM158" s="872"/>
      <x:c r="AN158" s="872"/>
      <x:c r="AO158" s="872"/>
      <x:c r="AP158" s="872"/>
      <x:c r="AQ158" s="878"/>
      <x:c r="AR158" s="874"/>
    </x:row>
    <x:row r="159" s="36" customFormat="1" ht="30" customHeight="1">
      <x:c r="A159" s="871"/>
      <x:c r="B159" s="871"/>
      <x:c r="C159" s="871"/>
      <x:c r="D159" s="872"/>
      <x:c r="E159" s="871"/>
      <x:c r="F159" s="871"/>
      <x:c r="G159" s="872"/>
      <x:c r="H159" s="872"/>
      <x:c r="I159" s="875"/>
      <x:c r="J159" s="872"/>
      <x:c r="K159" s="873"/>
      <x:c r="L159" s="876"/>
      <x:c r="M159" s="873"/>
      <x:c r="N159" s="874"/>
      <x:c r="O159" s="874"/>
      <x:c r="P159" s="872"/>
      <x:c r="Q159" s="872"/>
      <x:c r="R159" s="872"/>
      <x:c r="S159" s="872"/>
      <x:c r="T159" s="872"/>
      <x:c r="U159" s="872"/>
      <x:c r="V159" s="872"/>
      <x:c r="W159" s="872"/>
      <x:c r="X159" s="872"/>
      <x:c r="Y159" s="872"/>
      <x:c r="Z159" s="872"/>
      <x:c r="AA159" s="877"/>
      <x:c r="AB159" s="872"/>
      <x:c r="AC159" s="872"/>
      <x:c r="AD159" s="872"/>
      <x:c r="AE159" s="872"/>
      <x:c r="AF159" s="872"/>
      <x:c r="AG159" s="872"/>
      <x:c r="AH159" s="872"/>
      <x:c r="AI159" s="872"/>
      <x:c r="AJ159" s="872"/>
      <x:c r="AK159" s="872"/>
      <x:c r="AL159" s="872"/>
      <x:c r="AM159" s="872"/>
      <x:c r="AN159" s="872"/>
      <x:c r="AO159" s="872"/>
      <x:c r="AP159" s="872"/>
      <x:c r="AQ159" s="878"/>
      <x:c r="AR159" s="874"/>
    </x:row>
    <x:row r="160" s="36" customFormat="1" ht="30" customHeight="1">
      <x:c r="A160" s="871"/>
      <x:c r="B160" s="871"/>
      <x:c r="C160" s="871"/>
      <x:c r="D160" s="872"/>
      <x:c r="E160" s="871"/>
      <x:c r="F160" s="871"/>
      <x:c r="G160" s="872"/>
      <x:c r="H160" s="872"/>
      <x:c r="I160" s="875"/>
      <x:c r="J160" s="872"/>
      <x:c r="K160" s="873"/>
      <x:c r="L160" s="876"/>
      <x:c r="M160" s="873"/>
      <x:c r="N160" s="874"/>
      <x:c r="O160" s="874"/>
      <x:c r="P160" s="872"/>
      <x:c r="Q160" s="872"/>
      <x:c r="R160" s="872"/>
      <x:c r="S160" s="872"/>
      <x:c r="T160" s="872"/>
      <x:c r="U160" s="872"/>
      <x:c r="V160" s="872"/>
      <x:c r="W160" s="872"/>
      <x:c r="X160" s="872"/>
      <x:c r="Y160" s="872"/>
      <x:c r="Z160" s="872"/>
      <x:c r="AA160" s="877"/>
      <x:c r="AB160" s="872"/>
      <x:c r="AC160" s="872"/>
      <x:c r="AD160" s="872"/>
      <x:c r="AE160" s="872"/>
      <x:c r="AF160" s="872"/>
      <x:c r="AG160" s="872"/>
      <x:c r="AH160" s="872"/>
      <x:c r="AI160" s="872"/>
      <x:c r="AJ160" s="872"/>
      <x:c r="AK160" s="872"/>
      <x:c r="AL160" s="872"/>
      <x:c r="AM160" s="872"/>
      <x:c r="AN160" s="872"/>
      <x:c r="AO160" s="872"/>
      <x:c r="AP160" s="872"/>
      <x:c r="AQ160" s="878"/>
      <x:c r="AR160" s="874"/>
    </x:row>
    <x:row r="161" s="36" customFormat="1" ht="30" customHeight="1">
      <x:c r="A161" s="871"/>
      <x:c r="B161" s="871"/>
      <x:c r="C161" s="871"/>
      <x:c r="D161" s="872"/>
      <x:c r="E161" s="871"/>
      <x:c r="F161" s="871"/>
      <x:c r="G161" s="872"/>
      <x:c r="H161" s="872"/>
      <x:c r="I161" s="875"/>
      <x:c r="J161" s="872"/>
      <x:c r="K161" s="873"/>
      <x:c r="L161" s="876"/>
      <x:c r="M161" s="873"/>
      <x:c r="N161" s="874"/>
      <x:c r="O161" s="874"/>
      <x:c r="P161" s="872"/>
      <x:c r="Q161" s="872"/>
      <x:c r="R161" s="872"/>
      <x:c r="S161" s="872"/>
      <x:c r="T161" s="872"/>
      <x:c r="U161" s="872"/>
      <x:c r="V161" s="872"/>
      <x:c r="W161" s="872"/>
      <x:c r="X161" s="872"/>
      <x:c r="Y161" s="872"/>
      <x:c r="Z161" s="872"/>
      <x:c r="AA161" s="877"/>
      <x:c r="AB161" s="872"/>
      <x:c r="AC161" s="872"/>
      <x:c r="AD161" s="872"/>
      <x:c r="AE161" s="872"/>
      <x:c r="AF161" s="872"/>
      <x:c r="AG161" s="872"/>
      <x:c r="AH161" s="872"/>
      <x:c r="AI161" s="872"/>
      <x:c r="AJ161" s="872"/>
      <x:c r="AK161" s="872"/>
      <x:c r="AL161" s="872"/>
      <x:c r="AM161" s="872"/>
      <x:c r="AN161" s="872"/>
      <x:c r="AO161" s="872"/>
      <x:c r="AP161" s="872"/>
      <x:c r="AQ161" s="878"/>
      <x:c r="AR161" s="874"/>
    </x:row>
    <x:row r="162" s="36" customFormat="1" ht="30" customHeight="1">
      <x:c r="A162" s="871"/>
      <x:c r="B162" s="871"/>
      <x:c r="C162" s="871"/>
      <x:c r="D162" s="872"/>
      <x:c r="E162" s="871"/>
      <x:c r="F162" s="871"/>
      <x:c r="G162" s="872"/>
      <x:c r="H162" s="872"/>
      <x:c r="I162" s="875"/>
      <x:c r="J162" s="872"/>
      <x:c r="K162" s="873"/>
      <x:c r="L162" s="876"/>
      <x:c r="M162" s="873"/>
      <x:c r="N162" s="874"/>
      <x:c r="O162" s="874"/>
      <x:c r="P162" s="872"/>
      <x:c r="Q162" s="872"/>
      <x:c r="R162" s="872"/>
      <x:c r="S162" s="872"/>
      <x:c r="T162" s="872"/>
      <x:c r="U162" s="872"/>
      <x:c r="V162" s="872"/>
      <x:c r="W162" s="872"/>
      <x:c r="X162" s="872"/>
      <x:c r="Y162" s="872"/>
      <x:c r="Z162" s="872"/>
      <x:c r="AA162" s="877"/>
      <x:c r="AB162" s="872"/>
      <x:c r="AC162" s="872"/>
      <x:c r="AD162" s="872"/>
      <x:c r="AE162" s="872"/>
      <x:c r="AF162" s="872"/>
      <x:c r="AG162" s="872"/>
      <x:c r="AH162" s="872"/>
      <x:c r="AI162" s="872"/>
      <x:c r="AJ162" s="872"/>
      <x:c r="AK162" s="872"/>
      <x:c r="AL162" s="872"/>
      <x:c r="AM162" s="872"/>
      <x:c r="AN162" s="872"/>
      <x:c r="AO162" s="872"/>
      <x:c r="AP162" s="872"/>
      <x:c r="AQ162" s="878"/>
      <x:c r="AR162" s="874"/>
    </x:row>
    <x:row r="163" s="36" customFormat="1" ht="30" customHeight="1">
      <x:c r="A163" s="871"/>
      <x:c r="B163" s="871"/>
      <x:c r="C163" s="871"/>
      <x:c r="D163" s="872"/>
      <x:c r="E163" s="871"/>
      <x:c r="F163" s="871"/>
      <x:c r="G163" s="872"/>
      <x:c r="H163" s="872"/>
      <x:c r="I163" s="875"/>
      <x:c r="J163" s="872"/>
      <x:c r="K163" s="873"/>
      <x:c r="L163" s="876"/>
      <x:c r="M163" s="873"/>
      <x:c r="N163" s="874"/>
      <x:c r="O163" s="874"/>
      <x:c r="P163" s="872"/>
      <x:c r="Q163" s="872"/>
      <x:c r="R163" s="872"/>
      <x:c r="S163" s="872"/>
      <x:c r="T163" s="872"/>
      <x:c r="U163" s="872"/>
      <x:c r="V163" s="872"/>
      <x:c r="W163" s="872"/>
      <x:c r="X163" s="872"/>
      <x:c r="Y163" s="872"/>
      <x:c r="Z163" s="872"/>
      <x:c r="AA163" s="877"/>
      <x:c r="AB163" s="872"/>
      <x:c r="AC163" s="872"/>
      <x:c r="AD163" s="872"/>
      <x:c r="AE163" s="872"/>
      <x:c r="AF163" s="872"/>
      <x:c r="AG163" s="872"/>
      <x:c r="AH163" s="872"/>
      <x:c r="AI163" s="872"/>
      <x:c r="AJ163" s="872"/>
      <x:c r="AK163" s="872"/>
      <x:c r="AL163" s="872"/>
      <x:c r="AM163" s="872"/>
      <x:c r="AN163" s="872"/>
      <x:c r="AO163" s="872"/>
      <x:c r="AP163" s="872"/>
      <x:c r="AQ163" s="878"/>
      <x:c r="AR163" s="874"/>
    </x:row>
    <x:row r="164" s="36" customFormat="1" ht="30" customHeight="1">
      <x:c r="A164" s="871"/>
      <x:c r="B164" s="871"/>
      <x:c r="C164" s="871"/>
      <x:c r="D164" s="872"/>
      <x:c r="E164" s="871"/>
      <x:c r="F164" s="871"/>
      <x:c r="G164" s="872"/>
      <x:c r="H164" s="872"/>
      <x:c r="I164" s="875"/>
      <x:c r="J164" s="872"/>
      <x:c r="K164" s="873"/>
      <x:c r="L164" s="876"/>
      <x:c r="M164" s="873"/>
      <x:c r="N164" s="874"/>
      <x:c r="O164" s="874"/>
      <x:c r="P164" s="872"/>
      <x:c r="Q164" s="872"/>
      <x:c r="R164" s="872"/>
      <x:c r="S164" s="872"/>
      <x:c r="T164" s="872"/>
      <x:c r="U164" s="872"/>
      <x:c r="V164" s="872"/>
      <x:c r="W164" s="872"/>
      <x:c r="X164" s="872"/>
      <x:c r="Y164" s="872"/>
      <x:c r="Z164" s="872"/>
      <x:c r="AA164" s="877"/>
      <x:c r="AB164" s="872"/>
      <x:c r="AC164" s="872"/>
      <x:c r="AD164" s="872"/>
      <x:c r="AE164" s="872"/>
      <x:c r="AF164" s="872"/>
      <x:c r="AG164" s="872"/>
      <x:c r="AH164" s="872"/>
      <x:c r="AI164" s="872"/>
      <x:c r="AJ164" s="872"/>
      <x:c r="AK164" s="872"/>
      <x:c r="AL164" s="872"/>
      <x:c r="AM164" s="872"/>
      <x:c r="AN164" s="872"/>
      <x:c r="AO164" s="872"/>
      <x:c r="AP164" s="872"/>
      <x:c r="AQ164" s="878"/>
      <x:c r="AR164" s="874"/>
    </x:row>
    <x:row r="165" s="36" customFormat="1" ht="30" customHeight="1">
      <x:c r="A165" s="871"/>
      <x:c r="B165" s="871"/>
      <x:c r="C165" s="871"/>
      <x:c r="D165" s="872"/>
      <x:c r="E165" s="871"/>
      <x:c r="F165" s="871"/>
      <x:c r="G165" s="872"/>
      <x:c r="H165" s="872"/>
      <x:c r="I165" s="875"/>
      <x:c r="J165" s="872"/>
      <x:c r="K165" s="873"/>
      <x:c r="L165" s="876"/>
      <x:c r="M165" s="873"/>
      <x:c r="N165" s="874"/>
      <x:c r="O165" s="874"/>
      <x:c r="P165" s="872"/>
      <x:c r="Q165" s="872"/>
      <x:c r="R165" s="872"/>
      <x:c r="S165" s="872"/>
      <x:c r="T165" s="872"/>
      <x:c r="U165" s="872"/>
      <x:c r="V165" s="872"/>
      <x:c r="W165" s="872"/>
      <x:c r="X165" s="872"/>
      <x:c r="Y165" s="872"/>
      <x:c r="Z165" s="872"/>
      <x:c r="AA165" s="877"/>
      <x:c r="AB165" s="872"/>
      <x:c r="AC165" s="872"/>
      <x:c r="AD165" s="872"/>
      <x:c r="AE165" s="872"/>
      <x:c r="AF165" s="872"/>
      <x:c r="AG165" s="872"/>
      <x:c r="AH165" s="872"/>
      <x:c r="AI165" s="872"/>
      <x:c r="AJ165" s="872"/>
      <x:c r="AK165" s="872"/>
      <x:c r="AL165" s="872"/>
      <x:c r="AM165" s="872"/>
      <x:c r="AN165" s="872"/>
      <x:c r="AO165" s="872"/>
      <x:c r="AP165" s="872"/>
      <x:c r="AQ165" s="878"/>
      <x:c r="AR165" s="874"/>
    </x:row>
    <x:row r="166" s="36" customFormat="1" ht="30" customHeight="1">
      <x:c r="A166" s="871"/>
      <x:c r="B166" s="871"/>
      <x:c r="C166" s="871"/>
      <x:c r="D166" s="872"/>
      <x:c r="E166" s="871"/>
      <x:c r="F166" s="871"/>
      <x:c r="G166" s="872"/>
      <x:c r="H166" s="872"/>
      <x:c r="I166" s="875"/>
      <x:c r="J166" s="872"/>
      <x:c r="K166" s="873"/>
      <x:c r="L166" s="876"/>
      <x:c r="M166" s="873"/>
      <x:c r="N166" s="874"/>
      <x:c r="O166" s="874"/>
      <x:c r="P166" s="872"/>
      <x:c r="Q166" s="872"/>
      <x:c r="R166" s="872"/>
      <x:c r="S166" s="872"/>
      <x:c r="T166" s="872"/>
      <x:c r="U166" s="872"/>
      <x:c r="V166" s="872"/>
      <x:c r="W166" s="872"/>
      <x:c r="X166" s="872"/>
      <x:c r="Y166" s="872"/>
      <x:c r="Z166" s="872"/>
      <x:c r="AA166" s="877"/>
      <x:c r="AB166" s="872"/>
      <x:c r="AC166" s="872"/>
      <x:c r="AD166" s="872"/>
      <x:c r="AE166" s="872"/>
      <x:c r="AF166" s="872"/>
      <x:c r="AG166" s="872"/>
      <x:c r="AH166" s="872"/>
      <x:c r="AI166" s="872"/>
      <x:c r="AJ166" s="872"/>
      <x:c r="AK166" s="872"/>
      <x:c r="AL166" s="872"/>
      <x:c r="AM166" s="872"/>
      <x:c r="AN166" s="872"/>
      <x:c r="AO166" s="872"/>
      <x:c r="AP166" s="872"/>
      <x:c r="AQ166" s="878"/>
      <x:c r="AR166" s="874"/>
    </x:row>
    <x:row r="167" s="36" customFormat="1" ht="30" customHeight="1">
      <x:c r="A167" s="871"/>
      <x:c r="B167" s="871"/>
      <x:c r="C167" s="871"/>
      <x:c r="D167" s="872"/>
      <x:c r="E167" s="871"/>
      <x:c r="F167" s="871"/>
      <x:c r="G167" s="872"/>
      <x:c r="H167" s="872"/>
      <x:c r="I167" s="875"/>
      <x:c r="J167" s="872"/>
      <x:c r="K167" s="873"/>
      <x:c r="L167" s="876"/>
      <x:c r="M167" s="873"/>
      <x:c r="N167" s="874"/>
      <x:c r="O167" s="874"/>
      <x:c r="P167" s="872"/>
      <x:c r="Q167" s="872"/>
      <x:c r="R167" s="872"/>
      <x:c r="S167" s="872"/>
      <x:c r="T167" s="872"/>
      <x:c r="U167" s="872"/>
      <x:c r="V167" s="872"/>
      <x:c r="W167" s="872"/>
      <x:c r="X167" s="872"/>
      <x:c r="Y167" s="872"/>
      <x:c r="Z167" s="872"/>
      <x:c r="AA167" s="877"/>
      <x:c r="AB167" s="872"/>
      <x:c r="AC167" s="872"/>
      <x:c r="AD167" s="872"/>
      <x:c r="AE167" s="872"/>
      <x:c r="AF167" s="872"/>
      <x:c r="AG167" s="872"/>
      <x:c r="AH167" s="872"/>
      <x:c r="AI167" s="872"/>
      <x:c r="AJ167" s="872"/>
      <x:c r="AK167" s="872"/>
      <x:c r="AL167" s="872"/>
      <x:c r="AM167" s="872"/>
      <x:c r="AN167" s="872"/>
      <x:c r="AO167" s="872"/>
      <x:c r="AP167" s="872"/>
      <x:c r="AQ167" s="878"/>
      <x:c r="AR167" s="874"/>
    </x:row>
    <x:row r="168" s="36" customFormat="1" ht="30" customHeight="1">
      <x:c r="A168" s="871"/>
      <x:c r="B168" s="871"/>
      <x:c r="C168" s="871"/>
      <x:c r="D168" s="872"/>
      <x:c r="E168" s="871"/>
      <x:c r="F168" s="871"/>
      <x:c r="G168" s="872"/>
      <x:c r="H168" s="872"/>
      <x:c r="I168" s="875"/>
      <x:c r="J168" s="872"/>
      <x:c r="K168" s="873"/>
      <x:c r="L168" s="876"/>
      <x:c r="M168" s="873"/>
      <x:c r="N168" s="874"/>
      <x:c r="O168" s="874"/>
      <x:c r="P168" s="872"/>
      <x:c r="Q168" s="872"/>
      <x:c r="R168" s="872"/>
      <x:c r="S168" s="872"/>
      <x:c r="T168" s="872"/>
      <x:c r="U168" s="872"/>
      <x:c r="V168" s="872"/>
      <x:c r="W168" s="872"/>
      <x:c r="X168" s="872"/>
      <x:c r="Y168" s="872"/>
      <x:c r="Z168" s="872"/>
      <x:c r="AA168" s="877"/>
      <x:c r="AB168" s="872"/>
      <x:c r="AC168" s="872"/>
      <x:c r="AD168" s="872"/>
      <x:c r="AE168" s="872"/>
      <x:c r="AF168" s="872"/>
      <x:c r="AG168" s="872"/>
      <x:c r="AH168" s="872"/>
      <x:c r="AI168" s="872"/>
      <x:c r="AJ168" s="872"/>
      <x:c r="AK168" s="872"/>
      <x:c r="AL168" s="872"/>
      <x:c r="AM168" s="872"/>
      <x:c r="AN168" s="872"/>
      <x:c r="AO168" s="872"/>
      <x:c r="AP168" s="872"/>
      <x:c r="AQ168" s="878"/>
      <x:c r="AR168" s="874"/>
    </x:row>
    <x:row r="169" s="36" customFormat="1" ht="30" customHeight="1">
      <x:c r="A169" s="871"/>
      <x:c r="B169" s="871"/>
      <x:c r="C169" s="871"/>
      <x:c r="D169" s="872"/>
      <x:c r="E169" s="871"/>
      <x:c r="F169" s="871"/>
      <x:c r="G169" s="872"/>
      <x:c r="H169" s="872"/>
      <x:c r="I169" s="875"/>
      <x:c r="J169" s="872"/>
      <x:c r="K169" s="873"/>
      <x:c r="L169" s="876"/>
      <x:c r="M169" s="873"/>
      <x:c r="N169" s="874"/>
      <x:c r="O169" s="874"/>
      <x:c r="P169" s="872"/>
      <x:c r="Q169" s="872"/>
      <x:c r="R169" s="872"/>
      <x:c r="S169" s="872"/>
      <x:c r="T169" s="872"/>
      <x:c r="U169" s="872"/>
      <x:c r="V169" s="872"/>
      <x:c r="W169" s="872"/>
      <x:c r="X169" s="872"/>
      <x:c r="Y169" s="872"/>
      <x:c r="Z169" s="872"/>
      <x:c r="AA169" s="877"/>
      <x:c r="AB169" s="872"/>
      <x:c r="AC169" s="872"/>
      <x:c r="AD169" s="872"/>
      <x:c r="AE169" s="872"/>
      <x:c r="AF169" s="872"/>
      <x:c r="AG169" s="872"/>
      <x:c r="AH169" s="872"/>
      <x:c r="AI169" s="872"/>
      <x:c r="AJ169" s="872"/>
      <x:c r="AK169" s="872"/>
      <x:c r="AL169" s="872"/>
      <x:c r="AM169" s="872"/>
      <x:c r="AN169" s="872"/>
      <x:c r="AO169" s="872"/>
      <x:c r="AP169" s="872"/>
      <x:c r="AQ169" s="878"/>
      <x:c r="AR169" s="874"/>
    </x:row>
    <x:row r="170" s="36" customFormat="1" ht="30" customHeight="1">
      <x:c r="A170" s="871"/>
      <x:c r="B170" s="871"/>
      <x:c r="C170" s="871"/>
      <x:c r="D170" s="872"/>
      <x:c r="E170" s="871"/>
      <x:c r="F170" s="871"/>
      <x:c r="G170" s="872"/>
      <x:c r="H170" s="872"/>
      <x:c r="I170" s="875"/>
      <x:c r="J170" s="872"/>
      <x:c r="K170" s="873"/>
      <x:c r="L170" s="876"/>
      <x:c r="M170" s="873"/>
      <x:c r="N170" s="874"/>
      <x:c r="O170" s="874"/>
      <x:c r="P170" s="872"/>
      <x:c r="Q170" s="872"/>
      <x:c r="R170" s="872"/>
      <x:c r="S170" s="872"/>
      <x:c r="T170" s="872"/>
      <x:c r="U170" s="872"/>
      <x:c r="V170" s="872"/>
      <x:c r="W170" s="872"/>
      <x:c r="X170" s="872"/>
      <x:c r="Y170" s="872"/>
      <x:c r="Z170" s="872"/>
      <x:c r="AA170" s="877"/>
      <x:c r="AB170" s="872"/>
      <x:c r="AC170" s="872"/>
      <x:c r="AD170" s="872"/>
      <x:c r="AE170" s="872"/>
      <x:c r="AF170" s="872"/>
      <x:c r="AG170" s="872"/>
      <x:c r="AH170" s="872"/>
      <x:c r="AI170" s="872"/>
      <x:c r="AJ170" s="872"/>
      <x:c r="AK170" s="872"/>
      <x:c r="AL170" s="872"/>
      <x:c r="AM170" s="872"/>
      <x:c r="AN170" s="872"/>
      <x:c r="AO170" s="872"/>
      <x:c r="AP170" s="872"/>
      <x:c r="AQ170" s="878"/>
      <x:c r="AR170" s="874"/>
    </x:row>
    <x:row r="171" s="36" customFormat="1" ht="30" customHeight="1">
      <x:c r="A171" s="871"/>
      <x:c r="B171" s="871"/>
      <x:c r="C171" s="871"/>
      <x:c r="D171" s="872"/>
      <x:c r="E171" s="871"/>
      <x:c r="F171" s="871"/>
      <x:c r="G171" s="872"/>
      <x:c r="H171" s="872"/>
      <x:c r="I171" s="875"/>
      <x:c r="J171" s="872"/>
      <x:c r="K171" s="873"/>
      <x:c r="L171" s="876"/>
      <x:c r="M171" s="873"/>
      <x:c r="N171" s="874"/>
      <x:c r="O171" s="874"/>
      <x:c r="P171" s="872"/>
      <x:c r="Q171" s="872"/>
      <x:c r="R171" s="872"/>
      <x:c r="S171" s="872"/>
      <x:c r="T171" s="872"/>
      <x:c r="U171" s="872"/>
      <x:c r="V171" s="872"/>
      <x:c r="W171" s="872"/>
      <x:c r="X171" s="872"/>
      <x:c r="Y171" s="872"/>
      <x:c r="Z171" s="872"/>
      <x:c r="AA171" s="877"/>
      <x:c r="AB171" s="872"/>
      <x:c r="AC171" s="872"/>
      <x:c r="AD171" s="872"/>
      <x:c r="AE171" s="872"/>
      <x:c r="AF171" s="872"/>
      <x:c r="AG171" s="872"/>
      <x:c r="AH171" s="872"/>
      <x:c r="AI171" s="872"/>
      <x:c r="AJ171" s="872"/>
      <x:c r="AK171" s="872"/>
      <x:c r="AL171" s="872"/>
      <x:c r="AM171" s="872"/>
      <x:c r="AN171" s="872"/>
      <x:c r="AO171" s="872"/>
      <x:c r="AP171" s="872"/>
      <x:c r="AQ171" s="878"/>
      <x:c r="AR171" s="874"/>
    </x:row>
    <x:row r="172" s="36" customFormat="1" ht="30" customHeight="1">
      <x:c r="A172" s="871"/>
      <x:c r="B172" s="871"/>
      <x:c r="C172" s="871"/>
      <x:c r="D172" s="872"/>
      <x:c r="E172" s="871"/>
      <x:c r="F172" s="871"/>
      <x:c r="G172" s="872"/>
      <x:c r="H172" s="872"/>
      <x:c r="I172" s="875"/>
      <x:c r="J172" s="872"/>
      <x:c r="K172" s="873"/>
      <x:c r="L172" s="876"/>
      <x:c r="M172" s="873"/>
      <x:c r="N172" s="874"/>
      <x:c r="O172" s="874"/>
      <x:c r="P172" s="872"/>
      <x:c r="Q172" s="872"/>
      <x:c r="R172" s="872"/>
      <x:c r="S172" s="872"/>
      <x:c r="T172" s="872"/>
      <x:c r="U172" s="872"/>
      <x:c r="V172" s="872"/>
      <x:c r="W172" s="872"/>
      <x:c r="X172" s="872"/>
      <x:c r="Y172" s="872"/>
      <x:c r="Z172" s="872"/>
      <x:c r="AA172" s="877"/>
      <x:c r="AB172" s="872"/>
      <x:c r="AC172" s="872"/>
      <x:c r="AD172" s="872"/>
      <x:c r="AE172" s="872"/>
      <x:c r="AF172" s="872"/>
      <x:c r="AG172" s="872"/>
      <x:c r="AH172" s="872"/>
      <x:c r="AI172" s="872"/>
      <x:c r="AJ172" s="872"/>
      <x:c r="AK172" s="872"/>
      <x:c r="AL172" s="872"/>
      <x:c r="AM172" s="872"/>
      <x:c r="AN172" s="872"/>
      <x:c r="AO172" s="872"/>
      <x:c r="AP172" s="872"/>
      <x:c r="AQ172" s="878"/>
      <x:c r="AR172" s="874"/>
    </x:row>
    <x:row r="173" s="36" customFormat="1" ht="30" customHeight="1">
      <x:c r="A173" s="871"/>
      <x:c r="B173" s="871"/>
      <x:c r="C173" s="871"/>
      <x:c r="D173" s="872"/>
      <x:c r="E173" s="871"/>
      <x:c r="F173" s="871"/>
      <x:c r="G173" s="872"/>
      <x:c r="H173" s="872"/>
      <x:c r="I173" s="875"/>
      <x:c r="J173" s="872"/>
      <x:c r="K173" s="873"/>
      <x:c r="L173" s="876"/>
      <x:c r="M173" s="873"/>
      <x:c r="N173" s="874"/>
      <x:c r="O173" s="874"/>
      <x:c r="P173" s="872"/>
      <x:c r="Q173" s="872"/>
      <x:c r="R173" s="872"/>
      <x:c r="S173" s="872"/>
      <x:c r="T173" s="872"/>
      <x:c r="U173" s="872"/>
      <x:c r="V173" s="872"/>
      <x:c r="W173" s="872"/>
      <x:c r="X173" s="872"/>
      <x:c r="Y173" s="872"/>
      <x:c r="Z173" s="872"/>
      <x:c r="AA173" s="877"/>
      <x:c r="AB173" s="872"/>
      <x:c r="AC173" s="872"/>
      <x:c r="AD173" s="872"/>
      <x:c r="AE173" s="872"/>
      <x:c r="AF173" s="872"/>
      <x:c r="AG173" s="872"/>
      <x:c r="AH173" s="872"/>
      <x:c r="AI173" s="872"/>
      <x:c r="AJ173" s="872"/>
      <x:c r="AK173" s="872"/>
      <x:c r="AL173" s="872"/>
      <x:c r="AM173" s="872"/>
      <x:c r="AN173" s="872"/>
      <x:c r="AO173" s="872"/>
      <x:c r="AP173" s="872"/>
      <x:c r="AQ173" s="878"/>
      <x:c r="AR173" s="874"/>
    </x:row>
    <x:row r="174" s="36" customFormat="1" ht="30" customHeight="1">
      <x:c r="A174" s="871"/>
      <x:c r="B174" s="871"/>
      <x:c r="C174" s="871"/>
      <x:c r="D174" s="872"/>
      <x:c r="E174" s="871"/>
      <x:c r="F174" s="871"/>
      <x:c r="G174" s="872"/>
      <x:c r="H174" s="872"/>
      <x:c r="I174" s="875"/>
      <x:c r="J174" s="872"/>
      <x:c r="K174" s="873"/>
      <x:c r="L174" s="876"/>
      <x:c r="M174" s="873"/>
      <x:c r="N174" s="874"/>
      <x:c r="O174" s="874"/>
      <x:c r="P174" s="872"/>
      <x:c r="Q174" s="872"/>
      <x:c r="R174" s="872"/>
      <x:c r="S174" s="872"/>
      <x:c r="T174" s="872"/>
      <x:c r="U174" s="872"/>
      <x:c r="V174" s="872"/>
      <x:c r="W174" s="872"/>
      <x:c r="X174" s="872"/>
      <x:c r="Y174" s="872"/>
      <x:c r="Z174" s="872"/>
      <x:c r="AA174" s="877"/>
      <x:c r="AB174" s="872"/>
      <x:c r="AC174" s="872"/>
      <x:c r="AD174" s="872"/>
      <x:c r="AE174" s="872"/>
      <x:c r="AF174" s="872"/>
      <x:c r="AG174" s="872"/>
      <x:c r="AH174" s="872"/>
      <x:c r="AI174" s="872"/>
      <x:c r="AJ174" s="872"/>
      <x:c r="AK174" s="872"/>
      <x:c r="AL174" s="872"/>
      <x:c r="AM174" s="872"/>
      <x:c r="AN174" s="872"/>
      <x:c r="AO174" s="872"/>
      <x:c r="AP174" s="872"/>
      <x:c r="AQ174" s="878"/>
      <x:c r="AR174" s="874"/>
    </x:row>
    <x:row r="175" s="36" customFormat="1" ht="30" customHeight="1">
      <x:c r="A175" s="871"/>
      <x:c r="B175" s="871"/>
      <x:c r="C175" s="871"/>
      <x:c r="D175" s="872"/>
      <x:c r="E175" s="871"/>
      <x:c r="F175" s="871"/>
      <x:c r="G175" s="872"/>
      <x:c r="H175" s="872"/>
      <x:c r="I175" s="875"/>
      <x:c r="J175" s="872"/>
      <x:c r="K175" s="873"/>
      <x:c r="L175" s="876"/>
      <x:c r="M175" s="873"/>
      <x:c r="N175" s="874"/>
      <x:c r="O175" s="874"/>
      <x:c r="P175" s="872"/>
      <x:c r="Q175" s="872"/>
      <x:c r="R175" s="872"/>
      <x:c r="S175" s="872"/>
      <x:c r="T175" s="872"/>
      <x:c r="U175" s="872"/>
      <x:c r="V175" s="872"/>
      <x:c r="W175" s="872"/>
      <x:c r="X175" s="872"/>
      <x:c r="Y175" s="872"/>
      <x:c r="Z175" s="872"/>
      <x:c r="AA175" s="877"/>
      <x:c r="AB175" s="872"/>
      <x:c r="AC175" s="872"/>
      <x:c r="AD175" s="872"/>
      <x:c r="AE175" s="872"/>
      <x:c r="AF175" s="872"/>
      <x:c r="AG175" s="872"/>
      <x:c r="AH175" s="872"/>
      <x:c r="AI175" s="872"/>
      <x:c r="AJ175" s="872"/>
      <x:c r="AK175" s="872"/>
      <x:c r="AL175" s="872"/>
      <x:c r="AM175" s="872"/>
      <x:c r="AN175" s="872"/>
      <x:c r="AO175" s="872"/>
      <x:c r="AP175" s="872"/>
      <x:c r="AQ175" s="878"/>
      <x:c r="AR175" s="874"/>
    </x:row>
    <x:row r="176" s="36" customFormat="1" ht="30" customHeight="1">
      <x:c r="A176" s="871"/>
      <x:c r="B176" s="871"/>
      <x:c r="C176" s="871"/>
      <x:c r="D176" s="872"/>
      <x:c r="E176" s="871"/>
      <x:c r="F176" s="871"/>
      <x:c r="G176" s="872"/>
      <x:c r="H176" s="872"/>
      <x:c r="I176" s="875"/>
      <x:c r="J176" s="872"/>
      <x:c r="K176" s="873"/>
      <x:c r="L176" s="876"/>
      <x:c r="M176" s="873"/>
      <x:c r="N176" s="874"/>
      <x:c r="O176" s="874"/>
      <x:c r="P176" s="872"/>
      <x:c r="Q176" s="872"/>
      <x:c r="R176" s="872"/>
      <x:c r="S176" s="872"/>
      <x:c r="T176" s="872"/>
      <x:c r="U176" s="872"/>
      <x:c r="V176" s="872"/>
      <x:c r="W176" s="872"/>
      <x:c r="X176" s="872"/>
      <x:c r="Y176" s="872"/>
      <x:c r="Z176" s="872"/>
      <x:c r="AA176" s="877"/>
      <x:c r="AB176" s="872"/>
      <x:c r="AC176" s="872"/>
      <x:c r="AD176" s="872"/>
      <x:c r="AE176" s="872"/>
      <x:c r="AF176" s="872"/>
      <x:c r="AG176" s="872"/>
      <x:c r="AH176" s="872"/>
      <x:c r="AI176" s="872"/>
      <x:c r="AJ176" s="872"/>
      <x:c r="AK176" s="872"/>
      <x:c r="AL176" s="872"/>
      <x:c r="AM176" s="872"/>
      <x:c r="AN176" s="872"/>
      <x:c r="AO176" s="872"/>
      <x:c r="AP176" s="872"/>
      <x:c r="AQ176" s="878"/>
      <x:c r="AR176" s="874"/>
    </x:row>
    <x:row r="177" s="36" customFormat="1" ht="30" customHeight="1">
      <x:c r="A177" s="871"/>
      <x:c r="B177" s="871"/>
      <x:c r="C177" s="871"/>
      <x:c r="D177" s="872"/>
      <x:c r="E177" s="871"/>
      <x:c r="F177" s="871"/>
      <x:c r="G177" s="872"/>
      <x:c r="H177" s="872"/>
      <x:c r="I177" s="875"/>
      <x:c r="J177" s="872"/>
      <x:c r="K177" s="873"/>
      <x:c r="L177" s="876"/>
      <x:c r="M177" s="873"/>
      <x:c r="N177" s="874"/>
      <x:c r="O177" s="874"/>
      <x:c r="P177" s="872"/>
      <x:c r="Q177" s="872"/>
      <x:c r="R177" s="872"/>
      <x:c r="S177" s="872"/>
      <x:c r="T177" s="872"/>
      <x:c r="U177" s="872"/>
      <x:c r="V177" s="872"/>
      <x:c r="W177" s="872"/>
      <x:c r="X177" s="872"/>
      <x:c r="Y177" s="872"/>
      <x:c r="Z177" s="872"/>
      <x:c r="AA177" s="877"/>
      <x:c r="AB177" s="872"/>
      <x:c r="AC177" s="872"/>
      <x:c r="AD177" s="872"/>
      <x:c r="AE177" s="872"/>
      <x:c r="AF177" s="872"/>
      <x:c r="AG177" s="872"/>
      <x:c r="AH177" s="872"/>
      <x:c r="AI177" s="872"/>
      <x:c r="AJ177" s="872"/>
      <x:c r="AK177" s="872"/>
      <x:c r="AL177" s="872"/>
      <x:c r="AM177" s="872"/>
      <x:c r="AN177" s="872"/>
      <x:c r="AO177" s="872"/>
      <x:c r="AP177" s="872"/>
      <x:c r="AQ177" s="878"/>
      <x:c r="AR177" s="874"/>
    </x:row>
    <x:row r="178" s="36" customFormat="1" ht="30" customHeight="1">
      <x:c r="A178" s="871"/>
      <x:c r="B178" s="871"/>
      <x:c r="C178" s="871"/>
      <x:c r="D178" s="872"/>
      <x:c r="E178" s="871"/>
      <x:c r="F178" s="871"/>
      <x:c r="G178" s="872"/>
      <x:c r="H178" s="872"/>
      <x:c r="I178" s="875"/>
      <x:c r="J178" s="872"/>
      <x:c r="K178" s="873"/>
      <x:c r="L178" s="876"/>
      <x:c r="M178" s="873"/>
      <x:c r="N178" s="874"/>
      <x:c r="O178" s="874"/>
      <x:c r="P178" s="872"/>
      <x:c r="Q178" s="872"/>
      <x:c r="R178" s="872"/>
      <x:c r="S178" s="872"/>
      <x:c r="T178" s="872"/>
      <x:c r="U178" s="872"/>
      <x:c r="V178" s="872"/>
      <x:c r="W178" s="872"/>
      <x:c r="X178" s="872"/>
      <x:c r="Y178" s="872"/>
      <x:c r="Z178" s="872"/>
      <x:c r="AA178" s="877"/>
      <x:c r="AB178" s="872"/>
      <x:c r="AC178" s="872"/>
      <x:c r="AD178" s="872"/>
      <x:c r="AE178" s="872"/>
      <x:c r="AF178" s="872"/>
      <x:c r="AG178" s="872"/>
      <x:c r="AH178" s="872"/>
      <x:c r="AI178" s="872"/>
      <x:c r="AJ178" s="872"/>
      <x:c r="AK178" s="872"/>
      <x:c r="AL178" s="872"/>
      <x:c r="AM178" s="872"/>
      <x:c r="AN178" s="872"/>
      <x:c r="AO178" s="872"/>
      <x:c r="AP178" s="872"/>
      <x:c r="AQ178" s="878"/>
      <x:c r="AR178" s="874"/>
    </x:row>
    <x:row r="179" s="36" customFormat="1" ht="30" customHeight="1">
      <x:c r="A179" s="871"/>
      <x:c r="B179" s="871"/>
      <x:c r="C179" s="871"/>
      <x:c r="D179" s="872"/>
      <x:c r="E179" s="871"/>
      <x:c r="F179" s="871"/>
      <x:c r="G179" s="872"/>
      <x:c r="H179" s="872"/>
      <x:c r="I179" s="875"/>
      <x:c r="J179" s="872"/>
      <x:c r="K179" s="873"/>
      <x:c r="L179" s="876"/>
      <x:c r="M179" s="873"/>
      <x:c r="N179" s="874"/>
      <x:c r="O179" s="874"/>
      <x:c r="P179" s="872"/>
      <x:c r="Q179" s="872"/>
      <x:c r="R179" s="872"/>
      <x:c r="S179" s="872"/>
      <x:c r="T179" s="872"/>
      <x:c r="U179" s="872"/>
      <x:c r="V179" s="872"/>
      <x:c r="W179" s="872"/>
      <x:c r="X179" s="872"/>
      <x:c r="Y179" s="872"/>
      <x:c r="Z179" s="872"/>
      <x:c r="AA179" s="877"/>
      <x:c r="AB179" s="872"/>
      <x:c r="AC179" s="872"/>
      <x:c r="AD179" s="872"/>
      <x:c r="AE179" s="872"/>
      <x:c r="AF179" s="872"/>
      <x:c r="AG179" s="872"/>
      <x:c r="AH179" s="872"/>
      <x:c r="AI179" s="872"/>
      <x:c r="AJ179" s="872"/>
      <x:c r="AK179" s="872"/>
      <x:c r="AL179" s="872"/>
      <x:c r="AM179" s="872"/>
      <x:c r="AN179" s="872"/>
      <x:c r="AO179" s="872"/>
      <x:c r="AP179" s="872"/>
      <x:c r="AQ179" s="878"/>
      <x:c r="AR179" s="874"/>
    </x:row>
    <x:row r="180" s="36" customFormat="1" ht="30" customHeight="1">
      <x:c r="A180" s="871"/>
      <x:c r="B180" s="871"/>
      <x:c r="C180" s="871"/>
      <x:c r="D180" s="872"/>
      <x:c r="E180" s="871"/>
      <x:c r="F180" s="871"/>
      <x:c r="G180" s="872"/>
      <x:c r="H180" s="872"/>
      <x:c r="I180" s="875"/>
      <x:c r="J180" s="872"/>
      <x:c r="K180" s="873"/>
      <x:c r="L180" s="876"/>
      <x:c r="M180" s="873"/>
      <x:c r="N180" s="874"/>
      <x:c r="O180" s="874"/>
      <x:c r="P180" s="872"/>
      <x:c r="Q180" s="872"/>
      <x:c r="R180" s="872"/>
      <x:c r="S180" s="872"/>
      <x:c r="T180" s="872"/>
      <x:c r="U180" s="872"/>
      <x:c r="V180" s="872"/>
      <x:c r="W180" s="872"/>
      <x:c r="X180" s="872"/>
      <x:c r="Y180" s="872"/>
      <x:c r="Z180" s="872"/>
      <x:c r="AA180" s="877"/>
      <x:c r="AB180" s="872"/>
      <x:c r="AC180" s="872"/>
      <x:c r="AD180" s="872"/>
      <x:c r="AE180" s="872"/>
      <x:c r="AF180" s="872"/>
      <x:c r="AG180" s="872"/>
      <x:c r="AH180" s="872"/>
      <x:c r="AI180" s="872"/>
      <x:c r="AJ180" s="872"/>
      <x:c r="AK180" s="872"/>
      <x:c r="AL180" s="872"/>
      <x:c r="AM180" s="872"/>
      <x:c r="AN180" s="872"/>
      <x:c r="AO180" s="872"/>
      <x:c r="AP180" s="872"/>
      <x:c r="AQ180" s="878"/>
      <x:c r="AR180" s="874"/>
    </x:row>
    <x:row r="181" s="36" customFormat="1" ht="30" customHeight="1">
      <x:c r="A181" s="871"/>
      <x:c r="B181" s="871"/>
      <x:c r="C181" s="871"/>
      <x:c r="D181" s="872"/>
      <x:c r="E181" s="871"/>
      <x:c r="F181" s="871"/>
      <x:c r="G181" s="872"/>
      <x:c r="H181" s="872"/>
      <x:c r="I181" s="875"/>
      <x:c r="J181" s="872"/>
      <x:c r="K181" s="873"/>
      <x:c r="L181" s="876"/>
      <x:c r="M181" s="873"/>
      <x:c r="N181" s="874"/>
      <x:c r="O181" s="874"/>
      <x:c r="P181" s="872"/>
      <x:c r="Q181" s="872"/>
      <x:c r="R181" s="872"/>
      <x:c r="S181" s="872"/>
      <x:c r="T181" s="872"/>
      <x:c r="U181" s="872"/>
      <x:c r="V181" s="872"/>
      <x:c r="W181" s="872"/>
      <x:c r="X181" s="872"/>
      <x:c r="Y181" s="872"/>
      <x:c r="Z181" s="872"/>
      <x:c r="AA181" s="877"/>
      <x:c r="AB181" s="872"/>
      <x:c r="AC181" s="872"/>
      <x:c r="AD181" s="872"/>
      <x:c r="AE181" s="872"/>
      <x:c r="AF181" s="872"/>
      <x:c r="AG181" s="872"/>
      <x:c r="AH181" s="872"/>
      <x:c r="AI181" s="872"/>
      <x:c r="AJ181" s="872"/>
      <x:c r="AK181" s="872"/>
      <x:c r="AL181" s="872"/>
      <x:c r="AM181" s="872"/>
      <x:c r="AN181" s="872"/>
      <x:c r="AO181" s="872"/>
      <x:c r="AP181" s="872"/>
      <x:c r="AQ181" s="878"/>
      <x:c r="AR181" s="874"/>
    </x:row>
    <x:row r="182" s="36" customFormat="1" ht="30" customHeight="1">
      <x:c r="A182" s="871"/>
      <x:c r="B182" s="871"/>
      <x:c r="C182" s="871"/>
      <x:c r="D182" s="872"/>
      <x:c r="E182" s="871"/>
      <x:c r="F182" s="871"/>
      <x:c r="G182" s="872"/>
      <x:c r="H182" s="872"/>
      <x:c r="I182" s="875"/>
      <x:c r="J182" s="872"/>
      <x:c r="K182" s="873"/>
      <x:c r="L182" s="876"/>
      <x:c r="M182" s="873"/>
      <x:c r="N182" s="874"/>
      <x:c r="O182" s="874"/>
      <x:c r="P182" s="872"/>
      <x:c r="Q182" s="872"/>
      <x:c r="R182" s="872"/>
      <x:c r="S182" s="872"/>
      <x:c r="T182" s="872"/>
      <x:c r="U182" s="872"/>
      <x:c r="V182" s="872"/>
      <x:c r="W182" s="872"/>
      <x:c r="X182" s="872"/>
      <x:c r="Y182" s="872"/>
      <x:c r="Z182" s="872"/>
      <x:c r="AA182" s="877"/>
      <x:c r="AB182" s="872"/>
      <x:c r="AC182" s="872"/>
      <x:c r="AD182" s="872"/>
      <x:c r="AE182" s="872"/>
      <x:c r="AF182" s="872"/>
      <x:c r="AG182" s="872"/>
      <x:c r="AH182" s="872"/>
      <x:c r="AI182" s="872"/>
      <x:c r="AJ182" s="872"/>
      <x:c r="AK182" s="872"/>
      <x:c r="AL182" s="872"/>
      <x:c r="AM182" s="872"/>
      <x:c r="AN182" s="872"/>
      <x:c r="AO182" s="872"/>
      <x:c r="AP182" s="872"/>
      <x:c r="AQ182" s="878"/>
      <x:c r="AR182" s="874"/>
    </x:row>
    <x:row r="183" s="36" customFormat="1" ht="30" customHeight="1">
      <x:c r="A183" s="871"/>
      <x:c r="B183" s="871"/>
      <x:c r="C183" s="871"/>
      <x:c r="D183" s="872"/>
      <x:c r="E183" s="871"/>
      <x:c r="F183" s="871"/>
      <x:c r="G183" s="872"/>
      <x:c r="H183" s="872"/>
      <x:c r="I183" s="875"/>
      <x:c r="J183" s="872"/>
      <x:c r="K183" s="873"/>
      <x:c r="L183" s="876"/>
      <x:c r="M183" s="873"/>
      <x:c r="N183" s="874"/>
      <x:c r="O183" s="874"/>
      <x:c r="P183" s="872"/>
      <x:c r="Q183" s="872"/>
      <x:c r="R183" s="872"/>
      <x:c r="S183" s="872"/>
      <x:c r="T183" s="872"/>
      <x:c r="U183" s="872"/>
      <x:c r="V183" s="872"/>
      <x:c r="W183" s="872"/>
      <x:c r="X183" s="872"/>
      <x:c r="Y183" s="872"/>
      <x:c r="Z183" s="872"/>
      <x:c r="AA183" s="877"/>
      <x:c r="AB183" s="872"/>
      <x:c r="AC183" s="872"/>
      <x:c r="AD183" s="872"/>
      <x:c r="AE183" s="872"/>
      <x:c r="AF183" s="872"/>
      <x:c r="AG183" s="872"/>
      <x:c r="AH183" s="872"/>
      <x:c r="AI183" s="872"/>
      <x:c r="AJ183" s="872"/>
      <x:c r="AK183" s="872"/>
      <x:c r="AL183" s="872"/>
      <x:c r="AM183" s="872"/>
      <x:c r="AN183" s="872"/>
      <x:c r="AO183" s="872"/>
      <x:c r="AP183" s="872"/>
      <x:c r="AQ183" s="878"/>
      <x:c r="AR183" s="874"/>
    </x:row>
    <x:row r="184" s="36" customFormat="1" ht="30" customHeight="1">
      <x:c r="A184" s="871"/>
      <x:c r="B184" s="871"/>
      <x:c r="C184" s="871"/>
      <x:c r="D184" s="872"/>
      <x:c r="E184" s="871"/>
      <x:c r="F184" s="871"/>
      <x:c r="G184" s="872"/>
      <x:c r="H184" s="872"/>
      <x:c r="I184" s="875"/>
      <x:c r="J184" s="872"/>
      <x:c r="K184" s="873"/>
      <x:c r="L184" s="876"/>
      <x:c r="M184" s="873"/>
      <x:c r="N184" s="874"/>
      <x:c r="O184" s="874"/>
      <x:c r="P184" s="872"/>
      <x:c r="Q184" s="872"/>
      <x:c r="R184" s="872"/>
      <x:c r="S184" s="872"/>
      <x:c r="T184" s="872"/>
      <x:c r="U184" s="872"/>
      <x:c r="V184" s="872"/>
      <x:c r="W184" s="872"/>
      <x:c r="X184" s="872"/>
      <x:c r="Y184" s="872"/>
      <x:c r="Z184" s="872"/>
      <x:c r="AA184" s="877"/>
      <x:c r="AB184" s="872"/>
      <x:c r="AC184" s="872"/>
      <x:c r="AD184" s="872"/>
      <x:c r="AE184" s="872"/>
      <x:c r="AF184" s="872"/>
      <x:c r="AG184" s="872"/>
      <x:c r="AH184" s="872"/>
      <x:c r="AI184" s="872"/>
      <x:c r="AJ184" s="872"/>
      <x:c r="AK184" s="872"/>
      <x:c r="AL184" s="872"/>
      <x:c r="AM184" s="872"/>
      <x:c r="AN184" s="872"/>
      <x:c r="AO184" s="872"/>
      <x:c r="AP184" s="872"/>
      <x:c r="AQ184" s="878"/>
      <x:c r="AR184" s="874"/>
    </x:row>
    <x:row r="185" s="36" customFormat="1" ht="30" customHeight="1">
      <x:c r="A185" s="871"/>
      <x:c r="B185" s="871"/>
      <x:c r="C185" s="871"/>
      <x:c r="D185" s="872"/>
      <x:c r="E185" s="871"/>
      <x:c r="F185" s="871"/>
      <x:c r="G185" s="872"/>
      <x:c r="H185" s="872"/>
      <x:c r="I185" s="875"/>
      <x:c r="J185" s="872"/>
      <x:c r="K185" s="873"/>
      <x:c r="L185" s="876"/>
      <x:c r="M185" s="873"/>
      <x:c r="N185" s="874"/>
      <x:c r="O185" s="874"/>
      <x:c r="P185" s="872"/>
      <x:c r="Q185" s="872"/>
      <x:c r="R185" s="872"/>
      <x:c r="S185" s="872"/>
      <x:c r="T185" s="872"/>
      <x:c r="U185" s="872"/>
      <x:c r="V185" s="872"/>
      <x:c r="W185" s="872"/>
      <x:c r="X185" s="872"/>
      <x:c r="Y185" s="872"/>
      <x:c r="Z185" s="872"/>
      <x:c r="AA185" s="877"/>
      <x:c r="AB185" s="872"/>
      <x:c r="AC185" s="872"/>
      <x:c r="AD185" s="872"/>
      <x:c r="AE185" s="872"/>
      <x:c r="AF185" s="872"/>
      <x:c r="AG185" s="872"/>
      <x:c r="AH185" s="872"/>
      <x:c r="AI185" s="872"/>
      <x:c r="AJ185" s="872"/>
      <x:c r="AK185" s="872"/>
      <x:c r="AL185" s="872"/>
      <x:c r="AM185" s="872"/>
      <x:c r="AN185" s="872"/>
      <x:c r="AO185" s="872"/>
      <x:c r="AP185" s="872"/>
      <x:c r="AQ185" s="878"/>
      <x:c r="AR185" s="874"/>
    </x:row>
    <x:row r="186" s="36" customFormat="1" ht="30" customHeight="1">
      <x:c r="A186" s="871"/>
      <x:c r="B186" s="871"/>
      <x:c r="C186" s="871"/>
      <x:c r="D186" s="872"/>
      <x:c r="E186" s="871"/>
      <x:c r="F186" s="871"/>
      <x:c r="G186" s="872"/>
      <x:c r="H186" s="872"/>
      <x:c r="I186" s="875"/>
      <x:c r="J186" s="872"/>
      <x:c r="K186" s="873"/>
      <x:c r="L186" s="876"/>
      <x:c r="M186" s="873"/>
      <x:c r="N186" s="874"/>
      <x:c r="O186" s="874"/>
      <x:c r="P186" s="872"/>
      <x:c r="Q186" s="872"/>
      <x:c r="R186" s="872"/>
      <x:c r="S186" s="872"/>
      <x:c r="T186" s="872"/>
      <x:c r="U186" s="872"/>
      <x:c r="V186" s="872"/>
      <x:c r="W186" s="872"/>
      <x:c r="X186" s="872"/>
      <x:c r="Y186" s="872"/>
      <x:c r="Z186" s="872"/>
      <x:c r="AA186" s="877"/>
      <x:c r="AB186" s="872"/>
      <x:c r="AC186" s="872"/>
      <x:c r="AD186" s="872"/>
      <x:c r="AE186" s="872"/>
      <x:c r="AF186" s="872"/>
      <x:c r="AG186" s="872"/>
      <x:c r="AH186" s="872"/>
      <x:c r="AI186" s="872"/>
      <x:c r="AJ186" s="872"/>
      <x:c r="AK186" s="872"/>
      <x:c r="AL186" s="872"/>
      <x:c r="AM186" s="872"/>
      <x:c r="AN186" s="872"/>
      <x:c r="AO186" s="872"/>
      <x:c r="AP186" s="872"/>
      <x:c r="AQ186" s="878"/>
      <x:c r="AR186" s="874"/>
    </x:row>
    <x:row r="187" s="36" customFormat="1" ht="30" customHeight="1">
      <x:c r="A187" s="871"/>
      <x:c r="B187" s="871"/>
      <x:c r="C187" s="871"/>
      <x:c r="D187" s="872"/>
      <x:c r="E187" s="871"/>
      <x:c r="F187" s="871"/>
      <x:c r="G187" s="872"/>
      <x:c r="H187" s="872"/>
      <x:c r="I187" s="875"/>
      <x:c r="J187" s="872"/>
      <x:c r="K187" s="873"/>
      <x:c r="L187" s="876"/>
      <x:c r="M187" s="873"/>
      <x:c r="N187" s="874"/>
      <x:c r="O187" s="874"/>
      <x:c r="P187" s="872"/>
      <x:c r="Q187" s="872"/>
      <x:c r="R187" s="872"/>
      <x:c r="S187" s="872"/>
      <x:c r="T187" s="872"/>
      <x:c r="U187" s="872"/>
      <x:c r="V187" s="872"/>
      <x:c r="W187" s="872"/>
      <x:c r="X187" s="872"/>
      <x:c r="Y187" s="872"/>
      <x:c r="Z187" s="872"/>
      <x:c r="AA187" s="877"/>
      <x:c r="AB187" s="872"/>
      <x:c r="AC187" s="872"/>
      <x:c r="AD187" s="872"/>
      <x:c r="AE187" s="872"/>
      <x:c r="AF187" s="872"/>
      <x:c r="AG187" s="872"/>
      <x:c r="AH187" s="872"/>
      <x:c r="AI187" s="872"/>
      <x:c r="AJ187" s="872"/>
      <x:c r="AK187" s="872"/>
      <x:c r="AL187" s="872"/>
      <x:c r="AM187" s="872"/>
      <x:c r="AN187" s="872"/>
      <x:c r="AO187" s="872"/>
      <x:c r="AP187" s="872"/>
      <x:c r="AQ187" s="878"/>
      <x:c r="AR187" s="874"/>
    </x:row>
    <x:row r="188" s="36" customFormat="1" ht="30" customHeight="1">
      <x:c r="A188" s="871"/>
      <x:c r="B188" s="871"/>
      <x:c r="C188" s="871"/>
      <x:c r="D188" s="872"/>
      <x:c r="E188" s="871"/>
      <x:c r="F188" s="871"/>
      <x:c r="G188" s="872"/>
      <x:c r="H188" s="872"/>
      <x:c r="I188" s="875"/>
      <x:c r="J188" s="872"/>
      <x:c r="K188" s="873"/>
      <x:c r="L188" s="876"/>
      <x:c r="M188" s="873"/>
      <x:c r="N188" s="874"/>
      <x:c r="O188" s="874"/>
      <x:c r="P188" s="872"/>
      <x:c r="Q188" s="872"/>
      <x:c r="R188" s="872"/>
      <x:c r="S188" s="872"/>
      <x:c r="T188" s="872"/>
      <x:c r="U188" s="872"/>
      <x:c r="V188" s="872"/>
      <x:c r="W188" s="872"/>
      <x:c r="X188" s="872"/>
      <x:c r="Y188" s="872"/>
      <x:c r="Z188" s="872"/>
      <x:c r="AA188" s="877"/>
      <x:c r="AB188" s="872"/>
      <x:c r="AC188" s="872"/>
      <x:c r="AD188" s="872"/>
      <x:c r="AE188" s="872"/>
      <x:c r="AF188" s="872"/>
      <x:c r="AG188" s="872"/>
      <x:c r="AH188" s="872"/>
      <x:c r="AI188" s="872"/>
      <x:c r="AJ188" s="872"/>
      <x:c r="AK188" s="872"/>
      <x:c r="AL188" s="872"/>
      <x:c r="AM188" s="872"/>
      <x:c r="AN188" s="872"/>
      <x:c r="AO188" s="872"/>
      <x:c r="AP188" s="872"/>
      <x:c r="AQ188" s="878"/>
      <x:c r="AR188" s="874"/>
    </x:row>
    <x:row r="189" s="36" customFormat="1" ht="30" customHeight="1">
      <x:c r="A189" s="871"/>
      <x:c r="B189" s="871"/>
      <x:c r="C189" s="871"/>
      <x:c r="D189" s="872"/>
      <x:c r="E189" s="871"/>
      <x:c r="F189" s="871"/>
      <x:c r="G189" s="872"/>
      <x:c r="H189" s="872"/>
      <x:c r="I189" s="875"/>
      <x:c r="J189" s="872"/>
      <x:c r="K189" s="873"/>
      <x:c r="L189" s="876"/>
      <x:c r="M189" s="873"/>
      <x:c r="N189" s="874"/>
      <x:c r="O189" s="874"/>
      <x:c r="P189" s="872"/>
      <x:c r="Q189" s="872"/>
      <x:c r="R189" s="872"/>
      <x:c r="S189" s="872"/>
      <x:c r="T189" s="872"/>
      <x:c r="U189" s="872"/>
      <x:c r="V189" s="872"/>
      <x:c r="W189" s="872"/>
      <x:c r="X189" s="872"/>
      <x:c r="Y189" s="872"/>
      <x:c r="Z189" s="872"/>
      <x:c r="AA189" s="877"/>
      <x:c r="AB189" s="872"/>
      <x:c r="AC189" s="872"/>
      <x:c r="AD189" s="872"/>
      <x:c r="AE189" s="872"/>
      <x:c r="AF189" s="872"/>
      <x:c r="AG189" s="872"/>
      <x:c r="AH189" s="872"/>
      <x:c r="AI189" s="872"/>
      <x:c r="AJ189" s="872"/>
      <x:c r="AK189" s="872"/>
      <x:c r="AL189" s="872"/>
      <x:c r="AM189" s="872"/>
      <x:c r="AN189" s="872"/>
      <x:c r="AO189" s="872"/>
      <x:c r="AP189" s="872"/>
      <x:c r="AQ189" s="878"/>
      <x:c r="AR189" s="874"/>
    </x:row>
    <x:row r="190" s="36" customFormat="1" ht="30" customHeight="1">
      <x:c r="A190" s="871"/>
      <x:c r="B190" s="871"/>
      <x:c r="C190" s="871"/>
      <x:c r="D190" s="872"/>
      <x:c r="E190" s="871"/>
      <x:c r="F190" s="871"/>
      <x:c r="G190" s="872"/>
      <x:c r="H190" s="872"/>
      <x:c r="I190" s="875"/>
      <x:c r="J190" s="872"/>
      <x:c r="K190" s="873"/>
      <x:c r="L190" s="876"/>
      <x:c r="M190" s="873"/>
      <x:c r="N190" s="874"/>
      <x:c r="O190" s="874"/>
      <x:c r="P190" s="872"/>
      <x:c r="Q190" s="872"/>
      <x:c r="R190" s="872"/>
      <x:c r="S190" s="872"/>
      <x:c r="T190" s="872"/>
      <x:c r="U190" s="872"/>
      <x:c r="V190" s="872"/>
      <x:c r="W190" s="872"/>
      <x:c r="X190" s="872"/>
      <x:c r="Y190" s="872"/>
      <x:c r="Z190" s="872"/>
      <x:c r="AA190" s="877"/>
      <x:c r="AB190" s="872"/>
      <x:c r="AC190" s="872"/>
      <x:c r="AD190" s="872"/>
      <x:c r="AE190" s="872"/>
      <x:c r="AF190" s="872"/>
      <x:c r="AG190" s="872"/>
      <x:c r="AH190" s="872"/>
      <x:c r="AI190" s="872"/>
      <x:c r="AJ190" s="872"/>
      <x:c r="AK190" s="872"/>
      <x:c r="AL190" s="872"/>
      <x:c r="AM190" s="872"/>
      <x:c r="AN190" s="872"/>
      <x:c r="AO190" s="872"/>
      <x:c r="AP190" s="872"/>
      <x:c r="AQ190" s="878"/>
      <x:c r="AR190" s="874"/>
    </x:row>
    <x:row r="191" s="36" customFormat="1" ht="30" customHeight="1">
      <x:c r="A191" s="871"/>
      <x:c r="B191" s="871"/>
      <x:c r="C191" s="871"/>
      <x:c r="D191" s="872"/>
      <x:c r="E191" s="871"/>
      <x:c r="F191" s="871"/>
      <x:c r="G191" s="872"/>
      <x:c r="H191" s="872"/>
      <x:c r="I191" s="875"/>
      <x:c r="J191" s="872"/>
      <x:c r="K191" s="873"/>
      <x:c r="L191" s="876"/>
      <x:c r="M191" s="873"/>
      <x:c r="N191" s="874"/>
      <x:c r="O191" s="874"/>
      <x:c r="P191" s="872"/>
      <x:c r="Q191" s="872"/>
      <x:c r="R191" s="872"/>
      <x:c r="S191" s="872"/>
      <x:c r="T191" s="872"/>
      <x:c r="U191" s="872"/>
      <x:c r="V191" s="872"/>
      <x:c r="W191" s="872"/>
      <x:c r="X191" s="872"/>
      <x:c r="Y191" s="872"/>
      <x:c r="Z191" s="872"/>
      <x:c r="AA191" s="877"/>
      <x:c r="AB191" s="872"/>
      <x:c r="AC191" s="872"/>
      <x:c r="AD191" s="872"/>
      <x:c r="AE191" s="872"/>
      <x:c r="AF191" s="872"/>
      <x:c r="AG191" s="872"/>
      <x:c r="AH191" s="872"/>
      <x:c r="AI191" s="872"/>
      <x:c r="AJ191" s="872"/>
      <x:c r="AK191" s="872"/>
      <x:c r="AL191" s="872"/>
      <x:c r="AM191" s="872"/>
      <x:c r="AN191" s="872"/>
      <x:c r="AO191" s="872"/>
      <x:c r="AP191" s="872"/>
      <x:c r="AQ191" s="878"/>
      <x:c r="AR191" s="874"/>
    </x:row>
    <x:row r="192" s="36" customFormat="1" ht="30" customHeight="1">
      <x:c r="A192" s="871"/>
      <x:c r="B192" s="871"/>
      <x:c r="C192" s="871"/>
      <x:c r="D192" s="872"/>
      <x:c r="E192" s="871"/>
      <x:c r="F192" s="871"/>
      <x:c r="G192" s="872"/>
      <x:c r="H192" s="872"/>
      <x:c r="I192" s="875"/>
      <x:c r="J192" s="872"/>
      <x:c r="K192" s="873"/>
      <x:c r="L192" s="876"/>
      <x:c r="M192" s="873"/>
      <x:c r="N192" s="874"/>
      <x:c r="O192" s="874"/>
      <x:c r="P192" s="872"/>
      <x:c r="Q192" s="872"/>
      <x:c r="R192" s="872"/>
      <x:c r="S192" s="872"/>
      <x:c r="T192" s="872"/>
      <x:c r="U192" s="872"/>
      <x:c r="V192" s="872"/>
      <x:c r="W192" s="872"/>
      <x:c r="X192" s="872"/>
      <x:c r="Y192" s="872"/>
      <x:c r="Z192" s="872"/>
      <x:c r="AA192" s="877"/>
      <x:c r="AB192" s="872"/>
      <x:c r="AC192" s="872"/>
      <x:c r="AD192" s="872"/>
      <x:c r="AE192" s="872"/>
      <x:c r="AF192" s="872"/>
      <x:c r="AG192" s="872"/>
      <x:c r="AH192" s="872"/>
      <x:c r="AI192" s="872"/>
      <x:c r="AJ192" s="872"/>
      <x:c r="AK192" s="872"/>
      <x:c r="AL192" s="872"/>
      <x:c r="AM192" s="872"/>
      <x:c r="AN192" s="872"/>
      <x:c r="AO192" s="872"/>
      <x:c r="AP192" s="872"/>
      <x:c r="AQ192" s="878"/>
      <x:c r="AR192" s="874"/>
    </x:row>
    <x:row r="193" s="36" customFormat="1" ht="30" customHeight="1">
      <x:c r="A193" s="871"/>
      <x:c r="B193" s="871"/>
      <x:c r="C193" s="871"/>
      <x:c r="D193" s="872"/>
      <x:c r="E193" s="871"/>
      <x:c r="F193" s="871"/>
      <x:c r="G193" s="872"/>
      <x:c r="H193" s="872"/>
      <x:c r="I193" s="875"/>
      <x:c r="J193" s="872"/>
      <x:c r="K193" s="873"/>
      <x:c r="L193" s="876"/>
      <x:c r="M193" s="873"/>
      <x:c r="N193" s="874"/>
      <x:c r="O193" s="874"/>
      <x:c r="P193" s="872"/>
      <x:c r="Q193" s="872"/>
      <x:c r="R193" s="872"/>
      <x:c r="S193" s="872"/>
      <x:c r="T193" s="872"/>
      <x:c r="U193" s="872"/>
      <x:c r="V193" s="872"/>
      <x:c r="W193" s="872"/>
      <x:c r="X193" s="872"/>
      <x:c r="Y193" s="872"/>
      <x:c r="Z193" s="872"/>
      <x:c r="AA193" s="877"/>
      <x:c r="AB193" s="872"/>
      <x:c r="AC193" s="872"/>
      <x:c r="AD193" s="872"/>
      <x:c r="AE193" s="872"/>
      <x:c r="AF193" s="872"/>
      <x:c r="AG193" s="872"/>
      <x:c r="AH193" s="872"/>
      <x:c r="AI193" s="872"/>
      <x:c r="AJ193" s="872"/>
      <x:c r="AK193" s="872"/>
      <x:c r="AL193" s="872"/>
      <x:c r="AM193" s="872"/>
      <x:c r="AN193" s="872"/>
      <x:c r="AO193" s="872"/>
      <x:c r="AP193" s="872"/>
      <x:c r="AQ193" s="878"/>
      <x:c r="AR193" s="874"/>
    </x:row>
    <x:row r="194" s="36" customFormat="1" ht="30" customHeight="1">
      <x:c r="A194" s="871"/>
      <x:c r="B194" s="871"/>
      <x:c r="C194" s="871"/>
      <x:c r="D194" s="872"/>
      <x:c r="E194" s="871"/>
      <x:c r="F194" s="871"/>
      <x:c r="G194" s="872"/>
      <x:c r="H194" s="872"/>
      <x:c r="I194" s="875"/>
      <x:c r="J194" s="872"/>
      <x:c r="K194" s="873"/>
      <x:c r="L194" s="876"/>
      <x:c r="M194" s="873"/>
      <x:c r="N194" s="874"/>
      <x:c r="O194" s="874"/>
      <x:c r="P194" s="872"/>
      <x:c r="Q194" s="872"/>
      <x:c r="R194" s="872"/>
      <x:c r="S194" s="872"/>
      <x:c r="T194" s="872"/>
      <x:c r="U194" s="872"/>
      <x:c r="V194" s="872"/>
      <x:c r="W194" s="872"/>
      <x:c r="X194" s="872"/>
      <x:c r="Y194" s="872"/>
      <x:c r="Z194" s="872"/>
      <x:c r="AA194" s="877"/>
      <x:c r="AB194" s="872"/>
      <x:c r="AC194" s="872"/>
      <x:c r="AD194" s="872"/>
      <x:c r="AE194" s="872"/>
      <x:c r="AF194" s="872"/>
      <x:c r="AG194" s="872"/>
      <x:c r="AH194" s="872"/>
      <x:c r="AI194" s="872"/>
      <x:c r="AJ194" s="872"/>
      <x:c r="AK194" s="872"/>
      <x:c r="AL194" s="872"/>
      <x:c r="AM194" s="872"/>
      <x:c r="AN194" s="872"/>
      <x:c r="AO194" s="872"/>
      <x:c r="AP194" s="872"/>
      <x:c r="AQ194" s="878"/>
      <x:c r="AR194" s="874"/>
    </x:row>
    <x:row r="195" s="36" customFormat="1" ht="30" customHeight="1">
      <x:c r="A195" s="871"/>
      <x:c r="B195" s="871"/>
      <x:c r="C195" s="871"/>
      <x:c r="D195" s="872"/>
      <x:c r="E195" s="871"/>
      <x:c r="F195" s="871"/>
      <x:c r="G195" s="872"/>
      <x:c r="H195" s="872"/>
      <x:c r="I195" s="875"/>
      <x:c r="J195" s="872"/>
      <x:c r="K195" s="873"/>
      <x:c r="L195" s="876"/>
      <x:c r="M195" s="873"/>
      <x:c r="N195" s="874"/>
      <x:c r="O195" s="874"/>
      <x:c r="P195" s="872"/>
      <x:c r="Q195" s="872"/>
      <x:c r="R195" s="872"/>
      <x:c r="S195" s="872"/>
      <x:c r="T195" s="872"/>
      <x:c r="U195" s="872"/>
      <x:c r="V195" s="872"/>
      <x:c r="W195" s="872"/>
      <x:c r="X195" s="872"/>
      <x:c r="Y195" s="872"/>
      <x:c r="Z195" s="872"/>
      <x:c r="AA195" s="877"/>
      <x:c r="AB195" s="872"/>
      <x:c r="AC195" s="872"/>
      <x:c r="AD195" s="872"/>
      <x:c r="AE195" s="872"/>
      <x:c r="AF195" s="872"/>
      <x:c r="AG195" s="872"/>
      <x:c r="AH195" s="872"/>
      <x:c r="AI195" s="872"/>
      <x:c r="AJ195" s="872"/>
      <x:c r="AK195" s="872"/>
      <x:c r="AL195" s="872"/>
      <x:c r="AM195" s="872"/>
      <x:c r="AN195" s="872"/>
      <x:c r="AO195" s="872"/>
      <x:c r="AP195" s="872"/>
      <x:c r="AQ195" s="878"/>
      <x:c r="AR195" s="874"/>
    </x:row>
    <x:row r="196" s="36" customFormat="1" ht="30" customHeight="1">
      <x:c r="A196" s="871"/>
      <x:c r="B196" s="871"/>
      <x:c r="C196" s="871"/>
      <x:c r="D196" s="872"/>
      <x:c r="E196" s="871"/>
      <x:c r="F196" s="871"/>
      <x:c r="G196" s="872"/>
      <x:c r="H196" s="872"/>
      <x:c r="I196" s="875"/>
      <x:c r="J196" s="872"/>
      <x:c r="K196" s="873"/>
      <x:c r="L196" s="876"/>
      <x:c r="M196" s="873"/>
      <x:c r="N196" s="874"/>
      <x:c r="O196" s="874"/>
      <x:c r="P196" s="872"/>
      <x:c r="Q196" s="872"/>
      <x:c r="R196" s="872"/>
      <x:c r="S196" s="872"/>
      <x:c r="T196" s="872"/>
      <x:c r="U196" s="872"/>
      <x:c r="V196" s="872"/>
      <x:c r="W196" s="872"/>
      <x:c r="X196" s="872"/>
      <x:c r="Y196" s="872"/>
      <x:c r="Z196" s="872"/>
      <x:c r="AA196" s="877"/>
      <x:c r="AB196" s="872"/>
      <x:c r="AC196" s="872"/>
      <x:c r="AD196" s="872"/>
      <x:c r="AE196" s="872"/>
      <x:c r="AF196" s="872"/>
      <x:c r="AG196" s="872"/>
      <x:c r="AH196" s="872"/>
      <x:c r="AI196" s="872"/>
      <x:c r="AJ196" s="872"/>
      <x:c r="AK196" s="872"/>
      <x:c r="AL196" s="872"/>
      <x:c r="AM196" s="872"/>
      <x:c r="AN196" s="872"/>
      <x:c r="AO196" s="872"/>
      <x:c r="AP196" s="872"/>
      <x:c r="AQ196" s="878"/>
      <x:c r="AR196" s="874"/>
    </x:row>
    <x:row r="197" s="36" customFormat="1" ht="30" customHeight="1">
      <x:c r="A197" s="871"/>
      <x:c r="B197" s="871"/>
      <x:c r="C197" s="871"/>
      <x:c r="D197" s="872"/>
      <x:c r="E197" s="871"/>
      <x:c r="F197" s="871"/>
      <x:c r="G197" s="872"/>
      <x:c r="H197" s="872"/>
      <x:c r="I197" s="875"/>
      <x:c r="J197" s="872"/>
      <x:c r="K197" s="873"/>
      <x:c r="L197" s="876"/>
      <x:c r="M197" s="873"/>
      <x:c r="N197" s="874"/>
      <x:c r="O197" s="874"/>
      <x:c r="P197" s="872"/>
      <x:c r="Q197" s="872"/>
      <x:c r="R197" s="872"/>
      <x:c r="S197" s="872"/>
      <x:c r="T197" s="872"/>
      <x:c r="U197" s="872"/>
      <x:c r="V197" s="872"/>
      <x:c r="W197" s="872"/>
      <x:c r="X197" s="872"/>
      <x:c r="Y197" s="872"/>
      <x:c r="Z197" s="872"/>
      <x:c r="AA197" s="877"/>
      <x:c r="AB197" s="872"/>
      <x:c r="AC197" s="872"/>
      <x:c r="AD197" s="872"/>
      <x:c r="AE197" s="872"/>
      <x:c r="AF197" s="872"/>
      <x:c r="AG197" s="872"/>
      <x:c r="AH197" s="872"/>
      <x:c r="AI197" s="872"/>
      <x:c r="AJ197" s="872"/>
      <x:c r="AK197" s="872"/>
      <x:c r="AL197" s="872"/>
      <x:c r="AM197" s="872"/>
      <x:c r="AN197" s="872"/>
      <x:c r="AO197" s="872"/>
      <x:c r="AP197" s="872"/>
      <x:c r="AQ197" s="878"/>
      <x:c r="AR197" s="874"/>
    </x:row>
    <x:row r="198" s="36" customFormat="1" ht="30" customHeight="1">
      <x:c r="A198" s="871"/>
      <x:c r="B198" s="871"/>
      <x:c r="C198" s="871"/>
      <x:c r="D198" s="872"/>
      <x:c r="E198" s="871"/>
      <x:c r="F198" s="871"/>
      <x:c r="G198" s="872"/>
      <x:c r="H198" s="872"/>
      <x:c r="I198" s="875"/>
      <x:c r="J198" s="872"/>
      <x:c r="K198" s="873"/>
      <x:c r="L198" s="876"/>
      <x:c r="M198" s="873"/>
      <x:c r="N198" s="874"/>
      <x:c r="O198" s="874"/>
      <x:c r="P198" s="872"/>
      <x:c r="Q198" s="872"/>
      <x:c r="R198" s="872"/>
      <x:c r="S198" s="872"/>
      <x:c r="T198" s="872"/>
      <x:c r="U198" s="872"/>
      <x:c r="V198" s="872"/>
      <x:c r="W198" s="872"/>
      <x:c r="X198" s="872"/>
      <x:c r="Y198" s="872"/>
      <x:c r="Z198" s="872"/>
      <x:c r="AA198" s="877"/>
      <x:c r="AB198" s="872"/>
      <x:c r="AC198" s="872"/>
      <x:c r="AD198" s="872"/>
      <x:c r="AE198" s="872"/>
      <x:c r="AF198" s="872"/>
      <x:c r="AG198" s="872"/>
      <x:c r="AH198" s="872"/>
      <x:c r="AI198" s="872"/>
      <x:c r="AJ198" s="872"/>
      <x:c r="AK198" s="872"/>
      <x:c r="AL198" s="872"/>
      <x:c r="AM198" s="872"/>
      <x:c r="AN198" s="872"/>
      <x:c r="AO198" s="872"/>
      <x:c r="AP198" s="872"/>
      <x:c r="AQ198" s="878"/>
      <x:c r="AR198" s="874"/>
    </x:row>
    <x:row r="199" s="36" customFormat="1" ht="30" customHeight="1">
      <x:c r="A199" s="871"/>
      <x:c r="B199" s="871"/>
      <x:c r="C199" s="871"/>
      <x:c r="D199" s="872"/>
      <x:c r="E199" s="871"/>
      <x:c r="F199" s="871"/>
      <x:c r="G199" s="872"/>
      <x:c r="H199" s="872"/>
      <x:c r="I199" s="875"/>
      <x:c r="J199" s="872"/>
      <x:c r="K199" s="873"/>
      <x:c r="L199" s="876"/>
      <x:c r="M199" s="873"/>
      <x:c r="N199" s="874"/>
      <x:c r="O199" s="874"/>
      <x:c r="P199" s="872"/>
      <x:c r="Q199" s="872"/>
      <x:c r="R199" s="872"/>
      <x:c r="S199" s="872"/>
      <x:c r="T199" s="872"/>
      <x:c r="U199" s="872"/>
      <x:c r="V199" s="872"/>
      <x:c r="W199" s="872"/>
      <x:c r="X199" s="872"/>
      <x:c r="Y199" s="872"/>
      <x:c r="Z199" s="872"/>
      <x:c r="AA199" s="877"/>
      <x:c r="AB199" s="872"/>
      <x:c r="AC199" s="872"/>
      <x:c r="AD199" s="872"/>
      <x:c r="AE199" s="872"/>
      <x:c r="AF199" s="872"/>
      <x:c r="AG199" s="872"/>
      <x:c r="AH199" s="872"/>
      <x:c r="AI199" s="872"/>
      <x:c r="AJ199" s="872"/>
      <x:c r="AK199" s="872"/>
      <x:c r="AL199" s="872"/>
      <x:c r="AM199" s="872"/>
      <x:c r="AN199" s="872"/>
      <x:c r="AO199" s="872"/>
      <x:c r="AP199" s="872"/>
      <x:c r="AQ199" s="878"/>
      <x:c r="AR199" s="874"/>
    </x:row>
    <x:row r="200" s="36" customFormat="1" ht="30" customHeight="1">
      <x:c r="A200" s="871"/>
      <x:c r="B200" s="871"/>
      <x:c r="C200" s="871"/>
      <x:c r="D200" s="872"/>
      <x:c r="E200" s="871"/>
      <x:c r="F200" s="871"/>
      <x:c r="G200" s="872"/>
      <x:c r="H200" s="872"/>
      <x:c r="I200" s="875"/>
      <x:c r="J200" s="872"/>
      <x:c r="K200" s="873"/>
      <x:c r="L200" s="876"/>
      <x:c r="M200" s="873"/>
      <x:c r="N200" s="874"/>
      <x:c r="O200" s="874"/>
      <x:c r="P200" s="872"/>
      <x:c r="Q200" s="872"/>
      <x:c r="R200" s="872"/>
      <x:c r="S200" s="872"/>
      <x:c r="T200" s="872"/>
      <x:c r="U200" s="872"/>
      <x:c r="V200" s="872"/>
      <x:c r="W200" s="872"/>
      <x:c r="X200" s="872"/>
      <x:c r="Y200" s="872"/>
      <x:c r="Z200" s="872"/>
      <x:c r="AA200" s="877"/>
      <x:c r="AB200" s="872"/>
      <x:c r="AC200" s="872"/>
      <x:c r="AD200" s="872"/>
      <x:c r="AE200" s="872"/>
      <x:c r="AF200" s="872"/>
      <x:c r="AG200" s="872"/>
      <x:c r="AH200" s="872"/>
      <x:c r="AI200" s="872"/>
      <x:c r="AJ200" s="872"/>
      <x:c r="AK200" s="872"/>
      <x:c r="AL200" s="872"/>
      <x:c r="AM200" s="872"/>
      <x:c r="AN200" s="872"/>
      <x:c r="AO200" s="872"/>
      <x:c r="AP200" s="872"/>
      <x:c r="AQ200" s="878"/>
      <x:c r="AR200" s="874"/>
    </x:row>
    <x:row r="201" s="36" customFormat="1" ht="30" customHeight="1">
      <x:c r="A201" s="871"/>
      <x:c r="B201" s="871"/>
      <x:c r="C201" s="871"/>
      <x:c r="D201" s="872"/>
      <x:c r="E201" s="871"/>
      <x:c r="F201" s="871"/>
      <x:c r="G201" s="872"/>
      <x:c r="H201" s="872"/>
      <x:c r="I201" s="875"/>
      <x:c r="J201" s="872"/>
      <x:c r="K201" s="873"/>
      <x:c r="L201" s="876"/>
      <x:c r="M201" s="873"/>
      <x:c r="N201" s="874"/>
      <x:c r="O201" s="874"/>
      <x:c r="P201" s="872"/>
      <x:c r="Q201" s="872"/>
      <x:c r="R201" s="872"/>
      <x:c r="S201" s="872"/>
      <x:c r="T201" s="872"/>
      <x:c r="U201" s="872"/>
      <x:c r="V201" s="872"/>
      <x:c r="W201" s="872"/>
      <x:c r="X201" s="872"/>
      <x:c r="Y201" s="872"/>
      <x:c r="Z201" s="872"/>
      <x:c r="AA201" s="877"/>
      <x:c r="AB201" s="872"/>
      <x:c r="AC201" s="872"/>
      <x:c r="AD201" s="872"/>
      <x:c r="AE201" s="872"/>
      <x:c r="AF201" s="872"/>
      <x:c r="AG201" s="872"/>
      <x:c r="AH201" s="872"/>
      <x:c r="AI201" s="872"/>
      <x:c r="AJ201" s="872"/>
      <x:c r="AK201" s="872"/>
      <x:c r="AL201" s="872"/>
      <x:c r="AM201" s="872"/>
      <x:c r="AN201" s="872"/>
      <x:c r="AO201" s="872"/>
      <x:c r="AP201" s="872"/>
      <x:c r="AQ201" s="878"/>
      <x:c r="AR201" s="874"/>
    </x:row>
    <x:row r="202" s="36" customFormat="1" ht="30" customHeight="1">
      <x:c r="A202" s="871"/>
      <x:c r="B202" s="871"/>
      <x:c r="C202" s="871"/>
      <x:c r="D202" s="872"/>
      <x:c r="E202" s="871"/>
      <x:c r="F202" s="871"/>
      <x:c r="G202" s="872"/>
      <x:c r="H202" s="872"/>
      <x:c r="I202" s="875"/>
      <x:c r="J202" s="872"/>
      <x:c r="K202" s="873"/>
      <x:c r="L202" s="876"/>
      <x:c r="M202" s="873"/>
      <x:c r="N202" s="874"/>
      <x:c r="O202" s="874"/>
      <x:c r="P202" s="872"/>
      <x:c r="Q202" s="872"/>
      <x:c r="R202" s="872"/>
      <x:c r="S202" s="872"/>
      <x:c r="T202" s="872"/>
      <x:c r="U202" s="872"/>
      <x:c r="V202" s="872"/>
      <x:c r="W202" s="872"/>
      <x:c r="X202" s="872"/>
      <x:c r="Y202" s="872"/>
      <x:c r="Z202" s="872"/>
      <x:c r="AA202" s="877"/>
      <x:c r="AB202" s="872"/>
      <x:c r="AC202" s="872"/>
      <x:c r="AD202" s="872"/>
      <x:c r="AE202" s="872"/>
      <x:c r="AF202" s="872"/>
      <x:c r="AG202" s="872"/>
      <x:c r="AH202" s="872"/>
      <x:c r="AI202" s="872"/>
      <x:c r="AJ202" s="872"/>
      <x:c r="AK202" s="872"/>
      <x:c r="AL202" s="872"/>
      <x:c r="AM202" s="872"/>
      <x:c r="AN202" s="872"/>
      <x:c r="AO202" s="872"/>
      <x:c r="AP202" s="872"/>
      <x:c r="AQ202" s="878"/>
      <x:c r="AR202" s="874"/>
    </x:row>
    <x:row r="203" s="36" customFormat="1" ht="30" customHeight="1">
      <x:c r="A203" s="871"/>
      <x:c r="B203" s="871"/>
      <x:c r="C203" s="871"/>
      <x:c r="D203" s="872"/>
      <x:c r="E203" s="871"/>
      <x:c r="F203" s="871"/>
      <x:c r="G203" s="872"/>
      <x:c r="H203" s="872"/>
      <x:c r="I203" s="875"/>
      <x:c r="J203" s="872"/>
      <x:c r="K203" s="873"/>
      <x:c r="L203" s="876"/>
      <x:c r="M203" s="873"/>
      <x:c r="N203" s="874"/>
      <x:c r="O203" s="874"/>
      <x:c r="P203" s="872"/>
      <x:c r="Q203" s="872"/>
      <x:c r="R203" s="872"/>
      <x:c r="S203" s="872"/>
      <x:c r="T203" s="872"/>
      <x:c r="U203" s="872"/>
      <x:c r="V203" s="872"/>
      <x:c r="W203" s="872"/>
      <x:c r="X203" s="872"/>
      <x:c r="Y203" s="872"/>
      <x:c r="Z203" s="872"/>
      <x:c r="AA203" s="877"/>
      <x:c r="AB203" s="872"/>
      <x:c r="AC203" s="872"/>
      <x:c r="AD203" s="872"/>
      <x:c r="AE203" s="872"/>
      <x:c r="AF203" s="872"/>
      <x:c r="AG203" s="872"/>
      <x:c r="AH203" s="872"/>
      <x:c r="AI203" s="872"/>
      <x:c r="AJ203" s="872"/>
      <x:c r="AK203" s="872"/>
      <x:c r="AL203" s="872"/>
      <x:c r="AM203" s="872"/>
      <x:c r="AN203" s="872"/>
      <x:c r="AO203" s="872"/>
      <x:c r="AP203" s="872"/>
      <x:c r="AQ203" s="878"/>
      <x:c r="AR203" s="874"/>
    </x:row>
    <x:row r="204" s="36" customFormat="1" ht="30" customHeight="1">
      <x:c r="A204" s="871"/>
      <x:c r="B204" s="871"/>
      <x:c r="C204" s="871"/>
      <x:c r="D204" s="872"/>
      <x:c r="E204" s="871"/>
      <x:c r="F204" s="871"/>
      <x:c r="G204" s="872"/>
      <x:c r="H204" s="872"/>
      <x:c r="I204" s="875"/>
      <x:c r="J204" s="872"/>
      <x:c r="K204" s="873"/>
      <x:c r="L204" s="876"/>
      <x:c r="M204" s="873"/>
      <x:c r="N204" s="874"/>
      <x:c r="O204" s="874"/>
      <x:c r="P204" s="872"/>
      <x:c r="Q204" s="872"/>
      <x:c r="R204" s="872"/>
      <x:c r="S204" s="872"/>
      <x:c r="T204" s="872"/>
      <x:c r="U204" s="872"/>
      <x:c r="V204" s="872"/>
      <x:c r="W204" s="872"/>
      <x:c r="X204" s="872"/>
      <x:c r="Y204" s="872"/>
      <x:c r="Z204" s="872"/>
      <x:c r="AA204" s="877"/>
      <x:c r="AB204" s="872"/>
      <x:c r="AC204" s="872"/>
      <x:c r="AD204" s="872"/>
      <x:c r="AE204" s="872"/>
      <x:c r="AF204" s="872"/>
      <x:c r="AG204" s="872"/>
      <x:c r="AH204" s="872"/>
      <x:c r="AI204" s="872"/>
      <x:c r="AJ204" s="872"/>
      <x:c r="AK204" s="872"/>
      <x:c r="AL204" s="872"/>
      <x:c r="AM204" s="872"/>
      <x:c r="AN204" s="872"/>
      <x:c r="AO204" s="872"/>
      <x:c r="AP204" s="872"/>
      <x:c r="AQ204" s="878"/>
      <x:c r="AR204" s="874"/>
    </x:row>
    <x:row r="205" s="36" customFormat="1" ht="30" customHeight="1">
      <x:c r="A205" s="871"/>
      <x:c r="B205" s="871"/>
      <x:c r="C205" s="871"/>
      <x:c r="D205" s="872"/>
      <x:c r="E205" s="871"/>
      <x:c r="F205" s="871"/>
      <x:c r="G205" s="872"/>
      <x:c r="H205" s="872"/>
      <x:c r="I205" s="875"/>
      <x:c r="J205" s="872"/>
      <x:c r="K205" s="873"/>
      <x:c r="L205" s="876"/>
      <x:c r="M205" s="873"/>
      <x:c r="N205" s="874"/>
      <x:c r="O205" s="874"/>
      <x:c r="P205" s="872"/>
      <x:c r="Q205" s="872"/>
      <x:c r="R205" s="872"/>
      <x:c r="S205" s="872"/>
      <x:c r="T205" s="872"/>
      <x:c r="U205" s="872"/>
      <x:c r="V205" s="872"/>
      <x:c r="W205" s="872"/>
      <x:c r="X205" s="872"/>
      <x:c r="Y205" s="872"/>
      <x:c r="Z205" s="872"/>
      <x:c r="AA205" s="877"/>
      <x:c r="AB205" s="872"/>
      <x:c r="AC205" s="872"/>
      <x:c r="AD205" s="872"/>
      <x:c r="AE205" s="872"/>
      <x:c r="AF205" s="872"/>
      <x:c r="AG205" s="872"/>
      <x:c r="AH205" s="872"/>
      <x:c r="AI205" s="872"/>
      <x:c r="AJ205" s="872"/>
      <x:c r="AK205" s="872"/>
      <x:c r="AL205" s="872"/>
      <x:c r="AM205" s="872"/>
      <x:c r="AN205" s="872"/>
      <x:c r="AO205" s="872"/>
      <x:c r="AP205" s="872"/>
      <x:c r="AQ205" s="878"/>
      <x:c r="AR205" s="874"/>
    </x:row>
    <x:row r="206" s="36" customFormat="1" ht="30" customHeight="1">
      <x:c r="A206" s="871"/>
      <x:c r="B206" s="871"/>
      <x:c r="C206" s="871"/>
      <x:c r="D206" s="872"/>
      <x:c r="E206" s="871"/>
      <x:c r="F206" s="871"/>
      <x:c r="G206" s="872"/>
      <x:c r="H206" s="872"/>
      <x:c r="I206" s="875"/>
      <x:c r="J206" s="872"/>
      <x:c r="K206" s="873"/>
      <x:c r="L206" s="876"/>
      <x:c r="M206" s="873"/>
      <x:c r="N206" s="874"/>
      <x:c r="O206" s="874"/>
      <x:c r="P206" s="872"/>
      <x:c r="Q206" s="872"/>
      <x:c r="R206" s="872"/>
      <x:c r="S206" s="872"/>
      <x:c r="T206" s="872"/>
      <x:c r="U206" s="872"/>
      <x:c r="V206" s="872"/>
      <x:c r="W206" s="872"/>
      <x:c r="X206" s="872"/>
      <x:c r="Y206" s="872"/>
      <x:c r="Z206" s="872"/>
      <x:c r="AA206" s="877"/>
      <x:c r="AB206" s="872"/>
      <x:c r="AC206" s="872"/>
      <x:c r="AD206" s="872"/>
      <x:c r="AE206" s="872"/>
      <x:c r="AF206" s="872"/>
      <x:c r="AG206" s="872"/>
      <x:c r="AH206" s="872"/>
      <x:c r="AI206" s="872"/>
      <x:c r="AJ206" s="872"/>
      <x:c r="AK206" s="872"/>
      <x:c r="AL206" s="872"/>
      <x:c r="AM206" s="872"/>
      <x:c r="AN206" s="872"/>
      <x:c r="AO206" s="872"/>
      <x:c r="AP206" s="872"/>
      <x:c r="AQ206" s="878"/>
      <x:c r="AR206" s="874"/>
    </x:row>
    <x:row r="207" s="36" customFormat="1" ht="30" customHeight="1">
      <x:c r="A207" s="871"/>
      <x:c r="B207" s="871"/>
      <x:c r="C207" s="871"/>
      <x:c r="D207" s="872"/>
      <x:c r="E207" s="871"/>
      <x:c r="F207" s="871"/>
      <x:c r="G207" s="872"/>
      <x:c r="H207" s="872"/>
      <x:c r="I207" s="875"/>
      <x:c r="J207" s="872"/>
      <x:c r="K207" s="873"/>
      <x:c r="L207" s="876"/>
      <x:c r="M207" s="873"/>
      <x:c r="N207" s="874"/>
      <x:c r="O207" s="874"/>
      <x:c r="P207" s="872"/>
      <x:c r="Q207" s="872"/>
      <x:c r="R207" s="872"/>
      <x:c r="S207" s="872"/>
      <x:c r="T207" s="872"/>
      <x:c r="U207" s="872"/>
      <x:c r="V207" s="872"/>
      <x:c r="W207" s="872"/>
      <x:c r="X207" s="872"/>
      <x:c r="Y207" s="872"/>
      <x:c r="Z207" s="872"/>
      <x:c r="AA207" s="877"/>
      <x:c r="AB207" s="872"/>
      <x:c r="AC207" s="872"/>
      <x:c r="AD207" s="872"/>
      <x:c r="AE207" s="872"/>
      <x:c r="AF207" s="872"/>
      <x:c r="AG207" s="872"/>
      <x:c r="AH207" s="872"/>
      <x:c r="AI207" s="872"/>
      <x:c r="AJ207" s="872"/>
      <x:c r="AK207" s="872"/>
      <x:c r="AL207" s="872"/>
      <x:c r="AM207" s="872"/>
      <x:c r="AN207" s="872"/>
      <x:c r="AO207" s="872"/>
      <x:c r="AP207" s="872"/>
      <x:c r="AQ207" s="878"/>
      <x:c r="AR207" s="874"/>
    </x:row>
    <x:row r="208" s="36" customFormat="1" ht="30" customHeight="1">
      <x:c r="A208" s="871"/>
      <x:c r="B208" s="871"/>
      <x:c r="C208" s="871"/>
      <x:c r="D208" s="872"/>
      <x:c r="E208" s="871"/>
      <x:c r="F208" s="871"/>
      <x:c r="G208" s="872"/>
      <x:c r="H208" s="872"/>
      <x:c r="I208" s="875"/>
      <x:c r="J208" s="872"/>
      <x:c r="K208" s="873"/>
      <x:c r="L208" s="876"/>
      <x:c r="M208" s="873"/>
      <x:c r="N208" s="874"/>
      <x:c r="O208" s="874"/>
      <x:c r="P208" s="872"/>
      <x:c r="Q208" s="872"/>
      <x:c r="R208" s="872"/>
      <x:c r="S208" s="872"/>
      <x:c r="T208" s="872"/>
      <x:c r="U208" s="872"/>
      <x:c r="V208" s="872"/>
      <x:c r="W208" s="872"/>
      <x:c r="X208" s="872"/>
      <x:c r="Y208" s="872"/>
      <x:c r="Z208" s="872"/>
      <x:c r="AA208" s="877"/>
      <x:c r="AB208" s="872"/>
      <x:c r="AC208" s="872"/>
      <x:c r="AD208" s="872"/>
      <x:c r="AE208" s="872"/>
      <x:c r="AF208" s="872"/>
      <x:c r="AG208" s="872"/>
      <x:c r="AH208" s="872"/>
      <x:c r="AI208" s="872"/>
      <x:c r="AJ208" s="872"/>
      <x:c r="AK208" s="872"/>
      <x:c r="AL208" s="872"/>
      <x:c r="AM208" s="872"/>
      <x:c r="AN208" s="872"/>
      <x:c r="AO208" s="872"/>
      <x:c r="AP208" s="872"/>
      <x:c r="AQ208" s="878"/>
      <x:c r="AR208" s="874"/>
    </x:row>
    <x:row r="209" s="36" customFormat="1" ht="30" customHeight="1">
      <x:c r="A209" s="871"/>
      <x:c r="B209" s="871"/>
      <x:c r="C209" s="871"/>
      <x:c r="D209" s="872"/>
      <x:c r="E209" s="871"/>
      <x:c r="F209" s="871"/>
      <x:c r="G209" s="872"/>
      <x:c r="H209" s="872"/>
      <x:c r="I209" s="875"/>
      <x:c r="J209" s="872"/>
      <x:c r="K209" s="873"/>
      <x:c r="L209" s="876"/>
      <x:c r="M209" s="873"/>
      <x:c r="N209" s="874"/>
      <x:c r="O209" s="874"/>
      <x:c r="P209" s="872"/>
      <x:c r="Q209" s="872"/>
      <x:c r="R209" s="872"/>
      <x:c r="S209" s="872"/>
      <x:c r="T209" s="872"/>
      <x:c r="U209" s="872"/>
      <x:c r="V209" s="872"/>
      <x:c r="W209" s="872"/>
      <x:c r="X209" s="872"/>
      <x:c r="Y209" s="872"/>
      <x:c r="Z209" s="872"/>
      <x:c r="AA209" s="877"/>
      <x:c r="AB209" s="872"/>
      <x:c r="AC209" s="872"/>
      <x:c r="AD209" s="872"/>
      <x:c r="AE209" s="872"/>
      <x:c r="AF209" s="872"/>
      <x:c r="AG209" s="872"/>
      <x:c r="AH209" s="872"/>
      <x:c r="AI209" s="872"/>
      <x:c r="AJ209" s="872"/>
      <x:c r="AK209" s="872"/>
      <x:c r="AL209" s="872"/>
      <x:c r="AM209" s="872"/>
      <x:c r="AN209" s="872"/>
      <x:c r="AO209" s="872"/>
      <x:c r="AP209" s="872"/>
      <x:c r="AQ209" s="878"/>
      <x:c r="AR209" s="874"/>
    </x:row>
    <x:row r="210" s="36" customFormat="1" ht="30" customHeight="1">
      <x:c r="A210" s="871"/>
      <x:c r="B210" s="871"/>
      <x:c r="C210" s="871"/>
      <x:c r="D210" s="872"/>
      <x:c r="E210" s="871"/>
      <x:c r="F210" s="871"/>
      <x:c r="G210" s="872"/>
      <x:c r="H210" s="872"/>
      <x:c r="I210" s="875"/>
      <x:c r="J210" s="872"/>
      <x:c r="K210" s="873"/>
      <x:c r="L210" s="876"/>
      <x:c r="M210" s="873"/>
      <x:c r="N210" s="874"/>
      <x:c r="O210" s="874"/>
      <x:c r="P210" s="872"/>
      <x:c r="Q210" s="872"/>
      <x:c r="R210" s="872"/>
      <x:c r="S210" s="872"/>
      <x:c r="T210" s="872"/>
      <x:c r="U210" s="872"/>
      <x:c r="V210" s="872"/>
      <x:c r="W210" s="872"/>
      <x:c r="X210" s="872"/>
      <x:c r="Y210" s="872"/>
      <x:c r="Z210" s="872"/>
      <x:c r="AA210" s="877"/>
      <x:c r="AB210" s="872"/>
      <x:c r="AC210" s="872"/>
      <x:c r="AD210" s="872"/>
      <x:c r="AE210" s="872"/>
      <x:c r="AF210" s="872"/>
      <x:c r="AG210" s="872"/>
      <x:c r="AH210" s="872"/>
      <x:c r="AI210" s="872"/>
      <x:c r="AJ210" s="872"/>
      <x:c r="AK210" s="872"/>
      <x:c r="AL210" s="872"/>
      <x:c r="AM210" s="872"/>
      <x:c r="AN210" s="872"/>
      <x:c r="AO210" s="872"/>
      <x:c r="AP210" s="872"/>
      <x:c r="AQ210" s="878"/>
      <x:c r="AR210" s="874"/>
    </x:row>
    <x:row r="211" s="36" customFormat="1" ht="30" customHeight="1">
      <x:c r="A211" s="871"/>
      <x:c r="B211" s="871"/>
      <x:c r="C211" s="871"/>
      <x:c r="D211" s="872"/>
      <x:c r="E211" s="871"/>
      <x:c r="F211" s="871"/>
      <x:c r="G211" s="872"/>
      <x:c r="H211" s="872"/>
      <x:c r="I211" s="875"/>
      <x:c r="J211" s="872"/>
      <x:c r="K211" s="873"/>
      <x:c r="L211" s="876"/>
      <x:c r="M211" s="873"/>
      <x:c r="N211" s="874"/>
      <x:c r="O211" s="874"/>
      <x:c r="P211" s="872"/>
      <x:c r="Q211" s="872"/>
      <x:c r="R211" s="872"/>
      <x:c r="S211" s="872"/>
      <x:c r="T211" s="872"/>
      <x:c r="U211" s="872"/>
      <x:c r="V211" s="872"/>
      <x:c r="W211" s="872"/>
      <x:c r="X211" s="872"/>
      <x:c r="Y211" s="872"/>
      <x:c r="Z211" s="872"/>
      <x:c r="AA211" s="877"/>
      <x:c r="AB211" s="872"/>
      <x:c r="AC211" s="872"/>
      <x:c r="AD211" s="872"/>
      <x:c r="AE211" s="872"/>
      <x:c r="AF211" s="872"/>
      <x:c r="AG211" s="872"/>
      <x:c r="AH211" s="872"/>
      <x:c r="AI211" s="872"/>
      <x:c r="AJ211" s="872"/>
      <x:c r="AK211" s="872"/>
      <x:c r="AL211" s="872"/>
      <x:c r="AM211" s="872"/>
      <x:c r="AN211" s="872"/>
      <x:c r="AO211" s="872"/>
      <x:c r="AP211" s="872"/>
      <x:c r="AQ211" s="878"/>
      <x:c r="AR211" s="874"/>
    </x:row>
    <x:row r="212" s="36" customFormat="1" ht="30" customHeight="1">
      <x:c r="A212" s="871"/>
      <x:c r="B212" s="871"/>
      <x:c r="C212" s="871"/>
      <x:c r="D212" s="872"/>
      <x:c r="E212" s="871"/>
      <x:c r="F212" s="871"/>
      <x:c r="G212" s="872"/>
      <x:c r="H212" s="872"/>
      <x:c r="I212" s="875"/>
      <x:c r="J212" s="872"/>
      <x:c r="K212" s="873"/>
      <x:c r="L212" s="876"/>
      <x:c r="M212" s="873"/>
      <x:c r="N212" s="874"/>
      <x:c r="O212" s="874"/>
      <x:c r="P212" s="872"/>
      <x:c r="Q212" s="872"/>
      <x:c r="R212" s="872"/>
      <x:c r="S212" s="872"/>
      <x:c r="T212" s="872"/>
      <x:c r="U212" s="872"/>
      <x:c r="V212" s="872"/>
      <x:c r="W212" s="872"/>
      <x:c r="X212" s="872"/>
      <x:c r="Y212" s="872"/>
      <x:c r="Z212" s="872"/>
      <x:c r="AA212" s="877"/>
      <x:c r="AB212" s="872"/>
      <x:c r="AC212" s="872"/>
      <x:c r="AD212" s="872"/>
      <x:c r="AE212" s="872"/>
      <x:c r="AF212" s="872"/>
      <x:c r="AG212" s="872"/>
      <x:c r="AH212" s="872"/>
      <x:c r="AI212" s="872"/>
      <x:c r="AJ212" s="872"/>
      <x:c r="AK212" s="872"/>
      <x:c r="AL212" s="872"/>
      <x:c r="AM212" s="872"/>
      <x:c r="AN212" s="872"/>
      <x:c r="AO212" s="872"/>
      <x:c r="AP212" s="872"/>
      <x:c r="AQ212" s="878"/>
      <x:c r="AR212" s="874"/>
    </x:row>
    <x:row r="213" s="36" customFormat="1" ht="30" customHeight="1">
      <x:c r="A213" s="871"/>
      <x:c r="B213" s="871"/>
      <x:c r="C213" s="871"/>
      <x:c r="D213" s="872"/>
      <x:c r="E213" s="871"/>
      <x:c r="F213" s="871"/>
      <x:c r="G213" s="872"/>
      <x:c r="H213" s="872"/>
      <x:c r="I213" s="875"/>
      <x:c r="J213" s="872"/>
      <x:c r="K213" s="873"/>
      <x:c r="L213" s="876"/>
      <x:c r="M213" s="873"/>
      <x:c r="N213" s="874"/>
      <x:c r="O213" s="874"/>
      <x:c r="P213" s="872"/>
      <x:c r="Q213" s="872"/>
      <x:c r="R213" s="872"/>
      <x:c r="S213" s="872"/>
      <x:c r="T213" s="872"/>
      <x:c r="U213" s="872"/>
      <x:c r="V213" s="872"/>
      <x:c r="W213" s="872"/>
      <x:c r="X213" s="872"/>
      <x:c r="Y213" s="872"/>
      <x:c r="Z213" s="872"/>
      <x:c r="AA213" s="877"/>
      <x:c r="AB213" s="872"/>
      <x:c r="AC213" s="872"/>
      <x:c r="AD213" s="872"/>
      <x:c r="AE213" s="872"/>
      <x:c r="AF213" s="872"/>
      <x:c r="AG213" s="872"/>
      <x:c r="AH213" s="872"/>
      <x:c r="AI213" s="872"/>
      <x:c r="AJ213" s="872"/>
      <x:c r="AK213" s="872"/>
      <x:c r="AL213" s="872"/>
      <x:c r="AM213" s="872"/>
      <x:c r="AN213" s="872"/>
      <x:c r="AO213" s="872"/>
      <x:c r="AP213" s="872"/>
      <x:c r="AQ213" s="878"/>
      <x:c r="AR213" s="874"/>
    </x:row>
    <x:row r="214" s="36" customFormat="1" ht="30" customHeight="1">
      <x:c r="A214" s="871"/>
      <x:c r="B214" s="871"/>
      <x:c r="C214" s="871"/>
      <x:c r="D214" s="872"/>
      <x:c r="E214" s="871"/>
      <x:c r="F214" s="871"/>
      <x:c r="G214" s="872"/>
      <x:c r="H214" s="872"/>
      <x:c r="I214" s="875"/>
      <x:c r="J214" s="872"/>
      <x:c r="K214" s="873"/>
      <x:c r="L214" s="876"/>
      <x:c r="M214" s="873"/>
      <x:c r="N214" s="874"/>
      <x:c r="O214" s="874"/>
      <x:c r="P214" s="872"/>
      <x:c r="Q214" s="872"/>
      <x:c r="R214" s="872"/>
      <x:c r="S214" s="872"/>
      <x:c r="T214" s="872"/>
      <x:c r="U214" s="872"/>
      <x:c r="V214" s="872"/>
      <x:c r="W214" s="872"/>
      <x:c r="X214" s="872"/>
      <x:c r="Y214" s="872"/>
      <x:c r="Z214" s="872"/>
      <x:c r="AA214" s="877"/>
      <x:c r="AB214" s="872"/>
      <x:c r="AC214" s="872"/>
      <x:c r="AD214" s="872"/>
      <x:c r="AE214" s="872"/>
      <x:c r="AF214" s="872"/>
      <x:c r="AG214" s="872"/>
      <x:c r="AH214" s="872"/>
      <x:c r="AI214" s="872"/>
      <x:c r="AJ214" s="872"/>
      <x:c r="AK214" s="872"/>
      <x:c r="AL214" s="872"/>
      <x:c r="AM214" s="872"/>
      <x:c r="AN214" s="872"/>
      <x:c r="AO214" s="872"/>
      <x:c r="AP214" s="872"/>
      <x:c r="AQ214" s="878"/>
      <x:c r="AR214" s="874"/>
    </x:row>
    <x:row r="215" s="36" customFormat="1" ht="30" customHeight="1">
      <x:c r="A215" s="871"/>
      <x:c r="B215" s="871"/>
      <x:c r="C215" s="871"/>
      <x:c r="D215" s="872"/>
      <x:c r="E215" s="871"/>
      <x:c r="F215" s="871"/>
      <x:c r="G215" s="872"/>
      <x:c r="H215" s="872"/>
      <x:c r="I215" s="875"/>
      <x:c r="J215" s="872"/>
      <x:c r="K215" s="873"/>
      <x:c r="L215" s="876"/>
      <x:c r="M215" s="873"/>
      <x:c r="N215" s="874"/>
      <x:c r="O215" s="874"/>
      <x:c r="P215" s="872"/>
      <x:c r="Q215" s="872"/>
      <x:c r="R215" s="872"/>
      <x:c r="S215" s="872"/>
      <x:c r="T215" s="872"/>
      <x:c r="U215" s="872"/>
      <x:c r="V215" s="872"/>
      <x:c r="W215" s="872"/>
      <x:c r="X215" s="872"/>
      <x:c r="Y215" s="872"/>
      <x:c r="Z215" s="872"/>
      <x:c r="AA215" s="877"/>
      <x:c r="AB215" s="872"/>
      <x:c r="AC215" s="872"/>
      <x:c r="AD215" s="872"/>
      <x:c r="AE215" s="872"/>
      <x:c r="AF215" s="872"/>
      <x:c r="AG215" s="872"/>
      <x:c r="AH215" s="872"/>
      <x:c r="AI215" s="872"/>
      <x:c r="AJ215" s="872"/>
      <x:c r="AK215" s="872"/>
      <x:c r="AL215" s="872"/>
      <x:c r="AM215" s="872"/>
      <x:c r="AN215" s="872"/>
      <x:c r="AO215" s="872"/>
      <x:c r="AP215" s="872"/>
      <x:c r="AQ215" s="878"/>
      <x:c r="AR215" s="874"/>
    </x:row>
    <x:row r="216" s="36" customFormat="1" ht="30" customHeight="1">
      <x:c r="A216" s="871"/>
      <x:c r="B216" s="871"/>
      <x:c r="C216" s="871"/>
      <x:c r="D216" s="872"/>
      <x:c r="E216" s="871"/>
      <x:c r="F216" s="871"/>
      <x:c r="G216" s="872"/>
      <x:c r="H216" s="872"/>
      <x:c r="I216" s="875"/>
      <x:c r="J216" s="872"/>
      <x:c r="K216" s="873"/>
      <x:c r="L216" s="876"/>
      <x:c r="M216" s="873"/>
      <x:c r="N216" s="874"/>
      <x:c r="O216" s="874"/>
      <x:c r="P216" s="872"/>
      <x:c r="Q216" s="872"/>
      <x:c r="R216" s="872"/>
      <x:c r="S216" s="872"/>
      <x:c r="T216" s="872"/>
      <x:c r="U216" s="872"/>
      <x:c r="V216" s="872"/>
      <x:c r="W216" s="872"/>
      <x:c r="X216" s="872"/>
      <x:c r="Y216" s="872"/>
      <x:c r="Z216" s="872"/>
      <x:c r="AA216" s="877"/>
      <x:c r="AB216" s="872"/>
      <x:c r="AC216" s="872"/>
      <x:c r="AD216" s="872"/>
      <x:c r="AE216" s="872"/>
      <x:c r="AF216" s="872"/>
      <x:c r="AG216" s="872"/>
      <x:c r="AH216" s="872"/>
      <x:c r="AI216" s="872"/>
      <x:c r="AJ216" s="872"/>
      <x:c r="AK216" s="872"/>
      <x:c r="AL216" s="872"/>
      <x:c r="AM216" s="872"/>
      <x:c r="AN216" s="872"/>
      <x:c r="AO216" s="872"/>
      <x:c r="AP216" s="872"/>
      <x:c r="AQ216" s="878"/>
      <x:c r="AR216" s="874"/>
    </x:row>
    <x:row r="217" s="36" customFormat="1" ht="30" customHeight="1">
      <x:c r="A217" s="871"/>
      <x:c r="B217" s="871"/>
      <x:c r="C217" s="871"/>
      <x:c r="D217" s="872"/>
      <x:c r="E217" s="871"/>
      <x:c r="F217" s="871"/>
      <x:c r="G217" s="872"/>
      <x:c r="H217" s="872"/>
      <x:c r="I217" s="875"/>
      <x:c r="J217" s="872"/>
      <x:c r="K217" s="873"/>
      <x:c r="L217" s="876"/>
      <x:c r="M217" s="873"/>
      <x:c r="N217" s="874"/>
      <x:c r="O217" s="874"/>
      <x:c r="P217" s="872"/>
      <x:c r="Q217" s="872"/>
      <x:c r="R217" s="872"/>
      <x:c r="S217" s="872"/>
      <x:c r="T217" s="872"/>
      <x:c r="U217" s="872"/>
      <x:c r="V217" s="872"/>
      <x:c r="W217" s="872"/>
      <x:c r="X217" s="872"/>
      <x:c r="Y217" s="872"/>
      <x:c r="Z217" s="872"/>
      <x:c r="AA217" s="877"/>
      <x:c r="AB217" s="872"/>
      <x:c r="AC217" s="872"/>
      <x:c r="AD217" s="872"/>
      <x:c r="AE217" s="872"/>
      <x:c r="AF217" s="872"/>
      <x:c r="AG217" s="872"/>
      <x:c r="AH217" s="872"/>
      <x:c r="AI217" s="872"/>
      <x:c r="AJ217" s="872"/>
      <x:c r="AK217" s="872"/>
      <x:c r="AL217" s="872"/>
      <x:c r="AM217" s="872"/>
      <x:c r="AN217" s="872"/>
      <x:c r="AO217" s="872"/>
      <x:c r="AP217" s="872"/>
      <x:c r="AQ217" s="878"/>
      <x:c r="AR217" s="874"/>
    </x:row>
    <x:row r="218" s="36" customFormat="1" ht="30" customHeight="1">
      <x:c r="A218" s="871"/>
      <x:c r="B218" s="871"/>
      <x:c r="C218" s="871"/>
      <x:c r="D218" s="872"/>
      <x:c r="E218" s="871"/>
      <x:c r="F218" s="871"/>
      <x:c r="G218" s="872"/>
      <x:c r="H218" s="872"/>
      <x:c r="I218" s="875"/>
      <x:c r="J218" s="872"/>
      <x:c r="K218" s="873"/>
      <x:c r="L218" s="876"/>
      <x:c r="M218" s="873"/>
      <x:c r="N218" s="874"/>
      <x:c r="O218" s="874"/>
      <x:c r="P218" s="872"/>
      <x:c r="Q218" s="872"/>
      <x:c r="R218" s="872"/>
      <x:c r="S218" s="872"/>
      <x:c r="T218" s="872"/>
      <x:c r="U218" s="872"/>
      <x:c r="V218" s="872"/>
      <x:c r="W218" s="872"/>
      <x:c r="X218" s="872"/>
      <x:c r="Y218" s="872"/>
      <x:c r="Z218" s="872"/>
      <x:c r="AA218" s="877"/>
      <x:c r="AB218" s="872"/>
      <x:c r="AC218" s="872"/>
      <x:c r="AD218" s="872"/>
      <x:c r="AE218" s="872"/>
      <x:c r="AF218" s="872"/>
      <x:c r="AG218" s="872"/>
      <x:c r="AH218" s="872"/>
      <x:c r="AI218" s="872"/>
      <x:c r="AJ218" s="872"/>
      <x:c r="AK218" s="872"/>
      <x:c r="AL218" s="872"/>
      <x:c r="AM218" s="872"/>
      <x:c r="AN218" s="872"/>
      <x:c r="AO218" s="872"/>
      <x:c r="AP218" s="872"/>
      <x:c r="AQ218" s="878"/>
      <x:c r="AR218" s="874"/>
    </x:row>
    <x:row r="219" s="36" customFormat="1" ht="30" customHeight="1">
      <x:c r="A219" s="871"/>
      <x:c r="B219" s="871"/>
      <x:c r="C219" s="871"/>
      <x:c r="D219" s="872"/>
      <x:c r="E219" s="871"/>
      <x:c r="F219" s="871"/>
      <x:c r="G219" s="872"/>
      <x:c r="H219" s="872"/>
      <x:c r="I219" s="875"/>
      <x:c r="J219" s="872"/>
      <x:c r="K219" s="873"/>
      <x:c r="L219" s="876"/>
      <x:c r="M219" s="873"/>
      <x:c r="N219" s="874"/>
      <x:c r="O219" s="874"/>
      <x:c r="P219" s="872"/>
      <x:c r="Q219" s="872"/>
      <x:c r="R219" s="872"/>
      <x:c r="S219" s="872"/>
      <x:c r="T219" s="872"/>
      <x:c r="U219" s="872"/>
      <x:c r="V219" s="872"/>
      <x:c r="W219" s="872"/>
      <x:c r="X219" s="872"/>
      <x:c r="Y219" s="872"/>
      <x:c r="Z219" s="872"/>
      <x:c r="AA219" s="877"/>
      <x:c r="AB219" s="872"/>
      <x:c r="AC219" s="872"/>
      <x:c r="AD219" s="872"/>
      <x:c r="AE219" s="872"/>
      <x:c r="AF219" s="872"/>
      <x:c r="AG219" s="872"/>
      <x:c r="AH219" s="872"/>
      <x:c r="AI219" s="872"/>
      <x:c r="AJ219" s="872"/>
      <x:c r="AK219" s="872"/>
      <x:c r="AL219" s="872"/>
      <x:c r="AM219" s="872"/>
      <x:c r="AN219" s="872"/>
      <x:c r="AO219" s="872"/>
      <x:c r="AP219" s="872"/>
      <x:c r="AQ219" s="878"/>
      <x:c r="AR219" s="874"/>
    </x:row>
    <x:row r="220" s="36" customFormat="1" ht="30" customHeight="1">
      <x:c r="A220" s="871"/>
      <x:c r="B220" s="871"/>
      <x:c r="C220" s="871"/>
      <x:c r="D220" s="872"/>
      <x:c r="E220" s="871"/>
      <x:c r="F220" s="871"/>
      <x:c r="G220" s="872"/>
      <x:c r="H220" s="872"/>
      <x:c r="I220" s="875"/>
      <x:c r="J220" s="872"/>
      <x:c r="K220" s="873"/>
      <x:c r="L220" s="876"/>
      <x:c r="M220" s="873"/>
      <x:c r="N220" s="874"/>
      <x:c r="O220" s="874"/>
      <x:c r="P220" s="872"/>
      <x:c r="Q220" s="872"/>
      <x:c r="R220" s="872"/>
      <x:c r="S220" s="872"/>
      <x:c r="T220" s="872"/>
      <x:c r="U220" s="872"/>
      <x:c r="V220" s="872"/>
      <x:c r="W220" s="872"/>
      <x:c r="X220" s="872"/>
      <x:c r="Y220" s="872"/>
      <x:c r="Z220" s="872"/>
      <x:c r="AA220" s="877"/>
      <x:c r="AB220" s="872"/>
      <x:c r="AC220" s="872"/>
      <x:c r="AD220" s="872"/>
      <x:c r="AE220" s="872"/>
      <x:c r="AF220" s="872"/>
      <x:c r="AG220" s="872"/>
      <x:c r="AH220" s="872"/>
      <x:c r="AI220" s="872"/>
      <x:c r="AJ220" s="872"/>
      <x:c r="AK220" s="872"/>
      <x:c r="AL220" s="872"/>
      <x:c r="AM220" s="872"/>
      <x:c r="AN220" s="872"/>
      <x:c r="AO220" s="872"/>
      <x:c r="AP220" s="872"/>
      <x:c r="AQ220" s="878"/>
      <x:c r="AR220" s="874"/>
    </x:row>
    <x:row r="221" s="36" customFormat="1" ht="30" customHeight="1">
      <x:c r="A221" s="871"/>
      <x:c r="B221" s="871"/>
      <x:c r="C221" s="871"/>
      <x:c r="D221" s="872"/>
      <x:c r="E221" s="871"/>
      <x:c r="F221" s="871"/>
      <x:c r="G221" s="872"/>
      <x:c r="H221" s="872"/>
      <x:c r="I221" s="875"/>
      <x:c r="J221" s="872"/>
      <x:c r="K221" s="873"/>
      <x:c r="L221" s="876"/>
      <x:c r="M221" s="873"/>
      <x:c r="N221" s="874"/>
      <x:c r="O221" s="874"/>
      <x:c r="P221" s="872"/>
      <x:c r="Q221" s="872"/>
      <x:c r="R221" s="872"/>
      <x:c r="S221" s="872"/>
      <x:c r="T221" s="872"/>
      <x:c r="U221" s="872"/>
      <x:c r="V221" s="872"/>
      <x:c r="W221" s="872"/>
      <x:c r="X221" s="872"/>
      <x:c r="Y221" s="872"/>
      <x:c r="Z221" s="872"/>
      <x:c r="AA221" s="877"/>
      <x:c r="AB221" s="872"/>
      <x:c r="AC221" s="872"/>
      <x:c r="AD221" s="872"/>
      <x:c r="AE221" s="872"/>
      <x:c r="AF221" s="872"/>
      <x:c r="AG221" s="872"/>
      <x:c r="AH221" s="872"/>
      <x:c r="AI221" s="872"/>
      <x:c r="AJ221" s="872"/>
      <x:c r="AK221" s="872"/>
      <x:c r="AL221" s="872"/>
      <x:c r="AM221" s="872"/>
      <x:c r="AN221" s="872"/>
      <x:c r="AO221" s="872"/>
      <x:c r="AP221" s="872"/>
      <x:c r="AQ221" s="878"/>
      <x:c r="AR221" s="874"/>
    </x:row>
    <x:row r="222" s="36" customFormat="1" ht="30" customHeight="1">
      <x:c r="A222" s="871"/>
      <x:c r="B222" s="871"/>
      <x:c r="C222" s="871"/>
      <x:c r="D222" s="872"/>
      <x:c r="E222" s="871"/>
      <x:c r="F222" s="871"/>
      <x:c r="G222" s="872"/>
      <x:c r="H222" s="872"/>
      <x:c r="I222" s="875"/>
      <x:c r="J222" s="872"/>
      <x:c r="K222" s="873"/>
      <x:c r="L222" s="876"/>
      <x:c r="M222" s="873"/>
      <x:c r="N222" s="874"/>
      <x:c r="O222" s="874"/>
      <x:c r="P222" s="872"/>
      <x:c r="Q222" s="872"/>
      <x:c r="R222" s="872"/>
      <x:c r="S222" s="872"/>
      <x:c r="T222" s="872"/>
      <x:c r="U222" s="872"/>
      <x:c r="V222" s="872"/>
      <x:c r="W222" s="872"/>
      <x:c r="X222" s="872"/>
      <x:c r="Y222" s="872"/>
      <x:c r="Z222" s="872"/>
      <x:c r="AA222" s="877"/>
      <x:c r="AB222" s="872"/>
      <x:c r="AC222" s="872"/>
      <x:c r="AD222" s="872"/>
      <x:c r="AE222" s="872"/>
      <x:c r="AF222" s="872"/>
      <x:c r="AG222" s="872"/>
      <x:c r="AH222" s="872"/>
      <x:c r="AI222" s="872"/>
      <x:c r="AJ222" s="872"/>
      <x:c r="AK222" s="872"/>
      <x:c r="AL222" s="872"/>
      <x:c r="AM222" s="872"/>
      <x:c r="AN222" s="872"/>
      <x:c r="AO222" s="872"/>
      <x:c r="AP222" s="872"/>
      <x:c r="AQ222" s="878"/>
      <x:c r="AR222" s="874"/>
    </x:row>
    <x:row r="223" s="36" customFormat="1" ht="30" customHeight="1">
      <x:c r="A223" s="871"/>
      <x:c r="B223" s="871"/>
      <x:c r="C223" s="871"/>
      <x:c r="D223" s="872"/>
      <x:c r="E223" s="871"/>
      <x:c r="F223" s="871"/>
      <x:c r="G223" s="872"/>
      <x:c r="H223" s="872"/>
      <x:c r="I223" s="875"/>
      <x:c r="J223" s="872"/>
      <x:c r="K223" s="873"/>
      <x:c r="L223" s="876"/>
      <x:c r="M223" s="873"/>
      <x:c r="N223" s="874"/>
      <x:c r="O223" s="874"/>
      <x:c r="P223" s="872"/>
      <x:c r="Q223" s="872"/>
      <x:c r="R223" s="872"/>
      <x:c r="S223" s="872"/>
      <x:c r="T223" s="872"/>
      <x:c r="U223" s="872"/>
      <x:c r="V223" s="872"/>
      <x:c r="W223" s="872"/>
      <x:c r="X223" s="872"/>
      <x:c r="Y223" s="872"/>
      <x:c r="Z223" s="872"/>
      <x:c r="AA223" s="877"/>
      <x:c r="AB223" s="872"/>
      <x:c r="AC223" s="872"/>
      <x:c r="AD223" s="872"/>
      <x:c r="AE223" s="872"/>
      <x:c r="AF223" s="872"/>
      <x:c r="AG223" s="872"/>
      <x:c r="AH223" s="872"/>
      <x:c r="AI223" s="872"/>
      <x:c r="AJ223" s="872"/>
      <x:c r="AK223" s="872"/>
      <x:c r="AL223" s="872"/>
      <x:c r="AM223" s="872"/>
      <x:c r="AN223" s="872"/>
      <x:c r="AO223" s="872"/>
      <x:c r="AP223" s="872"/>
      <x:c r="AQ223" s="878"/>
      <x:c r="AR223" s="874"/>
    </x:row>
    <x:row r="224" s="36" customFormat="1" ht="30" customHeight="1">
      <x:c r="A224" s="871"/>
      <x:c r="B224" s="871"/>
      <x:c r="C224" s="871"/>
      <x:c r="D224" s="872"/>
      <x:c r="E224" s="871"/>
      <x:c r="F224" s="871"/>
      <x:c r="G224" s="872"/>
      <x:c r="H224" s="872"/>
      <x:c r="I224" s="875"/>
      <x:c r="J224" s="872"/>
      <x:c r="K224" s="873"/>
      <x:c r="L224" s="876"/>
      <x:c r="M224" s="873"/>
      <x:c r="N224" s="874"/>
      <x:c r="O224" s="874"/>
      <x:c r="P224" s="872"/>
      <x:c r="Q224" s="872"/>
      <x:c r="R224" s="872"/>
      <x:c r="S224" s="872"/>
      <x:c r="T224" s="872"/>
      <x:c r="U224" s="872"/>
      <x:c r="V224" s="872"/>
      <x:c r="W224" s="872"/>
      <x:c r="X224" s="872"/>
      <x:c r="Y224" s="872"/>
      <x:c r="Z224" s="872"/>
      <x:c r="AA224" s="877"/>
      <x:c r="AB224" s="872"/>
      <x:c r="AC224" s="872"/>
      <x:c r="AD224" s="872"/>
      <x:c r="AE224" s="872"/>
      <x:c r="AF224" s="872"/>
      <x:c r="AG224" s="872"/>
      <x:c r="AH224" s="872"/>
      <x:c r="AI224" s="872"/>
      <x:c r="AJ224" s="872"/>
      <x:c r="AK224" s="872"/>
      <x:c r="AL224" s="872"/>
      <x:c r="AM224" s="872"/>
      <x:c r="AN224" s="872"/>
      <x:c r="AO224" s="872"/>
      <x:c r="AP224" s="872"/>
      <x:c r="AQ224" s="878"/>
      <x:c r="AR224" s="874"/>
    </x:row>
    <x:row r="225" s="36" customFormat="1" ht="30" customHeight="1">
      <x:c r="A225" s="871"/>
      <x:c r="B225" s="871"/>
      <x:c r="C225" s="871"/>
      <x:c r="D225" s="872"/>
      <x:c r="E225" s="871"/>
      <x:c r="F225" s="871"/>
      <x:c r="G225" s="872"/>
      <x:c r="H225" s="872"/>
      <x:c r="I225" s="875"/>
      <x:c r="J225" s="872"/>
      <x:c r="K225" s="873"/>
      <x:c r="L225" s="876"/>
      <x:c r="M225" s="873"/>
      <x:c r="N225" s="874"/>
      <x:c r="O225" s="874"/>
      <x:c r="P225" s="872"/>
      <x:c r="Q225" s="872"/>
      <x:c r="R225" s="872"/>
      <x:c r="S225" s="872"/>
      <x:c r="T225" s="872"/>
      <x:c r="U225" s="872"/>
      <x:c r="V225" s="872"/>
      <x:c r="W225" s="872"/>
      <x:c r="X225" s="872"/>
      <x:c r="Y225" s="872"/>
      <x:c r="Z225" s="872"/>
      <x:c r="AA225" s="877"/>
      <x:c r="AB225" s="872"/>
      <x:c r="AC225" s="872"/>
      <x:c r="AD225" s="872"/>
      <x:c r="AE225" s="872"/>
      <x:c r="AF225" s="872"/>
      <x:c r="AG225" s="872"/>
      <x:c r="AH225" s="872"/>
      <x:c r="AI225" s="872"/>
      <x:c r="AJ225" s="872"/>
      <x:c r="AK225" s="872"/>
      <x:c r="AL225" s="872"/>
      <x:c r="AM225" s="872"/>
      <x:c r="AN225" s="872"/>
      <x:c r="AO225" s="872"/>
      <x:c r="AP225" s="872"/>
      <x:c r="AQ225" s="878"/>
      <x:c r="AR225" s="874"/>
    </x:row>
    <x:row r="226" s="36" customFormat="1" ht="30" customHeight="1">
      <x:c r="A226" s="871"/>
      <x:c r="B226" s="871"/>
      <x:c r="C226" s="871"/>
      <x:c r="D226" s="872"/>
      <x:c r="E226" s="871"/>
      <x:c r="F226" s="871"/>
      <x:c r="G226" s="872"/>
      <x:c r="H226" s="872"/>
      <x:c r="I226" s="875"/>
      <x:c r="J226" s="872"/>
      <x:c r="K226" s="873"/>
      <x:c r="L226" s="876"/>
      <x:c r="M226" s="873"/>
      <x:c r="N226" s="874"/>
      <x:c r="O226" s="874"/>
      <x:c r="P226" s="872"/>
      <x:c r="Q226" s="872"/>
      <x:c r="R226" s="872"/>
      <x:c r="S226" s="872"/>
      <x:c r="T226" s="872"/>
      <x:c r="U226" s="872"/>
      <x:c r="V226" s="872"/>
      <x:c r="W226" s="872"/>
      <x:c r="X226" s="872"/>
      <x:c r="Y226" s="872"/>
      <x:c r="Z226" s="872"/>
      <x:c r="AA226" s="877"/>
      <x:c r="AB226" s="872"/>
      <x:c r="AC226" s="872"/>
      <x:c r="AD226" s="872"/>
      <x:c r="AE226" s="872"/>
      <x:c r="AF226" s="872"/>
      <x:c r="AG226" s="872"/>
      <x:c r="AH226" s="872"/>
      <x:c r="AI226" s="872"/>
      <x:c r="AJ226" s="872"/>
      <x:c r="AK226" s="872"/>
      <x:c r="AL226" s="872"/>
      <x:c r="AM226" s="872"/>
      <x:c r="AN226" s="872"/>
      <x:c r="AO226" s="872"/>
      <x:c r="AP226" s="872"/>
      <x:c r="AQ226" s="878"/>
      <x:c r="AR226" s="874"/>
    </x:row>
    <x:row r="227" s="36" customFormat="1" ht="30" customHeight="1">
      <x:c r="A227" s="871"/>
      <x:c r="B227" s="871"/>
      <x:c r="C227" s="871"/>
      <x:c r="D227" s="872"/>
      <x:c r="E227" s="871"/>
      <x:c r="F227" s="871"/>
      <x:c r="G227" s="872"/>
      <x:c r="H227" s="872"/>
      <x:c r="I227" s="875"/>
      <x:c r="J227" s="872"/>
      <x:c r="K227" s="873"/>
      <x:c r="L227" s="876"/>
      <x:c r="M227" s="873"/>
      <x:c r="N227" s="874"/>
      <x:c r="O227" s="874"/>
      <x:c r="P227" s="872"/>
      <x:c r="Q227" s="872"/>
      <x:c r="R227" s="872"/>
      <x:c r="S227" s="872"/>
      <x:c r="T227" s="872"/>
      <x:c r="U227" s="872"/>
      <x:c r="V227" s="872"/>
      <x:c r="W227" s="872"/>
      <x:c r="X227" s="872"/>
      <x:c r="Y227" s="872"/>
      <x:c r="Z227" s="872"/>
      <x:c r="AA227" s="877"/>
      <x:c r="AB227" s="872"/>
      <x:c r="AC227" s="872"/>
      <x:c r="AD227" s="872"/>
      <x:c r="AE227" s="872"/>
      <x:c r="AF227" s="872"/>
      <x:c r="AG227" s="872"/>
      <x:c r="AH227" s="872"/>
      <x:c r="AI227" s="872"/>
      <x:c r="AJ227" s="872"/>
      <x:c r="AK227" s="872"/>
      <x:c r="AL227" s="872"/>
      <x:c r="AM227" s="872"/>
      <x:c r="AN227" s="872"/>
      <x:c r="AO227" s="872"/>
      <x:c r="AP227" s="872"/>
      <x:c r="AQ227" s="878"/>
      <x:c r="AR227" s="874"/>
    </x:row>
    <x:row r="228" s="36" customFormat="1" ht="30" customHeight="1">
      <x:c r="A228" s="871"/>
      <x:c r="B228" s="871"/>
      <x:c r="C228" s="871"/>
      <x:c r="D228" s="872"/>
      <x:c r="E228" s="871"/>
      <x:c r="F228" s="871"/>
      <x:c r="G228" s="872"/>
      <x:c r="H228" s="872"/>
      <x:c r="I228" s="875"/>
      <x:c r="J228" s="872"/>
      <x:c r="K228" s="873"/>
      <x:c r="L228" s="876"/>
      <x:c r="M228" s="873"/>
      <x:c r="N228" s="874"/>
      <x:c r="O228" s="874"/>
      <x:c r="P228" s="872"/>
      <x:c r="Q228" s="872"/>
      <x:c r="R228" s="872"/>
      <x:c r="S228" s="872"/>
      <x:c r="T228" s="872"/>
      <x:c r="U228" s="872"/>
      <x:c r="V228" s="872"/>
      <x:c r="W228" s="872"/>
      <x:c r="X228" s="872"/>
      <x:c r="Y228" s="872"/>
      <x:c r="Z228" s="872"/>
      <x:c r="AA228" s="877"/>
      <x:c r="AB228" s="872"/>
      <x:c r="AC228" s="872"/>
      <x:c r="AD228" s="872"/>
      <x:c r="AE228" s="872"/>
      <x:c r="AF228" s="872"/>
      <x:c r="AG228" s="872"/>
      <x:c r="AH228" s="872"/>
      <x:c r="AI228" s="872"/>
      <x:c r="AJ228" s="872"/>
      <x:c r="AK228" s="872"/>
      <x:c r="AL228" s="872"/>
      <x:c r="AM228" s="872"/>
      <x:c r="AN228" s="872"/>
      <x:c r="AO228" s="872"/>
      <x:c r="AP228" s="872"/>
      <x:c r="AQ228" s="878"/>
      <x:c r="AR228" s="874"/>
    </x:row>
    <x:row r="229" s="36" customFormat="1" ht="30" customHeight="1">
      <x:c r="A229" s="871"/>
      <x:c r="B229" s="871"/>
      <x:c r="C229" s="871"/>
      <x:c r="D229" s="872"/>
      <x:c r="E229" s="871"/>
      <x:c r="F229" s="871"/>
      <x:c r="G229" s="872"/>
      <x:c r="H229" s="872"/>
      <x:c r="I229" s="875"/>
      <x:c r="J229" s="872"/>
      <x:c r="K229" s="873"/>
      <x:c r="L229" s="876"/>
      <x:c r="M229" s="873"/>
      <x:c r="N229" s="874"/>
      <x:c r="O229" s="874"/>
      <x:c r="P229" s="872"/>
      <x:c r="Q229" s="872"/>
      <x:c r="R229" s="872"/>
      <x:c r="S229" s="872"/>
      <x:c r="T229" s="872"/>
      <x:c r="U229" s="872"/>
      <x:c r="V229" s="872"/>
      <x:c r="W229" s="872"/>
      <x:c r="X229" s="872"/>
      <x:c r="Y229" s="872"/>
      <x:c r="Z229" s="872"/>
      <x:c r="AA229" s="877"/>
      <x:c r="AB229" s="872"/>
      <x:c r="AC229" s="872"/>
      <x:c r="AD229" s="872"/>
      <x:c r="AE229" s="872"/>
      <x:c r="AF229" s="872"/>
      <x:c r="AG229" s="872"/>
      <x:c r="AH229" s="872"/>
      <x:c r="AI229" s="872"/>
      <x:c r="AJ229" s="872"/>
      <x:c r="AK229" s="872"/>
      <x:c r="AL229" s="872"/>
      <x:c r="AM229" s="872"/>
      <x:c r="AN229" s="872"/>
      <x:c r="AO229" s="872"/>
      <x:c r="AP229" s="872"/>
      <x:c r="AQ229" s="878"/>
      <x:c r="AR229" s="874"/>
    </x:row>
    <x:row r="230" s="36" customFormat="1" ht="30" customHeight="1">
      <x:c r="A230" s="871"/>
      <x:c r="B230" s="871"/>
      <x:c r="C230" s="871"/>
      <x:c r="D230" s="872"/>
      <x:c r="E230" s="871"/>
      <x:c r="F230" s="871"/>
      <x:c r="G230" s="872"/>
      <x:c r="H230" s="872"/>
      <x:c r="I230" s="875"/>
      <x:c r="J230" s="872"/>
      <x:c r="K230" s="873"/>
      <x:c r="L230" s="876"/>
      <x:c r="M230" s="873"/>
      <x:c r="N230" s="874"/>
      <x:c r="O230" s="874"/>
      <x:c r="P230" s="872"/>
      <x:c r="Q230" s="872"/>
      <x:c r="R230" s="872"/>
      <x:c r="S230" s="872"/>
      <x:c r="T230" s="872"/>
      <x:c r="U230" s="872"/>
      <x:c r="V230" s="872"/>
      <x:c r="W230" s="872"/>
      <x:c r="X230" s="872"/>
      <x:c r="Y230" s="872"/>
      <x:c r="Z230" s="872"/>
      <x:c r="AA230" s="877"/>
      <x:c r="AB230" s="872"/>
      <x:c r="AC230" s="872"/>
      <x:c r="AD230" s="872"/>
      <x:c r="AE230" s="872"/>
      <x:c r="AF230" s="872"/>
      <x:c r="AG230" s="872"/>
      <x:c r="AH230" s="872"/>
      <x:c r="AI230" s="872"/>
      <x:c r="AJ230" s="872"/>
      <x:c r="AK230" s="872"/>
      <x:c r="AL230" s="872"/>
      <x:c r="AM230" s="872"/>
      <x:c r="AN230" s="872"/>
      <x:c r="AO230" s="872"/>
      <x:c r="AP230" s="872"/>
      <x:c r="AQ230" s="878"/>
      <x:c r="AR230" s="874"/>
    </x:row>
    <x:row r="231" s="36" customFormat="1" ht="30" customHeight="1">
      <x:c r="A231" s="871"/>
      <x:c r="B231" s="871"/>
      <x:c r="C231" s="871"/>
      <x:c r="D231" s="872"/>
      <x:c r="E231" s="871"/>
      <x:c r="F231" s="871"/>
      <x:c r="G231" s="872"/>
      <x:c r="H231" s="872"/>
      <x:c r="I231" s="875"/>
      <x:c r="J231" s="872"/>
      <x:c r="K231" s="873"/>
      <x:c r="L231" s="876"/>
      <x:c r="M231" s="873"/>
      <x:c r="N231" s="874"/>
      <x:c r="O231" s="874"/>
      <x:c r="P231" s="872"/>
      <x:c r="Q231" s="872"/>
      <x:c r="R231" s="872"/>
      <x:c r="S231" s="872"/>
      <x:c r="T231" s="872"/>
      <x:c r="U231" s="872"/>
      <x:c r="V231" s="872"/>
      <x:c r="W231" s="872"/>
      <x:c r="X231" s="872"/>
      <x:c r="Y231" s="872"/>
      <x:c r="Z231" s="872"/>
      <x:c r="AA231" s="877"/>
      <x:c r="AB231" s="872"/>
      <x:c r="AC231" s="872"/>
      <x:c r="AD231" s="872"/>
      <x:c r="AE231" s="872"/>
      <x:c r="AF231" s="872"/>
      <x:c r="AG231" s="872"/>
      <x:c r="AH231" s="872"/>
      <x:c r="AI231" s="872"/>
      <x:c r="AJ231" s="872"/>
      <x:c r="AK231" s="872"/>
      <x:c r="AL231" s="872"/>
      <x:c r="AM231" s="872"/>
      <x:c r="AN231" s="872"/>
      <x:c r="AO231" s="872"/>
      <x:c r="AP231" s="872"/>
      <x:c r="AQ231" s="878"/>
      <x:c r="AR231" s="874"/>
    </x:row>
    <x:row r="232" s="36" customFormat="1" ht="30" customHeight="1">
      <x:c r="A232" s="871"/>
      <x:c r="B232" s="871"/>
      <x:c r="C232" s="871"/>
      <x:c r="D232" s="872"/>
      <x:c r="E232" s="871"/>
      <x:c r="F232" s="871"/>
      <x:c r="G232" s="872"/>
      <x:c r="H232" s="872"/>
      <x:c r="I232" s="875"/>
      <x:c r="J232" s="872"/>
      <x:c r="K232" s="873"/>
      <x:c r="L232" s="876"/>
      <x:c r="M232" s="873"/>
      <x:c r="N232" s="874"/>
      <x:c r="O232" s="874"/>
      <x:c r="P232" s="872"/>
      <x:c r="Q232" s="872"/>
      <x:c r="R232" s="872"/>
      <x:c r="S232" s="872"/>
      <x:c r="T232" s="872"/>
      <x:c r="U232" s="872"/>
      <x:c r="V232" s="872"/>
      <x:c r="W232" s="872"/>
      <x:c r="X232" s="872"/>
      <x:c r="Y232" s="872"/>
      <x:c r="Z232" s="872"/>
      <x:c r="AA232" s="877"/>
      <x:c r="AB232" s="872"/>
      <x:c r="AC232" s="872"/>
      <x:c r="AD232" s="872"/>
      <x:c r="AE232" s="872"/>
      <x:c r="AF232" s="872"/>
      <x:c r="AG232" s="872"/>
      <x:c r="AH232" s="872"/>
      <x:c r="AI232" s="872"/>
      <x:c r="AJ232" s="872"/>
      <x:c r="AK232" s="872"/>
      <x:c r="AL232" s="872"/>
      <x:c r="AM232" s="872"/>
      <x:c r="AN232" s="872"/>
      <x:c r="AO232" s="872"/>
      <x:c r="AP232" s="872"/>
      <x:c r="AQ232" s="878"/>
      <x:c r="AR232" s="874"/>
    </x:row>
    <x:row r="233" s="36" customFormat="1" ht="30" customHeight="1">
      <x:c r="A233" s="871"/>
      <x:c r="B233" s="871"/>
      <x:c r="C233" s="871"/>
      <x:c r="D233" s="872"/>
      <x:c r="E233" s="871"/>
      <x:c r="F233" s="871"/>
      <x:c r="G233" s="872"/>
      <x:c r="H233" s="872"/>
      <x:c r="I233" s="875"/>
      <x:c r="J233" s="872"/>
      <x:c r="K233" s="873"/>
      <x:c r="L233" s="876"/>
      <x:c r="M233" s="873"/>
      <x:c r="N233" s="874"/>
      <x:c r="O233" s="874"/>
      <x:c r="P233" s="872"/>
      <x:c r="Q233" s="872"/>
      <x:c r="R233" s="872"/>
      <x:c r="S233" s="872"/>
      <x:c r="T233" s="872"/>
      <x:c r="U233" s="872"/>
      <x:c r="V233" s="872"/>
      <x:c r="W233" s="872"/>
      <x:c r="X233" s="872"/>
      <x:c r="Y233" s="872"/>
      <x:c r="Z233" s="872"/>
      <x:c r="AA233" s="877"/>
      <x:c r="AB233" s="872"/>
      <x:c r="AC233" s="872"/>
      <x:c r="AD233" s="872"/>
      <x:c r="AE233" s="872"/>
      <x:c r="AF233" s="872"/>
      <x:c r="AG233" s="872"/>
      <x:c r="AH233" s="872"/>
      <x:c r="AI233" s="872"/>
      <x:c r="AJ233" s="872"/>
      <x:c r="AK233" s="872"/>
      <x:c r="AL233" s="872"/>
      <x:c r="AM233" s="872"/>
      <x:c r="AN233" s="872"/>
      <x:c r="AO233" s="872"/>
      <x:c r="AP233" s="872"/>
      <x:c r="AQ233" s="878"/>
      <x:c r="AR233" s="874"/>
    </x:row>
    <x:row r="234" s="36" customFormat="1" ht="30" customHeight="1">
      <x:c r="A234" s="871"/>
      <x:c r="B234" s="871"/>
      <x:c r="C234" s="871"/>
      <x:c r="D234" s="872"/>
      <x:c r="E234" s="871"/>
      <x:c r="F234" s="871"/>
      <x:c r="G234" s="872"/>
      <x:c r="H234" s="872"/>
      <x:c r="I234" s="875"/>
      <x:c r="J234" s="872"/>
      <x:c r="K234" s="873"/>
      <x:c r="L234" s="876"/>
      <x:c r="M234" s="873"/>
      <x:c r="N234" s="874"/>
      <x:c r="O234" s="874"/>
      <x:c r="P234" s="872"/>
      <x:c r="Q234" s="872"/>
      <x:c r="R234" s="872"/>
      <x:c r="S234" s="872"/>
      <x:c r="T234" s="872"/>
      <x:c r="U234" s="872"/>
      <x:c r="V234" s="872"/>
      <x:c r="W234" s="872"/>
      <x:c r="X234" s="872"/>
      <x:c r="Y234" s="872"/>
      <x:c r="Z234" s="872"/>
      <x:c r="AA234" s="877"/>
      <x:c r="AB234" s="872"/>
      <x:c r="AC234" s="872"/>
      <x:c r="AD234" s="872"/>
      <x:c r="AE234" s="872"/>
      <x:c r="AF234" s="872"/>
      <x:c r="AG234" s="872"/>
      <x:c r="AH234" s="872"/>
      <x:c r="AI234" s="872"/>
      <x:c r="AJ234" s="872"/>
      <x:c r="AK234" s="872"/>
      <x:c r="AL234" s="872"/>
      <x:c r="AM234" s="872"/>
      <x:c r="AN234" s="872"/>
      <x:c r="AO234" s="872"/>
      <x:c r="AP234" s="872"/>
      <x:c r="AQ234" s="878"/>
      <x:c r="AR234" s="874"/>
    </x:row>
    <x:row r="235" s="36" customFormat="1" ht="30" customHeight="1">
      <x:c r="A235" s="871"/>
      <x:c r="B235" s="871"/>
      <x:c r="C235" s="871"/>
      <x:c r="D235" s="872"/>
      <x:c r="E235" s="871"/>
      <x:c r="F235" s="871"/>
      <x:c r="G235" s="872"/>
      <x:c r="H235" s="872"/>
      <x:c r="I235" s="875"/>
      <x:c r="J235" s="872"/>
      <x:c r="K235" s="873"/>
      <x:c r="L235" s="876"/>
      <x:c r="M235" s="873"/>
      <x:c r="N235" s="874"/>
      <x:c r="O235" s="874"/>
      <x:c r="P235" s="872"/>
      <x:c r="Q235" s="872"/>
      <x:c r="R235" s="872"/>
      <x:c r="S235" s="872"/>
      <x:c r="T235" s="872"/>
      <x:c r="U235" s="872"/>
      <x:c r="V235" s="872"/>
      <x:c r="W235" s="872"/>
      <x:c r="X235" s="872"/>
      <x:c r="Y235" s="872"/>
      <x:c r="Z235" s="872"/>
      <x:c r="AA235" s="877"/>
      <x:c r="AB235" s="872"/>
      <x:c r="AC235" s="872"/>
      <x:c r="AD235" s="872"/>
      <x:c r="AE235" s="872"/>
      <x:c r="AF235" s="872"/>
      <x:c r="AG235" s="872"/>
      <x:c r="AH235" s="872"/>
      <x:c r="AI235" s="872"/>
      <x:c r="AJ235" s="872"/>
      <x:c r="AK235" s="872"/>
      <x:c r="AL235" s="872"/>
      <x:c r="AM235" s="872"/>
      <x:c r="AN235" s="872"/>
      <x:c r="AO235" s="872"/>
      <x:c r="AP235" s="872"/>
      <x:c r="AQ235" s="878"/>
      <x:c r="AR235" s="874"/>
    </x:row>
    <x:row r="236" s="36" customFormat="1" ht="30" customHeight="1">
      <x:c r="A236" s="871"/>
      <x:c r="B236" s="871"/>
      <x:c r="C236" s="871"/>
      <x:c r="D236" s="872"/>
      <x:c r="E236" s="871"/>
      <x:c r="F236" s="871"/>
      <x:c r="G236" s="872"/>
      <x:c r="H236" s="872"/>
      <x:c r="I236" s="875"/>
      <x:c r="J236" s="872"/>
      <x:c r="K236" s="873"/>
      <x:c r="L236" s="876"/>
      <x:c r="M236" s="873"/>
      <x:c r="N236" s="874"/>
      <x:c r="O236" s="874"/>
      <x:c r="P236" s="872"/>
      <x:c r="Q236" s="872"/>
      <x:c r="R236" s="872"/>
      <x:c r="S236" s="872"/>
      <x:c r="T236" s="872"/>
      <x:c r="U236" s="872"/>
      <x:c r="V236" s="872"/>
      <x:c r="W236" s="872"/>
      <x:c r="X236" s="872"/>
      <x:c r="Y236" s="872"/>
      <x:c r="Z236" s="872"/>
      <x:c r="AA236" s="877"/>
      <x:c r="AB236" s="872"/>
      <x:c r="AC236" s="872"/>
      <x:c r="AD236" s="872"/>
      <x:c r="AE236" s="872"/>
      <x:c r="AF236" s="872"/>
      <x:c r="AG236" s="872"/>
      <x:c r="AH236" s="872"/>
      <x:c r="AI236" s="872"/>
      <x:c r="AJ236" s="872"/>
      <x:c r="AK236" s="872"/>
      <x:c r="AL236" s="872"/>
      <x:c r="AM236" s="872"/>
      <x:c r="AN236" s="872"/>
      <x:c r="AO236" s="872"/>
      <x:c r="AP236" s="872"/>
      <x:c r="AQ236" s="878"/>
      <x:c r="AR236" s="874"/>
    </x:row>
    <x:row r="237" s="36" customFormat="1" ht="30" customHeight="1">
      <x:c r="A237" s="871"/>
      <x:c r="B237" s="871"/>
      <x:c r="C237" s="871"/>
      <x:c r="D237" s="872"/>
      <x:c r="E237" s="871"/>
      <x:c r="F237" s="871"/>
      <x:c r="G237" s="872"/>
      <x:c r="H237" s="872"/>
      <x:c r="I237" s="875"/>
      <x:c r="J237" s="872"/>
      <x:c r="K237" s="873"/>
      <x:c r="L237" s="876"/>
      <x:c r="M237" s="873"/>
      <x:c r="N237" s="874"/>
      <x:c r="O237" s="874"/>
      <x:c r="P237" s="872"/>
      <x:c r="Q237" s="872"/>
      <x:c r="R237" s="872"/>
      <x:c r="S237" s="872"/>
      <x:c r="T237" s="872"/>
      <x:c r="U237" s="872"/>
      <x:c r="V237" s="872"/>
      <x:c r="W237" s="872"/>
      <x:c r="X237" s="872"/>
      <x:c r="Y237" s="872"/>
      <x:c r="Z237" s="872"/>
      <x:c r="AA237" s="877"/>
      <x:c r="AB237" s="872"/>
      <x:c r="AC237" s="872"/>
      <x:c r="AD237" s="872"/>
      <x:c r="AE237" s="872"/>
      <x:c r="AF237" s="872"/>
      <x:c r="AG237" s="872"/>
      <x:c r="AH237" s="872"/>
      <x:c r="AI237" s="872"/>
      <x:c r="AJ237" s="872"/>
      <x:c r="AK237" s="872"/>
      <x:c r="AL237" s="872"/>
      <x:c r="AM237" s="872"/>
      <x:c r="AN237" s="872"/>
      <x:c r="AO237" s="872"/>
      <x:c r="AP237" s="872"/>
      <x:c r="AQ237" s="878"/>
      <x:c r="AR237" s="874"/>
    </x:row>
    <x:row r="238" s="36" customFormat="1" ht="30" customHeight="1">
      <x:c r="A238" s="871"/>
      <x:c r="B238" s="871"/>
      <x:c r="C238" s="871"/>
      <x:c r="D238" s="872"/>
      <x:c r="E238" s="871"/>
      <x:c r="F238" s="871"/>
      <x:c r="G238" s="872"/>
      <x:c r="H238" s="872"/>
      <x:c r="I238" s="875"/>
      <x:c r="J238" s="872"/>
      <x:c r="K238" s="873"/>
      <x:c r="L238" s="876"/>
      <x:c r="M238" s="873"/>
      <x:c r="N238" s="874"/>
      <x:c r="O238" s="874"/>
      <x:c r="P238" s="872"/>
      <x:c r="Q238" s="872"/>
      <x:c r="R238" s="872"/>
      <x:c r="S238" s="872"/>
      <x:c r="T238" s="872"/>
      <x:c r="U238" s="872"/>
      <x:c r="V238" s="872"/>
      <x:c r="W238" s="872"/>
      <x:c r="X238" s="872"/>
      <x:c r="Y238" s="872"/>
      <x:c r="Z238" s="872"/>
      <x:c r="AA238" s="877"/>
      <x:c r="AB238" s="872"/>
      <x:c r="AC238" s="872"/>
      <x:c r="AD238" s="872"/>
      <x:c r="AE238" s="872"/>
      <x:c r="AF238" s="872"/>
      <x:c r="AG238" s="872"/>
      <x:c r="AH238" s="872"/>
      <x:c r="AI238" s="872"/>
      <x:c r="AJ238" s="872"/>
      <x:c r="AK238" s="872"/>
      <x:c r="AL238" s="872"/>
      <x:c r="AM238" s="872"/>
      <x:c r="AN238" s="872"/>
      <x:c r="AO238" s="872"/>
      <x:c r="AP238" s="872"/>
      <x:c r="AQ238" s="878"/>
      <x:c r="AR238" s="874"/>
    </x:row>
    <x:row r="239" s="36" customFormat="1" ht="30" customHeight="1">
      <x:c r="A239" s="871"/>
      <x:c r="B239" s="871"/>
      <x:c r="C239" s="871"/>
      <x:c r="D239" s="872"/>
      <x:c r="E239" s="871"/>
      <x:c r="F239" s="871"/>
      <x:c r="G239" s="872"/>
      <x:c r="H239" s="872"/>
      <x:c r="I239" s="875"/>
      <x:c r="J239" s="872"/>
      <x:c r="K239" s="873"/>
      <x:c r="L239" s="876"/>
      <x:c r="M239" s="873"/>
      <x:c r="N239" s="874"/>
      <x:c r="O239" s="874"/>
      <x:c r="P239" s="872"/>
      <x:c r="Q239" s="872"/>
      <x:c r="R239" s="872"/>
      <x:c r="S239" s="872"/>
      <x:c r="T239" s="872"/>
      <x:c r="U239" s="872"/>
      <x:c r="V239" s="872"/>
      <x:c r="W239" s="872"/>
      <x:c r="X239" s="872"/>
      <x:c r="Y239" s="872"/>
      <x:c r="Z239" s="872"/>
      <x:c r="AA239" s="877"/>
      <x:c r="AB239" s="872"/>
      <x:c r="AC239" s="872"/>
      <x:c r="AD239" s="872"/>
      <x:c r="AE239" s="872"/>
      <x:c r="AF239" s="872"/>
      <x:c r="AG239" s="872"/>
      <x:c r="AH239" s="872"/>
      <x:c r="AI239" s="872"/>
      <x:c r="AJ239" s="872"/>
      <x:c r="AK239" s="872"/>
      <x:c r="AL239" s="872"/>
      <x:c r="AM239" s="872"/>
      <x:c r="AN239" s="872"/>
      <x:c r="AO239" s="872"/>
      <x:c r="AP239" s="872"/>
      <x:c r="AQ239" s="878"/>
      <x:c r="AR239" s="874"/>
    </x:row>
    <x:row r="240" s="36" customFormat="1" ht="30" customHeight="1">
      <x:c r="A240" s="871"/>
      <x:c r="B240" s="871"/>
      <x:c r="C240" s="871"/>
      <x:c r="D240" s="872"/>
      <x:c r="E240" s="871"/>
      <x:c r="F240" s="871"/>
      <x:c r="G240" s="872"/>
      <x:c r="H240" s="872"/>
      <x:c r="I240" s="875"/>
      <x:c r="J240" s="872"/>
      <x:c r="K240" s="873"/>
      <x:c r="L240" s="876"/>
      <x:c r="M240" s="873"/>
      <x:c r="N240" s="874"/>
      <x:c r="O240" s="874"/>
      <x:c r="P240" s="872"/>
      <x:c r="Q240" s="872"/>
      <x:c r="R240" s="872"/>
      <x:c r="S240" s="872"/>
      <x:c r="T240" s="872"/>
      <x:c r="U240" s="872"/>
      <x:c r="V240" s="872"/>
      <x:c r="W240" s="872"/>
      <x:c r="X240" s="872"/>
      <x:c r="Y240" s="872"/>
      <x:c r="Z240" s="872"/>
      <x:c r="AA240" s="877"/>
      <x:c r="AB240" s="872"/>
      <x:c r="AC240" s="872"/>
      <x:c r="AD240" s="872"/>
      <x:c r="AE240" s="872"/>
      <x:c r="AF240" s="872"/>
      <x:c r="AG240" s="872"/>
      <x:c r="AH240" s="872"/>
      <x:c r="AI240" s="872"/>
      <x:c r="AJ240" s="872"/>
      <x:c r="AK240" s="872"/>
      <x:c r="AL240" s="872"/>
      <x:c r="AM240" s="872"/>
      <x:c r="AN240" s="872"/>
      <x:c r="AO240" s="872"/>
      <x:c r="AP240" s="872"/>
      <x:c r="AQ240" s="878"/>
      <x:c r="AR240" s="874"/>
    </x:row>
    <x:row r="241" s="36" customFormat="1" ht="30" customHeight="1">
      <x:c r="A241" s="871"/>
      <x:c r="B241" s="871"/>
      <x:c r="C241" s="871"/>
      <x:c r="D241" s="872"/>
      <x:c r="E241" s="871"/>
      <x:c r="F241" s="871"/>
      <x:c r="G241" s="872"/>
      <x:c r="H241" s="872"/>
      <x:c r="I241" s="875"/>
      <x:c r="J241" s="872"/>
      <x:c r="K241" s="873"/>
      <x:c r="L241" s="876"/>
      <x:c r="M241" s="873"/>
      <x:c r="N241" s="874"/>
      <x:c r="O241" s="874"/>
      <x:c r="P241" s="872"/>
      <x:c r="Q241" s="872"/>
      <x:c r="R241" s="872"/>
      <x:c r="S241" s="872"/>
      <x:c r="T241" s="872"/>
      <x:c r="U241" s="872"/>
      <x:c r="V241" s="872"/>
      <x:c r="W241" s="872"/>
      <x:c r="X241" s="872"/>
      <x:c r="Y241" s="872"/>
      <x:c r="Z241" s="872"/>
      <x:c r="AA241" s="877"/>
      <x:c r="AB241" s="872"/>
      <x:c r="AC241" s="872"/>
      <x:c r="AD241" s="872"/>
      <x:c r="AE241" s="872"/>
      <x:c r="AF241" s="872"/>
      <x:c r="AG241" s="872"/>
      <x:c r="AH241" s="872"/>
      <x:c r="AI241" s="872"/>
      <x:c r="AJ241" s="872"/>
      <x:c r="AK241" s="872"/>
      <x:c r="AL241" s="872"/>
      <x:c r="AM241" s="872"/>
      <x:c r="AN241" s="872"/>
      <x:c r="AO241" s="872"/>
      <x:c r="AP241" s="872"/>
      <x:c r="AQ241" s="878"/>
      <x:c r="AR241" s="874"/>
    </x:row>
    <x:row r="242" s="36" customFormat="1" ht="30" customHeight="1">
      <x:c r="A242" s="871"/>
      <x:c r="B242" s="871"/>
      <x:c r="C242" s="871"/>
      <x:c r="D242" s="872"/>
      <x:c r="E242" s="871"/>
      <x:c r="F242" s="871"/>
      <x:c r="G242" s="872"/>
      <x:c r="H242" s="872"/>
      <x:c r="I242" s="875"/>
      <x:c r="J242" s="872"/>
      <x:c r="K242" s="873"/>
      <x:c r="L242" s="876"/>
      <x:c r="M242" s="873"/>
      <x:c r="N242" s="874"/>
      <x:c r="O242" s="874"/>
      <x:c r="P242" s="872"/>
      <x:c r="Q242" s="872"/>
      <x:c r="R242" s="872"/>
      <x:c r="S242" s="872"/>
      <x:c r="T242" s="872"/>
      <x:c r="U242" s="872"/>
      <x:c r="V242" s="872"/>
      <x:c r="W242" s="872"/>
      <x:c r="X242" s="872"/>
      <x:c r="Y242" s="872"/>
      <x:c r="Z242" s="872"/>
      <x:c r="AA242" s="877"/>
      <x:c r="AB242" s="872"/>
      <x:c r="AC242" s="872"/>
      <x:c r="AD242" s="872"/>
      <x:c r="AE242" s="872"/>
      <x:c r="AF242" s="872"/>
      <x:c r="AG242" s="872"/>
      <x:c r="AH242" s="872"/>
      <x:c r="AI242" s="872"/>
      <x:c r="AJ242" s="872"/>
      <x:c r="AK242" s="872"/>
      <x:c r="AL242" s="872"/>
      <x:c r="AM242" s="872"/>
      <x:c r="AN242" s="872"/>
      <x:c r="AO242" s="872"/>
      <x:c r="AP242" s="872"/>
      <x:c r="AQ242" s="878"/>
      <x:c r="AR242" s="874"/>
    </x:row>
    <x:row r="243" s="36" customFormat="1" ht="30" customHeight="1">
      <x:c r="A243" s="871"/>
      <x:c r="B243" s="871"/>
      <x:c r="C243" s="871"/>
      <x:c r="D243" s="872"/>
      <x:c r="E243" s="871"/>
      <x:c r="F243" s="871"/>
      <x:c r="G243" s="872"/>
      <x:c r="H243" s="872"/>
      <x:c r="I243" s="875"/>
      <x:c r="J243" s="872"/>
      <x:c r="K243" s="873"/>
      <x:c r="L243" s="876"/>
      <x:c r="M243" s="873"/>
      <x:c r="N243" s="874"/>
      <x:c r="O243" s="874"/>
      <x:c r="P243" s="872"/>
      <x:c r="Q243" s="872"/>
      <x:c r="R243" s="872"/>
      <x:c r="S243" s="872"/>
      <x:c r="T243" s="872"/>
      <x:c r="U243" s="872"/>
      <x:c r="V243" s="872"/>
      <x:c r="W243" s="872"/>
      <x:c r="X243" s="872"/>
      <x:c r="Y243" s="872"/>
      <x:c r="Z243" s="872"/>
      <x:c r="AA243" s="877"/>
      <x:c r="AB243" s="872"/>
      <x:c r="AC243" s="872"/>
      <x:c r="AD243" s="872"/>
      <x:c r="AE243" s="872"/>
      <x:c r="AF243" s="872"/>
      <x:c r="AG243" s="872"/>
      <x:c r="AH243" s="872"/>
      <x:c r="AI243" s="872"/>
      <x:c r="AJ243" s="872"/>
      <x:c r="AK243" s="872"/>
      <x:c r="AL243" s="872"/>
      <x:c r="AM243" s="872"/>
      <x:c r="AN243" s="872"/>
      <x:c r="AO243" s="872"/>
      <x:c r="AP243" s="872"/>
      <x:c r="AQ243" s="878"/>
      <x:c r="AR243" s="874"/>
    </x:row>
    <x:row r="244" s="36" customFormat="1" ht="30" customHeight="1">
      <x:c r="A244" s="871"/>
      <x:c r="B244" s="871"/>
      <x:c r="C244" s="871"/>
      <x:c r="D244" s="872"/>
      <x:c r="E244" s="871"/>
      <x:c r="F244" s="871"/>
      <x:c r="G244" s="872"/>
      <x:c r="H244" s="872"/>
      <x:c r="I244" s="875"/>
      <x:c r="J244" s="872"/>
      <x:c r="K244" s="873"/>
      <x:c r="L244" s="876"/>
      <x:c r="M244" s="873"/>
      <x:c r="N244" s="874"/>
      <x:c r="O244" s="874"/>
      <x:c r="P244" s="872"/>
      <x:c r="Q244" s="872"/>
      <x:c r="R244" s="872"/>
      <x:c r="S244" s="872"/>
      <x:c r="T244" s="872"/>
      <x:c r="U244" s="872"/>
      <x:c r="V244" s="872"/>
      <x:c r="W244" s="872"/>
      <x:c r="X244" s="872"/>
      <x:c r="Y244" s="872"/>
      <x:c r="Z244" s="872"/>
      <x:c r="AA244" s="877"/>
      <x:c r="AB244" s="872"/>
      <x:c r="AC244" s="872"/>
      <x:c r="AD244" s="872"/>
      <x:c r="AE244" s="872"/>
      <x:c r="AF244" s="872"/>
      <x:c r="AG244" s="872"/>
      <x:c r="AH244" s="872"/>
      <x:c r="AI244" s="872"/>
      <x:c r="AJ244" s="872"/>
      <x:c r="AK244" s="872"/>
      <x:c r="AL244" s="872"/>
      <x:c r="AM244" s="872"/>
      <x:c r="AN244" s="872"/>
      <x:c r="AO244" s="872"/>
      <x:c r="AP244" s="872"/>
      <x:c r="AQ244" s="878"/>
      <x:c r="AR244" s="874"/>
    </x:row>
    <x:row r="245" s="36" customFormat="1" ht="30" customHeight="1">
      <x:c r="A245" s="871"/>
      <x:c r="B245" s="871"/>
      <x:c r="C245" s="871"/>
      <x:c r="D245" s="872"/>
      <x:c r="E245" s="871"/>
      <x:c r="F245" s="871"/>
      <x:c r="G245" s="872"/>
      <x:c r="H245" s="872"/>
      <x:c r="I245" s="875"/>
      <x:c r="J245" s="872"/>
      <x:c r="K245" s="873"/>
      <x:c r="L245" s="876"/>
      <x:c r="M245" s="873"/>
      <x:c r="N245" s="874"/>
      <x:c r="O245" s="874"/>
      <x:c r="P245" s="872"/>
      <x:c r="Q245" s="872"/>
      <x:c r="R245" s="872"/>
      <x:c r="S245" s="872"/>
      <x:c r="T245" s="872"/>
      <x:c r="U245" s="872"/>
      <x:c r="V245" s="872"/>
      <x:c r="W245" s="872"/>
      <x:c r="X245" s="872"/>
      <x:c r="Y245" s="872"/>
      <x:c r="Z245" s="872"/>
      <x:c r="AA245" s="877"/>
      <x:c r="AB245" s="872"/>
      <x:c r="AC245" s="872"/>
      <x:c r="AD245" s="872"/>
      <x:c r="AE245" s="872"/>
      <x:c r="AF245" s="872"/>
      <x:c r="AG245" s="872"/>
      <x:c r="AH245" s="872"/>
      <x:c r="AI245" s="872"/>
      <x:c r="AJ245" s="872"/>
      <x:c r="AK245" s="872"/>
      <x:c r="AL245" s="872"/>
      <x:c r="AM245" s="872"/>
      <x:c r="AN245" s="872"/>
      <x:c r="AO245" s="872"/>
      <x:c r="AP245" s="872"/>
      <x:c r="AQ245" s="878"/>
      <x:c r="AR245" s="874"/>
    </x:row>
    <x:row r="246" s="36" customFormat="1" ht="30" customHeight="1">
      <x:c r="A246" s="871"/>
      <x:c r="B246" s="871"/>
      <x:c r="C246" s="871"/>
      <x:c r="D246" s="872"/>
      <x:c r="E246" s="871"/>
      <x:c r="F246" s="871"/>
      <x:c r="G246" s="872"/>
      <x:c r="H246" s="872"/>
      <x:c r="I246" s="875"/>
      <x:c r="J246" s="872"/>
      <x:c r="K246" s="873"/>
      <x:c r="L246" s="876"/>
      <x:c r="M246" s="873"/>
      <x:c r="N246" s="874"/>
      <x:c r="O246" s="874"/>
      <x:c r="P246" s="872"/>
      <x:c r="Q246" s="872"/>
      <x:c r="R246" s="872"/>
      <x:c r="S246" s="872"/>
      <x:c r="T246" s="872"/>
      <x:c r="U246" s="872"/>
      <x:c r="V246" s="872"/>
      <x:c r="W246" s="872"/>
      <x:c r="X246" s="872"/>
      <x:c r="Y246" s="872"/>
      <x:c r="Z246" s="872"/>
      <x:c r="AA246" s="877"/>
      <x:c r="AB246" s="872"/>
      <x:c r="AC246" s="872"/>
      <x:c r="AD246" s="872"/>
      <x:c r="AE246" s="872"/>
      <x:c r="AF246" s="872"/>
      <x:c r="AG246" s="872"/>
      <x:c r="AH246" s="872"/>
      <x:c r="AI246" s="872"/>
      <x:c r="AJ246" s="872"/>
      <x:c r="AK246" s="872"/>
      <x:c r="AL246" s="872"/>
      <x:c r="AM246" s="872"/>
      <x:c r="AN246" s="872"/>
      <x:c r="AO246" s="872"/>
      <x:c r="AP246" s="872"/>
      <x:c r="AQ246" s="878"/>
      <x:c r="AR246" s="874"/>
    </x:row>
    <x:row r="247" s="36" customFormat="1" ht="30" customHeight="1">
      <x:c r="A247" s="871"/>
      <x:c r="B247" s="871"/>
      <x:c r="C247" s="871"/>
      <x:c r="D247" s="872"/>
      <x:c r="E247" s="871"/>
      <x:c r="F247" s="871"/>
      <x:c r="G247" s="872"/>
      <x:c r="H247" s="872"/>
      <x:c r="I247" s="875"/>
      <x:c r="J247" s="872"/>
      <x:c r="K247" s="873"/>
      <x:c r="L247" s="876"/>
      <x:c r="M247" s="873"/>
      <x:c r="N247" s="874"/>
      <x:c r="O247" s="874"/>
      <x:c r="P247" s="872"/>
      <x:c r="Q247" s="872"/>
      <x:c r="R247" s="872"/>
      <x:c r="S247" s="872"/>
      <x:c r="T247" s="872"/>
      <x:c r="U247" s="872"/>
      <x:c r="V247" s="872"/>
      <x:c r="W247" s="872"/>
      <x:c r="X247" s="872"/>
      <x:c r="Y247" s="872"/>
      <x:c r="Z247" s="872"/>
      <x:c r="AA247" s="877"/>
      <x:c r="AB247" s="872"/>
      <x:c r="AC247" s="872"/>
      <x:c r="AD247" s="872"/>
      <x:c r="AE247" s="872"/>
      <x:c r="AF247" s="872"/>
      <x:c r="AG247" s="872"/>
      <x:c r="AH247" s="872"/>
      <x:c r="AI247" s="872"/>
      <x:c r="AJ247" s="872"/>
      <x:c r="AK247" s="872"/>
      <x:c r="AL247" s="872"/>
      <x:c r="AM247" s="872"/>
      <x:c r="AN247" s="872"/>
      <x:c r="AO247" s="872"/>
      <x:c r="AP247" s="872"/>
      <x:c r="AQ247" s="878"/>
      <x:c r="AR247" s="874"/>
    </x:row>
    <x:row r="248" s="36" customFormat="1" ht="30" customHeight="1">
      <x:c r="A248" s="871"/>
      <x:c r="B248" s="871"/>
      <x:c r="C248" s="871"/>
      <x:c r="D248" s="872"/>
      <x:c r="E248" s="871"/>
      <x:c r="F248" s="871"/>
      <x:c r="G248" s="872"/>
      <x:c r="H248" s="872"/>
      <x:c r="I248" s="875"/>
      <x:c r="J248" s="872"/>
      <x:c r="K248" s="873"/>
      <x:c r="L248" s="876"/>
      <x:c r="M248" s="873"/>
      <x:c r="N248" s="874"/>
      <x:c r="O248" s="874"/>
      <x:c r="P248" s="872"/>
      <x:c r="Q248" s="872"/>
      <x:c r="R248" s="872"/>
      <x:c r="S248" s="872"/>
      <x:c r="T248" s="872"/>
      <x:c r="U248" s="872"/>
      <x:c r="V248" s="872"/>
      <x:c r="W248" s="872"/>
      <x:c r="X248" s="872"/>
      <x:c r="Y248" s="872"/>
      <x:c r="Z248" s="872"/>
      <x:c r="AA248" s="877"/>
      <x:c r="AB248" s="872"/>
      <x:c r="AC248" s="872"/>
      <x:c r="AD248" s="872"/>
      <x:c r="AE248" s="872"/>
      <x:c r="AF248" s="872"/>
      <x:c r="AG248" s="872"/>
      <x:c r="AH248" s="872"/>
      <x:c r="AI248" s="872"/>
      <x:c r="AJ248" s="872"/>
      <x:c r="AK248" s="872"/>
      <x:c r="AL248" s="872"/>
      <x:c r="AM248" s="872"/>
      <x:c r="AN248" s="872"/>
      <x:c r="AO248" s="872"/>
      <x:c r="AP248" s="872"/>
      <x:c r="AQ248" s="878"/>
      <x:c r="AR248" s="874"/>
    </x:row>
    <x:row r="249" s="36" customFormat="1" ht="30" customHeight="1">
      <x:c r="A249" s="871"/>
      <x:c r="B249" s="871"/>
      <x:c r="C249" s="871"/>
      <x:c r="D249" s="872"/>
      <x:c r="E249" s="871"/>
      <x:c r="F249" s="871"/>
      <x:c r="G249" s="872"/>
      <x:c r="H249" s="872"/>
      <x:c r="I249" s="875"/>
      <x:c r="J249" s="872"/>
      <x:c r="K249" s="873"/>
      <x:c r="L249" s="876"/>
      <x:c r="M249" s="873"/>
      <x:c r="N249" s="874"/>
      <x:c r="O249" s="874"/>
      <x:c r="P249" s="872"/>
      <x:c r="Q249" s="872"/>
      <x:c r="R249" s="872"/>
      <x:c r="S249" s="872"/>
      <x:c r="T249" s="872"/>
      <x:c r="U249" s="872"/>
      <x:c r="V249" s="872"/>
      <x:c r="W249" s="872"/>
      <x:c r="X249" s="872"/>
      <x:c r="Y249" s="872"/>
      <x:c r="Z249" s="872"/>
      <x:c r="AA249" s="877"/>
      <x:c r="AB249" s="872"/>
      <x:c r="AC249" s="872"/>
      <x:c r="AD249" s="872"/>
      <x:c r="AE249" s="872"/>
      <x:c r="AF249" s="872"/>
      <x:c r="AG249" s="872"/>
      <x:c r="AH249" s="872"/>
      <x:c r="AI249" s="872"/>
      <x:c r="AJ249" s="872"/>
      <x:c r="AK249" s="872"/>
      <x:c r="AL249" s="872"/>
      <x:c r="AM249" s="872"/>
      <x:c r="AN249" s="872"/>
      <x:c r="AO249" s="872"/>
      <x:c r="AP249" s="872"/>
      <x:c r="AQ249" s="878"/>
      <x:c r="AR249" s="874"/>
    </x:row>
    <x:row r="250" s="36" customFormat="1" ht="30" customHeight="1">
      <x:c r="A250" s="871"/>
      <x:c r="B250" s="871"/>
      <x:c r="C250" s="871"/>
      <x:c r="D250" s="872"/>
      <x:c r="E250" s="871"/>
      <x:c r="F250" s="871"/>
      <x:c r="G250" s="872"/>
      <x:c r="H250" s="872"/>
      <x:c r="I250" s="875"/>
      <x:c r="J250" s="872"/>
      <x:c r="K250" s="873"/>
      <x:c r="L250" s="876"/>
      <x:c r="M250" s="873"/>
      <x:c r="N250" s="874"/>
      <x:c r="O250" s="874"/>
      <x:c r="P250" s="872"/>
      <x:c r="Q250" s="872"/>
      <x:c r="R250" s="872"/>
      <x:c r="S250" s="872"/>
      <x:c r="T250" s="872"/>
      <x:c r="U250" s="872"/>
      <x:c r="V250" s="872"/>
      <x:c r="W250" s="872"/>
      <x:c r="X250" s="872"/>
      <x:c r="Y250" s="872"/>
      <x:c r="Z250" s="872"/>
      <x:c r="AA250" s="877"/>
      <x:c r="AB250" s="872"/>
      <x:c r="AC250" s="872"/>
      <x:c r="AD250" s="872"/>
      <x:c r="AE250" s="872"/>
      <x:c r="AF250" s="872"/>
      <x:c r="AG250" s="872"/>
      <x:c r="AH250" s="872"/>
      <x:c r="AI250" s="872"/>
      <x:c r="AJ250" s="872"/>
      <x:c r="AK250" s="872"/>
      <x:c r="AL250" s="872"/>
      <x:c r="AM250" s="872"/>
      <x:c r="AN250" s="872"/>
      <x:c r="AO250" s="872"/>
      <x:c r="AP250" s="872"/>
      <x:c r="AQ250" s="878"/>
      <x:c r="AR250" s="874"/>
    </x:row>
    <x:row r="251" s="36" customFormat="1" ht="30" customHeight="1">
      <x:c r="A251" s="871"/>
      <x:c r="B251" s="871"/>
      <x:c r="C251" s="871"/>
      <x:c r="D251" s="872"/>
      <x:c r="E251" s="871"/>
      <x:c r="F251" s="871"/>
      <x:c r="G251" s="872"/>
      <x:c r="H251" s="872"/>
      <x:c r="I251" s="875"/>
      <x:c r="J251" s="872"/>
      <x:c r="K251" s="873"/>
      <x:c r="L251" s="876"/>
      <x:c r="M251" s="873"/>
      <x:c r="N251" s="874"/>
      <x:c r="O251" s="874"/>
      <x:c r="P251" s="872"/>
      <x:c r="Q251" s="872"/>
      <x:c r="R251" s="872"/>
      <x:c r="S251" s="872"/>
      <x:c r="T251" s="872"/>
      <x:c r="U251" s="872"/>
      <x:c r="V251" s="872"/>
      <x:c r="W251" s="872"/>
      <x:c r="X251" s="872"/>
      <x:c r="Y251" s="872"/>
      <x:c r="Z251" s="872"/>
      <x:c r="AA251" s="877"/>
      <x:c r="AB251" s="872"/>
      <x:c r="AC251" s="872"/>
      <x:c r="AD251" s="872"/>
      <x:c r="AE251" s="872"/>
      <x:c r="AF251" s="872"/>
      <x:c r="AG251" s="872"/>
      <x:c r="AH251" s="872"/>
      <x:c r="AI251" s="872"/>
      <x:c r="AJ251" s="872"/>
      <x:c r="AK251" s="872"/>
      <x:c r="AL251" s="872"/>
      <x:c r="AM251" s="872"/>
      <x:c r="AN251" s="872"/>
      <x:c r="AO251" s="872"/>
      <x:c r="AP251" s="872"/>
      <x:c r="AQ251" s="878"/>
      <x:c r="AR251" s="874"/>
    </x:row>
    <x:row r="252" s="36" customFormat="1" ht="30" customHeight="1">
      <x:c r="A252" s="871"/>
      <x:c r="B252" s="871"/>
      <x:c r="C252" s="871"/>
      <x:c r="D252" s="872"/>
      <x:c r="E252" s="871"/>
      <x:c r="F252" s="871"/>
      <x:c r="G252" s="872"/>
      <x:c r="H252" s="872"/>
      <x:c r="I252" s="875"/>
      <x:c r="J252" s="872"/>
      <x:c r="K252" s="873"/>
      <x:c r="L252" s="876"/>
      <x:c r="M252" s="873"/>
      <x:c r="N252" s="874"/>
      <x:c r="O252" s="874"/>
      <x:c r="P252" s="872"/>
      <x:c r="Q252" s="872"/>
      <x:c r="R252" s="872"/>
      <x:c r="S252" s="872"/>
      <x:c r="T252" s="872"/>
      <x:c r="U252" s="872"/>
      <x:c r="V252" s="872"/>
      <x:c r="W252" s="872"/>
      <x:c r="X252" s="872"/>
      <x:c r="Y252" s="872"/>
      <x:c r="Z252" s="872"/>
      <x:c r="AA252" s="877"/>
      <x:c r="AB252" s="872"/>
      <x:c r="AC252" s="872"/>
      <x:c r="AD252" s="872"/>
      <x:c r="AE252" s="872"/>
      <x:c r="AF252" s="872"/>
      <x:c r="AG252" s="872"/>
      <x:c r="AH252" s="872"/>
      <x:c r="AI252" s="872"/>
      <x:c r="AJ252" s="872"/>
      <x:c r="AK252" s="872"/>
      <x:c r="AL252" s="872"/>
      <x:c r="AM252" s="872"/>
      <x:c r="AN252" s="872"/>
      <x:c r="AO252" s="872"/>
      <x:c r="AP252" s="872"/>
      <x:c r="AQ252" s="878"/>
      <x:c r="AR252" s="874"/>
    </x:row>
    <x:row r="253" s="36" customFormat="1" ht="30" customHeight="1">
      <x:c r="A253" s="871"/>
      <x:c r="B253" s="871"/>
      <x:c r="C253" s="871"/>
      <x:c r="D253" s="872"/>
      <x:c r="E253" s="871"/>
      <x:c r="F253" s="871"/>
      <x:c r="G253" s="872"/>
      <x:c r="H253" s="872"/>
      <x:c r="I253" s="875"/>
      <x:c r="J253" s="872"/>
      <x:c r="K253" s="873"/>
      <x:c r="L253" s="876"/>
      <x:c r="M253" s="873"/>
      <x:c r="N253" s="874"/>
      <x:c r="O253" s="874"/>
      <x:c r="P253" s="872"/>
      <x:c r="Q253" s="872"/>
      <x:c r="R253" s="872"/>
      <x:c r="S253" s="872"/>
      <x:c r="T253" s="872"/>
      <x:c r="U253" s="872"/>
      <x:c r="V253" s="872"/>
      <x:c r="W253" s="872"/>
      <x:c r="X253" s="872"/>
      <x:c r="Y253" s="872"/>
      <x:c r="Z253" s="872"/>
      <x:c r="AA253" s="877"/>
      <x:c r="AB253" s="872"/>
      <x:c r="AC253" s="872"/>
      <x:c r="AD253" s="872"/>
      <x:c r="AE253" s="872"/>
      <x:c r="AF253" s="872"/>
      <x:c r="AG253" s="872"/>
      <x:c r="AH253" s="872"/>
      <x:c r="AI253" s="872"/>
      <x:c r="AJ253" s="872"/>
      <x:c r="AK253" s="872"/>
      <x:c r="AL253" s="872"/>
      <x:c r="AM253" s="872"/>
      <x:c r="AN253" s="872"/>
      <x:c r="AO253" s="872"/>
      <x:c r="AP253" s="872"/>
      <x:c r="AQ253" s="878"/>
      <x:c r="AR253" s="874"/>
    </x:row>
    <x:row r="254" s="36" customFormat="1" ht="30" customHeight="1">
      <x:c r="A254" s="871"/>
      <x:c r="B254" s="871"/>
      <x:c r="C254" s="871"/>
      <x:c r="D254" s="872"/>
      <x:c r="E254" s="871"/>
      <x:c r="F254" s="871"/>
      <x:c r="G254" s="872"/>
      <x:c r="H254" s="872"/>
      <x:c r="I254" s="875"/>
      <x:c r="J254" s="872"/>
      <x:c r="K254" s="873"/>
      <x:c r="L254" s="876"/>
      <x:c r="M254" s="873"/>
      <x:c r="N254" s="874"/>
      <x:c r="O254" s="874"/>
      <x:c r="P254" s="872"/>
      <x:c r="Q254" s="872"/>
      <x:c r="R254" s="872"/>
      <x:c r="S254" s="872"/>
      <x:c r="T254" s="872"/>
      <x:c r="U254" s="872"/>
      <x:c r="V254" s="872"/>
      <x:c r="W254" s="872"/>
      <x:c r="X254" s="872"/>
      <x:c r="Y254" s="872"/>
      <x:c r="Z254" s="872"/>
      <x:c r="AA254" s="877"/>
      <x:c r="AB254" s="872"/>
      <x:c r="AC254" s="872"/>
      <x:c r="AD254" s="872"/>
      <x:c r="AE254" s="872"/>
      <x:c r="AF254" s="872"/>
      <x:c r="AG254" s="872"/>
      <x:c r="AH254" s="872"/>
      <x:c r="AI254" s="872"/>
      <x:c r="AJ254" s="872"/>
      <x:c r="AK254" s="872"/>
      <x:c r="AL254" s="872"/>
      <x:c r="AM254" s="872"/>
      <x:c r="AN254" s="872"/>
      <x:c r="AO254" s="872"/>
      <x:c r="AP254" s="872"/>
      <x:c r="AQ254" s="878"/>
      <x:c r="AR254" s="874"/>
    </x:row>
    <x:row r="255" s="36" customFormat="1" ht="30" customHeight="1">
      <x:c r="A255" s="871"/>
      <x:c r="B255" s="871"/>
      <x:c r="C255" s="871"/>
      <x:c r="D255" s="872"/>
      <x:c r="E255" s="871"/>
      <x:c r="F255" s="871"/>
      <x:c r="G255" s="872"/>
      <x:c r="H255" s="872"/>
      <x:c r="I255" s="875"/>
      <x:c r="J255" s="872"/>
      <x:c r="K255" s="873"/>
      <x:c r="L255" s="876"/>
      <x:c r="M255" s="873"/>
      <x:c r="N255" s="874"/>
      <x:c r="O255" s="874"/>
      <x:c r="P255" s="872"/>
      <x:c r="Q255" s="872"/>
      <x:c r="R255" s="872"/>
      <x:c r="S255" s="872"/>
      <x:c r="T255" s="872"/>
      <x:c r="U255" s="872"/>
      <x:c r="V255" s="872"/>
      <x:c r="W255" s="872"/>
      <x:c r="X255" s="872"/>
      <x:c r="Y255" s="872"/>
      <x:c r="Z255" s="872"/>
      <x:c r="AA255" s="877"/>
      <x:c r="AB255" s="872"/>
      <x:c r="AC255" s="872"/>
      <x:c r="AD255" s="872"/>
      <x:c r="AE255" s="872"/>
      <x:c r="AF255" s="872"/>
      <x:c r="AG255" s="872"/>
      <x:c r="AH255" s="872"/>
      <x:c r="AI255" s="872"/>
      <x:c r="AJ255" s="872"/>
      <x:c r="AK255" s="872"/>
      <x:c r="AL255" s="872"/>
      <x:c r="AM255" s="872"/>
      <x:c r="AN255" s="872"/>
      <x:c r="AO255" s="872"/>
      <x:c r="AP255" s="872"/>
      <x:c r="AQ255" s="878"/>
      <x:c r="AR255" s="874"/>
    </x:row>
    <x:row r="256" s="36" customFormat="1" ht="30" customHeight="1">
      <x:c r="A256" s="871"/>
      <x:c r="B256" s="871"/>
      <x:c r="C256" s="871"/>
      <x:c r="D256" s="872"/>
      <x:c r="E256" s="871"/>
      <x:c r="F256" s="871"/>
      <x:c r="G256" s="872"/>
      <x:c r="H256" s="872"/>
      <x:c r="I256" s="875"/>
      <x:c r="J256" s="872"/>
      <x:c r="K256" s="873"/>
      <x:c r="L256" s="876"/>
      <x:c r="M256" s="873"/>
      <x:c r="N256" s="874"/>
      <x:c r="O256" s="874"/>
      <x:c r="P256" s="872"/>
      <x:c r="Q256" s="872"/>
      <x:c r="R256" s="872"/>
      <x:c r="S256" s="872"/>
      <x:c r="T256" s="872"/>
      <x:c r="U256" s="872"/>
      <x:c r="V256" s="872"/>
      <x:c r="W256" s="872"/>
      <x:c r="X256" s="872"/>
      <x:c r="Y256" s="872"/>
      <x:c r="Z256" s="872"/>
      <x:c r="AA256" s="877"/>
      <x:c r="AB256" s="872"/>
      <x:c r="AC256" s="872"/>
      <x:c r="AD256" s="872"/>
      <x:c r="AE256" s="872"/>
      <x:c r="AF256" s="872"/>
      <x:c r="AG256" s="872"/>
      <x:c r="AH256" s="872"/>
      <x:c r="AI256" s="872"/>
      <x:c r="AJ256" s="872"/>
      <x:c r="AK256" s="872"/>
      <x:c r="AL256" s="872"/>
      <x:c r="AM256" s="872"/>
      <x:c r="AN256" s="872"/>
      <x:c r="AO256" s="872"/>
      <x:c r="AP256" s="872"/>
      <x:c r="AQ256" s="878"/>
      <x:c r="AR256" s="874"/>
    </x:row>
    <x:row r="257" s="36" customFormat="1" ht="30" customHeight="1">
      <x:c r="A257" s="871"/>
      <x:c r="B257" s="871"/>
      <x:c r="C257" s="871"/>
      <x:c r="D257" s="872"/>
      <x:c r="E257" s="871"/>
      <x:c r="F257" s="871"/>
      <x:c r="G257" s="872"/>
      <x:c r="H257" s="872"/>
      <x:c r="I257" s="875"/>
      <x:c r="J257" s="872"/>
      <x:c r="K257" s="873"/>
      <x:c r="L257" s="876"/>
      <x:c r="M257" s="873"/>
      <x:c r="N257" s="874"/>
      <x:c r="O257" s="874"/>
      <x:c r="P257" s="872"/>
      <x:c r="Q257" s="872"/>
      <x:c r="R257" s="872"/>
      <x:c r="S257" s="872"/>
      <x:c r="T257" s="872"/>
      <x:c r="U257" s="872"/>
      <x:c r="V257" s="872"/>
      <x:c r="W257" s="872"/>
      <x:c r="X257" s="872"/>
      <x:c r="Y257" s="872"/>
      <x:c r="Z257" s="872"/>
      <x:c r="AA257" s="877"/>
      <x:c r="AB257" s="872"/>
      <x:c r="AC257" s="872"/>
      <x:c r="AD257" s="872"/>
      <x:c r="AE257" s="872"/>
      <x:c r="AF257" s="872"/>
      <x:c r="AG257" s="872"/>
      <x:c r="AH257" s="872"/>
      <x:c r="AI257" s="872"/>
      <x:c r="AJ257" s="872"/>
      <x:c r="AK257" s="872"/>
      <x:c r="AL257" s="872"/>
      <x:c r="AM257" s="872"/>
      <x:c r="AN257" s="872"/>
      <x:c r="AO257" s="872"/>
      <x:c r="AP257" s="872"/>
      <x:c r="AQ257" s="878"/>
      <x:c r="AR257" s="874"/>
    </x:row>
    <x:row r="258" s="36" customFormat="1" ht="30" customHeight="1">
      <x:c r="A258" s="871"/>
      <x:c r="B258" s="871"/>
      <x:c r="C258" s="871"/>
      <x:c r="D258" s="872"/>
      <x:c r="E258" s="871"/>
      <x:c r="F258" s="871"/>
      <x:c r="G258" s="872"/>
      <x:c r="H258" s="872"/>
      <x:c r="I258" s="875"/>
      <x:c r="J258" s="872"/>
      <x:c r="K258" s="873"/>
      <x:c r="L258" s="876"/>
      <x:c r="M258" s="873"/>
      <x:c r="N258" s="874"/>
      <x:c r="O258" s="874"/>
      <x:c r="P258" s="872"/>
      <x:c r="Q258" s="872"/>
      <x:c r="R258" s="872"/>
      <x:c r="S258" s="872"/>
      <x:c r="T258" s="872"/>
      <x:c r="U258" s="872"/>
      <x:c r="V258" s="872"/>
      <x:c r="W258" s="872"/>
      <x:c r="X258" s="872"/>
      <x:c r="Y258" s="872"/>
      <x:c r="Z258" s="872"/>
      <x:c r="AA258" s="877"/>
      <x:c r="AB258" s="872"/>
      <x:c r="AC258" s="872"/>
      <x:c r="AD258" s="872"/>
      <x:c r="AE258" s="872"/>
      <x:c r="AF258" s="872"/>
      <x:c r="AG258" s="872"/>
      <x:c r="AH258" s="872"/>
      <x:c r="AI258" s="872"/>
      <x:c r="AJ258" s="872"/>
      <x:c r="AK258" s="872"/>
      <x:c r="AL258" s="872"/>
      <x:c r="AM258" s="872"/>
      <x:c r="AN258" s="872"/>
      <x:c r="AO258" s="872"/>
      <x:c r="AP258" s="872"/>
      <x:c r="AQ258" s="878"/>
      <x:c r="AR258" s="874"/>
    </x:row>
    <x:row r="259" s="36" customFormat="1" ht="30" customHeight="1">
      <x:c r="A259" s="871"/>
      <x:c r="B259" s="871"/>
      <x:c r="C259" s="871"/>
      <x:c r="D259" s="872"/>
      <x:c r="E259" s="871"/>
      <x:c r="F259" s="871"/>
      <x:c r="G259" s="872"/>
      <x:c r="H259" s="872"/>
      <x:c r="I259" s="875"/>
      <x:c r="J259" s="872"/>
      <x:c r="K259" s="873"/>
      <x:c r="L259" s="876"/>
      <x:c r="M259" s="873"/>
      <x:c r="N259" s="874"/>
      <x:c r="O259" s="874"/>
      <x:c r="P259" s="872"/>
      <x:c r="Q259" s="872"/>
      <x:c r="R259" s="872"/>
      <x:c r="S259" s="872"/>
      <x:c r="T259" s="872"/>
      <x:c r="U259" s="872"/>
      <x:c r="V259" s="872"/>
      <x:c r="W259" s="872"/>
      <x:c r="X259" s="872"/>
      <x:c r="Y259" s="872"/>
      <x:c r="Z259" s="872"/>
      <x:c r="AA259" s="877"/>
      <x:c r="AB259" s="872"/>
      <x:c r="AC259" s="872"/>
      <x:c r="AD259" s="872"/>
      <x:c r="AE259" s="872"/>
      <x:c r="AF259" s="872"/>
      <x:c r="AG259" s="872"/>
      <x:c r="AH259" s="872"/>
      <x:c r="AI259" s="872"/>
      <x:c r="AJ259" s="872"/>
      <x:c r="AK259" s="872"/>
      <x:c r="AL259" s="872"/>
      <x:c r="AM259" s="872"/>
      <x:c r="AN259" s="872"/>
      <x:c r="AO259" s="872"/>
      <x:c r="AP259" s="872"/>
      <x:c r="AQ259" s="878"/>
      <x:c r="AR259" s="874"/>
    </x:row>
    <x:row r="260" s="36" customFormat="1" ht="30" customHeight="1">
      <x:c r="A260" s="871"/>
      <x:c r="B260" s="871"/>
      <x:c r="C260" s="871"/>
      <x:c r="D260" s="872"/>
      <x:c r="E260" s="871"/>
      <x:c r="F260" s="871"/>
      <x:c r="G260" s="872"/>
      <x:c r="H260" s="872"/>
      <x:c r="I260" s="875"/>
      <x:c r="J260" s="872"/>
      <x:c r="K260" s="873"/>
      <x:c r="L260" s="876"/>
      <x:c r="M260" s="873"/>
      <x:c r="N260" s="874"/>
      <x:c r="O260" s="874"/>
      <x:c r="P260" s="872"/>
      <x:c r="Q260" s="872"/>
      <x:c r="R260" s="872"/>
      <x:c r="S260" s="872"/>
      <x:c r="T260" s="872"/>
      <x:c r="U260" s="872"/>
      <x:c r="V260" s="872"/>
      <x:c r="W260" s="872"/>
      <x:c r="X260" s="872"/>
      <x:c r="Y260" s="872"/>
      <x:c r="Z260" s="872"/>
      <x:c r="AA260" s="877"/>
      <x:c r="AB260" s="872"/>
      <x:c r="AC260" s="872"/>
      <x:c r="AD260" s="872"/>
      <x:c r="AE260" s="872"/>
      <x:c r="AF260" s="872"/>
      <x:c r="AG260" s="872"/>
      <x:c r="AH260" s="872"/>
      <x:c r="AI260" s="872"/>
      <x:c r="AJ260" s="872"/>
      <x:c r="AK260" s="872"/>
      <x:c r="AL260" s="872"/>
      <x:c r="AM260" s="872"/>
      <x:c r="AN260" s="872"/>
      <x:c r="AO260" s="872"/>
      <x:c r="AP260" s="872"/>
      <x:c r="AQ260" s="878"/>
      <x:c r="AR260" s="874"/>
    </x:row>
    <x:row r="261" s="36" customFormat="1" ht="30" customHeight="1">
      <x:c r="A261" s="871"/>
      <x:c r="B261" s="871"/>
      <x:c r="C261" s="871"/>
      <x:c r="D261" s="872"/>
      <x:c r="E261" s="871"/>
      <x:c r="F261" s="871"/>
      <x:c r="G261" s="872"/>
      <x:c r="H261" s="872"/>
      <x:c r="I261" s="875"/>
      <x:c r="J261" s="872"/>
      <x:c r="K261" s="873"/>
      <x:c r="L261" s="876"/>
      <x:c r="M261" s="873"/>
      <x:c r="N261" s="874"/>
      <x:c r="O261" s="874"/>
      <x:c r="P261" s="872"/>
      <x:c r="Q261" s="872"/>
      <x:c r="R261" s="872"/>
      <x:c r="S261" s="872"/>
      <x:c r="T261" s="872"/>
      <x:c r="U261" s="872"/>
      <x:c r="V261" s="872"/>
      <x:c r="W261" s="872"/>
      <x:c r="X261" s="872"/>
      <x:c r="Y261" s="872"/>
      <x:c r="Z261" s="872"/>
      <x:c r="AA261" s="877"/>
      <x:c r="AB261" s="872"/>
      <x:c r="AC261" s="872"/>
      <x:c r="AD261" s="872"/>
      <x:c r="AE261" s="872"/>
      <x:c r="AF261" s="872"/>
      <x:c r="AG261" s="872"/>
      <x:c r="AH261" s="872"/>
      <x:c r="AI261" s="872"/>
      <x:c r="AJ261" s="872"/>
      <x:c r="AK261" s="872"/>
      <x:c r="AL261" s="872"/>
      <x:c r="AM261" s="872"/>
      <x:c r="AN261" s="872"/>
      <x:c r="AO261" s="872"/>
      <x:c r="AP261" s="872"/>
      <x:c r="AQ261" s="878"/>
      <x:c r="AR261" s="874"/>
    </x:row>
    <x:row r="262" s="36" customFormat="1" ht="30" customHeight="1">
      <x:c r="A262" s="871"/>
      <x:c r="B262" s="871"/>
      <x:c r="C262" s="871"/>
      <x:c r="D262" s="872"/>
      <x:c r="E262" s="871"/>
      <x:c r="F262" s="871"/>
      <x:c r="G262" s="872"/>
      <x:c r="H262" s="872"/>
      <x:c r="I262" s="875"/>
      <x:c r="J262" s="872"/>
      <x:c r="K262" s="873"/>
      <x:c r="L262" s="876"/>
      <x:c r="M262" s="873"/>
      <x:c r="N262" s="874"/>
      <x:c r="O262" s="874"/>
      <x:c r="P262" s="872"/>
      <x:c r="Q262" s="872"/>
      <x:c r="R262" s="872"/>
      <x:c r="S262" s="872"/>
      <x:c r="T262" s="872"/>
      <x:c r="U262" s="872"/>
      <x:c r="V262" s="872"/>
      <x:c r="W262" s="872"/>
      <x:c r="X262" s="872"/>
      <x:c r="Y262" s="872"/>
      <x:c r="Z262" s="872"/>
      <x:c r="AA262" s="877"/>
      <x:c r="AB262" s="872"/>
      <x:c r="AC262" s="872"/>
      <x:c r="AD262" s="872"/>
      <x:c r="AE262" s="872"/>
      <x:c r="AF262" s="872"/>
      <x:c r="AG262" s="872"/>
      <x:c r="AH262" s="872"/>
      <x:c r="AI262" s="872"/>
      <x:c r="AJ262" s="872"/>
      <x:c r="AK262" s="872"/>
      <x:c r="AL262" s="872"/>
      <x:c r="AM262" s="872"/>
      <x:c r="AN262" s="872"/>
      <x:c r="AO262" s="872"/>
      <x:c r="AP262" s="872"/>
      <x:c r="AQ262" s="878"/>
      <x:c r="AR262" s="874"/>
    </x:row>
    <x:row r="263" s="36" customFormat="1" ht="30" customHeight="1">
      <x:c r="A263" s="871"/>
      <x:c r="B263" s="871"/>
      <x:c r="C263" s="871"/>
      <x:c r="D263" s="872"/>
      <x:c r="E263" s="871"/>
      <x:c r="F263" s="871"/>
      <x:c r="G263" s="872"/>
      <x:c r="H263" s="872"/>
      <x:c r="I263" s="875"/>
      <x:c r="J263" s="872"/>
      <x:c r="K263" s="873"/>
      <x:c r="L263" s="876"/>
      <x:c r="M263" s="873"/>
      <x:c r="N263" s="874"/>
      <x:c r="O263" s="874"/>
      <x:c r="P263" s="872"/>
      <x:c r="Q263" s="872"/>
      <x:c r="R263" s="872"/>
      <x:c r="S263" s="872"/>
      <x:c r="T263" s="872"/>
      <x:c r="U263" s="872"/>
      <x:c r="V263" s="872"/>
      <x:c r="W263" s="872"/>
      <x:c r="X263" s="872"/>
      <x:c r="Y263" s="872"/>
      <x:c r="Z263" s="872"/>
      <x:c r="AA263" s="877"/>
      <x:c r="AB263" s="872"/>
      <x:c r="AC263" s="872"/>
      <x:c r="AD263" s="872"/>
      <x:c r="AE263" s="872"/>
      <x:c r="AF263" s="872"/>
      <x:c r="AG263" s="872"/>
      <x:c r="AH263" s="872"/>
      <x:c r="AI263" s="872"/>
      <x:c r="AJ263" s="872"/>
      <x:c r="AK263" s="872"/>
      <x:c r="AL263" s="872"/>
      <x:c r="AM263" s="872"/>
      <x:c r="AN263" s="872"/>
      <x:c r="AO263" s="872"/>
      <x:c r="AP263" s="872"/>
      <x:c r="AQ263" s="878"/>
      <x:c r="AR263" s="874"/>
    </x:row>
    <x:row r="264" s="36" customFormat="1" ht="30" customHeight="1">
      <x:c r="A264" s="871"/>
      <x:c r="B264" s="871"/>
      <x:c r="C264" s="871"/>
      <x:c r="D264" s="872"/>
      <x:c r="E264" s="871"/>
      <x:c r="F264" s="871"/>
      <x:c r="G264" s="872"/>
      <x:c r="H264" s="872"/>
      <x:c r="I264" s="875"/>
      <x:c r="J264" s="872"/>
      <x:c r="K264" s="873"/>
      <x:c r="L264" s="876"/>
      <x:c r="M264" s="873"/>
      <x:c r="N264" s="874"/>
      <x:c r="O264" s="874"/>
      <x:c r="P264" s="872"/>
      <x:c r="Q264" s="872"/>
      <x:c r="R264" s="872"/>
      <x:c r="S264" s="872"/>
      <x:c r="T264" s="872"/>
      <x:c r="U264" s="872"/>
      <x:c r="V264" s="872"/>
      <x:c r="W264" s="872"/>
      <x:c r="X264" s="872"/>
      <x:c r="Y264" s="872"/>
      <x:c r="Z264" s="872"/>
      <x:c r="AA264" s="877"/>
      <x:c r="AB264" s="872"/>
      <x:c r="AC264" s="872"/>
      <x:c r="AD264" s="872"/>
      <x:c r="AE264" s="872"/>
      <x:c r="AF264" s="872"/>
      <x:c r="AG264" s="872"/>
      <x:c r="AH264" s="872"/>
      <x:c r="AI264" s="872"/>
      <x:c r="AJ264" s="872"/>
      <x:c r="AK264" s="872"/>
      <x:c r="AL264" s="872"/>
      <x:c r="AM264" s="872"/>
      <x:c r="AN264" s="872"/>
      <x:c r="AO264" s="872"/>
      <x:c r="AP264" s="872"/>
      <x:c r="AQ264" s="878"/>
      <x:c r="AR264" s="874"/>
    </x:row>
    <x:row r="265" s="36" customFormat="1" ht="30" customHeight="1">
      <x:c r="A265" s="871"/>
      <x:c r="B265" s="871"/>
      <x:c r="C265" s="871"/>
      <x:c r="D265" s="872"/>
      <x:c r="E265" s="871"/>
      <x:c r="F265" s="871"/>
      <x:c r="G265" s="872"/>
      <x:c r="H265" s="872"/>
      <x:c r="I265" s="875"/>
      <x:c r="J265" s="872"/>
      <x:c r="K265" s="873"/>
      <x:c r="L265" s="876"/>
      <x:c r="M265" s="873"/>
      <x:c r="N265" s="874"/>
      <x:c r="O265" s="874"/>
      <x:c r="P265" s="872"/>
      <x:c r="Q265" s="872"/>
      <x:c r="R265" s="872"/>
      <x:c r="S265" s="872"/>
      <x:c r="T265" s="872"/>
      <x:c r="U265" s="872"/>
      <x:c r="V265" s="872"/>
      <x:c r="W265" s="872"/>
      <x:c r="X265" s="872"/>
      <x:c r="Y265" s="872"/>
      <x:c r="Z265" s="872"/>
      <x:c r="AA265" s="877"/>
      <x:c r="AB265" s="872"/>
      <x:c r="AC265" s="872"/>
      <x:c r="AD265" s="872"/>
      <x:c r="AE265" s="872"/>
      <x:c r="AF265" s="872"/>
      <x:c r="AG265" s="872"/>
      <x:c r="AH265" s="872"/>
      <x:c r="AI265" s="872"/>
      <x:c r="AJ265" s="872"/>
      <x:c r="AK265" s="872"/>
      <x:c r="AL265" s="872"/>
      <x:c r="AM265" s="872"/>
      <x:c r="AN265" s="872"/>
      <x:c r="AO265" s="872"/>
      <x:c r="AP265" s="872"/>
      <x:c r="AQ265" s="878"/>
      <x:c r="AR265" s="874"/>
    </x:row>
    <x:row r="266" s="36" customFormat="1" ht="30" customHeight="1">
      <x:c r="A266" s="871"/>
      <x:c r="B266" s="871"/>
      <x:c r="C266" s="871"/>
      <x:c r="D266" s="872"/>
      <x:c r="E266" s="871"/>
      <x:c r="F266" s="871"/>
      <x:c r="G266" s="872"/>
      <x:c r="H266" s="872"/>
      <x:c r="I266" s="875"/>
      <x:c r="J266" s="872"/>
      <x:c r="K266" s="873"/>
      <x:c r="L266" s="876"/>
      <x:c r="M266" s="873"/>
      <x:c r="N266" s="874"/>
      <x:c r="O266" s="874"/>
      <x:c r="P266" s="872"/>
      <x:c r="Q266" s="872"/>
      <x:c r="R266" s="872"/>
      <x:c r="S266" s="872"/>
      <x:c r="T266" s="872"/>
      <x:c r="U266" s="872"/>
      <x:c r="V266" s="872"/>
      <x:c r="W266" s="872"/>
      <x:c r="X266" s="872"/>
      <x:c r="Y266" s="872"/>
      <x:c r="Z266" s="872"/>
      <x:c r="AA266" s="877"/>
      <x:c r="AB266" s="872"/>
      <x:c r="AC266" s="872"/>
      <x:c r="AD266" s="872"/>
      <x:c r="AE266" s="872"/>
      <x:c r="AF266" s="872"/>
      <x:c r="AG266" s="872"/>
      <x:c r="AH266" s="872"/>
      <x:c r="AI266" s="872"/>
      <x:c r="AJ266" s="872"/>
      <x:c r="AK266" s="872"/>
      <x:c r="AL266" s="872"/>
      <x:c r="AM266" s="872"/>
      <x:c r="AN266" s="872"/>
      <x:c r="AO266" s="872"/>
      <x:c r="AP266" s="872"/>
      <x:c r="AQ266" s="878"/>
      <x:c r="AR266" s="874"/>
    </x:row>
    <x:row r="267" s="36" customFormat="1" ht="30" customHeight="1">
      <x:c r="A267" s="871"/>
      <x:c r="B267" s="871"/>
      <x:c r="C267" s="871"/>
      <x:c r="D267" s="872"/>
      <x:c r="E267" s="871"/>
      <x:c r="F267" s="871"/>
      <x:c r="G267" s="872"/>
      <x:c r="H267" s="872"/>
      <x:c r="I267" s="875"/>
      <x:c r="J267" s="872"/>
      <x:c r="K267" s="873"/>
      <x:c r="L267" s="876"/>
      <x:c r="M267" s="873"/>
      <x:c r="N267" s="874"/>
      <x:c r="O267" s="874"/>
      <x:c r="P267" s="872"/>
      <x:c r="Q267" s="872"/>
      <x:c r="R267" s="872"/>
      <x:c r="S267" s="872"/>
      <x:c r="T267" s="872"/>
      <x:c r="U267" s="872"/>
      <x:c r="V267" s="872"/>
      <x:c r="W267" s="872"/>
      <x:c r="X267" s="872"/>
      <x:c r="Y267" s="872"/>
      <x:c r="Z267" s="872"/>
      <x:c r="AA267" s="877"/>
      <x:c r="AB267" s="872"/>
      <x:c r="AC267" s="872"/>
      <x:c r="AD267" s="872"/>
      <x:c r="AE267" s="872"/>
      <x:c r="AF267" s="872"/>
      <x:c r="AG267" s="872"/>
      <x:c r="AH267" s="872"/>
      <x:c r="AI267" s="872"/>
      <x:c r="AJ267" s="872"/>
      <x:c r="AK267" s="872"/>
      <x:c r="AL267" s="872"/>
      <x:c r="AM267" s="872"/>
      <x:c r="AN267" s="872"/>
      <x:c r="AO267" s="872"/>
      <x:c r="AP267" s="872"/>
      <x:c r="AQ267" s="878"/>
      <x:c r="AR267" s="874"/>
    </x:row>
    <x:row r="268" s="36" customFormat="1" ht="30" customHeight="1">
      <x:c r="A268" s="871"/>
      <x:c r="B268" s="871"/>
      <x:c r="C268" s="871"/>
      <x:c r="D268" s="872"/>
      <x:c r="E268" s="871"/>
      <x:c r="F268" s="871"/>
      <x:c r="G268" s="872"/>
      <x:c r="H268" s="872"/>
      <x:c r="I268" s="875"/>
      <x:c r="J268" s="872"/>
      <x:c r="K268" s="873"/>
      <x:c r="L268" s="876"/>
      <x:c r="M268" s="873"/>
      <x:c r="N268" s="874"/>
      <x:c r="O268" s="874"/>
      <x:c r="P268" s="872"/>
      <x:c r="Q268" s="872"/>
      <x:c r="R268" s="872"/>
      <x:c r="S268" s="872"/>
      <x:c r="T268" s="872"/>
      <x:c r="U268" s="872"/>
      <x:c r="V268" s="872"/>
      <x:c r="W268" s="872"/>
      <x:c r="X268" s="872"/>
      <x:c r="Y268" s="872"/>
      <x:c r="Z268" s="872"/>
      <x:c r="AA268" s="877"/>
      <x:c r="AB268" s="872"/>
      <x:c r="AC268" s="872"/>
      <x:c r="AD268" s="872"/>
      <x:c r="AE268" s="872"/>
      <x:c r="AF268" s="872"/>
      <x:c r="AG268" s="872"/>
      <x:c r="AH268" s="872"/>
      <x:c r="AI268" s="872"/>
      <x:c r="AJ268" s="872"/>
      <x:c r="AK268" s="872"/>
      <x:c r="AL268" s="872"/>
      <x:c r="AM268" s="872"/>
      <x:c r="AN268" s="872"/>
      <x:c r="AO268" s="872"/>
      <x:c r="AP268" s="872"/>
      <x:c r="AQ268" s="878"/>
      <x:c r="AR268" s="874"/>
    </x:row>
    <x:row r="269" s="36" customFormat="1" ht="30" customHeight="1">
      <x:c r="A269" s="871"/>
      <x:c r="B269" s="871"/>
      <x:c r="C269" s="871"/>
      <x:c r="D269" s="872"/>
      <x:c r="E269" s="871"/>
      <x:c r="F269" s="871"/>
      <x:c r="G269" s="872"/>
      <x:c r="H269" s="872"/>
      <x:c r="I269" s="875"/>
      <x:c r="J269" s="872"/>
      <x:c r="K269" s="873"/>
      <x:c r="L269" s="876"/>
      <x:c r="M269" s="873"/>
      <x:c r="N269" s="874"/>
      <x:c r="O269" s="874"/>
      <x:c r="P269" s="872"/>
      <x:c r="Q269" s="872"/>
      <x:c r="R269" s="872"/>
      <x:c r="S269" s="872"/>
      <x:c r="T269" s="872"/>
      <x:c r="U269" s="872"/>
      <x:c r="V269" s="872"/>
      <x:c r="W269" s="872"/>
      <x:c r="X269" s="872"/>
      <x:c r="Y269" s="872"/>
      <x:c r="Z269" s="872"/>
      <x:c r="AA269" s="877"/>
      <x:c r="AB269" s="872"/>
      <x:c r="AC269" s="872"/>
      <x:c r="AD269" s="872"/>
      <x:c r="AE269" s="872"/>
      <x:c r="AF269" s="872"/>
      <x:c r="AG269" s="872"/>
      <x:c r="AH269" s="872"/>
      <x:c r="AI269" s="872"/>
      <x:c r="AJ269" s="872"/>
      <x:c r="AK269" s="872"/>
      <x:c r="AL269" s="872"/>
      <x:c r="AM269" s="872"/>
      <x:c r="AN269" s="872"/>
      <x:c r="AO269" s="872"/>
      <x:c r="AP269" s="872"/>
      <x:c r="AQ269" s="878"/>
      <x:c r="AR269" s="874"/>
    </x:row>
    <x:row r="270" s="36" customFormat="1" ht="30" customHeight="1">
      <x:c r="A270" s="871"/>
      <x:c r="B270" s="871"/>
      <x:c r="C270" s="871"/>
      <x:c r="D270" s="872"/>
      <x:c r="E270" s="871"/>
      <x:c r="F270" s="871"/>
      <x:c r="G270" s="872"/>
      <x:c r="H270" s="872"/>
      <x:c r="I270" s="875"/>
      <x:c r="J270" s="872"/>
      <x:c r="K270" s="873"/>
      <x:c r="L270" s="876"/>
      <x:c r="M270" s="873"/>
      <x:c r="N270" s="874"/>
      <x:c r="O270" s="874"/>
      <x:c r="P270" s="872"/>
      <x:c r="Q270" s="872"/>
      <x:c r="R270" s="872"/>
      <x:c r="S270" s="872"/>
      <x:c r="T270" s="872"/>
      <x:c r="U270" s="872"/>
      <x:c r="V270" s="872"/>
      <x:c r="W270" s="872"/>
      <x:c r="X270" s="872"/>
      <x:c r="Y270" s="872"/>
      <x:c r="Z270" s="872"/>
      <x:c r="AA270" s="877"/>
      <x:c r="AB270" s="872"/>
      <x:c r="AC270" s="872"/>
      <x:c r="AD270" s="872"/>
      <x:c r="AE270" s="872"/>
      <x:c r="AF270" s="872"/>
      <x:c r="AG270" s="872"/>
      <x:c r="AH270" s="872"/>
      <x:c r="AI270" s="872"/>
      <x:c r="AJ270" s="872"/>
      <x:c r="AK270" s="872"/>
      <x:c r="AL270" s="872"/>
      <x:c r="AM270" s="872"/>
      <x:c r="AN270" s="872"/>
      <x:c r="AO270" s="872"/>
      <x:c r="AP270" s="872"/>
      <x:c r="AQ270" s="878"/>
      <x:c r="AR270" s="874"/>
    </x:row>
    <x:row r="271" s="36" customFormat="1" ht="30" customHeight="1">
      <x:c r="A271" s="871"/>
      <x:c r="B271" s="871"/>
      <x:c r="C271" s="871"/>
      <x:c r="D271" s="872"/>
      <x:c r="E271" s="871"/>
      <x:c r="F271" s="871"/>
      <x:c r="G271" s="872"/>
      <x:c r="H271" s="872"/>
      <x:c r="I271" s="875"/>
      <x:c r="J271" s="872"/>
      <x:c r="K271" s="873"/>
      <x:c r="L271" s="876"/>
      <x:c r="M271" s="873"/>
      <x:c r="N271" s="874"/>
      <x:c r="O271" s="874"/>
      <x:c r="P271" s="872"/>
      <x:c r="Q271" s="872"/>
      <x:c r="R271" s="872"/>
      <x:c r="S271" s="872"/>
      <x:c r="T271" s="872"/>
      <x:c r="U271" s="872"/>
      <x:c r="V271" s="872"/>
      <x:c r="W271" s="872"/>
      <x:c r="X271" s="872"/>
      <x:c r="Y271" s="872"/>
      <x:c r="Z271" s="872"/>
      <x:c r="AA271" s="877"/>
      <x:c r="AB271" s="872"/>
      <x:c r="AC271" s="872"/>
      <x:c r="AD271" s="872"/>
      <x:c r="AE271" s="872"/>
      <x:c r="AF271" s="872"/>
      <x:c r="AG271" s="872"/>
      <x:c r="AH271" s="872"/>
      <x:c r="AI271" s="872"/>
      <x:c r="AJ271" s="872"/>
      <x:c r="AK271" s="872"/>
      <x:c r="AL271" s="872"/>
      <x:c r="AM271" s="872"/>
      <x:c r="AN271" s="872"/>
      <x:c r="AO271" s="872"/>
      <x:c r="AP271" s="872"/>
      <x:c r="AQ271" s="878"/>
      <x:c r="AR271" s="874"/>
    </x:row>
    <x:row r="272" s="36" customFormat="1" ht="30" customHeight="1">
      <x:c r="A272" s="871"/>
      <x:c r="B272" s="871"/>
      <x:c r="C272" s="871"/>
      <x:c r="D272" s="872"/>
      <x:c r="E272" s="871"/>
      <x:c r="F272" s="871"/>
      <x:c r="G272" s="872"/>
      <x:c r="H272" s="872"/>
      <x:c r="I272" s="875"/>
      <x:c r="J272" s="872"/>
      <x:c r="K272" s="873"/>
      <x:c r="L272" s="876"/>
      <x:c r="M272" s="873"/>
      <x:c r="N272" s="874"/>
      <x:c r="O272" s="874"/>
      <x:c r="P272" s="872"/>
      <x:c r="Q272" s="872"/>
      <x:c r="R272" s="872"/>
      <x:c r="S272" s="872"/>
      <x:c r="T272" s="872"/>
      <x:c r="U272" s="872"/>
      <x:c r="V272" s="872"/>
      <x:c r="W272" s="872"/>
      <x:c r="X272" s="872"/>
      <x:c r="Y272" s="872"/>
      <x:c r="Z272" s="872"/>
      <x:c r="AA272" s="877"/>
      <x:c r="AB272" s="872"/>
      <x:c r="AC272" s="872"/>
      <x:c r="AD272" s="872"/>
      <x:c r="AE272" s="872"/>
      <x:c r="AF272" s="872"/>
      <x:c r="AG272" s="872"/>
      <x:c r="AH272" s="872"/>
      <x:c r="AI272" s="872"/>
      <x:c r="AJ272" s="872"/>
      <x:c r="AK272" s="872"/>
      <x:c r="AL272" s="872"/>
      <x:c r="AM272" s="872"/>
      <x:c r="AN272" s="872"/>
      <x:c r="AO272" s="872"/>
      <x:c r="AP272" s="872"/>
      <x:c r="AQ272" s="878"/>
      <x:c r="AR272" s="874"/>
    </x:row>
    <x:row r="273" s="36" customFormat="1" ht="30" customHeight="1">
      <x:c r="A273" s="871"/>
      <x:c r="B273" s="871"/>
      <x:c r="C273" s="871"/>
      <x:c r="D273" s="872"/>
      <x:c r="E273" s="871"/>
      <x:c r="F273" s="871"/>
      <x:c r="G273" s="872"/>
      <x:c r="H273" s="872"/>
      <x:c r="I273" s="875"/>
      <x:c r="J273" s="872"/>
      <x:c r="K273" s="873"/>
      <x:c r="L273" s="876"/>
      <x:c r="M273" s="873"/>
      <x:c r="N273" s="874"/>
      <x:c r="O273" s="874"/>
      <x:c r="P273" s="872"/>
      <x:c r="Q273" s="872"/>
      <x:c r="R273" s="872"/>
      <x:c r="S273" s="872"/>
      <x:c r="T273" s="872"/>
      <x:c r="U273" s="872"/>
      <x:c r="V273" s="872"/>
      <x:c r="W273" s="872"/>
      <x:c r="X273" s="872"/>
      <x:c r="Y273" s="872"/>
      <x:c r="Z273" s="872"/>
      <x:c r="AA273" s="877"/>
      <x:c r="AB273" s="872"/>
      <x:c r="AC273" s="872"/>
      <x:c r="AD273" s="872"/>
      <x:c r="AE273" s="872"/>
      <x:c r="AF273" s="872"/>
      <x:c r="AG273" s="872"/>
      <x:c r="AH273" s="872"/>
      <x:c r="AI273" s="872"/>
      <x:c r="AJ273" s="872"/>
      <x:c r="AK273" s="872"/>
      <x:c r="AL273" s="872"/>
      <x:c r="AM273" s="872"/>
      <x:c r="AN273" s="872"/>
      <x:c r="AO273" s="872"/>
      <x:c r="AP273" s="872"/>
      <x:c r="AQ273" s="878"/>
      <x:c r="AR273" s="874"/>
    </x:row>
    <x:row r="274" s="36" customFormat="1" ht="30" customHeight="1">
      <x:c r="A274" s="871"/>
      <x:c r="B274" s="871"/>
      <x:c r="C274" s="871"/>
      <x:c r="D274" s="872"/>
      <x:c r="E274" s="871"/>
      <x:c r="F274" s="871"/>
      <x:c r="G274" s="872"/>
      <x:c r="H274" s="872"/>
      <x:c r="I274" s="875"/>
      <x:c r="J274" s="872"/>
      <x:c r="K274" s="873"/>
      <x:c r="L274" s="876"/>
      <x:c r="M274" s="873"/>
      <x:c r="N274" s="874"/>
      <x:c r="O274" s="874"/>
      <x:c r="P274" s="872"/>
      <x:c r="Q274" s="872"/>
      <x:c r="R274" s="872"/>
      <x:c r="S274" s="872"/>
      <x:c r="T274" s="872"/>
      <x:c r="U274" s="872"/>
      <x:c r="V274" s="872"/>
      <x:c r="W274" s="872"/>
      <x:c r="X274" s="872"/>
      <x:c r="Y274" s="872"/>
      <x:c r="Z274" s="872"/>
      <x:c r="AA274" s="877"/>
      <x:c r="AB274" s="872"/>
      <x:c r="AC274" s="872"/>
      <x:c r="AD274" s="872"/>
      <x:c r="AE274" s="872"/>
      <x:c r="AF274" s="872"/>
      <x:c r="AG274" s="872"/>
      <x:c r="AH274" s="872"/>
      <x:c r="AI274" s="872"/>
      <x:c r="AJ274" s="872"/>
      <x:c r="AK274" s="872"/>
      <x:c r="AL274" s="872"/>
      <x:c r="AM274" s="872"/>
      <x:c r="AN274" s="872"/>
      <x:c r="AO274" s="872"/>
      <x:c r="AP274" s="872"/>
      <x:c r="AQ274" s="878"/>
      <x:c r="AR274" s="874"/>
    </x:row>
    <x:row r="275" s="36" customFormat="1" ht="30" customHeight="1">
      <x:c r="A275" s="871"/>
      <x:c r="B275" s="871"/>
      <x:c r="C275" s="871"/>
      <x:c r="D275" s="872"/>
      <x:c r="E275" s="871"/>
      <x:c r="F275" s="871"/>
      <x:c r="G275" s="872"/>
      <x:c r="H275" s="872"/>
      <x:c r="I275" s="875"/>
      <x:c r="J275" s="872"/>
      <x:c r="K275" s="873"/>
      <x:c r="L275" s="876"/>
      <x:c r="M275" s="873"/>
      <x:c r="N275" s="874"/>
      <x:c r="O275" s="874"/>
      <x:c r="P275" s="872"/>
      <x:c r="Q275" s="872"/>
      <x:c r="R275" s="872"/>
      <x:c r="S275" s="872"/>
      <x:c r="T275" s="872"/>
      <x:c r="U275" s="872"/>
      <x:c r="V275" s="872"/>
      <x:c r="W275" s="872"/>
      <x:c r="X275" s="872"/>
      <x:c r="Y275" s="872"/>
      <x:c r="Z275" s="872"/>
      <x:c r="AA275" s="877"/>
      <x:c r="AB275" s="872"/>
      <x:c r="AC275" s="872"/>
      <x:c r="AD275" s="872"/>
      <x:c r="AE275" s="872"/>
      <x:c r="AF275" s="872"/>
      <x:c r="AG275" s="872"/>
      <x:c r="AH275" s="872"/>
      <x:c r="AI275" s="872"/>
      <x:c r="AJ275" s="872"/>
      <x:c r="AK275" s="872"/>
      <x:c r="AL275" s="872"/>
      <x:c r="AM275" s="872"/>
      <x:c r="AN275" s="872"/>
      <x:c r="AO275" s="872"/>
      <x:c r="AP275" s="872"/>
      <x:c r="AQ275" s="878"/>
      <x:c r="AR275" s="874"/>
    </x:row>
    <x:row r="276" s="36" customFormat="1" ht="30" customHeight="1">
      <x:c r="A276" s="871"/>
      <x:c r="B276" s="871"/>
      <x:c r="C276" s="871"/>
      <x:c r="D276" s="872"/>
      <x:c r="E276" s="871"/>
      <x:c r="F276" s="871"/>
      <x:c r="G276" s="872"/>
      <x:c r="H276" s="872"/>
      <x:c r="I276" s="875"/>
      <x:c r="J276" s="872"/>
      <x:c r="K276" s="873"/>
      <x:c r="L276" s="876"/>
      <x:c r="M276" s="873"/>
      <x:c r="N276" s="874"/>
      <x:c r="O276" s="874"/>
      <x:c r="P276" s="872"/>
      <x:c r="Q276" s="872"/>
      <x:c r="R276" s="872"/>
      <x:c r="S276" s="872"/>
      <x:c r="T276" s="872"/>
      <x:c r="U276" s="872"/>
      <x:c r="V276" s="872"/>
      <x:c r="W276" s="872"/>
      <x:c r="X276" s="872"/>
      <x:c r="Y276" s="872"/>
      <x:c r="Z276" s="872"/>
      <x:c r="AA276" s="877"/>
      <x:c r="AB276" s="872"/>
      <x:c r="AC276" s="872"/>
      <x:c r="AD276" s="872"/>
      <x:c r="AE276" s="872"/>
      <x:c r="AF276" s="872"/>
      <x:c r="AG276" s="872"/>
      <x:c r="AH276" s="872"/>
      <x:c r="AI276" s="872"/>
      <x:c r="AJ276" s="872"/>
      <x:c r="AK276" s="872"/>
      <x:c r="AL276" s="872"/>
      <x:c r="AM276" s="872"/>
      <x:c r="AN276" s="872"/>
      <x:c r="AO276" s="872"/>
      <x:c r="AP276" s="872"/>
      <x:c r="AQ276" s="878"/>
      <x:c r="AR276" s="874"/>
    </x:row>
    <x:row r="277" s="36" customFormat="1" ht="30" customHeight="1">
      <x:c r="A277" s="871"/>
      <x:c r="B277" s="871"/>
      <x:c r="C277" s="871"/>
      <x:c r="D277" s="872"/>
      <x:c r="E277" s="871"/>
      <x:c r="F277" s="871"/>
      <x:c r="G277" s="872"/>
      <x:c r="H277" s="872"/>
      <x:c r="I277" s="875"/>
      <x:c r="J277" s="872"/>
      <x:c r="K277" s="873"/>
      <x:c r="L277" s="876"/>
      <x:c r="M277" s="873"/>
      <x:c r="N277" s="874"/>
      <x:c r="O277" s="874"/>
      <x:c r="P277" s="872"/>
      <x:c r="Q277" s="872"/>
      <x:c r="R277" s="872"/>
      <x:c r="S277" s="872"/>
      <x:c r="T277" s="872"/>
      <x:c r="U277" s="872"/>
      <x:c r="V277" s="872"/>
      <x:c r="W277" s="872"/>
      <x:c r="X277" s="872"/>
      <x:c r="Y277" s="872"/>
      <x:c r="Z277" s="872"/>
      <x:c r="AA277" s="877"/>
      <x:c r="AB277" s="872"/>
      <x:c r="AC277" s="872"/>
      <x:c r="AD277" s="872"/>
      <x:c r="AE277" s="872"/>
      <x:c r="AF277" s="872"/>
      <x:c r="AG277" s="872"/>
      <x:c r="AH277" s="872"/>
      <x:c r="AI277" s="872"/>
      <x:c r="AJ277" s="872"/>
      <x:c r="AK277" s="872"/>
      <x:c r="AL277" s="872"/>
      <x:c r="AM277" s="872"/>
      <x:c r="AN277" s="872"/>
      <x:c r="AO277" s="872"/>
      <x:c r="AP277" s="872"/>
      <x:c r="AQ277" s="878"/>
      <x:c r="AR277" s="874"/>
    </x:row>
    <x:row r="278" s="36" customFormat="1" ht="30" customHeight="1">
      <x:c r="A278" s="871"/>
      <x:c r="B278" s="871"/>
      <x:c r="C278" s="871"/>
      <x:c r="D278" s="872"/>
      <x:c r="E278" s="871"/>
      <x:c r="F278" s="871"/>
      <x:c r="G278" s="872"/>
      <x:c r="H278" s="872"/>
      <x:c r="I278" s="875"/>
      <x:c r="J278" s="872"/>
      <x:c r="K278" s="873"/>
      <x:c r="L278" s="876"/>
      <x:c r="M278" s="873"/>
      <x:c r="N278" s="874"/>
      <x:c r="O278" s="874"/>
      <x:c r="P278" s="872"/>
      <x:c r="Q278" s="872"/>
      <x:c r="R278" s="872"/>
      <x:c r="S278" s="872"/>
      <x:c r="T278" s="872"/>
      <x:c r="U278" s="872"/>
      <x:c r="V278" s="872"/>
      <x:c r="W278" s="872"/>
      <x:c r="X278" s="872"/>
      <x:c r="Y278" s="872"/>
      <x:c r="Z278" s="872"/>
      <x:c r="AA278" s="877"/>
      <x:c r="AB278" s="872"/>
      <x:c r="AC278" s="872"/>
      <x:c r="AD278" s="872"/>
      <x:c r="AE278" s="872"/>
      <x:c r="AF278" s="872"/>
      <x:c r="AG278" s="872"/>
      <x:c r="AH278" s="872"/>
      <x:c r="AI278" s="872"/>
      <x:c r="AJ278" s="872"/>
      <x:c r="AK278" s="872"/>
      <x:c r="AL278" s="872"/>
      <x:c r="AM278" s="872"/>
      <x:c r="AN278" s="872"/>
      <x:c r="AO278" s="872"/>
      <x:c r="AP278" s="872"/>
      <x:c r="AQ278" s="878"/>
      <x:c r="AR278" s="874"/>
    </x:row>
    <x:row r="279" s="36" customFormat="1" ht="30" customHeight="1">
      <x:c r="A279" s="871"/>
      <x:c r="B279" s="871"/>
      <x:c r="C279" s="871"/>
      <x:c r="D279" s="872"/>
      <x:c r="E279" s="871"/>
      <x:c r="F279" s="871"/>
      <x:c r="G279" s="872"/>
      <x:c r="H279" s="872"/>
      <x:c r="I279" s="875"/>
      <x:c r="J279" s="872"/>
      <x:c r="K279" s="873"/>
      <x:c r="L279" s="876"/>
      <x:c r="M279" s="873"/>
      <x:c r="N279" s="874"/>
      <x:c r="O279" s="874"/>
      <x:c r="P279" s="872"/>
      <x:c r="Q279" s="872"/>
      <x:c r="R279" s="872"/>
      <x:c r="S279" s="872"/>
      <x:c r="T279" s="872"/>
      <x:c r="U279" s="872"/>
      <x:c r="V279" s="872"/>
      <x:c r="W279" s="872"/>
      <x:c r="X279" s="872"/>
      <x:c r="Y279" s="872"/>
      <x:c r="Z279" s="872"/>
      <x:c r="AA279" s="877"/>
      <x:c r="AB279" s="872"/>
      <x:c r="AC279" s="872"/>
      <x:c r="AD279" s="872"/>
      <x:c r="AE279" s="872"/>
      <x:c r="AF279" s="872"/>
      <x:c r="AG279" s="872"/>
      <x:c r="AH279" s="872"/>
      <x:c r="AI279" s="872"/>
      <x:c r="AJ279" s="872"/>
      <x:c r="AK279" s="872"/>
      <x:c r="AL279" s="872"/>
      <x:c r="AM279" s="872"/>
      <x:c r="AN279" s="872"/>
      <x:c r="AO279" s="872"/>
      <x:c r="AP279" s="872"/>
      <x:c r="AQ279" s="878"/>
      <x:c r="AR279" s="874"/>
    </x:row>
    <x:row r="280" s="36" customFormat="1" ht="30" customHeight="1">
      <x:c r="A280" s="871"/>
      <x:c r="B280" s="871"/>
      <x:c r="C280" s="871"/>
      <x:c r="D280" s="872"/>
      <x:c r="E280" s="871"/>
      <x:c r="F280" s="871"/>
      <x:c r="G280" s="872"/>
      <x:c r="H280" s="872"/>
      <x:c r="I280" s="875"/>
      <x:c r="J280" s="872"/>
      <x:c r="K280" s="873"/>
      <x:c r="L280" s="876"/>
      <x:c r="M280" s="873"/>
      <x:c r="N280" s="874"/>
      <x:c r="O280" s="874"/>
      <x:c r="P280" s="872"/>
      <x:c r="Q280" s="872"/>
      <x:c r="R280" s="872"/>
      <x:c r="S280" s="872"/>
      <x:c r="T280" s="872"/>
      <x:c r="U280" s="872"/>
      <x:c r="V280" s="872"/>
      <x:c r="W280" s="872"/>
      <x:c r="X280" s="872"/>
      <x:c r="Y280" s="872"/>
      <x:c r="Z280" s="872"/>
      <x:c r="AA280" s="877"/>
      <x:c r="AB280" s="872"/>
      <x:c r="AC280" s="872"/>
      <x:c r="AD280" s="872"/>
      <x:c r="AE280" s="872"/>
      <x:c r="AF280" s="872"/>
      <x:c r="AG280" s="872"/>
      <x:c r="AH280" s="872"/>
      <x:c r="AI280" s="872"/>
      <x:c r="AJ280" s="872"/>
      <x:c r="AK280" s="872"/>
      <x:c r="AL280" s="872"/>
      <x:c r="AM280" s="872"/>
      <x:c r="AN280" s="872"/>
      <x:c r="AO280" s="872"/>
      <x:c r="AP280" s="872"/>
      <x:c r="AQ280" s="878"/>
      <x:c r="AR280" s="874"/>
    </x:row>
    <x:row r="281" s="36" customFormat="1" ht="30" customHeight="1">
      <x:c r="A281" s="871"/>
      <x:c r="B281" s="871"/>
      <x:c r="C281" s="871"/>
      <x:c r="D281" s="872"/>
      <x:c r="E281" s="871"/>
      <x:c r="F281" s="871"/>
      <x:c r="G281" s="872"/>
      <x:c r="H281" s="872"/>
      <x:c r="I281" s="875"/>
      <x:c r="J281" s="872"/>
      <x:c r="K281" s="873"/>
      <x:c r="L281" s="876"/>
      <x:c r="M281" s="873"/>
      <x:c r="N281" s="874"/>
      <x:c r="O281" s="874"/>
      <x:c r="P281" s="872"/>
      <x:c r="Q281" s="872"/>
      <x:c r="R281" s="872"/>
      <x:c r="S281" s="872"/>
      <x:c r="T281" s="872"/>
      <x:c r="U281" s="872"/>
      <x:c r="V281" s="872"/>
      <x:c r="W281" s="872"/>
      <x:c r="X281" s="872"/>
      <x:c r="Y281" s="872"/>
      <x:c r="Z281" s="872"/>
      <x:c r="AA281" s="877"/>
      <x:c r="AB281" s="872"/>
      <x:c r="AC281" s="872"/>
      <x:c r="AD281" s="872"/>
      <x:c r="AE281" s="872"/>
      <x:c r="AF281" s="872"/>
      <x:c r="AG281" s="872"/>
      <x:c r="AH281" s="872"/>
      <x:c r="AI281" s="872"/>
      <x:c r="AJ281" s="872"/>
      <x:c r="AK281" s="872"/>
      <x:c r="AL281" s="872"/>
      <x:c r="AM281" s="872"/>
      <x:c r="AN281" s="872"/>
      <x:c r="AO281" s="872"/>
      <x:c r="AP281" s="872"/>
      <x:c r="AQ281" s="878"/>
      <x:c r="AR281" s="874"/>
    </x:row>
    <x:row r="282" s="36" customFormat="1" ht="30" customHeight="1">
      <x:c r="A282" s="871"/>
      <x:c r="B282" s="871"/>
      <x:c r="C282" s="871"/>
      <x:c r="D282" s="872"/>
      <x:c r="E282" s="871"/>
      <x:c r="F282" s="871"/>
      <x:c r="G282" s="872"/>
      <x:c r="H282" s="872"/>
      <x:c r="I282" s="875"/>
      <x:c r="J282" s="872"/>
      <x:c r="K282" s="873"/>
      <x:c r="L282" s="876"/>
      <x:c r="M282" s="873"/>
      <x:c r="N282" s="874"/>
      <x:c r="O282" s="874"/>
      <x:c r="P282" s="872"/>
      <x:c r="Q282" s="872"/>
      <x:c r="R282" s="872"/>
      <x:c r="S282" s="872"/>
      <x:c r="T282" s="872"/>
      <x:c r="U282" s="872"/>
      <x:c r="V282" s="872"/>
      <x:c r="W282" s="872"/>
      <x:c r="X282" s="872"/>
      <x:c r="Y282" s="872"/>
      <x:c r="Z282" s="872"/>
      <x:c r="AA282" s="877"/>
      <x:c r="AB282" s="872"/>
      <x:c r="AC282" s="872"/>
      <x:c r="AD282" s="872"/>
      <x:c r="AE282" s="872"/>
      <x:c r="AF282" s="872"/>
      <x:c r="AG282" s="872"/>
      <x:c r="AH282" s="872"/>
      <x:c r="AI282" s="872"/>
      <x:c r="AJ282" s="872"/>
      <x:c r="AK282" s="872"/>
      <x:c r="AL282" s="872"/>
      <x:c r="AM282" s="872"/>
      <x:c r="AN282" s="872"/>
      <x:c r="AO282" s="872"/>
      <x:c r="AP282" s="872"/>
      <x:c r="AQ282" s="878"/>
      <x:c r="AR282" s="874"/>
    </x:row>
    <x:row r="283" s="36" customFormat="1" ht="30" customHeight="1">
      <x:c r="A283" s="871"/>
      <x:c r="B283" s="871"/>
      <x:c r="C283" s="871"/>
      <x:c r="D283" s="872"/>
      <x:c r="E283" s="871"/>
      <x:c r="F283" s="871"/>
      <x:c r="G283" s="872"/>
      <x:c r="H283" s="872"/>
      <x:c r="I283" s="875"/>
      <x:c r="J283" s="872"/>
      <x:c r="K283" s="873"/>
      <x:c r="L283" s="876"/>
      <x:c r="M283" s="873"/>
      <x:c r="N283" s="874"/>
      <x:c r="O283" s="874"/>
      <x:c r="P283" s="872"/>
      <x:c r="Q283" s="872"/>
      <x:c r="R283" s="872"/>
      <x:c r="S283" s="872"/>
      <x:c r="T283" s="872"/>
      <x:c r="U283" s="872"/>
      <x:c r="V283" s="872"/>
      <x:c r="W283" s="872"/>
      <x:c r="X283" s="872"/>
      <x:c r="Y283" s="872"/>
      <x:c r="Z283" s="872"/>
      <x:c r="AA283" s="877"/>
      <x:c r="AB283" s="872"/>
      <x:c r="AC283" s="872"/>
      <x:c r="AD283" s="872"/>
      <x:c r="AE283" s="872"/>
      <x:c r="AF283" s="872"/>
      <x:c r="AG283" s="872"/>
      <x:c r="AH283" s="872"/>
      <x:c r="AI283" s="872"/>
      <x:c r="AJ283" s="872"/>
      <x:c r="AK283" s="872"/>
      <x:c r="AL283" s="872"/>
      <x:c r="AM283" s="872"/>
      <x:c r="AN283" s="872"/>
      <x:c r="AO283" s="872"/>
      <x:c r="AP283" s="872"/>
      <x:c r="AQ283" s="878"/>
      <x:c r="AR283" s="874"/>
    </x:row>
    <x:row r="284" s="36" customFormat="1" ht="30" customHeight="1">
      <x:c r="A284" s="871"/>
      <x:c r="B284" s="871"/>
      <x:c r="C284" s="871"/>
      <x:c r="D284" s="872"/>
      <x:c r="E284" s="871"/>
      <x:c r="F284" s="871"/>
      <x:c r="G284" s="872"/>
      <x:c r="H284" s="872"/>
      <x:c r="I284" s="875"/>
      <x:c r="J284" s="872"/>
      <x:c r="K284" s="873"/>
      <x:c r="L284" s="876"/>
      <x:c r="M284" s="873"/>
      <x:c r="N284" s="874"/>
      <x:c r="O284" s="874"/>
      <x:c r="P284" s="872"/>
      <x:c r="Q284" s="872"/>
      <x:c r="R284" s="872"/>
      <x:c r="S284" s="872"/>
      <x:c r="T284" s="872"/>
      <x:c r="U284" s="872"/>
      <x:c r="V284" s="872"/>
      <x:c r="W284" s="872"/>
      <x:c r="X284" s="872"/>
      <x:c r="Y284" s="872"/>
      <x:c r="Z284" s="872"/>
      <x:c r="AA284" s="877"/>
      <x:c r="AB284" s="872"/>
      <x:c r="AC284" s="872"/>
      <x:c r="AD284" s="872"/>
      <x:c r="AE284" s="872"/>
      <x:c r="AF284" s="872"/>
      <x:c r="AG284" s="872"/>
      <x:c r="AH284" s="872"/>
      <x:c r="AI284" s="872"/>
      <x:c r="AJ284" s="872"/>
      <x:c r="AK284" s="872"/>
      <x:c r="AL284" s="872"/>
      <x:c r="AM284" s="872"/>
      <x:c r="AN284" s="872"/>
      <x:c r="AO284" s="872"/>
      <x:c r="AP284" s="872"/>
      <x:c r="AQ284" s="878"/>
      <x:c r="AR284" s="874"/>
    </x:row>
    <x:row r="285" s="36" customFormat="1" ht="30" customHeight="1">
      <x:c r="A285" s="871"/>
      <x:c r="B285" s="871"/>
      <x:c r="C285" s="871"/>
      <x:c r="D285" s="872"/>
      <x:c r="E285" s="871"/>
      <x:c r="F285" s="871"/>
      <x:c r="G285" s="872"/>
      <x:c r="H285" s="872"/>
      <x:c r="I285" s="875"/>
      <x:c r="J285" s="872"/>
      <x:c r="K285" s="873"/>
      <x:c r="L285" s="876"/>
      <x:c r="M285" s="873"/>
      <x:c r="N285" s="874"/>
      <x:c r="O285" s="874"/>
      <x:c r="P285" s="872"/>
      <x:c r="Q285" s="872"/>
      <x:c r="R285" s="872"/>
      <x:c r="S285" s="872"/>
      <x:c r="T285" s="872"/>
      <x:c r="U285" s="872"/>
      <x:c r="V285" s="872"/>
      <x:c r="W285" s="872"/>
      <x:c r="X285" s="872"/>
      <x:c r="Y285" s="872"/>
      <x:c r="Z285" s="872"/>
      <x:c r="AA285" s="877"/>
      <x:c r="AB285" s="872"/>
      <x:c r="AC285" s="872"/>
      <x:c r="AD285" s="872"/>
      <x:c r="AE285" s="872"/>
      <x:c r="AF285" s="872"/>
      <x:c r="AG285" s="872"/>
      <x:c r="AH285" s="872"/>
      <x:c r="AI285" s="872"/>
      <x:c r="AJ285" s="872"/>
      <x:c r="AK285" s="872"/>
      <x:c r="AL285" s="872"/>
      <x:c r="AM285" s="872"/>
      <x:c r="AN285" s="872"/>
      <x:c r="AO285" s="872"/>
      <x:c r="AP285" s="872"/>
      <x:c r="AQ285" s="878"/>
      <x:c r="AR285" s="874"/>
    </x:row>
    <x:row r="286" s="36" customFormat="1" ht="30" customHeight="1">
      <x:c r="A286" s="871"/>
      <x:c r="B286" s="871"/>
      <x:c r="C286" s="871"/>
      <x:c r="D286" s="872"/>
      <x:c r="E286" s="871"/>
      <x:c r="F286" s="871"/>
      <x:c r="G286" s="872"/>
      <x:c r="H286" s="872"/>
      <x:c r="I286" s="875"/>
      <x:c r="J286" s="872"/>
      <x:c r="K286" s="873"/>
      <x:c r="L286" s="876"/>
      <x:c r="M286" s="873"/>
      <x:c r="N286" s="874"/>
      <x:c r="O286" s="874"/>
      <x:c r="P286" s="872"/>
      <x:c r="Q286" s="872"/>
      <x:c r="R286" s="872"/>
      <x:c r="S286" s="872"/>
      <x:c r="T286" s="872"/>
      <x:c r="U286" s="872"/>
      <x:c r="V286" s="872"/>
      <x:c r="W286" s="872"/>
      <x:c r="X286" s="872"/>
      <x:c r="Y286" s="872"/>
      <x:c r="Z286" s="872"/>
      <x:c r="AA286" s="877"/>
      <x:c r="AB286" s="872"/>
      <x:c r="AC286" s="872"/>
      <x:c r="AD286" s="872"/>
      <x:c r="AE286" s="872"/>
      <x:c r="AF286" s="872"/>
      <x:c r="AG286" s="872"/>
      <x:c r="AH286" s="872"/>
      <x:c r="AI286" s="872"/>
      <x:c r="AJ286" s="872"/>
      <x:c r="AK286" s="872"/>
      <x:c r="AL286" s="872"/>
      <x:c r="AM286" s="872"/>
      <x:c r="AN286" s="872"/>
      <x:c r="AO286" s="872"/>
      <x:c r="AP286" s="872"/>
      <x:c r="AQ286" s="878"/>
      <x:c r="AR286" s="874"/>
    </x:row>
    <x:row r="287" s="36" customFormat="1" ht="30" customHeight="1">
      <x:c r="A287" s="871"/>
      <x:c r="B287" s="871"/>
      <x:c r="C287" s="871"/>
      <x:c r="D287" s="872"/>
      <x:c r="E287" s="871"/>
      <x:c r="F287" s="871"/>
      <x:c r="G287" s="872"/>
      <x:c r="H287" s="872"/>
      <x:c r="I287" s="875"/>
      <x:c r="J287" s="872"/>
      <x:c r="K287" s="873"/>
      <x:c r="L287" s="876"/>
      <x:c r="M287" s="873"/>
      <x:c r="N287" s="874"/>
      <x:c r="O287" s="874"/>
      <x:c r="P287" s="872"/>
      <x:c r="Q287" s="872"/>
      <x:c r="R287" s="872"/>
      <x:c r="S287" s="872"/>
      <x:c r="T287" s="872"/>
      <x:c r="U287" s="872"/>
      <x:c r="V287" s="872"/>
      <x:c r="W287" s="872"/>
      <x:c r="X287" s="872"/>
      <x:c r="Y287" s="872"/>
      <x:c r="Z287" s="872"/>
      <x:c r="AA287" s="877"/>
      <x:c r="AB287" s="872"/>
      <x:c r="AC287" s="872"/>
      <x:c r="AD287" s="872"/>
      <x:c r="AE287" s="872"/>
      <x:c r="AF287" s="872"/>
      <x:c r="AG287" s="872"/>
      <x:c r="AH287" s="872"/>
      <x:c r="AI287" s="872"/>
      <x:c r="AJ287" s="872"/>
      <x:c r="AK287" s="872"/>
      <x:c r="AL287" s="872"/>
      <x:c r="AM287" s="872"/>
      <x:c r="AN287" s="872"/>
      <x:c r="AO287" s="872"/>
      <x:c r="AP287" s="872"/>
      <x:c r="AQ287" s="878"/>
      <x:c r="AR287" s="874"/>
    </x:row>
    <x:row r="288" s="36" customFormat="1" ht="30" customHeight="1">
      <x:c r="A288" s="871"/>
      <x:c r="B288" s="871"/>
      <x:c r="C288" s="871"/>
      <x:c r="D288" s="872"/>
      <x:c r="E288" s="871"/>
      <x:c r="F288" s="871"/>
      <x:c r="G288" s="872"/>
      <x:c r="H288" s="872"/>
      <x:c r="I288" s="875"/>
      <x:c r="J288" s="872"/>
      <x:c r="K288" s="873"/>
      <x:c r="L288" s="876"/>
      <x:c r="M288" s="873"/>
      <x:c r="N288" s="874"/>
      <x:c r="O288" s="874"/>
      <x:c r="P288" s="872"/>
      <x:c r="Q288" s="872"/>
      <x:c r="R288" s="872"/>
      <x:c r="S288" s="872"/>
      <x:c r="T288" s="872"/>
      <x:c r="U288" s="872"/>
      <x:c r="V288" s="872"/>
      <x:c r="W288" s="872"/>
      <x:c r="X288" s="872"/>
      <x:c r="Y288" s="872"/>
      <x:c r="Z288" s="872"/>
      <x:c r="AA288" s="877"/>
      <x:c r="AB288" s="872"/>
      <x:c r="AC288" s="872"/>
      <x:c r="AD288" s="872"/>
      <x:c r="AE288" s="872"/>
      <x:c r="AF288" s="872"/>
      <x:c r="AG288" s="872"/>
      <x:c r="AH288" s="872"/>
      <x:c r="AI288" s="872"/>
      <x:c r="AJ288" s="872"/>
      <x:c r="AK288" s="872"/>
      <x:c r="AL288" s="872"/>
      <x:c r="AM288" s="872"/>
      <x:c r="AN288" s="872"/>
      <x:c r="AO288" s="872"/>
      <x:c r="AP288" s="872"/>
      <x:c r="AQ288" s="878"/>
      <x:c r="AR288" s="874"/>
    </x:row>
    <x:row r="289" s="36" customFormat="1" ht="30" customHeight="1">
      <x:c r="A289" s="871"/>
      <x:c r="B289" s="871"/>
      <x:c r="C289" s="871"/>
      <x:c r="D289" s="872"/>
      <x:c r="E289" s="871"/>
      <x:c r="F289" s="871"/>
      <x:c r="G289" s="872"/>
      <x:c r="H289" s="872"/>
      <x:c r="I289" s="875"/>
      <x:c r="J289" s="872"/>
      <x:c r="K289" s="873"/>
      <x:c r="L289" s="876"/>
      <x:c r="M289" s="873"/>
      <x:c r="N289" s="874"/>
      <x:c r="O289" s="874"/>
      <x:c r="P289" s="872"/>
      <x:c r="Q289" s="872"/>
      <x:c r="R289" s="872"/>
      <x:c r="S289" s="872"/>
      <x:c r="T289" s="872"/>
      <x:c r="U289" s="872"/>
      <x:c r="V289" s="872"/>
      <x:c r="W289" s="872"/>
      <x:c r="X289" s="872"/>
      <x:c r="Y289" s="872"/>
      <x:c r="Z289" s="872"/>
      <x:c r="AA289" s="877"/>
      <x:c r="AB289" s="872"/>
      <x:c r="AC289" s="872"/>
      <x:c r="AD289" s="872"/>
      <x:c r="AE289" s="872"/>
      <x:c r="AF289" s="872"/>
      <x:c r="AG289" s="872"/>
      <x:c r="AH289" s="872"/>
      <x:c r="AI289" s="872"/>
      <x:c r="AJ289" s="872"/>
      <x:c r="AK289" s="872"/>
      <x:c r="AL289" s="872"/>
      <x:c r="AM289" s="872"/>
      <x:c r="AN289" s="872"/>
      <x:c r="AO289" s="872"/>
      <x:c r="AP289" s="872"/>
      <x:c r="AQ289" s="878"/>
      <x:c r="AR289" s="874"/>
    </x:row>
    <x:row r="290" s="36" customFormat="1" ht="30" customHeight="1">
      <x:c r="A290" s="871"/>
      <x:c r="B290" s="871"/>
      <x:c r="C290" s="871"/>
      <x:c r="D290" s="872"/>
      <x:c r="E290" s="871"/>
      <x:c r="F290" s="871"/>
      <x:c r="G290" s="872"/>
      <x:c r="H290" s="872"/>
      <x:c r="I290" s="875"/>
      <x:c r="J290" s="872"/>
      <x:c r="K290" s="873"/>
      <x:c r="L290" s="876"/>
      <x:c r="M290" s="873"/>
      <x:c r="N290" s="874"/>
      <x:c r="O290" s="874"/>
      <x:c r="P290" s="872"/>
      <x:c r="Q290" s="872"/>
      <x:c r="R290" s="872"/>
      <x:c r="S290" s="872"/>
      <x:c r="T290" s="872"/>
      <x:c r="U290" s="872"/>
      <x:c r="V290" s="872"/>
      <x:c r="W290" s="872"/>
      <x:c r="X290" s="872"/>
      <x:c r="Y290" s="872"/>
      <x:c r="Z290" s="872"/>
      <x:c r="AA290" s="877"/>
      <x:c r="AB290" s="872"/>
      <x:c r="AC290" s="872"/>
      <x:c r="AD290" s="872"/>
      <x:c r="AE290" s="872"/>
      <x:c r="AF290" s="872"/>
      <x:c r="AG290" s="872"/>
      <x:c r="AH290" s="872"/>
      <x:c r="AI290" s="872"/>
      <x:c r="AJ290" s="872"/>
      <x:c r="AK290" s="872"/>
      <x:c r="AL290" s="872"/>
      <x:c r="AM290" s="872"/>
      <x:c r="AN290" s="872"/>
      <x:c r="AO290" s="872"/>
      <x:c r="AP290" s="872"/>
      <x:c r="AQ290" s="878"/>
      <x:c r="AR290" s="874"/>
    </x:row>
    <x:row r="291" s="36" customFormat="1" ht="30" customHeight="1">
      <x:c r="A291" s="871"/>
      <x:c r="B291" s="871"/>
      <x:c r="C291" s="871"/>
      <x:c r="D291" s="872"/>
      <x:c r="E291" s="871"/>
      <x:c r="F291" s="871"/>
      <x:c r="G291" s="872"/>
      <x:c r="H291" s="872"/>
      <x:c r="I291" s="875"/>
      <x:c r="J291" s="872"/>
      <x:c r="K291" s="873"/>
      <x:c r="L291" s="876"/>
      <x:c r="M291" s="873"/>
      <x:c r="N291" s="874"/>
      <x:c r="O291" s="874"/>
      <x:c r="P291" s="872"/>
      <x:c r="Q291" s="872"/>
      <x:c r="R291" s="872"/>
      <x:c r="S291" s="872"/>
      <x:c r="T291" s="872"/>
      <x:c r="U291" s="872"/>
      <x:c r="V291" s="872"/>
      <x:c r="W291" s="872"/>
      <x:c r="X291" s="872"/>
      <x:c r="Y291" s="872"/>
      <x:c r="Z291" s="872"/>
      <x:c r="AA291" s="877"/>
      <x:c r="AB291" s="872"/>
      <x:c r="AC291" s="872"/>
      <x:c r="AD291" s="872"/>
      <x:c r="AE291" s="872"/>
      <x:c r="AF291" s="872"/>
      <x:c r="AG291" s="872"/>
      <x:c r="AH291" s="872"/>
      <x:c r="AI291" s="872"/>
      <x:c r="AJ291" s="872"/>
      <x:c r="AK291" s="872"/>
      <x:c r="AL291" s="872"/>
      <x:c r="AM291" s="872"/>
      <x:c r="AN291" s="872"/>
      <x:c r="AO291" s="872"/>
      <x:c r="AP291" s="872"/>
      <x:c r="AQ291" s="878"/>
      <x:c r="AR291" s="874"/>
    </x:row>
    <x:row r="292" s="36" customFormat="1" ht="30" customHeight="1">
      <x:c r="A292" s="871"/>
      <x:c r="B292" s="871"/>
      <x:c r="C292" s="871"/>
      <x:c r="D292" s="872"/>
      <x:c r="E292" s="871"/>
      <x:c r="F292" s="871"/>
      <x:c r="G292" s="872"/>
      <x:c r="H292" s="872"/>
      <x:c r="I292" s="875"/>
      <x:c r="J292" s="872"/>
      <x:c r="K292" s="873"/>
      <x:c r="L292" s="876"/>
      <x:c r="M292" s="873"/>
      <x:c r="N292" s="874"/>
      <x:c r="O292" s="874"/>
      <x:c r="P292" s="872"/>
      <x:c r="Q292" s="872"/>
      <x:c r="R292" s="872"/>
      <x:c r="S292" s="872"/>
      <x:c r="T292" s="872"/>
      <x:c r="U292" s="872"/>
      <x:c r="V292" s="872"/>
      <x:c r="W292" s="872"/>
      <x:c r="X292" s="872"/>
      <x:c r="Y292" s="872"/>
      <x:c r="Z292" s="872"/>
      <x:c r="AA292" s="877"/>
      <x:c r="AB292" s="872"/>
      <x:c r="AC292" s="872"/>
      <x:c r="AD292" s="872"/>
      <x:c r="AE292" s="872"/>
      <x:c r="AF292" s="872"/>
      <x:c r="AG292" s="872"/>
      <x:c r="AH292" s="872"/>
      <x:c r="AI292" s="872"/>
      <x:c r="AJ292" s="872"/>
      <x:c r="AK292" s="872"/>
      <x:c r="AL292" s="872"/>
      <x:c r="AM292" s="872"/>
      <x:c r="AN292" s="872"/>
      <x:c r="AO292" s="872"/>
      <x:c r="AP292" s="872"/>
      <x:c r="AQ292" s="878"/>
      <x:c r="AR292" s="874"/>
    </x:row>
    <x:row r="293" s="36" customFormat="1" ht="30" customHeight="1">
      <x:c r="A293" s="871"/>
      <x:c r="B293" s="871"/>
      <x:c r="C293" s="871"/>
      <x:c r="D293" s="872"/>
      <x:c r="E293" s="871"/>
      <x:c r="F293" s="871"/>
      <x:c r="G293" s="872"/>
      <x:c r="H293" s="872"/>
      <x:c r="I293" s="875"/>
      <x:c r="J293" s="872"/>
      <x:c r="K293" s="873"/>
      <x:c r="L293" s="876"/>
      <x:c r="M293" s="873"/>
      <x:c r="N293" s="874"/>
      <x:c r="O293" s="874"/>
      <x:c r="P293" s="872"/>
      <x:c r="Q293" s="872"/>
      <x:c r="R293" s="872"/>
      <x:c r="S293" s="872"/>
      <x:c r="T293" s="872"/>
      <x:c r="U293" s="872"/>
      <x:c r="V293" s="872"/>
      <x:c r="W293" s="872"/>
      <x:c r="X293" s="872"/>
      <x:c r="Y293" s="872"/>
      <x:c r="Z293" s="872"/>
      <x:c r="AA293" s="877"/>
      <x:c r="AB293" s="872"/>
      <x:c r="AC293" s="872"/>
      <x:c r="AD293" s="872"/>
      <x:c r="AE293" s="872"/>
      <x:c r="AF293" s="872"/>
      <x:c r="AG293" s="872"/>
      <x:c r="AH293" s="872"/>
      <x:c r="AI293" s="872"/>
      <x:c r="AJ293" s="872"/>
      <x:c r="AK293" s="872"/>
      <x:c r="AL293" s="872"/>
      <x:c r="AM293" s="872"/>
      <x:c r="AN293" s="872"/>
      <x:c r="AO293" s="872"/>
      <x:c r="AP293" s="872"/>
      <x:c r="AQ293" s="878"/>
      <x:c r="AR293" s="874"/>
    </x:row>
    <x:row r="294" s="36" customFormat="1" ht="30" customHeight="1">
      <x:c r="A294" s="871"/>
      <x:c r="B294" s="871"/>
      <x:c r="C294" s="871"/>
      <x:c r="D294" s="872"/>
      <x:c r="E294" s="871"/>
      <x:c r="F294" s="871"/>
      <x:c r="G294" s="872"/>
      <x:c r="H294" s="872"/>
      <x:c r="I294" s="875"/>
      <x:c r="J294" s="872"/>
      <x:c r="K294" s="873"/>
      <x:c r="L294" s="876"/>
      <x:c r="M294" s="873"/>
      <x:c r="N294" s="874"/>
      <x:c r="O294" s="874"/>
      <x:c r="P294" s="872"/>
      <x:c r="Q294" s="872"/>
      <x:c r="R294" s="872"/>
      <x:c r="S294" s="872"/>
      <x:c r="T294" s="872"/>
      <x:c r="U294" s="872"/>
      <x:c r="V294" s="872"/>
      <x:c r="W294" s="872"/>
      <x:c r="X294" s="872"/>
      <x:c r="Y294" s="872"/>
      <x:c r="Z294" s="872"/>
      <x:c r="AA294" s="877"/>
      <x:c r="AB294" s="872"/>
      <x:c r="AC294" s="872"/>
      <x:c r="AD294" s="872"/>
      <x:c r="AE294" s="872"/>
      <x:c r="AF294" s="872"/>
      <x:c r="AG294" s="872"/>
      <x:c r="AH294" s="872"/>
      <x:c r="AI294" s="872"/>
      <x:c r="AJ294" s="872"/>
      <x:c r="AK294" s="872"/>
      <x:c r="AL294" s="872"/>
      <x:c r="AM294" s="872"/>
      <x:c r="AN294" s="872"/>
      <x:c r="AO294" s="872"/>
      <x:c r="AP294" s="872"/>
      <x:c r="AQ294" s="878"/>
      <x:c r="AR294" s="874"/>
    </x:row>
    <x:row r="295" s="36" customFormat="1" ht="30" customHeight="1">
      <x:c r="A295" s="871"/>
      <x:c r="B295" s="871"/>
      <x:c r="C295" s="871"/>
      <x:c r="D295" s="872"/>
      <x:c r="E295" s="871"/>
      <x:c r="F295" s="871"/>
      <x:c r="G295" s="872"/>
      <x:c r="H295" s="872"/>
      <x:c r="I295" s="875"/>
      <x:c r="J295" s="872"/>
      <x:c r="K295" s="873"/>
      <x:c r="L295" s="876"/>
      <x:c r="M295" s="873"/>
      <x:c r="N295" s="874"/>
      <x:c r="O295" s="874"/>
      <x:c r="P295" s="872"/>
      <x:c r="Q295" s="872"/>
      <x:c r="R295" s="872"/>
      <x:c r="S295" s="872"/>
      <x:c r="T295" s="872"/>
      <x:c r="U295" s="872"/>
      <x:c r="V295" s="872"/>
      <x:c r="W295" s="872"/>
      <x:c r="X295" s="872"/>
      <x:c r="Y295" s="872"/>
      <x:c r="Z295" s="872"/>
      <x:c r="AA295" s="877"/>
      <x:c r="AB295" s="872"/>
      <x:c r="AC295" s="872"/>
      <x:c r="AD295" s="872"/>
      <x:c r="AE295" s="872"/>
      <x:c r="AF295" s="872"/>
      <x:c r="AG295" s="872"/>
      <x:c r="AH295" s="872"/>
      <x:c r="AI295" s="872"/>
      <x:c r="AJ295" s="872"/>
      <x:c r="AK295" s="872"/>
      <x:c r="AL295" s="872"/>
      <x:c r="AM295" s="872"/>
      <x:c r="AN295" s="872"/>
      <x:c r="AO295" s="872"/>
      <x:c r="AP295" s="872"/>
      <x:c r="AQ295" s="878"/>
      <x:c r="AR295" s="874"/>
    </x:row>
    <x:row r="296" s="36" customFormat="1" ht="30" customHeight="1">
      <x:c r="A296" s="871"/>
      <x:c r="B296" s="871"/>
      <x:c r="C296" s="871"/>
      <x:c r="D296" s="872"/>
      <x:c r="E296" s="871"/>
      <x:c r="F296" s="871"/>
      <x:c r="G296" s="872"/>
      <x:c r="H296" s="872"/>
      <x:c r="I296" s="875"/>
      <x:c r="J296" s="872"/>
      <x:c r="K296" s="873"/>
      <x:c r="L296" s="876"/>
      <x:c r="M296" s="873"/>
      <x:c r="N296" s="874"/>
      <x:c r="O296" s="874"/>
      <x:c r="P296" s="872"/>
      <x:c r="Q296" s="872"/>
      <x:c r="R296" s="872"/>
      <x:c r="S296" s="872"/>
      <x:c r="T296" s="872"/>
      <x:c r="U296" s="872"/>
      <x:c r="V296" s="872"/>
      <x:c r="W296" s="872"/>
      <x:c r="X296" s="872"/>
      <x:c r="Y296" s="872"/>
      <x:c r="Z296" s="872"/>
      <x:c r="AA296" s="877"/>
      <x:c r="AB296" s="872"/>
      <x:c r="AC296" s="872"/>
      <x:c r="AD296" s="872"/>
      <x:c r="AE296" s="872"/>
      <x:c r="AF296" s="872"/>
      <x:c r="AG296" s="872"/>
      <x:c r="AH296" s="872"/>
      <x:c r="AI296" s="872"/>
      <x:c r="AJ296" s="872"/>
      <x:c r="AK296" s="872"/>
      <x:c r="AL296" s="872"/>
      <x:c r="AM296" s="872"/>
      <x:c r="AN296" s="872"/>
      <x:c r="AO296" s="872"/>
      <x:c r="AP296" s="872"/>
      <x:c r="AQ296" s="878"/>
      <x:c r="AR296" s="874"/>
    </x:row>
    <x:row r="297" s="36" customFormat="1" ht="30" customHeight="1">
      <x:c r="A297" s="871"/>
      <x:c r="B297" s="871"/>
      <x:c r="C297" s="871"/>
      <x:c r="D297" s="872"/>
      <x:c r="E297" s="871"/>
      <x:c r="F297" s="871"/>
      <x:c r="G297" s="872"/>
      <x:c r="H297" s="872"/>
      <x:c r="I297" s="875"/>
      <x:c r="J297" s="872"/>
      <x:c r="K297" s="873"/>
      <x:c r="L297" s="876"/>
      <x:c r="M297" s="873"/>
      <x:c r="N297" s="874"/>
      <x:c r="O297" s="874"/>
      <x:c r="P297" s="872"/>
      <x:c r="Q297" s="872"/>
      <x:c r="R297" s="872"/>
      <x:c r="S297" s="872"/>
      <x:c r="T297" s="872"/>
      <x:c r="U297" s="872"/>
      <x:c r="V297" s="872"/>
      <x:c r="W297" s="872"/>
      <x:c r="X297" s="872"/>
      <x:c r="Y297" s="872"/>
      <x:c r="Z297" s="872"/>
      <x:c r="AA297" s="877"/>
      <x:c r="AB297" s="872"/>
      <x:c r="AC297" s="872"/>
      <x:c r="AD297" s="872"/>
      <x:c r="AE297" s="872"/>
      <x:c r="AF297" s="872"/>
      <x:c r="AG297" s="872"/>
      <x:c r="AH297" s="872"/>
      <x:c r="AI297" s="872"/>
      <x:c r="AJ297" s="872"/>
      <x:c r="AK297" s="872"/>
      <x:c r="AL297" s="872"/>
      <x:c r="AM297" s="872"/>
      <x:c r="AN297" s="872"/>
      <x:c r="AO297" s="872"/>
      <x:c r="AP297" s="872"/>
      <x:c r="AQ297" s="878"/>
      <x:c r="AR297" s="874"/>
    </x:row>
    <x:row r="298" s="36" customFormat="1" ht="30" customHeight="1">
      <x:c r="A298" s="871"/>
      <x:c r="B298" s="871"/>
      <x:c r="C298" s="871"/>
      <x:c r="D298" s="872"/>
      <x:c r="E298" s="871"/>
      <x:c r="F298" s="871"/>
      <x:c r="G298" s="872"/>
      <x:c r="H298" s="872"/>
      <x:c r="I298" s="875"/>
      <x:c r="J298" s="872"/>
      <x:c r="K298" s="873"/>
      <x:c r="L298" s="876"/>
      <x:c r="M298" s="873"/>
      <x:c r="N298" s="874"/>
      <x:c r="O298" s="874"/>
      <x:c r="P298" s="872"/>
      <x:c r="Q298" s="872"/>
      <x:c r="R298" s="872"/>
      <x:c r="S298" s="872"/>
      <x:c r="T298" s="872"/>
      <x:c r="U298" s="872"/>
      <x:c r="V298" s="872"/>
      <x:c r="W298" s="872"/>
      <x:c r="X298" s="872"/>
      <x:c r="Y298" s="872"/>
      <x:c r="Z298" s="872"/>
      <x:c r="AA298" s="877"/>
      <x:c r="AB298" s="872"/>
      <x:c r="AC298" s="872"/>
      <x:c r="AD298" s="872"/>
      <x:c r="AE298" s="872"/>
      <x:c r="AF298" s="872"/>
      <x:c r="AG298" s="872"/>
      <x:c r="AH298" s="872"/>
      <x:c r="AI298" s="872"/>
      <x:c r="AJ298" s="872"/>
      <x:c r="AK298" s="872"/>
      <x:c r="AL298" s="872"/>
      <x:c r="AM298" s="872"/>
      <x:c r="AN298" s="872"/>
      <x:c r="AO298" s="872"/>
      <x:c r="AP298" s="872"/>
      <x:c r="AQ298" s="878"/>
      <x:c r="AR298" s="874"/>
    </x:row>
    <x:row r="299" s="36" customFormat="1" ht="30" customHeight="1">
      <x:c r="A299" s="871"/>
      <x:c r="B299" s="871"/>
      <x:c r="C299" s="871"/>
      <x:c r="D299" s="872"/>
      <x:c r="E299" s="871"/>
      <x:c r="F299" s="871"/>
      <x:c r="G299" s="872"/>
      <x:c r="H299" s="872"/>
      <x:c r="I299" s="875"/>
      <x:c r="J299" s="872"/>
      <x:c r="K299" s="873"/>
      <x:c r="L299" s="876"/>
      <x:c r="M299" s="873"/>
      <x:c r="N299" s="874"/>
      <x:c r="O299" s="874"/>
      <x:c r="P299" s="872"/>
      <x:c r="Q299" s="872"/>
      <x:c r="R299" s="872"/>
      <x:c r="S299" s="872"/>
      <x:c r="T299" s="872"/>
      <x:c r="U299" s="872"/>
      <x:c r="V299" s="872"/>
      <x:c r="W299" s="872"/>
      <x:c r="X299" s="872"/>
      <x:c r="Y299" s="872"/>
      <x:c r="Z299" s="872"/>
      <x:c r="AA299" s="877"/>
      <x:c r="AB299" s="872"/>
      <x:c r="AC299" s="872"/>
      <x:c r="AD299" s="872"/>
      <x:c r="AE299" s="872"/>
      <x:c r="AF299" s="872"/>
      <x:c r="AG299" s="872"/>
      <x:c r="AH299" s="872"/>
      <x:c r="AI299" s="872"/>
      <x:c r="AJ299" s="872"/>
      <x:c r="AK299" s="872"/>
      <x:c r="AL299" s="872"/>
      <x:c r="AM299" s="872"/>
      <x:c r="AN299" s="872"/>
      <x:c r="AO299" s="872"/>
      <x:c r="AP299" s="872"/>
      <x:c r="AQ299" s="878"/>
      <x:c r="AR299" s="874"/>
    </x:row>
    <x:row r="300" s="36" customFormat="1" ht="30" customHeight="1">
      <x:c r="A300" s="871"/>
      <x:c r="B300" s="871"/>
      <x:c r="C300" s="871"/>
      <x:c r="D300" s="872"/>
      <x:c r="E300" s="871"/>
      <x:c r="F300" s="871"/>
      <x:c r="G300" s="872"/>
      <x:c r="H300" s="872"/>
      <x:c r="I300" s="875"/>
      <x:c r="J300" s="872"/>
      <x:c r="K300" s="873"/>
      <x:c r="L300" s="876"/>
      <x:c r="M300" s="873"/>
      <x:c r="N300" s="874"/>
      <x:c r="O300" s="874"/>
      <x:c r="P300" s="872"/>
      <x:c r="Q300" s="872"/>
      <x:c r="R300" s="872"/>
      <x:c r="S300" s="872"/>
      <x:c r="T300" s="872"/>
      <x:c r="U300" s="872"/>
      <x:c r="V300" s="872"/>
      <x:c r="W300" s="872"/>
      <x:c r="X300" s="872"/>
      <x:c r="Y300" s="872"/>
      <x:c r="Z300" s="872"/>
      <x:c r="AA300" s="877"/>
      <x:c r="AB300" s="872"/>
      <x:c r="AC300" s="872"/>
      <x:c r="AD300" s="872"/>
      <x:c r="AE300" s="872"/>
      <x:c r="AF300" s="872"/>
      <x:c r="AG300" s="872"/>
      <x:c r="AH300" s="872"/>
      <x:c r="AI300" s="872"/>
      <x:c r="AJ300" s="872"/>
      <x:c r="AK300" s="872"/>
      <x:c r="AL300" s="872"/>
      <x:c r="AM300" s="872"/>
      <x:c r="AN300" s="872"/>
      <x:c r="AO300" s="872"/>
      <x:c r="AP300" s="872"/>
      <x:c r="AQ300" s="878"/>
      <x:c r="AR300" s="874"/>
    </x:row>
    <x:row r="301" s="36" customFormat="1" ht="30" customHeight="1">
      <x:c r="A301" s="871"/>
      <x:c r="B301" s="871"/>
      <x:c r="C301" s="871"/>
      <x:c r="D301" s="872"/>
      <x:c r="E301" s="871"/>
      <x:c r="F301" s="871"/>
      <x:c r="G301" s="872"/>
      <x:c r="H301" s="872"/>
      <x:c r="I301" s="875"/>
      <x:c r="J301" s="872"/>
      <x:c r="K301" s="873"/>
      <x:c r="L301" s="876"/>
      <x:c r="M301" s="873"/>
      <x:c r="N301" s="874"/>
      <x:c r="O301" s="874"/>
      <x:c r="P301" s="872"/>
      <x:c r="Q301" s="872"/>
      <x:c r="R301" s="872"/>
      <x:c r="S301" s="872"/>
      <x:c r="T301" s="872"/>
      <x:c r="U301" s="872"/>
      <x:c r="V301" s="872"/>
      <x:c r="W301" s="872"/>
      <x:c r="X301" s="872"/>
      <x:c r="Y301" s="872"/>
      <x:c r="Z301" s="872"/>
      <x:c r="AA301" s="877"/>
      <x:c r="AB301" s="872"/>
      <x:c r="AC301" s="872"/>
      <x:c r="AD301" s="872"/>
      <x:c r="AE301" s="872"/>
      <x:c r="AF301" s="872"/>
      <x:c r="AG301" s="872"/>
      <x:c r="AH301" s="872"/>
      <x:c r="AI301" s="872"/>
      <x:c r="AJ301" s="872"/>
      <x:c r="AK301" s="872"/>
      <x:c r="AL301" s="872"/>
      <x:c r="AM301" s="872"/>
      <x:c r="AN301" s="872"/>
      <x:c r="AO301" s="872"/>
      <x:c r="AP301" s="872"/>
      <x:c r="AQ301" s="878"/>
      <x:c r="AR301" s="874"/>
    </x:row>
    <x:row r="302" s="36" customFormat="1" ht="30" customHeight="1">
      <x:c r="A302" s="871"/>
      <x:c r="B302" s="871"/>
      <x:c r="C302" s="871"/>
      <x:c r="D302" s="872"/>
      <x:c r="E302" s="871"/>
      <x:c r="F302" s="871"/>
      <x:c r="G302" s="872"/>
      <x:c r="H302" s="872"/>
      <x:c r="I302" s="875"/>
      <x:c r="J302" s="872"/>
      <x:c r="K302" s="873"/>
      <x:c r="L302" s="876"/>
      <x:c r="M302" s="873"/>
      <x:c r="N302" s="874"/>
      <x:c r="O302" s="874"/>
      <x:c r="P302" s="872"/>
      <x:c r="Q302" s="872"/>
      <x:c r="R302" s="872"/>
      <x:c r="S302" s="872"/>
      <x:c r="T302" s="872"/>
      <x:c r="U302" s="872"/>
      <x:c r="V302" s="872"/>
      <x:c r="W302" s="872"/>
      <x:c r="X302" s="872"/>
      <x:c r="Y302" s="872"/>
      <x:c r="Z302" s="872"/>
      <x:c r="AA302" s="877"/>
      <x:c r="AB302" s="872"/>
      <x:c r="AC302" s="872"/>
      <x:c r="AD302" s="872"/>
      <x:c r="AE302" s="872"/>
      <x:c r="AF302" s="872"/>
      <x:c r="AG302" s="872"/>
      <x:c r="AH302" s="872"/>
      <x:c r="AI302" s="872"/>
      <x:c r="AJ302" s="872"/>
      <x:c r="AK302" s="872"/>
      <x:c r="AL302" s="872"/>
      <x:c r="AM302" s="872"/>
      <x:c r="AN302" s="872"/>
      <x:c r="AO302" s="872"/>
      <x:c r="AP302" s="872"/>
      <x:c r="AQ302" s="878"/>
      <x:c r="AR302" s="874"/>
    </x:row>
    <x:row r="303" s="36" customFormat="1" ht="30" customHeight="1">
      <x:c r="A303" s="871"/>
      <x:c r="B303" s="871"/>
      <x:c r="C303" s="871"/>
      <x:c r="D303" s="872"/>
      <x:c r="E303" s="871"/>
      <x:c r="F303" s="871"/>
      <x:c r="G303" s="872"/>
      <x:c r="H303" s="872"/>
      <x:c r="I303" s="875"/>
      <x:c r="J303" s="872"/>
      <x:c r="K303" s="873"/>
      <x:c r="L303" s="876"/>
      <x:c r="M303" s="873"/>
      <x:c r="N303" s="874"/>
      <x:c r="O303" s="874"/>
      <x:c r="P303" s="872"/>
      <x:c r="Q303" s="872"/>
      <x:c r="R303" s="872"/>
      <x:c r="S303" s="872"/>
      <x:c r="T303" s="872"/>
      <x:c r="U303" s="872"/>
      <x:c r="V303" s="872"/>
      <x:c r="W303" s="872"/>
      <x:c r="X303" s="872"/>
      <x:c r="Y303" s="872"/>
      <x:c r="Z303" s="872"/>
      <x:c r="AA303" s="877"/>
      <x:c r="AB303" s="872"/>
      <x:c r="AC303" s="872"/>
      <x:c r="AD303" s="872"/>
      <x:c r="AE303" s="872"/>
      <x:c r="AF303" s="872"/>
      <x:c r="AG303" s="872"/>
      <x:c r="AH303" s="872"/>
      <x:c r="AI303" s="872"/>
      <x:c r="AJ303" s="872"/>
      <x:c r="AK303" s="872"/>
      <x:c r="AL303" s="872"/>
      <x:c r="AM303" s="872"/>
      <x:c r="AN303" s="872"/>
      <x:c r="AO303" s="872"/>
      <x:c r="AP303" s="872"/>
      <x:c r="AQ303" s="878"/>
      <x:c r="AR303" s="874"/>
    </x:row>
    <x:row r="304" s="36" customFormat="1" ht="30" customHeight="1">
      <x:c r="A304" s="871"/>
      <x:c r="B304" s="871"/>
      <x:c r="C304" s="871"/>
      <x:c r="D304" s="872"/>
      <x:c r="E304" s="871"/>
      <x:c r="F304" s="871"/>
      <x:c r="G304" s="872"/>
      <x:c r="H304" s="872"/>
      <x:c r="I304" s="875"/>
      <x:c r="J304" s="872"/>
      <x:c r="K304" s="873"/>
      <x:c r="L304" s="876"/>
      <x:c r="M304" s="873"/>
      <x:c r="N304" s="874"/>
      <x:c r="O304" s="874"/>
      <x:c r="P304" s="872"/>
      <x:c r="Q304" s="872"/>
      <x:c r="R304" s="872"/>
      <x:c r="S304" s="872"/>
      <x:c r="T304" s="872"/>
      <x:c r="U304" s="872"/>
      <x:c r="V304" s="872"/>
      <x:c r="W304" s="872"/>
      <x:c r="X304" s="872"/>
      <x:c r="Y304" s="872"/>
      <x:c r="Z304" s="872"/>
      <x:c r="AA304" s="877"/>
      <x:c r="AB304" s="872"/>
      <x:c r="AC304" s="872"/>
      <x:c r="AD304" s="872"/>
      <x:c r="AE304" s="872"/>
      <x:c r="AF304" s="872"/>
      <x:c r="AG304" s="872"/>
      <x:c r="AH304" s="872"/>
      <x:c r="AI304" s="872"/>
      <x:c r="AJ304" s="872"/>
      <x:c r="AK304" s="872"/>
      <x:c r="AL304" s="872"/>
      <x:c r="AM304" s="872"/>
      <x:c r="AN304" s="872"/>
      <x:c r="AO304" s="872"/>
      <x:c r="AP304" s="872"/>
      <x:c r="AQ304" s="878"/>
      <x:c r="AR304" s="874"/>
    </x:row>
    <x:row r="305" s="36" customFormat="1" ht="30" customHeight="1">
      <x:c r="A305" s="871"/>
      <x:c r="B305" s="871"/>
      <x:c r="C305" s="871"/>
      <x:c r="D305" s="872"/>
      <x:c r="E305" s="871"/>
      <x:c r="F305" s="871"/>
      <x:c r="G305" s="872"/>
      <x:c r="H305" s="872"/>
      <x:c r="I305" s="875"/>
      <x:c r="J305" s="872"/>
      <x:c r="K305" s="873"/>
      <x:c r="L305" s="876"/>
      <x:c r="M305" s="873"/>
      <x:c r="N305" s="874"/>
      <x:c r="O305" s="874"/>
      <x:c r="P305" s="872"/>
      <x:c r="Q305" s="872"/>
      <x:c r="R305" s="872"/>
      <x:c r="S305" s="872"/>
      <x:c r="T305" s="872"/>
      <x:c r="U305" s="872"/>
      <x:c r="V305" s="872"/>
      <x:c r="W305" s="872"/>
      <x:c r="X305" s="872"/>
      <x:c r="Y305" s="872"/>
      <x:c r="Z305" s="872"/>
      <x:c r="AA305" s="877"/>
      <x:c r="AB305" s="872"/>
      <x:c r="AC305" s="872"/>
      <x:c r="AD305" s="872"/>
      <x:c r="AE305" s="872"/>
      <x:c r="AF305" s="872"/>
      <x:c r="AG305" s="872"/>
      <x:c r="AH305" s="872"/>
      <x:c r="AI305" s="872"/>
      <x:c r="AJ305" s="872"/>
      <x:c r="AK305" s="872"/>
      <x:c r="AL305" s="872"/>
      <x:c r="AM305" s="872"/>
      <x:c r="AN305" s="872"/>
      <x:c r="AO305" s="872"/>
      <x:c r="AP305" s="872"/>
      <x:c r="AQ305" s="878"/>
      <x:c r="AR305" s="874"/>
    </x:row>
    <x:row r="306" s="36" customFormat="1" ht="30" customHeight="1">
      <x:c r="A306" s="871"/>
      <x:c r="B306" s="871"/>
      <x:c r="C306" s="871"/>
      <x:c r="D306" s="872"/>
      <x:c r="E306" s="871"/>
      <x:c r="F306" s="871"/>
      <x:c r="G306" s="872"/>
      <x:c r="H306" s="872"/>
      <x:c r="I306" s="875"/>
      <x:c r="J306" s="872"/>
      <x:c r="K306" s="873"/>
      <x:c r="L306" s="876"/>
      <x:c r="M306" s="873"/>
      <x:c r="N306" s="874"/>
      <x:c r="O306" s="874"/>
      <x:c r="P306" s="872"/>
      <x:c r="Q306" s="872"/>
      <x:c r="R306" s="872"/>
      <x:c r="S306" s="872"/>
      <x:c r="T306" s="872"/>
      <x:c r="U306" s="872"/>
      <x:c r="V306" s="872"/>
      <x:c r="W306" s="872"/>
      <x:c r="X306" s="872"/>
      <x:c r="Y306" s="872"/>
      <x:c r="Z306" s="872"/>
      <x:c r="AA306" s="877"/>
      <x:c r="AB306" s="872"/>
      <x:c r="AC306" s="872"/>
      <x:c r="AD306" s="872"/>
      <x:c r="AE306" s="872"/>
      <x:c r="AF306" s="872"/>
      <x:c r="AG306" s="872"/>
      <x:c r="AH306" s="872"/>
      <x:c r="AI306" s="872"/>
      <x:c r="AJ306" s="872"/>
      <x:c r="AK306" s="872"/>
      <x:c r="AL306" s="872"/>
      <x:c r="AM306" s="872"/>
      <x:c r="AN306" s="872"/>
      <x:c r="AO306" s="872"/>
      <x:c r="AP306" s="872"/>
      <x:c r="AQ306" s="878"/>
      <x:c r="AR306" s="874"/>
    </x:row>
    <x:row r="307" s="36" customFormat="1" ht="30" customHeight="1">
      <x:c r="A307" s="871"/>
      <x:c r="B307" s="871"/>
      <x:c r="C307" s="871"/>
      <x:c r="D307" s="872"/>
      <x:c r="E307" s="871"/>
      <x:c r="F307" s="871"/>
      <x:c r="G307" s="872"/>
      <x:c r="H307" s="872"/>
      <x:c r="I307" s="875"/>
      <x:c r="J307" s="872"/>
      <x:c r="K307" s="873"/>
      <x:c r="L307" s="876"/>
      <x:c r="M307" s="873"/>
      <x:c r="N307" s="874"/>
      <x:c r="O307" s="874"/>
      <x:c r="P307" s="872"/>
      <x:c r="Q307" s="872"/>
      <x:c r="R307" s="872"/>
      <x:c r="S307" s="872"/>
      <x:c r="T307" s="872"/>
      <x:c r="U307" s="872"/>
      <x:c r="V307" s="872"/>
      <x:c r="W307" s="872"/>
      <x:c r="X307" s="872"/>
      <x:c r="Y307" s="872"/>
      <x:c r="Z307" s="872"/>
      <x:c r="AA307" s="877"/>
      <x:c r="AB307" s="872"/>
      <x:c r="AC307" s="872"/>
      <x:c r="AD307" s="872"/>
      <x:c r="AE307" s="872"/>
      <x:c r="AF307" s="872"/>
      <x:c r="AG307" s="872"/>
      <x:c r="AH307" s="872"/>
      <x:c r="AI307" s="872"/>
      <x:c r="AJ307" s="872"/>
      <x:c r="AK307" s="872"/>
      <x:c r="AL307" s="872"/>
      <x:c r="AM307" s="872"/>
      <x:c r="AN307" s="872"/>
      <x:c r="AO307" s="872"/>
      <x:c r="AP307" s="872"/>
      <x:c r="AQ307" s="878"/>
      <x:c r="AR307" s="874"/>
    </x:row>
    <x:row r="308" s="36" customFormat="1" ht="30" customHeight="1">
      <x:c r="A308" s="871"/>
      <x:c r="B308" s="871"/>
      <x:c r="C308" s="871"/>
      <x:c r="D308" s="872"/>
      <x:c r="E308" s="871"/>
      <x:c r="F308" s="871"/>
      <x:c r="G308" s="872"/>
      <x:c r="H308" s="872"/>
      <x:c r="I308" s="875"/>
      <x:c r="J308" s="872"/>
      <x:c r="K308" s="873"/>
      <x:c r="L308" s="876"/>
      <x:c r="M308" s="873"/>
      <x:c r="N308" s="874"/>
      <x:c r="O308" s="874"/>
      <x:c r="P308" s="872"/>
      <x:c r="Q308" s="872"/>
      <x:c r="R308" s="872"/>
      <x:c r="S308" s="872"/>
      <x:c r="T308" s="872"/>
      <x:c r="U308" s="872"/>
      <x:c r="V308" s="872"/>
      <x:c r="W308" s="872"/>
      <x:c r="X308" s="872"/>
      <x:c r="Y308" s="872"/>
      <x:c r="Z308" s="872"/>
      <x:c r="AA308" s="877"/>
      <x:c r="AB308" s="872"/>
      <x:c r="AC308" s="872"/>
      <x:c r="AD308" s="872"/>
      <x:c r="AE308" s="872"/>
      <x:c r="AF308" s="872"/>
      <x:c r="AG308" s="872"/>
      <x:c r="AH308" s="872"/>
      <x:c r="AI308" s="872"/>
      <x:c r="AJ308" s="872"/>
      <x:c r="AK308" s="872"/>
      <x:c r="AL308" s="872"/>
      <x:c r="AM308" s="872"/>
      <x:c r="AN308" s="872"/>
      <x:c r="AO308" s="872"/>
      <x:c r="AP308" s="872"/>
      <x:c r="AQ308" s="878"/>
      <x:c r="AR308" s="874"/>
    </x:row>
    <x:row r="309" s="36" customFormat="1" ht="30" customHeight="1">
      <x:c r="A309" s="871"/>
      <x:c r="B309" s="871"/>
      <x:c r="C309" s="871"/>
      <x:c r="D309" s="872"/>
      <x:c r="E309" s="871"/>
      <x:c r="F309" s="871"/>
      <x:c r="G309" s="872"/>
      <x:c r="H309" s="872"/>
      <x:c r="I309" s="875"/>
      <x:c r="J309" s="872"/>
      <x:c r="K309" s="873"/>
      <x:c r="L309" s="876"/>
      <x:c r="M309" s="873"/>
      <x:c r="N309" s="874"/>
      <x:c r="O309" s="874"/>
      <x:c r="P309" s="872"/>
      <x:c r="Q309" s="872"/>
      <x:c r="R309" s="872"/>
      <x:c r="S309" s="872"/>
      <x:c r="T309" s="872"/>
      <x:c r="U309" s="872"/>
      <x:c r="V309" s="872"/>
      <x:c r="W309" s="872"/>
      <x:c r="X309" s="872"/>
      <x:c r="Y309" s="872"/>
      <x:c r="Z309" s="872"/>
      <x:c r="AA309" s="877"/>
      <x:c r="AB309" s="872"/>
      <x:c r="AC309" s="872"/>
      <x:c r="AD309" s="872"/>
      <x:c r="AE309" s="872"/>
      <x:c r="AF309" s="872"/>
      <x:c r="AG309" s="872"/>
      <x:c r="AH309" s="872"/>
      <x:c r="AI309" s="872"/>
      <x:c r="AJ309" s="872"/>
      <x:c r="AK309" s="872"/>
      <x:c r="AL309" s="872"/>
      <x:c r="AM309" s="872"/>
      <x:c r="AN309" s="872"/>
      <x:c r="AO309" s="872"/>
      <x:c r="AP309" s="872"/>
      <x:c r="AQ309" s="878"/>
      <x:c r="AR309" s="874"/>
    </x:row>
    <x:row r="310" s="36" customFormat="1" ht="30" customHeight="1">
      <x:c r="A310" s="871"/>
      <x:c r="B310" s="871"/>
      <x:c r="C310" s="871"/>
      <x:c r="D310" s="872"/>
      <x:c r="E310" s="871"/>
      <x:c r="F310" s="871"/>
      <x:c r="G310" s="872"/>
      <x:c r="H310" s="872"/>
      <x:c r="I310" s="875"/>
      <x:c r="J310" s="872"/>
      <x:c r="K310" s="873"/>
      <x:c r="L310" s="876"/>
      <x:c r="M310" s="873"/>
      <x:c r="N310" s="874"/>
      <x:c r="O310" s="874"/>
      <x:c r="P310" s="872"/>
      <x:c r="Q310" s="872"/>
      <x:c r="R310" s="872"/>
      <x:c r="S310" s="872"/>
      <x:c r="T310" s="872"/>
      <x:c r="U310" s="872"/>
      <x:c r="V310" s="872"/>
      <x:c r="W310" s="872"/>
      <x:c r="X310" s="872"/>
      <x:c r="Y310" s="872"/>
      <x:c r="Z310" s="872"/>
      <x:c r="AA310" s="877"/>
      <x:c r="AB310" s="872"/>
      <x:c r="AC310" s="872"/>
      <x:c r="AD310" s="872"/>
      <x:c r="AE310" s="872"/>
      <x:c r="AF310" s="872"/>
      <x:c r="AG310" s="872"/>
      <x:c r="AH310" s="872"/>
      <x:c r="AI310" s="872"/>
      <x:c r="AJ310" s="872"/>
      <x:c r="AK310" s="872"/>
      <x:c r="AL310" s="872"/>
      <x:c r="AM310" s="872"/>
      <x:c r="AN310" s="872"/>
      <x:c r="AO310" s="872"/>
      <x:c r="AP310" s="872"/>
      <x:c r="AQ310" s="878"/>
      <x:c r="AR310" s="874"/>
    </x:row>
    <x:row r="311" s="36" customFormat="1" ht="30" customHeight="1">
      <x:c r="A311" s="871"/>
      <x:c r="B311" s="871"/>
      <x:c r="C311" s="871"/>
      <x:c r="D311" s="872"/>
      <x:c r="E311" s="871"/>
      <x:c r="F311" s="871"/>
      <x:c r="G311" s="872"/>
      <x:c r="H311" s="872"/>
      <x:c r="I311" s="875"/>
      <x:c r="J311" s="872"/>
      <x:c r="K311" s="873"/>
      <x:c r="L311" s="876"/>
      <x:c r="M311" s="873"/>
      <x:c r="N311" s="874"/>
      <x:c r="O311" s="874"/>
      <x:c r="P311" s="872"/>
      <x:c r="Q311" s="872"/>
      <x:c r="R311" s="872"/>
      <x:c r="S311" s="872"/>
      <x:c r="T311" s="872"/>
      <x:c r="U311" s="872"/>
      <x:c r="V311" s="872"/>
      <x:c r="W311" s="872"/>
      <x:c r="X311" s="872"/>
      <x:c r="Y311" s="872"/>
      <x:c r="Z311" s="872"/>
      <x:c r="AA311" s="877"/>
      <x:c r="AB311" s="872"/>
      <x:c r="AC311" s="872"/>
      <x:c r="AD311" s="872"/>
      <x:c r="AE311" s="872"/>
      <x:c r="AF311" s="872"/>
      <x:c r="AG311" s="872"/>
      <x:c r="AH311" s="872"/>
      <x:c r="AI311" s="872"/>
      <x:c r="AJ311" s="872"/>
      <x:c r="AK311" s="872"/>
      <x:c r="AL311" s="872"/>
      <x:c r="AM311" s="872"/>
      <x:c r="AN311" s="872"/>
      <x:c r="AO311" s="872"/>
      <x:c r="AP311" s="872"/>
      <x:c r="AQ311" s="878"/>
      <x:c r="AR311" s="874"/>
    </x:row>
    <x:row r="312" s="36" customFormat="1" ht="30" customHeight="1">
      <x:c r="A312" s="871"/>
      <x:c r="B312" s="871"/>
      <x:c r="C312" s="871"/>
      <x:c r="D312" s="872"/>
      <x:c r="E312" s="871"/>
      <x:c r="F312" s="871"/>
      <x:c r="G312" s="872"/>
      <x:c r="H312" s="872"/>
      <x:c r="I312" s="875"/>
      <x:c r="J312" s="872"/>
      <x:c r="K312" s="873"/>
      <x:c r="L312" s="876"/>
      <x:c r="M312" s="873"/>
      <x:c r="N312" s="874"/>
      <x:c r="O312" s="874"/>
      <x:c r="P312" s="872"/>
      <x:c r="Q312" s="872"/>
      <x:c r="R312" s="872"/>
      <x:c r="S312" s="872"/>
      <x:c r="T312" s="872"/>
      <x:c r="U312" s="872"/>
      <x:c r="V312" s="872"/>
      <x:c r="W312" s="872"/>
      <x:c r="X312" s="872"/>
      <x:c r="Y312" s="872"/>
      <x:c r="Z312" s="872"/>
      <x:c r="AA312" s="877"/>
      <x:c r="AB312" s="872"/>
      <x:c r="AC312" s="872"/>
      <x:c r="AD312" s="872"/>
      <x:c r="AE312" s="872"/>
      <x:c r="AF312" s="872"/>
      <x:c r="AG312" s="872"/>
      <x:c r="AH312" s="872"/>
      <x:c r="AI312" s="872"/>
      <x:c r="AJ312" s="872"/>
      <x:c r="AK312" s="872"/>
      <x:c r="AL312" s="872"/>
      <x:c r="AM312" s="872"/>
      <x:c r="AN312" s="872"/>
      <x:c r="AO312" s="872"/>
      <x:c r="AP312" s="872"/>
      <x:c r="AQ312" s="878"/>
      <x:c r="AR312" s="874"/>
    </x:row>
    <x:row r="313" s="36" customFormat="1" ht="30" customHeight="1">
      <x:c r="A313" s="871"/>
      <x:c r="B313" s="871"/>
      <x:c r="C313" s="871"/>
      <x:c r="D313" s="872"/>
      <x:c r="E313" s="871"/>
      <x:c r="F313" s="871"/>
      <x:c r="G313" s="872"/>
      <x:c r="H313" s="872"/>
      <x:c r="I313" s="875"/>
      <x:c r="J313" s="872"/>
      <x:c r="K313" s="873"/>
      <x:c r="L313" s="876"/>
      <x:c r="M313" s="873"/>
      <x:c r="N313" s="874"/>
      <x:c r="O313" s="874"/>
      <x:c r="P313" s="872"/>
      <x:c r="Q313" s="872"/>
      <x:c r="R313" s="872"/>
      <x:c r="S313" s="872"/>
      <x:c r="T313" s="872"/>
      <x:c r="U313" s="872"/>
      <x:c r="V313" s="872"/>
      <x:c r="W313" s="872"/>
      <x:c r="X313" s="872"/>
      <x:c r="Y313" s="872"/>
      <x:c r="Z313" s="872"/>
      <x:c r="AA313" s="877"/>
      <x:c r="AB313" s="872"/>
      <x:c r="AC313" s="872"/>
      <x:c r="AD313" s="872"/>
      <x:c r="AE313" s="872"/>
      <x:c r="AF313" s="872"/>
      <x:c r="AG313" s="872"/>
      <x:c r="AH313" s="872"/>
      <x:c r="AI313" s="872"/>
      <x:c r="AJ313" s="872"/>
      <x:c r="AK313" s="872"/>
      <x:c r="AL313" s="872"/>
      <x:c r="AM313" s="872"/>
      <x:c r="AN313" s="872"/>
      <x:c r="AO313" s="872"/>
      <x:c r="AP313" s="872"/>
      <x:c r="AQ313" s="878"/>
      <x:c r="AR313" s="874"/>
    </x:row>
    <x:row r="314" s="36" customFormat="1" ht="30" customHeight="1">
      <x:c r="A314" s="871"/>
      <x:c r="B314" s="871"/>
      <x:c r="C314" s="871"/>
      <x:c r="D314" s="872"/>
      <x:c r="E314" s="871"/>
      <x:c r="F314" s="871"/>
      <x:c r="G314" s="872"/>
      <x:c r="H314" s="872"/>
      <x:c r="I314" s="875"/>
      <x:c r="J314" s="872"/>
      <x:c r="K314" s="873"/>
      <x:c r="L314" s="876"/>
      <x:c r="M314" s="873"/>
      <x:c r="N314" s="874"/>
      <x:c r="O314" s="874"/>
      <x:c r="P314" s="872"/>
      <x:c r="Q314" s="872"/>
      <x:c r="R314" s="872"/>
      <x:c r="S314" s="872"/>
      <x:c r="T314" s="872"/>
      <x:c r="U314" s="872"/>
      <x:c r="V314" s="872"/>
      <x:c r="W314" s="872"/>
      <x:c r="X314" s="872"/>
      <x:c r="Y314" s="872"/>
      <x:c r="Z314" s="872"/>
      <x:c r="AA314" s="877"/>
      <x:c r="AB314" s="872"/>
      <x:c r="AC314" s="872"/>
      <x:c r="AD314" s="872"/>
      <x:c r="AE314" s="872"/>
      <x:c r="AF314" s="872"/>
      <x:c r="AG314" s="872"/>
      <x:c r="AH314" s="872"/>
      <x:c r="AI314" s="872"/>
      <x:c r="AJ314" s="872"/>
      <x:c r="AK314" s="872"/>
      <x:c r="AL314" s="872"/>
      <x:c r="AM314" s="872"/>
      <x:c r="AN314" s="872"/>
      <x:c r="AO314" s="872"/>
      <x:c r="AP314" s="872"/>
      <x:c r="AQ314" s="878"/>
      <x:c r="AR314" s="874"/>
    </x:row>
    <x:row r="315" s="36" customFormat="1" ht="30" customHeight="1">
      <x:c r="A315" s="871"/>
      <x:c r="B315" s="871"/>
      <x:c r="C315" s="871"/>
      <x:c r="D315" s="872"/>
      <x:c r="E315" s="871"/>
      <x:c r="F315" s="871"/>
      <x:c r="G315" s="872"/>
      <x:c r="H315" s="872"/>
      <x:c r="I315" s="875"/>
      <x:c r="J315" s="872"/>
      <x:c r="K315" s="873"/>
      <x:c r="L315" s="876"/>
      <x:c r="M315" s="873"/>
      <x:c r="N315" s="874"/>
      <x:c r="O315" s="874"/>
      <x:c r="P315" s="872"/>
      <x:c r="Q315" s="872"/>
      <x:c r="R315" s="872"/>
      <x:c r="S315" s="872"/>
      <x:c r="T315" s="872"/>
      <x:c r="U315" s="872"/>
      <x:c r="V315" s="872"/>
      <x:c r="W315" s="872"/>
      <x:c r="X315" s="872"/>
      <x:c r="Y315" s="872"/>
      <x:c r="Z315" s="872"/>
      <x:c r="AA315" s="877"/>
      <x:c r="AB315" s="872"/>
      <x:c r="AC315" s="872"/>
      <x:c r="AD315" s="872"/>
      <x:c r="AE315" s="872"/>
      <x:c r="AF315" s="872"/>
      <x:c r="AG315" s="872"/>
      <x:c r="AH315" s="872"/>
      <x:c r="AI315" s="872"/>
      <x:c r="AJ315" s="872"/>
      <x:c r="AK315" s="872"/>
      <x:c r="AL315" s="872"/>
      <x:c r="AM315" s="872"/>
      <x:c r="AN315" s="872"/>
      <x:c r="AO315" s="872"/>
      <x:c r="AP315" s="872"/>
      <x:c r="AQ315" s="878"/>
      <x:c r="AR315" s="874"/>
    </x:row>
    <x:row r="316" s="36" customFormat="1" ht="30" customHeight="1">
      <x:c r="A316" s="871"/>
      <x:c r="B316" s="871"/>
      <x:c r="C316" s="871"/>
      <x:c r="D316" s="872"/>
      <x:c r="E316" s="871"/>
      <x:c r="F316" s="871"/>
      <x:c r="G316" s="872"/>
      <x:c r="H316" s="872"/>
      <x:c r="I316" s="875"/>
      <x:c r="J316" s="872"/>
      <x:c r="K316" s="873"/>
      <x:c r="L316" s="876"/>
      <x:c r="M316" s="873"/>
      <x:c r="N316" s="874"/>
      <x:c r="O316" s="874"/>
      <x:c r="P316" s="872"/>
      <x:c r="Q316" s="872"/>
      <x:c r="R316" s="872"/>
      <x:c r="S316" s="872"/>
      <x:c r="T316" s="872"/>
      <x:c r="U316" s="872"/>
      <x:c r="V316" s="872"/>
      <x:c r="W316" s="872"/>
      <x:c r="X316" s="872"/>
      <x:c r="Y316" s="872"/>
      <x:c r="Z316" s="872"/>
      <x:c r="AA316" s="877"/>
      <x:c r="AB316" s="872"/>
      <x:c r="AC316" s="872"/>
      <x:c r="AD316" s="872"/>
      <x:c r="AE316" s="872"/>
      <x:c r="AF316" s="872"/>
      <x:c r="AG316" s="872"/>
      <x:c r="AH316" s="872"/>
      <x:c r="AI316" s="872"/>
      <x:c r="AJ316" s="872"/>
      <x:c r="AK316" s="872"/>
      <x:c r="AL316" s="872"/>
      <x:c r="AM316" s="872"/>
      <x:c r="AN316" s="872"/>
      <x:c r="AO316" s="872"/>
      <x:c r="AP316" s="872"/>
      <x:c r="AQ316" s="878"/>
      <x:c r="AR316" s="874"/>
    </x:row>
    <x:row r="317" s="36" customFormat="1" ht="30" customHeight="1">
      <x:c r="A317" s="871"/>
      <x:c r="B317" s="871"/>
      <x:c r="C317" s="871"/>
      <x:c r="D317" s="872"/>
      <x:c r="E317" s="871"/>
      <x:c r="F317" s="871"/>
      <x:c r="G317" s="872"/>
      <x:c r="H317" s="872"/>
      <x:c r="I317" s="875"/>
      <x:c r="J317" s="872"/>
      <x:c r="K317" s="873"/>
      <x:c r="L317" s="876"/>
      <x:c r="M317" s="873"/>
      <x:c r="N317" s="874"/>
      <x:c r="O317" s="874"/>
      <x:c r="P317" s="872"/>
      <x:c r="Q317" s="872"/>
      <x:c r="R317" s="872"/>
      <x:c r="S317" s="872"/>
      <x:c r="T317" s="872"/>
      <x:c r="U317" s="872"/>
      <x:c r="V317" s="872"/>
      <x:c r="W317" s="872"/>
      <x:c r="X317" s="872"/>
      <x:c r="Y317" s="872"/>
      <x:c r="Z317" s="872"/>
      <x:c r="AA317" s="877"/>
      <x:c r="AB317" s="872"/>
      <x:c r="AC317" s="872"/>
      <x:c r="AD317" s="872"/>
      <x:c r="AE317" s="872"/>
      <x:c r="AF317" s="872"/>
      <x:c r="AG317" s="872"/>
      <x:c r="AH317" s="872"/>
      <x:c r="AI317" s="872"/>
      <x:c r="AJ317" s="872"/>
      <x:c r="AK317" s="872"/>
      <x:c r="AL317" s="872"/>
      <x:c r="AM317" s="872"/>
      <x:c r="AN317" s="872"/>
      <x:c r="AO317" s="872"/>
      <x:c r="AP317" s="872"/>
      <x:c r="AQ317" s="878"/>
      <x:c r="AR317" s="874"/>
    </x:row>
    <x:row r="318" s="36" customFormat="1" ht="30" customHeight="1">
      <x:c r="A318" s="871"/>
      <x:c r="B318" s="871"/>
      <x:c r="C318" s="871"/>
      <x:c r="D318" s="872"/>
      <x:c r="E318" s="871"/>
      <x:c r="F318" s="871"/>
      <x:c r="G318" s="872"/>
      <x:c r="H318" s="872"/>
      <x:c r="I318" s="875"/>
      <x:c r="J318" s="872"/>
      <x:c r="K318" s="873"/>
      <x:c r="L318" s="876"/>
      <x:c r="M318" s="873"/>
      <x:c r="N318" s="874"/>
      <x:c r="O318" s="874"/>
      <x:c r="P318" s="872"/>
      <x:c r="Q318" s="872"/>
      <x:c r="R318" s="872"/>
      <x:c r="S318" s="872"/>
      <x:c r="T318" s="872"/>
      <x:c r="U318" s="872"/>
      <x:c r="V318" s="872"/>
      <x:c r="W318" s="872"/>
      <x:c r="X318" s="872"/>
      <x:c r="Y318" s="872"/>
      <x:c r="Z318" s="872"/>
      <x:c r="AA318" s="877"/>
      <x:c r="AB318" s="872"/>
      <x:c r="AC318" s="872"/>
      <x:c r="AD318" s="872"/>
      <x:c r="AE318" s="872"/>
      <x:c r="AF318" s="872"/>
      <x:c r="AG318" s="872"/>
      <x:c r="AH318" s="872"/>
      <x:c r="AI318" s="872"/>
      <x:c r="AJ318" s="872"/>
      <x:c r="AK318" s="872"/>
      <x:c r="AL318" s="872"/>
      <x:c r="AM318" s="872"/>
      <x:c r="AN318" s="872"/>
      <x:c r="AO318" s="872"/>
      <x:c r="AP318" s="872"/>
      <x:c r="AQ318" s="878"/>
      <x:c r="AR318" s="874"/>
    </x:row>
    <x:row r="319" s="36" customFormat="1" ht="30" customHeight="1">
      <x:c r="A319" s="871"/>
      <x:c r="B319" s="871"/>
      <x:c r="C319" s="871"/>
      <x:c r="D319" s="872"/>
      <x:c r="E319" s="871"/>
      <x:c r="F319" s="871"/>
      <x:c r="G319" s="872"/>
      <x:c r="H319" s="872"/>
      <x:c r="I319" s="875"/>
      <x:c r="J319" s="872"/>
      <x:c r="K319" s="873"/>
      <x:c r="L319" s="876"/>
      <x:c r="M319" s="873"/>
      <x:c r="N319" s="874"/>
      <x:c r="O319" s="874"/>
      <x:c r="P319" s="872"/>
      <x:c r="Q319" s="872"/>
      <x:c r="R319" s="872"/>
      <x:c r="S319" s="872"/>
      <x:c r="T319" s="872"/>
      <x:c r="U319" s="872"/>
      <x:c r="V319" s="872"/>
      <x:c r="W319" s="872"/>
      <x:c r="X319" s="872"/>
      <x:c r="Y319" s="872"/>
      <x:c r="Z319" s="872"/>
      <x:c r="AA319" s="877"/>
      <x:c r="AB319" s="872"/>
      <x:c r="AC319" s="872"/>
      <x:c r="AD319" s="872"/>
      <x:c r="AE319" s="872"/>
      <x:c r="AF319" s="872"/>
      <x:c r="AG319" s="872"/>
      <x:c r="AH319" s="872"/>
      <x:c r="AI319" s="872"/>
      <x:c r="AJ319" s="872"/>
      <x:c r="AK319" s="872"/>
      <x:c r="AL319" s="872"/>
      <x:c r="AM319" s="872"/>
      <x:c r="AN319" s="872"/>
      <x:c r="AO319" s="872"/>
      <x:c r="AP319" s="872"/>
      <x:c r="AQ319" s="878"/>
      <x:c r="AR319" s="874"/>
    </x:row>
    <x:row r="320" s="36" customFormat="1" ht="30" customHeight="1">
      <x:c r="A320" s="871"/>
      <x:c r="B320" s="871"/>
      <x:c r="C320" s="871"/>
      <x:c r="D320" s="872"/>
      <x:c r="E320" s="871"/>
      <x:c r="F320" s="871"/>
      <x:c r="G320" s="872"/>
      <x:c r="H320" s="872"/>
      <x:c r="I320" s="875"/>
      <x:c r="J320" s="872"/>
      <x:c r="K320" s="873"/>
      <x:c r="L320" s="876"/>
      <x:c r="M320" s="873"/>
      <x:c r="N320" s="874"/>
      <x:c r="O320" s="874"/>
      <x:c r="P320" s="872"/>
      <x:c r="Q320" s="872"/>
      <x:c r="R320" s="872"/>
      <x:c r="S320" s="872"/>
      <x:c r="T320" s="872"/>
      <x:c r="U320" s="872"/>
      <x:c r="V320" s="872"/>
      <x:c r="W320" s="872"/>
      <x:c r="X320" s="872"/>
      <x:c r="Y320" s="872"/>
      <x:c r="Z320" s="872"/>
      <x:c r="AA320" s="877"/>
      <x:c r="AB320" s="872"/>
      <x:c r="AC320" s="872"/>
      <x:c r="AD320" s="872"/>
      <x:c r="AE320" s="872"/>
      <x:c r="AF320" s="872"/>
      <x:c r="AG320" s="872"/>
      <x:c r="AH320" s="872"/>
      <x:c r="AI320" s="872"/>
      <x:c r="AJ320" s="872"/>
      <x:c r="AK320" s="872"/>
      <x:c r="AL320" s="872"/>
      <x:c r="AM320" s="872"/>
      <x:c r="AN320" s="872"/>
      <x:c r="AO320" s="872"/>
      <x:c r="AP320" s="872"/>
      <x:c r="AQ320" s="878"/>
      <x:c r="AR320" s="874"/>
    </x:row>
    <x:row r="321" s="36" customFormat="1" ht="30" customHeight="1">
      <x:c r="A321" s="871"/>
      <x:c r="B321" s="871"/>
      <x:c r="C321" s="871"/>
      <x:c r="D321" s="872"/>
      <x:c r="E321" s="871"/>
      <x:c r="F321" s="871"/>
      <x:c r="G321" s="872"/>
      <x:c r="H321" s="872"/>
      <x:c r="I321" s="875"/>
      <x:c r="J321" s="872"/>
      <x:c r="K321" s="873"/>
      <x:c r="L321" s="876"/>
      <x:c r="M321" s="873"/>
      <x:c r="N321" s="874"/>
      <x:c r="O321" s="874"/>
      <x:c r="P321" s="872"/>
      <x:c r="Q321" s="872"/>
      <x:c r="R321" s="872"/>
      <x:c r="S321" s="872"/>
      <x:c r="T321" s="872"/>
      <x:c r="U321" s="872"/>
      <x:c r="V321" s="872"/>
      <x:c r="W321" s="872"/>
      <x:c r="X321" s="872"/>
      <x:c r="Y321" s="872"/>
      <x:c r="Z321" s="872"/>
      <x:c r="AA321" s="877"/>
      <x:c r="AB321" s="872"/>
      <x:c r="AC321" s="872"/>
      <x:c r="AD321" s="872"/>
      <x:c r="AE321" s="872"/>
      <x:c r="AF321" s="872"/>
      <x:c r="AG321" s="872"/>
      <x:c r="AH321" s="872"/>
      <x:c r="AI321" s="872"/>
      <x:c r="AJ321" s="872"/>
      <x:c r="AK321" s="872"/>
      <x:c r="AL321" s="872"/>
      <x:c r="AM321" s="872"/>
      <x:c r="AN321" s="872"/>
      <x:c r="AO321" s="872"/>
      <x:c r="AP321" s="872"/>
      <x:c r="AQ321" s="878"/>
      <x:c r="AR321" s="874"/>
    </x:row>
    <x:row r="322" s="36" customFormat="1" ht="30" customHeight="1">
      <x:c r="A322" s="871"/>
      <x:c r="B322" s="871"/>
      <x:c r="C322" s="871"/>
      <x:c r="D322" s="872"/>
      <x:c r="E322" s="871"/>
      <x:c r="F322" s="871"/>
      <x:c r="G322" s="872"/>
      <x:c r="H322" s="872"/>
      <x:c r="I322" s="875"/>
      <x:c r="J322" s="872"/>
      <x:c r="K322" s="873"/>
      <x:c r="L322" s="876"/>
      <x:c r="M322" s="873"/>
      <x:c r="N322" s="874"/>
      <x:c r="O322" s="874"/>
      <x:c r="P322" s="872"/>
      <x:c r="Q322" s="872"/>
      <x:c r="R322" s="872"/>
      <x:c r="S322" s="872"/>
      <x:c r="T322" s="872"/>
      <x:c r="U322" s="872"/>
      <x:c r="V322" s="872"/>
      <x:c r="W322" s="872"/>
      <x:c r="X322" s="872"/>
      <x:c r="Y322" s="872"/>
      <x:c r="Z322" s="872"/>
      <x:c r="AA322" s="877"/>
      <x:c r="AB322" s="872"/>
      <x:c r="AC322" s="872"/>
      <x:c r="AD322" s="872"/>
      <x:c r="AE322" s="872"/>
      <x:c r="AF322" s="872"/>
      <x:c r="AG322" s="872"/>
      <x:c r="AH322" s="872"/>
      <x:c r="AI322" s="872"/>
      <x:c r="AJ322" s="872"/>
      <x:c r="AK322" s="872"/>
      <x:c r="AL322" s="872"/>
      <x:c r="AM322" s="872"/>
      <x:c r="AN322" s="872"/>
      <x:c r="AO322" s="872"/>
      <x:c r="AP322" s="872"/>
      <x:c r="AQ322" s="878"/>
      <x:c r="AR322" s="874"/>
    </x:row>
    <x:row r="323" s="36" customFormat="1" ht="30" customHeight="1">
      <x:c r="A323" s="871"/>
      <x:c r="B323" s="871"/>
      <x:c r="C323" s="871"/>
      <x:c r="D323" s="872"/>
      <x:c r="E323" s="871"/>
      <x:c r="F323" s="871"/>
      <x:c r="G323" s="872"/>
      <x:c r="H323" s="872"/>
      <x:c r="I323" s="875"/>
      <x:c r="J323" s="872"/>
      <x:c r="K323" s="873"/>
      <x:c r="L323" s="876"/>
      <x:c r="M323" s="873"/>
      <x:c r="N323" s="874"/>
      <x:c r="O323" s="874"/>
      <x:c r="P323" s="872"/>
      <x:c r="Q323" s="872"/>
      <x:c r="R323" s="872"/>
      <x:c r="S323" s="872"/>
      <x:c r="T323" s="872"/>
      <x:c r="U323" s="872"/>
      <x:c r="V323" s="872"/>
      <x:c r="W323" s="872"/>
      <x:c r="X323" s="872"/>
      <x:c r="Y323" s="872"/>
      <x:c r="Z323" s="872"/>
      <x:c r="AA323" s="877"/>
      <x:c r="AB323" s="872"/>
      <x:c r="AC323" s="872"/>
      <x:c r="AD323" s="872"/>
      <x:c r="AE323" s="872"/>
      <x:c r="AF323" s="872"/>
      <x:c r="AG323" s="872"/>
      <x:c r="AH323" s="872"/>
      <x:c r="AI323" s="872"/>
      <x:c r="AJ323" s="872"/>
      <x:c r="AK323" s="872"/>
      <x:c r="AL323" s="872"/>
      <x:c r="AM323" s="872"/>
      <x:c r="AN323" s="872"/>
      <x:c r="AO323" s="872"/>
      <x:c r="AP323" s="872"/>
      <x:c r="AQ323" s="878"/>
      <x:c r="AR323" s="874"/>
    </x:row>
    <x:row r="324" s="36" customFormat="1" ht="30" customHeight="1">
      <x:c r="A324" s="871"/>
      <x:c r="B324" s="871"/>
      <x:c r="C324" s="871"/>
      <x:c r="D324" s="872"/>
      <x:c r="E324" s="871"/>
      <x:c r="F324" s="871"/>
      <x:c r="G324" s="872"/>
      <x:c r="H324" s="872"/>
      <x:c r="I324" s="875"/>
      <x:c r="J324" s="872"/>
      <x:c r="K324" s="873"/>
      <x:c r="L324" s="876"/>
      <x:c r="M324" s="873"/>
      <x:c r="N324" s="874"/>
      <x:c r="O324" s="874"/>
      <x:c r="P324" s="872"/>
      <x:c r="Q324" s="872"/>
      <x:c r="R324" s="872"/>
      <x:c r="S324" s="872"/>
      <x:c r="T324" s="872"/>
      <x:c r="U324" s="872"/>
      <x:c r="V324" s="872"/>
      <x:c r="W324" s="872"/>
      <x:c r="X324" s="872"/>
      <x:c r="Y324" s="872"/>
      <x:c r="Z324" s="872"/>
      <x:c r="AA324" s="877"/>
      <x:c r="AB324" s="872"/>
      <x:c r="AC324" s="872"/>
      <x:c r="AD324" s="872"/>
      <x:c r="AE324" s="872"/>
      <x:c r="AF324" s="872"/>
      <x:c r="AG324" s="872"/>
      <x:c r="AH324" s="872"/>
      <x:c r="AI324" s="872"/>
      <x:c r="AJ324" s="872"/>
      <x:c r="AK324" s="872"/>
      <x:c r="AL324" s="872"/>
      <x:c r="AM324" s="872"/>
      <x:c r="AN324" s="872"/>
      <x:c r="AO324" s="872"/>
      <x:c r="AP324" s="872"/>
      <x:c r="AQ324" s="878"/>
      <x:c r="AR324" s="874"/>
    </x:row>
    <x:row r="325" s="36" customFormat="1" ht="30" customHeight="1">
      <x:c r="A325" s="871"/>
      <x:c r="B325" s="871"/>
      <x:c r="C325" s="871"/>
      <x:c r="D325" s="872"/>
      <x:c r="E325" s="871"/>
      <x:c r="F325" s="871"/>
      <x:c r="G325" s="872"/>
      <x:c r="H325" s="872"/>
      <x:c r="I325" s="875"/>
      <x:c r="J325" s="872"/>
      <x:c r="K325" s="873"/>
      <x:c r="L325" s="876"/>
      <x:c r="M325" s="873"/>
      <x:c r="N325" s="874"/>
      <x:c r="O325" s="874"/>
      <x:c r="P325" s="872"/>
      <x:c r="Q325" s="872"/>
      <x:c r="R325" s="872"/>
      <x:c r="S325" s="872"/>
      <x:c r="T325" s="872"/>
      <x:c r="U325" s="872"/>
      <x:c r="V325" s="872"/>
      <x:c r="W325" s="872"/>
      <x:c r="X325" s="872"/>
      <x:c r="Y325" s="872"/>
      <x:c r="Z325" s="872"/>
      <x:c r="AA325" s="877"/>
      <x:c r="AB325" s="872"/>
      <x:c r="AC325" s="872"/>
      <x:c r="AD325" s="872"/>
      <x:c r="AE325" s="872"/>
      <x:c r="AF325" s="872"/>
      <x:c r="AG325" s="872"/>
      <x:c r="AH325" s="872"/>
      <x:c r="AI325" s="872"/>
      <x:c r="AJ325" s="872"/>
      <x:c r="AK325" s="872"/>
      <x:c r="AL325" s="872"/>
      <x:c r="AM325" s="872"/>
      <x:c r="AN325" s="872"/>
      <x:c r="AO325" s="872"/>
      <x:c r="AP325" s="872"/>
      <x:c r="AQ325" s="878"/>
      <x:c r="AR325" s="874"/>
    </x:row>
    <x:row r="326" s="36" customFormat="1" ht="30" customHeight="1">
      <x:c r="A326" s="871"/>
      <x:c r="B326" s="871"/>
      <x:c r="C326" s="871"/>
      <x:c r="D326" s="872"/>
      <x:c r="E326" s="871"/>
      <x:c r="F326" s="871"/>
      <x:c r="G326" s="872"/>
      <x:c r="H326" s="872"/>
      <x:c r="I326" s="875"/>
      <x:c r="J326" s="872"/>
      <x:c r="K326" s="873"/>
      <x:c r="L326" s="876"/>
      <x:c r="M326" s="873"/>
      <x:c r="N326" s="874"/>
      <x:c r="O326" s="874"/>
      <x:c r="P326" s="872"/>
      <x:c r="Q326" s="872"/>
      <x:c r="R326" s="872"/>
      <x:c r="S326" s="872"/>
      <x:c r="T326" s="872"/>
      <x:c r="U326" s="872"/>
      <x:c r="V326" s="872"/>
      <x:c r="W326" s="872"/>
      <x:c r="X326" s="872"/>
      <x:c r="Y326" s="872"/>
      <x:c r="Z326" s="872"/>
      <x:c r="AA326" s="877"/>
      <x:c r="AB326" s="872"/>
      <x:c r="AC326" s="872"/>
      <x:c r="AD326" s="872"/>
      <x:c r="AE326" s="872"/>
      <x:c r="AF326" s="872"/>
      <x:c r="AG326" s="872"/>
      <x:c r="AH326" s="872"/>
      <x:c r="AI326" s="872"/>
      <x:c r="AJ326" s="872"/>
      <x:c r="AK326" s="872"/>
      <x:c r="AL326" s="872"/>
      <x:c r="AM326" s="872"/>
      <x:c r="AN326" s="872"/>
      <x:c r="AO326" s="872"/>
      <x:c r="AP326" s="872"/>
      <x:c r="AQ326" s="878"/>
      <x:c r="AR326" s="874"/>
    </x:row>
    <x:row r="327" s="36" customFormat="1" ht="30" customHeight="1">
      <x:c r="A327" s="871"/>
      <x:c r="B327" s="871"/>
      <x:c r="C327" s="871"/>
      <x:c r="D327" s="872"/>
      <x:c r="E327" s="871"/>
      <x:c r="F327" s="871"/>
      <x:c r="G327" s="872"/>
      <x:c r="H327" s="872"/>
      <x:c r="I327" s="875"/>
      <x:c r="J327" s="872"/>
      <x:c r="K327" s="873"/>
      <x:c r="L327" s="876"/>
      <x:c r="M327" s="873"/>
      <x:c r="N327" s="874"/>
      <x:c r="O327" s="874"/>
      <x:c r="P327" s="872"/>
      <x:c r="Q327" s="872"/>
      <x:c r="R327" s="872"/>
      <x:c r="S327" s="872"/>
      <x:c r="T327" s="872"/>
      <x:c r="U327" s="872"/>
      <x:c r="V327" s="872"/>
      <x:c r="W327" s="872"/>
      <x:c r="X327" s="872"/>
      <x:c r="Y327" s="872"/>
      <x:c r="Z327" s="872"/>
      <x:c r="AA327" s="877"/>
      <x:c r="AB327" s="872"/>
      <x:c r="AC327" s="872"/>
      <x:c r="AD327" s="872"/>
      <x:c r="AE327" s="872"/>
      <x:c r="AF327" s="872"/>
      <x:c r="AG327" s="872"/>
      <x:c r="AH327" s="872"/>
      <x:c r="AI327" s="872"/>
      <x:c r="AJ327" s="872"/>
      <x:c r="AK327" s="872"/>
      <x:c r="AL327" s="872"/>
      <x:c r="AM327" s="872"/>
      <x:c r="AN327" s="872"/>
      <x:c r="AO327" s="872"/>
      <x:c r="AP327" s="872"/>
      <x:c r="AQ327" s="878"/>
      <x:c r="AR327" s="874"/>
    </x:row>
    <x:row r="328" s="36" customFormat="1" ht="30" customHeight="1">
      <x:c r="A328" s="871"/>
      <x:c r="B328" s="871"/>
      <x:c r="C328" s="871"/>
      <x:c r="D328" s="872"/>
      <x:c r="E328" s="871"/>
      <x:c r="F328" s="871"/>
      <x:c r="G328" s="872"/>
      <x:c r="H328" s="872"/>
      <x:c r="I328" s="875"/>
      <x:c r="J328" s="872"/>
      <x:c r="K328" s="873"/>
      <x:c r="L328" s="876"/>
      <x:c r="M328" s="873"/>
      <x:c r="N328" s="874"/>
      <x:c r="O328" s="874"/>
      <x:c r="P328" s="872"/>
      <x:c r="Q328" s="872"/>
      <x:c r="R328" s="872"/>
      <x:c r="S328" s="872"/>
      <x:c r="T328" s="872"/>
      <x:c r="U328" s="872"/>
      <x:c r="V328" s="872"/>
      <x:c r="W328" s="872"/>
      <x:c r="X328" s="872"/>
      <x:c r="Y328" s="872"/>
      <x:c r="Z328" s="872"/>
      <x:c r="AA328" s="877"/>
      <x:c r="AB328" s="872"/>
      <x:c r="AC328" s="872"/>
      <x:c r="AD328" s="872"/>
      <x:c r="AE328" s="872"/>
      <x:c r="AF328" s="872"/>
      <x:c r="AG328" s="872"/>
      <x:c r="AH328" s="872"/>
      <x:c r="AI328" s="872"/>
      <x:c r="AJ328" s="872"/>
      <x:c r="AK328" s="872"/>
      <x:c r="AL328" s="872"/>
      <x:c r="AM328" s="872"/>
      <x:c r="AN328" s="872"/>
      <x:c r="AO328" s="872"/>
      <x:c r="AP328" s="872"/>
      <x:c r="AQ328" s="878"/>
      <x:c r="AR328" s="874"/>
    </x:row>
    <x:row r="329" s="36" customFormat="1" ht="30" customHeight="1">
      <x:c r="A329" s="871"/>
      <x:c r="B329" s="871"/>
      <x:c r="C329" s="871"/>
      <x:c r="D329" s="872"/>
      <x:c r="E329" s="871"/>
      <x:c r="F329" s="871"/>
      <x:c r="G329" s="872"/>
      <x:c r="H329" s="872"/>
      <x:c r="I329" s="875"/>
      <x:c r="J329" s="872"/>
      <x:c r="K329" s="873"/>
      <x:c r="L329" s="876"/>
      <x:c r="M329" s="873"/>
      <x:c r="N329" s="874"/>
      <x:c r="O329" s="874"/>
      <x:c r="P329" s="872"/>
      <x:c r="Q329" s="872"/>
      <x:c r="R329" s="872"/>
      <x:c r="S329" s="872"/>
      <x:c r="T329" s="872"/>
      <x:c r="U329" s="872"/>
      <x:c r="V329" s="872"/>
      <x:c r="W329" s="872"/>
      <x:c r="X329" s="872"/>
      <x:c r="Y329" s="872"/>
      <x:c r="Z329" s="872"/>
      <x:c r="AA329" s="877"/>
      <x:c r="AB329" s="872"/>
      <x:c r="AC329" s="872"/>
      <x:c r="AD329" s="872"/>
      <x:c r="AE329" s="872"/>
      <x:c r="AF329" s="872"/>
      <x:c r="AG329" s="872"/>
      <x:c r="AH329" s="872"/>
      <x:c r="AI329" s="872"/>
      <x:c r="AJ329" s="872"/>
      <x:c r="AK329" s="872"/>
      <x:c r="AL329" s="872"/>
      <x:c r="AM329" s="872"/>
      <x:c r="AN329" s="872"/>
      <x:c r="AO329" s="872"/>
      <x:c r="AP329" s="872"/>
      <x:c r="AQ329" s="878"/>
      <x:c r="AR329" s="874"/>
    </x:row>
    <x:row r="330" s="36" customFormat="1" ht="30" customHeight="1">
      <x:c r="A330" s="871"/>
      <x:c r="B330" s="871"/>
      <x:c r="C330" s="871"/>
      <x:c r="D330" s="872"/>
      <x:c r="E330" s="871"/>
      <x:c r="F330" s="871"/>
      <x:c r="G330" s="872"/>
      <x:c r="H330" s="872"/>
      <x:c r="I330" s="875"/>
      <x:c r="J330" s="872"/>
      <x:c r="K330" s="873"/>
      <x:c r="L330" s="876"/>
      <x:c r="M330" s="873"/>
      <x:c r="N330" s="874"/>
      <x:c r="O330" s="874"/>
      <x:c r="P330" s="872"/>
      <x:c r="Q330" s="872"/>
      <x:c r="R330" s="872"/>
      <x:c r="S330" s="872"/>
      <x:c r="T330" s="872"/>
      <x:c r="U330" s="872"/>
      <x:c r="V330" s="872"/>
      <x:c r="W330" s="872"/>
      <x:c r="X330" s="872"/>
      <x:c r="Y330" s="872"/>
      <x:c r="Z330" s="872"/>
      <x:c r="AA330" s="877"/>
      <x:c r="AB330" s="872"/>
      <x:c r="AC330" s="872"/>
      <x:c r="AD330" s="872"/>
      <x:c r="AE330" s="872"/>
      <x:c r="AF330" s="872"/>
      <x:c r="AG330" s="872"/>
      <x:c r="AH330" s="872"/>
      <x:c r="AI330" s="872"/>
      <x:c r="AJ330" s="872"/>
      <x:c r="AK330" s="872"/>
      <x:c r="AL330" s="872"/>
      <x:c r="AM330" s="872"/>
      <x:c r="AN330" s="872"/>
      <x:c r="AO330" s="872"/>
      <x:c r="AP330" s="872"/>
      <x:c r="AQ330" s="878"/>
      <x:c r="AR330" s="874"/>
    </x:row>
    <x:row r="331" s="36" customFormat="1" ht="30" customHeight="1">
      <x:c r="A331" s="871"/>
      <x:c r="B331" s="871"/>
      <x:c r="C331" s="871"/>
      <x:c r="D331" s="872"/>
      <x:c r="E331" s="871"/>
      <x:c r="F331" s="871"/>
      <x:c r="G331" s="872"/>
      <x:c r="H331" s="872"/>
      <x:c r="I331" s="875"/>
      <x:c r="J331" s="872"/>
      <x:c r="K331" s="873"/>
      <x:c r="L331" s="876"/>
      <x:c r="M331" s="873"/>
      <x:c r="N331" s="874"/>
      <x:c r="O331" s="874"/>
      <x:c r="P331" s="872"/>
      <x:c r="Q331" s="872"/>
      <x:c r="R331" s="872"/>
      <x:c r="S331" s="872"/>
      <x:c r="T331" s="872"/>
      <x:c r="U331" s="872"/>
      <x:c r="V331" s="872"/>
      <x:c r="W331" s="872"/>
      <x:c r="X331" s="872"/>
      <x:c r="Y331" s="872"/>
      <x:c r="Z331" s="872"/>
      <x:c r="AA331" s="877"/>
      <x:c r="AB331" s="872"/>
      <x:c r="AC331" s="872"/>
      <x:c r="AD331" s="872"/>
      <x:c r="AE331" s="872"/>
      <x:c r="AF331" s="872"/>
      <x:c r="AG331" s="872"/>
      <x:c r="AH331" s="872"/>
      <x:c r="AI331" s="872"/>
      <x:c r="AJ331" s="872"/>
      <x:c r="AK331" s="872"/>
      <x:c r="AL331" s="872"/>
      <x:c r="AM331" s="872"/>
      <x:c r="AN331" s="872"/>
      <x:c r="AO331" s="872"/>
      <x:c r="AP331" s="872"/>
      <x:c r="AQ331" s="878"/>
      <x:c r="AR331" s="874"/>
    </x:row>
    <x:row r="332" s="36" customFormat="1" ht="30" customHeight="1">
      <x:c r="A332" s="871"/>
      <x:c r="B332" s="871"/>
      <x:c r="C332" s="871"/>
      <x:c r="D332" s="872"/>
      <x:c r="E332" s="871"/>
      <x:c r="F332" s="871"/>
      <x:c r="G332" s="872"/>
      <x:c r="H332" s="872"/>
      <x:c r="I332" s="875"/>
      <x:c r="J332" s="872"/>
      <x:c r="K332" s="873"/>
      <x:c r="L332" s="876"/>
      <x:c r="M332" s="873"/>
      <x:c r="N332" s="874"/>
      <x:c r="O332" s="874"/>
      <x:c r="P332" s="872"/>
      <x:c r="Q332" s="872"/>
      <x:c r="R332" s="872"/>
      <x:c r="S332" s="872"/>
      <x:c r="T332" s="872"/>
      <x:c r="U332" s="872"/>
      <x:c r="V332" s="872"/>
      <x:c r="W332" s="872"/>
      <x:c r="X332" s="872"/>
      <x:c r="Y332" s="872"/>
      <x:c r="Z332" s="872"/>
      <x:c r="AA332" s="877"/>
      <x:c r="AB332" s="872"/>
      <x:c r="AC332" s="872"/>
      <x:c r="AD332" s="872"/>
      <x:c r="AE332" s="872"/>
      <x:c r="AF332" s="872"/>
      <x:c r="AG332" s="872"/>
      <x:c r="AH332" s="872"/>
      <x:c r="AI332" s="872"/>
      <x:c r="AJ332" s="872"/>
      <x:c r="AK332" s="872"/>
      <x:c r="AL332" s="872"/>
      <x:c r="AM332" s="872"/>
      <x:c r="AN332" s="872"/>
      <x:c r="AO332" s="872"/>
      <x:c r="AP332" s="872"/>
      <x:c r="AQ332" s="878"/>
      <x:c r="AR332" s="874"/>
    </x:row>
    <x:row r="333" s="36" customFormat="1" ht="30" customHeight="1">
      <x:c r="A333" s="871"/>
      <x:c r="B333" s="871"/>
      <x:c r="C333" s="871"/>
      <x:c r="D333" s="872"/>
      <x:c r="E333" s="871"/>
      <x:c r="F333" s="871"/>
      <x:c r="G333" s="872"/>
      <x:c r="H333" s="872"/>
      <x:c r="I333" s="875"/>
      <x:c r="J333" s="872"/>
      <x:c r="K333" s="873"/>
      <x:c r="L333" s="876"/>
      <x:c r="M333" s="873"/>
      <x:c r="N333" s="874"/>
      <x:c r="O333" s="874"/>
      <x:c r="P333" s="872"/>
      <x:c r="Q333" s="872"/>
      <x:c r="R333" s="872"/>
      <x:c r="S333" s="872"/>
      <x:c r="T333" s="872"/>
      <x:c r="U333" s="872"/>
      <x:c r="V333" s="872"/>
      <x:c r="W333" s="872"/>
      <x:c r="X333" s="872"/>
      <x:c r="Y333" s="872"/>
      <x:c r="Z333" s="872"/>
      <x:c r="AA333" s="877"/>
      <x:c r="AB333" s="872"/>
      <x:c r="AC333" s="872"/>
      <x:c r="AD333" s="872"/>
      <x:c r="AE333" s="872"/>
      <x:c r="AF333" s="872"/>
      <x:c r="AG333" s="872"/>
      <x:c r="AH333" s="872"/>
      <x:c r="AI333" s="872"/>
      <x:c r="AJ333" s="872"/>
      <x:c r="AK333" s="872"/>
      <x:c r="AL333" s="872"/>
      <x:c r="AM333" s="872"/>
      <x:c r="AN333" s="872"/>
      <x:c r="AO333" s="872"/>
      <x:c r="AP333" s="872"/>
      <x:c r="AQ333" s="878"/>
      <x:c r="AR333" s="874"/>
    </x:row>
    <x:row r="334" s="36" customFormat="1" ht="30" customHeight="1">
      <x:c r="A334" s="871"/>
      <x:c r="B334" s="871"/>
      <x:c r="C334" s="871"/>
      <x:c r="D334" s="872"/>
      <x:c r="E334" s="871"/>
      <x:c r="F334" s="871"/>
      <x:c r="G334" s="872"/>
      <x:c r="H334" s="872"/>
      <x:c r="I334" s="875"/>
      <x:c r="J334" s="872"/>
      <x:c r="K334" s="873"/>
      <x:c r="L334" s="876"/>
      <x:c r="M334" s="873"/>
      <x:c r="N334" s="874"/>
      <x:c r="O334" s="874"/>
      <x:c r="P334" s="872"/>
      <x:c r="Q334" s="872"/>
      <x:c r="R334" s="872"/>
      <x:c r="S334" s="872"/>
      <x:c r="T334" s="872"/>
      <x:c r="U334" s="872"/>
      <x:c r="V334" s="872"/>
      <x:c r="W334" s="872"/>
      <x:c r="X334" s="872"/>
      <x:c r="Y334" s="872"/>
      <x:c r="Z334" s="872"/>
      <x:c r="AA334" s="877"/>
      <x:c r="AB334" s="872"/>
      <x:c r="AC334" s="872"/>
      <x:c r="AD334" s="872"/>
      <x:c r="AE334" s="872"/>
      <x:c r="AF334" s="872"/>
      <x:c r="AG334" s="872"/>
      <x:c r="AH334" s="872"/>
      <x:c r="AI334" s="872"/>
      <x:c r="AJ334" s="872"/>
      <x:c r="AK334" s="872"/>
      <x:c r="AL334" s="872"/>
      <x:c r="AM334" s="872"/>
      <x:c r="AN334" s="872"/>
      <x:c r="AO334" s="872"/>
      <x:c r="AP334" s="872"/>
      <x:c r="AQ334" s="878"/>
      <x:c r="AR334" s="874"/>
    </x:row>
    <x:row r="335" s="36" customFormat="1" ht="30" customHeight="1">
      <x:c r="A335" s="871"/>
      <x:c r="B335" s="871"/>
      <x:c r="C335" s="871"/>
      <x:c r="D335" s="872"/>
      <x:c r="E335" s="871"/>
      <x:c r="F335" s="871"/>
      <x:c r="G335" s="872"/>
      <x:c r="H335" s="872"/>
      <x:c r="I335" s="875"/>
      <x:c r="J335" s="872"/>
      <x:c r="K335" s="873"/>
      <x:c r="L335" s="876"/>
      <x:c r="M335" s="873"/>
      <x:c r="N335" s="874"/>
      <x:c r="O335" s="874"/>
      <x:c r="P335" s="872"/>
      <x:c r="Q335" s="872"/>
      <x:c r="R335" s="872"/>
      <x:c r="S335" s="872"/>
      <x:c r="T335" s="872"/>
      <x:c r="U335" s="872"/>
      <x:c r="V335" s="872"/>
      <x:c r="W335" s="872"/>
      <x:c r="X335" s="872"/>
      <x:c r="Y335" s="872"/>
      <x:c r="Z335" s="872"/>
      <x:c r="AA335" s="877"/>
      <x:c r="AB335" s="872"/>
      <x:c r="AC335" s="872"/>
      <x:c r="AD335" s="872"/>
      <x:c r="AE335" s="872"/>
      <x:c r="AF335" s="872"/>
      <x:c r="AG335" s="872"/>
      <x:c r="AH335" s="872"/>
      <x:c r="AI335" s="872"/>
      <x:c r="AJ335" s="872"/>
      <x:c r="AK335" s="872"/>
      <x:c r="AL335" s="872"/>
      <x:c r="AM335" s="872"/>
      <x:c r="AN335" s="872"/>
      <x:c r="AO335" s="872"/>
      <x:c r="AP335" s="872"/>
      <x:c r="AQ335" s="878"/>
      <x:c r="AR335" s="874"/>
    </x:row>
    <x:row r="336" s="36" customFormat="1" ht="30" customHeight="1">
      <x:c r="A336" s="871"/>
      <x:c r="B336" s="871"/>
      <x:c r="C336" s="871"/>
      <x:c r="D336" s="872"/>
      <x:c r="E336" s="871"/>
      <x:c r="F336" s="871"/>
      <x:c r="G336" s="872"/>
      <x:c r="H336" s="872"/>
      <x:c r="I336" s="875"/>
      <x:c r="J336" s="872"/>
      <x:c r="K336" s="873"/>
      <x:c r="L336" s="876"/>
      <x:c r="M336" s="873"/>
      <x:c r="N336" s="874"/>
      <x:c r="O336" s="874"/>
      <x:c r="P336" s="872"/>
      <x:c r="Q336" s="872"/>
      <x:c r="R336" s="872"/>
      <x:c r="S336" s="872"/>
      <x:c r="T336" s="872"/>
      <x:c r="U336" s="872"/>
      <x:c r="V336" s="872"/>
      <x:c r="W336" s="872"/>
      <x:c r="X336" s="872"/>
      <x:c r="Y336" s="872"/>
      <x:c r="Z336" s="872"/>
      <x:c r="AA336" s="877"/>
      <x:c r="AB336" s="872"/>
      <x:c r="AC336" s="872"/>
      <x:c r="AD336" s="872"/>
      <x:c r="AE336" s="872"/>
      <x:c r="AF336" s="872"/>
      <x:c r="AG336" s="872"/>
      <x:c r="AH336" s="872"/>
      <x:c r="AI336" s="872"/>
      <x:c r="AJ336" s="872"/>
      <x:c r="AK336" s="872"/>
      <x:c r="AL336" s="872"/>
      <x:c r="AM336" s="872"/>
      <x:c r="AN336" s="872"/>
      <x:c r="AO336" s="872"/>
      <x:c r="AP336" s="872"/>
      <x:c r="AQ336" s="878"/>
      <x:c r="AR336" s="874"/>
    </x:row>
    <x:row r="337" s="36" customFormat="1" ht="30" customHeight="1">
      <x:c r="A337" s="871"/>
      <x:c r="B337" s="871"/>
      <x:c r="C337" s="871"/>
      <x:c r="D337" s="872"/>
      <x:c r="E337" s="871"/>
      <x:c r="F337" s="871"/>
      <x:c r="G337" s="872"/>
      <x:c r="H337" s="872"/>
      <x:c r="I337" s="875"/>
      <x:c r="J337" s="872"/>
      <x:c r="K337" s="873"/>
      <x:c r="L337" s="876"/>
      <x:c r="M337" s="873"/>
      <x:c r="N337" s="874"/>
      <x:c r="O337" s="874"/>
      <x:c r="P337" s="872"/>
      <x:c r="Q337" s="872"/>
      <x:c r="R337" s="872"/>
      <x:c r="S337" s="872"/>
      <x:c r="T337" s="872"/>
      <x:c r="U337" s="872"/>
      <x:c r="V337" s="872"/>
      <x:c r="W337" s="872"/>
      <x:c r="X337" s="872"/>
      <x:c r="Y337" s="872"/>
      <x:c r="Z337" s="872"/>
      <x:c r="AA337" s="877"/>
      <x:c r="AB337" s="872"/>
      <x:c r="AC337" s="872"/>
      <x:c r="AD337" s="872"/>
      <x:c r="AE337" s="872"/>
      <x:c r="AF337" s="872"/>
      <x:c r="AG337" s="872"/>
      <x:c r="AH337" s="872"/>
      <x:c r="AI337" s="872"/>
      <x:c r="AJ337" s="872"/>
      <x:c r="AK337" s="872"/>
      <x:c r="AL337" s="872"/>
      <x:c r="AM337" s="872"/>
      <x:c r="AN337" s="872"/>
      <x:c r="AO337" s="872"/>
      <x:c r="AP337" s="872"/>
      <x:c r="AQ337" s="878"/>
      <x:c r="AR337" s="874"/>
    </x:row>
    <x:row r="338" s="36" customFormat="1" ht="30" customHeight="1">
      <x:c r="A338" s="871"/>
      <x:c r="B338" s="871"/>
      <x:c r="C338" s="871"/>
      <x:c r="D338" s="872"/>
      <x:c r="E338" s="871"/>
      <x:c r="F338" s="871"/>
      <x:c r="G338" s="872"/>
      <x:c r="H338" s="872"/>
      <x:c r="I338" s="875"/>
      <x:c r="J338" s="872"/>
      <x:c r="K338" s="873"/>
      <x:c r="L338" s="876"/>
      <x:c r="M338" s="873"/>
      <x:c r="N338" s="874"/>
      <x:c r="O338" s="874"/>
      <x:c r="P338" s="872"/>
      <x:c r="Q338" s="872"/>
      <x:c r="R338" s="872"/>
      <x:c r="S338" s="872"/>
      <x:c r="T338" s="872"/>
      <x:c r="U338" s="872"/>
      <x:c r="V338" s="872"/>
      <x:c r="W338" s="872"/>
      <x:c r="X338" s="872"/>
      <x:c r="Y338" s="872"/>
      <x:c r="Z338" s="872"/>
      <x:c r="AA338" s="877"/>
      <x:c r="AB338" s="872"/>
      <x:c r="AC338" s="872"/>
      <x:c r="AD338" s="872"/>
      <x:c r="AE338" s="872"/>
      <x:c r="AF338" s="872"/>
      <x:c r="AG338" s="872"/>
      <x:c r="AH338" s="872"/>
      <x:c r="AI338" s="872"/>
      <x:c r="AJ338" s="872"/>
      <x:c r="AK338" s="872"/>
      <x:c r="AL338" s="872"/>
      <x:c r="AM338" s="872"/>
      <x:c r="AN338" s="872"/>
      <x:c r="AO338" s="872"/>
      <x:c r="AP338" s="872"/>
      <x:c r="AQ338" s="878"/>
      <x:c r="AR338" s="874"/>
    </x:row>
    <x:row r="339" s="36" customFormat="1" ht="30" customHeight="1">
      <x:c r="A339" s="871"/>
      <x:c r="B339" s="871"/>
      <x:c r="C339" s="871"/>
      <x:c r="D339" s="872"/>
      <x:c r="E339" s="871"/>
      <x:c r="F339" s="871"/>
      <x:c r="G339" s="872"/>
      <x:c r="H339" s="872"/>
      <x:c r="I339" s="875"/>
      <x:c r="J339" s="872"/>
      <x:c r="K339" s="873"/>
      <x:c r="L339" s="876"/>
      <x:c r="M339" s="873"/>
      <x:c r="N339" s="874"/>
      <x:c r="O339" s="874"/>
      <x:c r="P339" s="872"/>
      <x:c r="Q339" s="872"/>
      <x:c r="R339" s="872"/>
      <x:c r="S339" s="872"/>
      <x:c r="T339" s="872"/>
      <x:c r="U339" s="872"/>
      <x:c r="V339" s="872"/>
      <x:c r="W339" s="872"/>
      <x:c r="X339" s="872"/>
      <x:c r="Y339" s="872"/>
      <x:c r="Z339" s="872"/>
      <x:c r="AA339" s="877"/>
      <x:c r="AB339" s="872"/>
      <x:c r="AC339" s="872"/>
      <x:c r="AD339" s="872"/>
      <x:c r="AE339" s="872"/>
      <x:c r="AF339" s="872"/>
      <x:c r="AG339" s="872"/>
      <x:c r="AH339" s="872"/>
      <x:c r="AI339" s="872"/>
      <x:c r="AJ339" s="872"/>
      <x:c r="AK339" s="872"/>
      <x:c r="AL339" s="872"/>
      <x:c r="AM339" s="872"/>
      <x:c r="AN339" s="872"/>
      <x:c r="AO339" s="872"/>
      <x:c r="AP339" s="872"/>
      <x:c r="AQ339" s="878"/>
      <x:c r="AR339" s="874"/>
    </x:row>
    <x:row r="340" s="36" customFormat="1" ht="30" customHeight="1">
      <x:c r="A340" s="871"/>
      <x:c r="B340" s="871"/>
      <x:c r="C340" s="871"/>
      <x:c r="D340" s="872"/>
      <x:c r="E340" s="871"/>
      <x:c r="F340" s="871"/>
      <x:c r="G340" s="872"/>
      <x:c r="H340" s="872"/>
      <x:c r="I340" s="875"/>
      <x:c r="J340" s="872"/>
      <x:c r="K340" s="873"/>
      <x:c r="L340" s="876"/>
      <x:c r="M340" s="873"/>
      <x:c r="N340" s="874"/>
      <x:c r="O340" s="874"/>
      <x:c r="P340" s="872"/>
      <x:c r="Q340" s="872"/>
      <x:c r="R340" s="872"/>
      <x:c r="S340" s="872"/>
      <x:c r="T340" s="872"/>
      <x:c r="U340" s="872"/>
      <x:c r="V340" s="872"/>
      <x:c r="W340" s="872"/>
      <x:c r="X340" s="872"/>
      <x:c r="Y340" s="872"/>
      <x:c r="Z340" s="872"/>
      <x:c r="AA340" s="877"/>
      <x:c r="AB340" s="872"/>
      <x:c r="AC340" s="872"/>
      <x:c r="AD340" s="872"/>
      <x:c r="AE340" s="872"/>
      <x:c r="AF340" s="872"/>
      <x:c r="AG340" s="872"/>
      <x:c r="AH340" s="872"/>
      <x:c r="AI340" s="872"/>
      <x:c r="AJ340" s="872"/>
      <x:c r="AK340" s="872"/>
      <x:c r="AL340" s="872"/>
      <x:c r="AM340" s="872"/>
      <x:c r="AN340" s="872"/>
      <x:c r="AO340" s="872"/>
      <x:c r="AP340" s="872"/>
      <x:c r="AQ340" s="878"/>
      <x:c r="AR340" s="874"/>
    </x:row>
    <x:row r="341" s="36" customFormat="1" ht="30" customHeight="1">
      <x:c r="A341" s="871"/>
      <x:c r="B341" s="871"/>
      <x:c r="C341" s="871"/>
      <x:c r="D341" s="872"/>
      <x:c r="E341" s="871"/>
      <x:c r="F341" s="871"/>
      <x:c r="G341" s="872"/>
      <x:c r="H341" s="872"/>
      <x:c r="I341" s="875"/>
      <x:c r="J341" s="872"/>
      <x:c r="K341" s="873"/>
      <x:c r="L341" s="876"/>
      <x:c r="M341" s="873"/>
      <x:c r="N341" s="874"/>
      <x:c r="O341" s="874"/>
      <x:c r="P341" s="872"/>
      <x:c r="Q341" s="872"/>
      <x:c r="R341" s="872"/>
      <x:c r="S341" s="872"/>
      <x:c r="T341" s="872"/>
      <x:c r="U341" s="872"/>
      <x:c r="V341" s="872"/>
      <x:c r="W341" s="872"/>
      <x:c r="X341" s="872"/>
      <x:c r="Y341" s="872"/>
      <x:c r="Z341" s="872"/>
      <x:c r="AA341" s="877"/>
      <x:c r="AB341" s="872"/>
      <x:c r="AC341" s="872"/>
      <x:c r="AD341" s="872"/>
      <x:c r="AE341" s="872"/>
      <x:c r="AF341" s="872"/>
      <x:c r="AG341" s="872"/>
      <x:c r="AH341" s="872"/>
      <x:c r="AI341" s="872"/>
      <x:c r="AJ341" s="872"/>
      <x:c r="AK341" s="872"/>
      <x:c r="AL341" s="872"/>
      <x:c r="AM341" s="872"/>
      <x:c r="AN341" s="872"/>
      <x:c r="AO341" s="872"/>
      <x:c r="AP341" s="872"/>
      <x:c r="AQ341" s="878"/>
      <x:c r="AR341" s="874"/>
    </x:row>
    <x:row r="342" s="36" customFormat="1" ht="30" customHeight="1">
      <x:c r="A342" s="871"/>
      <x:c r="B342" s="871"/>
      <x:c r="C342" s="871"/>
      <x:c r="D342" s="872"/>
      <x:c r="E342" s="871"/>
      <x:c r="F342" s="871"/>
      <x:c r="G342" s="872"/>
      <x:c r="H342" s="872"/>
      <x:c r="I342" s="875"/>
      <x:c r="J342" s="872"/>
      <x:c r="K342" s="873"/>
      <x:c r="L342" s="876"/>
      <x:c r="M342" s="873"/>
      <x:c r="N342" s="874"/>
      <x:c r="O342" s="874"/>
      <x:c r="P342" s="872"/>
      <x:c r="Q342" s="872"/>
      <x:c r="R342" s="872"/>
      <x:c r="S342" s="872"/>
      <x:c r="T342" s="872"/>
      <x:c r="U342" s="872"/>
      <x:c r="V342" s="872"/>
      <x:c r="W342" s="872"/>
      <x:c r="X342" s="872"/>
      <x:c r="Y342" s="872"/>
      <x:c r="Z342" s="872"/>
      <x:c r="AA342" s="877"/>
      <x:c r="AB342" s="872"/>
      <x:c r="AC342" s="872"/>
      <x:c r="AD342" s="872"/>
      <x:c r="AE342" s="872"/>
      <x:c r="AF342" s="872"/>
      <x:c r="AG342" s="872"/>
      <x:c r="AH342" s="872"/>
      <x:c r="AI342" s="872"/>
      <x:c r="AJ342" s="872"/>
      <x:c r="AK342" s="872"/>
      <x:c r="AL342" s="872"/>
      <x:c r="AM342" s="872"/>
      <x:c r="AN342" s="872"/>
      <x:c r="AO342" s="872"/>
      <x:c r="AP342" s="872"/>
      <x:c r="AQ342" s="878"/>
      <x:c r="AR342" s="874"/>
    </x:row>
    <x:row r="343" s="36" customFormat="1" ht="30" customHeight="1">
      <x:c r="A343" s="871"/>
      <x:c r="B343" s="871"/>
      <x:c r="C343" s="871"/>
      <x:c r="D343" s="872"/>
      <x:c r="E343" s="871"/>
      <x:c r="F343" s="871"/>
      <x:c r="G343" s="872"/>
      <x:c r="H343" s="872"/>
      <x:c r="I343" s="875"/>
      <x:c r="J343" s="872"/>
      <x:c r="K343" s="873"/>
      <x:c r="L343" s="876"/>
      <x:c r="M343" s="873"/>
      <x:c r="N343" s="874"/>
      <x:c r="O343" s="874"/>
      <x:c r="P343" s="872"/>
      <x:c r="Q343" s="872"/>
      <x:c r="R343" s="872"/>
      <x:c r="S343" s="872"/>
      <x:c r="T343" s="872"/>
      <x:c r="U343" s="872"/>
      <x:c r="V343" s="872"/>
      <x:c r="W343" s="872"/>
      <x:c r="X343" s="872"/>
      <x:c r="Y343" s="872"/>
      <x:c r="Z343" s="872"/>
      <x:c r="AA343" s="877"/>
      <x:c r="AB343" s="872"/>
      <x:c r="AC343" s="872"/>
      <x:c r="AD343" s="872"/>
      <x:c r="AE343" s="872"/>
      <x:c r="AF343" s="872"/>
      <x:c r="AG343" s="872"/>
      <x:c r="AH343" s="872"/>
      <x:c r="AI343" s="872"/>
      <x:c r="AJ343" s="872"/>
      <x:c r="AK343" s="872"/>
      <x:c r="AL343" s="872"/>
      <x:c r="AM343" s="872"/>
      <x:c r="AN343" s="872"/>
      <x:c r="AO343" s="872"/>
      <x:c r="AP343" s="872"/>
      <x:c r="AQ343" s="878"/>
      <x:c r="AR343" s="874"/>
    </x:row>
    <x:row r="344" s="36" customFormat="1" ht="30" customHeight="1">
      <x:c r="A344" s="871"/>
      <x:c r="B344" s="871"/>
      <x:c r="C344" s="871"/>
      <x:c r="D344" s="872"/>
      <x:c r="E344" s="871"/>
      <x:c r="F344" s="871"/>
      <x:c r="G344" s="872"/>
      <x:c r="H344" s="872"/>
      <x:c r="I344" s="875"/>
      <x:c r="J344" s="872"/>
      <x:c r="K344" s="873"/>
      <x:c r="L344" s="876"/>
      <x:c r="M344" s="873"/>
      <x:c r="N344" s="874"/>
      <x:c r="O344" s="874"/>
      <x:c r="P344" s="872"/>
      <x:c r="Q344" s="872"/>
      <x:c r="R344" s="872"/>
      <x:c r="S344" s="872"/>
      <x:c r="T344" s="872"/>
      <x:c r="U344" s="872"/>
      <x:c r="V344" s="872"/>
      <x:c r="W344" s="872"/>
      <x:c r="X344" s="872"/>
      <x:c r="Y344" s="872"/>
      <x:c r="Z344" s="872"/>
      <x:c r="AA344" s="877"/>
      <x:c r="AB344" s="872"/>
      <x:c r="AC344" s="872"/>
      <x:c r="AD344" s="872"/>
      <x:c r="AE344" s="872"/>
      <x:c r="AF344" s="872"/>
      <x:c r="AG344" s="872"/>
      <x:c r="AH344" s="872"/>
      <x:c r="AI344" s="872"/>
      <x:c r="AJ344" s="872"/>
      <x:c r="AK344" s="872"/>
      <x:c r="AL344" s="872"/>
      <x:c r="AM344" s="872"/>
      <x:c r="AN344" s="872"/>
      <x:c r="AO344" s="872"/>
      <x:c r="AP344" s="872"/>
      <x:c r="AQ344" s="878"/>
      <x:c r="AR344" s="874"/>
    </x:row>
    <x:row r="345" s="36" customFormat="1" ht="30" customHeight="1">
      <x:c r="A345" s="871"/>
      <x:c r="B345" s="871"/>
      <x:c r="C345" s="871"/>
      <x:c r="D345" s="872"/>
      <x:c r="E345" s="871"/>
      <x:c r="F345" s="871"/>
      <x:c r="G345" s="872"/>
      <x:c r="H345" s="872"/>
      <x:c r="I345" s="875"/>
      <x:c r="J345" s="872"/>
      <x:c r="K345" s="873"/>
      <x:c r="L345" s="876"/>
      <x:c r="M345" s="873"/>
      <x:c r="N345" s="874"/>
      <x:c r="O345" s="874"/>
      <x:c r="P345" s="872"/>
      <x:c r="Q345" s="872"/>
      <x:c r="R345" s="872"/>
      <x:c r="S345" s="872"/>
      <x:c r="T345" s="872"/>
      <x:c r="U345" s="872"/>
      <x:c r="V345" s="872"/>
      <x:c r="W345" s="872"/>
      <x:c r="X345" s="872"/>
      <x:c r="Y345" s="872"/>
      <x:c r="Z345" s="872"/>
      <x:c r="AA345" s="877"/>
      <x:c r="AB345" s="872"/>
      <x:c r="AC345" s="872"/>
      <x:c r="AD345" s="872"/>
      <x:c r="AE345" s="872"/>
      <x:c r="AF345" s="872"/>
      <x:c r="AG345" s="872"/>
      <x:c r="AH345" s="872"/>
      <x:c r="AI345" s="872"/>
      <x:c r="AJ345" s="872"/>
      <x:c r="AK345" s="872"/>
      <x:c r="AL345" s="872"/>
      <x:c r="AM345" s="872"/>
      <x:c r="AN345" s="872"/>
      <x:c r="AO345" s="872"/>
      <x:c r="AP345" s="872"/>
      <x:c r="AQ345" s="878"/>
      <x:c r="AR345" s="874"/>
    </x:row>
    <x:row r="346" s="36" customFormat="1" ht="30" customHeight="1">
      <x:c r="A346" s="871"/>
      <x:c r="B346" s="871"/>
      <x:c r="C346" s="871"/>
      <x:c r="D346" s="872"/>
      <x:c r="E346" s="871"/>
      <x:c r="F346" s="871"/>
      <x:c r="G346" s="872"/>
      <x:c r="H346" s="872"/>
      <x:c r="I346" s="875"/>
      <x:c r="J346" s="872"/>
      <x:c r="K346" s="873"/>
      <x:c r="L346" s="876"/>
      <x:c r="M346" s="873"/>
      <x:c r="N346" s="874"/>
      <x:c r="O346" s="874"/>
      <x:c r="P346" s="872"/>
      <x:c r="Q346" s="872"/>
      <x:c r="R346" s="872"/>
      <x:c r="S346" s="872"/>
      <x:c r="T346" s="872"/>
      <x:c r="U346" s="872"/>
      <x:c r="V346" s="872"/>
      <x:c r="W346" s="872"/>
      <x:c r="X346" s="872"/>
      <x:c r="Y346" s="872"/>
      <x:c r="Z346" s="872"/>
      <x:c r="AA346" s="877"/>
      <x:c r="AB346" s="872"/>
      <x:c r="AC346" s="872"/>
      <x:c r="AD346" s="872"/>
      <x:c r="AE346" s="872"/>
      <x:c r="AF346" s="872"/>
      <x:c r="AG346" s="872"/>
      <x:c r="AH346" s="872"/>
      <x:c r="AI346" s="872"/>
      <x:c r="AJ346" s="872"/>
      <x:c r="AK346" s="872"/>
      <x:c r="AL346" s="872"/>
      <x:c r="AM346" s="872"/>
      <x:c r="AN346" s="872"/>
      <x:c r="AO346" s="872"/>
      <x:c r="AP346" s="872"/>
      <x:c r="AQ346" s="878"/>
      <x:c r="AR346" s="874"/>
    </x:row>
    <x:row r="347" s="36" customFormat="1" ht="30" customHeight="1">
      <x:c r="A347" s="871"/>
      <x:c r="B347" s="871"/>
      <x:c r="C347" s="871"/>
      <x:c r="D347" s="872"/>
      <x:c r="E347" s="871"/>
      <x:c r="F347" s="871"/>
      <x:c r="G347" s="872"/>
      <x:c r="H347" s="872"/>
      <x:c r="I347" s="875"/>
      <x:c r="J347" s="872"/>
      <x:c r="K347" s="873"/>
      <x:c r="L347" s="876"/>
      <x:c r="M347" s="873"/>
      <x:c r="N347" s="874"/>
      <x:c r="O347" s="874"/>
      <x:c r="P347" s="872"/>
      <x:c r="Q347" s="872"/>
      <x:c r="R347" s="872"/>
      <x:c r="S347" s="872"/>
      <x:c r="T347" s="872"/>
      <x:c r="U347" s="872"/>
      <x:c r="V347" s="872"/>
      <x:c r="W347" s="872"/>
      <x:c r="X347" s="872"/>
      <x:c r="Y347" s="872"/>
      <x:c r="Z347" s="872"/>
      <x:c r="AA347" s="877"/>
      <x:c r="AB347" s="872"/>
      <x:c r="AC347" s="872"/>
      <x:c r="AD347" s="872"/>
      <x:c r="AE347" s="872"/>
      <x:c r="AF347" s="872"/>
      <x:c r="AG347" s="872"/>
      <x:c r="AH347" s="872"/>
      <x:c r="AI347" s="872"/>
      <x:c r="AJ347" s="872"/>
      <x:c r="AK347" s="872"/>
      <x:c r="AL347" s="872"/>
      <x:c r="AM347" s="872"/>
      <x:c r="AN347" s="872"/>
      <x:c r="AO347" s="872"/>
      <x:c r="AP347" s="872"/>
      <x:c r="AQ347" s="878"/>
      <x:c r="AR347" s="874"/>
    </x:row>
    <x:row r="348" s="36" customFormat="1" ht="30" customHeight="1">
      <x:c r="A348" s="871"/>
      <x:c r="B348" s="871"/>
      <x:c r="C348" s="871"/>
      <x:c r="D348" s="872"/>
      <x:c r="E348" s="871"/>
      <x:c r="F348" s="871"/>
      <x:c r="G348" s="872"/>
      <x:c r="H348" s="872"/>
      <x:c r="I348" s="875"/>
      <x:c r="J348" s="872"/>
      <x:c r="K348" s="873"/>
      <x:c r="L348" s="876"/>
      <x:c r="M348" s="873"/>
      <x:c r="N348" s="874"/>
      <x:c r="O348" s="874"/>
      <x:c r="P348" s="872"/>
      <x:c r="Q348" s="872"/>
      <x:c r="R348" s="872"/>
      <x:c r="S348" s="872"/>
      <x:c r="T348" s="872"/>
      <x:c r="U348" s="872"/>
      <x:c r="V348" s="872"/>
      <x:c r="W348" s="872"/>
      <x:c r="X348" s="872"/>
      <x:c r="Y348" s="872"/>
      <x:c r="Z348" s="872"/>
      <x:c r="AA348" s="877"/>
      <x:c r="AB348" s="872"/>
      <x:c r="AC348" s="872"/>
      <x:c r="AD348" s="872"/>
      <x:c r="AE348" s="872"/>
      <x:c r="AF348" s="872"/>
      <x:c r="AG348" s="872"/>
      <x:c r="AH348" s="872"/>
      <x:c r="AI348" s="872"/>
      <x:c r="AJ348" s="872"/>
      <x:c r="AK348" s="872"/>
      <x:c r="AL348" s="872"/>
      <x:c r="AM348" s="872"/>
      <x:c r="AN348" s="872"/>
      <x:c r="AO348" s="872"/>
      <x:c r="AP348" s="872"/>
      <x:c r="AQ348" s="878"/>
      <x:c r="AR348" s="874"/>
    </x:row>
    <x:row r="349" s="36" customFormat="1" ht="30" customHeight="1">
      <x:c r="A349" s="871"/>
      <x:c r="B349" s="871"/>
      <x:c r="C349" s="871"/>
      <x:c r="D349" s="872"/>
      <x:c r="E349" s="871"/>
      <x:c r="F349" s="871"/>
      <x:c r="G349" s="872"/>
      <x:c r="H349" s="872"/>
      <x:c r="I349" s="875"/>
      <x:c r="J349" s="872"/>
      <x:c r="K349" s="873"/>
      <x:c r="L349" s="876"/>
      <x:c r="M349" s="873"/>
      <x:c r="N349" s="874"/>
      <x:c r="O349" s="874"/>
      <x:c r="P349" s="872"/>
      <x:c r="Q349" s="872"/>
      <x:c r="R349" s="872"/>
      <x:c r="S349" s="872"/>
      <x:c r="T349" s="872"/>
      <x:c r="U349" s="872"/>
      <x:c r="V349" s="872"/>
      <x:c r="W349" s="872"/>
      <x:c r="X349" s="872"/>
      <x:c r="Y349" s="872"/>
      <x:c r="Z349" s="872"/>
      <x:c r="AA349" s="877"/>
      <x:c r="AB349" s="872"/>
      <x:c r="AC349" s="872"/>
      <x:c r="AD349" s="872"/>
      <x:c r="AE349" s="872"/>
      <x:c r="AF349" s="872"/>
      <x:c r="AG349" s="872"/>
      <x:c r="AH349" s="872"/>
      <x:c r="AI349" s="872"/>
      <x:c r="AJ349" s="872"/>
      <x:c r="AK349" s="872"/>
      <x:c r="AL349" s="872"/>
      <x:c r="AM349" s="872"/>
      <x:c r="AN349" s="872"/>
      <x:c r="AO349" s="872"/>
      <x:c r="AP349" s="872"/>
      <x:c r="AQ349" s="878"/>
      <x:c r="AR349" s="874"/>
    </x:row>
    <x:row r="350" s="36" customFormat="1" ht="30" customHeight="1">
      <x:c r="A350" s="871"/>
      <x:c r="B350" s="871"/>
      <x:c r="C350" s="871"/>
      <x:c r="D350" s="872"/>
      <x:c r="E350" s="871"/>
      <x:c r="F350" s="871"/>
      <x:c r="G350" s="872"/>
      <x:c r="H350" s="872"/>
      <x:c r="I350" s="875"/>
      <x:c r="J350" s="872"/>
      <x:c r="K350" s="873"/>
      <x:c r="L350" s="876"/>
      <x:c r="M350" s="873"/>
      <x:c r="N350" s="874"/>
      <x:c r="O350" s="874"/>
      <x:c r="P350" s="872"/>
      <x:c r="Q350" s="872"/>
      <x:c r="R350" s="872"/>
      <x:c r="S350" s="872"/>
      <x:c r="T350" s="872"/>
      <x:c r="U350" s="872"/>
      <x:c r="V350" s="872"/>
      <x:c r="W350" s="872"/>
      <x:c r="X350" s="872"/>
      <x:c r="Y350" s="872"/>
      <x:c r="Z350" s="872"/>
      <x:c r="AA350" s="877"/>
      <x:c r="AB350" s="872"/>
      <x:c r="AC350" s="872"/>
      <x:c r="AD350" s="872"/>
      <x:c r="AE350" s="872"/>
      <x:c r="AF350" s="872"/>
      <x:c r="AG350" s="872"/>
      <x:c r="AH350" s="872"/>
      <x:c r="AI350" s="872"/>
      <x:c r="AJ350" s="872"/>
      <x:c r="AK350" s="872"/>
      <x:c r="AL350" s="872"/>
      <x:c r="AM350" s="872"/>
      <x:c r="AN350" s="872"/>
      <x:c r="AO350" s="872"/>
      <x:c r="AP350" s="872"/>
      <x:c r="AQ350" s="878"/>
      <x:c r="AR350" s="874"/>
    </x:row>
    <x:row r="351" s="36" customFormat="1" ht="30" customHeight="1">
      <x:c r="A351" s="871"/>
      <x:c r="B351" s="871"/>
      <x:c r="C351" s="871"/>
      <x:c r="D351" s="872"/>
      <x:c r="E351" s="871"/>
      <x:c r="F351" s="871"/>
      <x:c r="G351" s="872"/>
      <x:c r="H351" s="872"/>
      <x:c r="I351" s="875"/>
      <x:c r="J351" s="872"/>
      <x:c r="K351" s="873"/>
      <x:c r="L351" s="876"/>
      <x:c r="M351" s="873"/>
      <x:c r="N351" s="874"/>
      <x:c r="O351" s="874"/>
      <x:c r="P351" s="872"/>
      <x:c r="Q351" s="872"/>
      <x:c r="R351" s="872"/>
      <x:c r="S351" s="872"/>
      <x:c r="T351" s="872"/>
      <x:c r="U351" s="872"/>
      <x:c r="V351" s="872"/>
      <x:c r="W351" s="872"/>
      <x:c r="X351" s="872"/>
      <x:c r="Y351" s="872"/>
      <x:c r="Z351" s="872"/>
      <x:c r="AA351" s="877"/>
      <x:c r="AB351" s="872"/>
      <x:c r="AC351" s="872"/>
      <x:c r="AD351" s="872"/>
      <x:c r="AE351" s="872"/>
      <x:c r="AF351" s="872"/>
      <x:c r="AG351" s="872"/>
      <x:c r="AH351" s="872"/>
      <x:c r="AI351" s="872"/>
      <x:c r="AJ351" s="872"/>
      <x:c r="AK351" s="872"/>
      <x:c r="AL351" s="872"/>
      <x:c r="AM351" s="872"/>
      <x:c r="AN351" s="872"/>
      <x:c r="AO351" s="872"/>
      <x:c r="AP351" s="872"/>
      <x:c r="AQ351" s="878"/>
      <x:c r="AR351" s="874"/>
    </x:row>
    <x:row r="352" s="36" customFormat="1" ht="30" customHeight="1">
      <x:c r="A352" s="871"/>
      <x:c r="B352" s="871"/>
      <x:c r="C352" s="871"/>
      <x:c r="D352" s="872"/>
      <x:c r="E352" s="871"/>
      <x:c r="F352" s="871"/>
      <x:c r="G352" s="872"/>
      <x:c r="H352" s="872"/>
      <x:c r="I352" s="875"/>
      <x:c r="J352" s="872"/>
      <x:c r="K352" s="873"/>
      <x:c r="L352" s="876"/>
      <x:c r="M352" s="873"/>
      <x:c r="N352" s="874"/>
      <x:c r="O352" s="874"/>
      <x:c r="P352" s="872"/>
      <x:c r="Q352" s="872"/>
      <x:c r="R352" s="872"/>
      <x:c r="S352" s="872"/>
      <x:c r="T352" s="872"/>
      <x:c r="U352" s="872"/>
      <x:c r="V352" s="872"/>
      <x:c r="W352" s="872"/>
      <x:c r="X352" s="872"/>
      <x:c r="Y352" s="872"/>
      <x:c r="Z352" s="872"/>
      <x:c r="AA352" s="877"/>
      <x:c r="AB352" s="872"/>
      <x:c r="AC352" s="872"/>
      <x:c r="AD352" s="872"/>
      <x:c r="AE352" s="872"/>
      <x:c r="AF352" s="872"/>
      <x:c r="AG352" s="872"/>
      <x:c r="AH352" s="872"/>
      <x:c r="AI352" s="872"/>
      <x:c r="AJ352" s="872"/>
      <x:c r="AK352" s="872"/>
      <x:c r="AL352" s="872"/>
      <x:c r="AM352" s="872"/>
      <x:c r="AN352" s="872"/>
      <x:c r="AO352" s="872"/>
      <x:c r="AP352" s="872"/>
      <x:c r="AQ352" s="878"/>
      <x:c r="AR352" s="874"/>
    </x:row>
    <x:row r="353" s="36" customFormat="1" ht="30" customHeight="1">
      <x:c r="A353" s="871"/>
      <x:c r="B353" s="871"/>
      <x:c r="C353" s="871"/>
      <x:c r="D353" s="872"/>
      <x:c r="E353" s="871"/>
      <x:c r="F353" s="871"/>
      <x:c r="G353" s="872"/>
      <x:c r="H353" s="872"/>
      <x:c r="I353" s="875"/>
      <x:c r="J353" s="872"/>
      <x:c r="K353" s="873"/>
      <x:c r="L353" s="876"/>
      <x:c r="M353" s="873"/>
      <x:c r="N353" s="874"/>
      <x:c r="O353" s="874"/>
      <x:c r="P353" s="872"/>
      <x:c r="Q353" s="872"/>
      <x:c r="R353" s="872"/>
      <x:c r="S353" s="872"/>
      <x:c r="T353" s="872"/>
      <x:c r="U353" s="872"/>
      <x:c r="V353" s="872"/>
      <x:c r="W353" s="872"/>
      <x:c r="X353" s="872"/>
      <x:c r="Y353" s="872"/>
      <x:c r="Z353" s="872"/>
      <x:c r="AA353" s="877"/>
      <x:c r="AB353" s="872"/>
      <x:c r="AC353" s="872"/>
      <x:c r="AD353" s="872"/>
      <x:c r="AE353" s="872"/>
      <x:c r="AF353" s="872"/>
      <x:c r="AG353" s="872"/>
      <x:c r="AH353" s="872"/>
      <x:c r="AI353" s="872"/>
      <x:c r="AJ353" s="872"/>
      <x:c r="AK353" s="872"/>
      <x:c r="AL353" s="872"/>
      <x:c r="AM353" s="872"/>
      <x:c r="AN353" s="872"/>
      <x:c r="AO353" s="872"/>
      <x:c r="AP353" s="872"/>
      <x:c r="AQ353" s="878"/>
      <x:c r="AR353" s="874"/>
    </x:row>
    <x:row r="354" s="36" customFormat="1" ht="30" customHeight="1">
      <x:c r="A354" s="871"/>
      <x:c r="B354" s="871"/>
      <x:c r="C354" s="871"/>
      <x:c r="D354" s="872"/>
      <x:c r="E354" s="871"/>
      <x:c r="F354" s="871"/>
      <x:c r="G354" s="872"/>
      <x:c r="H354" s="872"/>
      <x:c r="I354" s="875"/>
      <x:c r="J354" s="872"/>
      <x:c r="K354" s="873"/>
      <x:c r="L354" s="876"/>
      <x:c r="M354" s="873"/>
      <x:c r="N354" s="874"/>
      <x:c r="O354" s="874"/>
      <x:c r="P354" s="872"/>
      <x:c r="Q354" s="872"/>
      <x:c r="R354" s="872"/>
      <x:c r="S354" s="872"/>
      <x:c r="T354" s="872"/>
      <x:c r="U354" s="872"/>
      <x:c r="V354" s="872"/>
      <x:c r="W354" s="872"/>
      <x:c r="X354" s="872"/>
      <x:c r="Y354" s="872"/>
      <x:c r="Z354" s="872"/>
      <x:c r="AA354" s="877"/>
      <x:c r="AB354" s="872"/>
      <x:c r="AC354" s="872"/>
      <x:c r="AD354" s="872"/>
      <x:c r="AE354" s="872"/>
      <x:c r="AF354" s="872"/>
      <x:c r="AG354" s="872"/>
      <x:c r="AH354" s="872"/>
      <x:c r="AI354" s="872"/>
      <x:c r="AJ354" s="872"/>
      <x:c r="AK354" s="872"/>
      <x:c r="AL354" s="872"/>
      <x:c r="AM354" s="872"/>
      <x:c r="AN354" s="872"/>
      <x:c r="AO354" s="872"/>
      <x:c r="AP354" s="872"/>
      <x:c r="AQ354" s="878"/>
      <x:c r="AR354" s="874"/>
    </x:row>
    <x:row r="355" s="36" customFormat="1" ht="30" customHeight="1">
      <x:c r="A355" s="871"/>
      <x:c r="B355" s="871"/>
      <x:c r="C355" s="871"/>
      <x:c r="D355" s="872"/>
      <x:c r="E355" s="871"/>
      <x:c r="F355" s="871"/>
      <x:c r="G355" s="872"/>
      <x:c r="H355" s="872"/>
      <x:c r="I355" s="875"/>
      <x:c r="J355" s="872"/>
      <x:c r="K355" s="873"/>
      <x:c r="L355" s="876"/>
      <x:c r="M355" s="873"/>
      <x:c r="N355" s="874"/>
      <x:c r="O355" s="874"/>
      <x:c r="P355" s="872"/>
      <x:c r="Q355" s="872"/>
      <x:c r="R355" s="872"/>
      <x:c r="S355" s="872"/>
      <x:c r="T355" s="872"/>
      <x:c r="U355" s="872"/>
      <x:c r="V355" s="872"/>
      <x:c r="W355" s="872"/>
      <x:c r="X355" s="872"/>
      <x:c r="Y355" s="872"/>
      <x:c r="Z355" s="872"/>
      <x:c r="AA355" s="877"/>
      <x:c r="AB355" s="872"/>
      <x:c r="AC355" s="872"/>
      <x:c r="AD355" s="872"/>
      <x:c r="AE355" s="872"/>
      <x:c r="AF355" s="872"/>
      <x:c r="AG355" s="872"/>
      <x:c r="AH355" s="872"/>
      <x:c r="AI355" s="872"/>
      <x:c r="AJ355" s="872"/>
      <x:c r="AK355" s="872"/>
      <x:c r="AL355" s="872"/>
      <x:c r="AM355" s="872"/>
      <x:c r="AN355" s="872"/>
      <x:c r="AO355" s="872"/>
      <x:c r="AP355" s="872"/>
      <x:c r="AQ355" s="878"/>
      <x:c r="AR355" s="874"/>
    </x:row>
    <x:row r="356" s="36" customFormat="1" ht="30" customHeight="1">
      <x:c r="A356" s="871"/>
      <x:c r="B356" s="871"/>
      <x:c r="C356" s="871"/>
      <x:c r="D356" s="872"/>
      <x:c r="E356" s="871"/>
      <x:c r="F356" s="871"/>
      <x:c r="G356" s="872"/>
      <x:c r="H356" s="872"/>
      <x:c r="I356" s="875"/>
      <x:c r="J356" s="872"/>
      <x:c r="K356" s="873"/>
      <x:c r="L356" s="876"/>
      <x:c r="M356" s="873"/>
      <x:c r="N356" s="874"/>
      <x:c r="O356" s="874"/>
      <x:c r="P356" s="872"/>
      <x:c r="Q356" s="872"/>
      <x:c r="R356" s="872"/>
      <x:c r="S356" s="872"/>
      <x:c r="T356" s="872"/>
      <x:c r="U356" s="872"/>
      <x:c r="V356" s="872"/>
      <x:c r="W356" s="872"/>
      <x:c r="X356" s="872"/>
      <x:c r="Y356" s="872"/>
      <x:c r="Z356" s="872"/>
      <x:c r="AA356" s="877"/>
      <x:c r="AB356" s="872"/>
      <x:c r="AC356" s="872"/>
      <x:c r="AD356" s="872"/>
      <x:c r="AE356" s="872"/>
      <x:c r="AF356" s="872"/>
      <x:c r="AG356" s="872"/>
      <x:c r="AH356" s="872"/>
      <x:c r="AI356" s="872"/>
      <x:c r="AJ356" s="872"/>
      <x:c r="AK356" s="872"/>
      <x:c r="AL356" s="872"/>
      <x:c r="AM356" s="872"/>
      <x:c r="AN356" s="872"/>
      <x:c r="AO356" s="872"/>
      <x:c r="AP356" s="872"/>
      <x:c r="AQ356" s="878"/>
      <x:c r="AR356" s="874"/>
    </x:row>
    <x:row r="357" s="36" customFormat="1" ht="30" customHeight="1">
      <x:c r="A357" s="871"/>
      <x:c r="B357" s="871"/>
      <x:c r="C357" s="871"/>
      <x:c r="D357" s="872"/>
      <x:c r="E357" s="871"/>
      <x:c r="F357" s="871"/>
      <x:c r="G357" s="872"/>
      <x:c r="H357" s="872"/>
      <x:c r="I357" s="875"/>
      <x:c r="J357" s="872"/>
      <x:c r="K357" s="873"/>
      <x:c r="L357" s="876"/>
      <x:c r="M357" s="873"/>
      <x:c r="N357" s="874"/>
      <x:c r="O357" s="874"/>
      <x:c r="P357" s="872"/>
      <x:c r="Q357" s="872"/>
      <x:c r="R357" s="872"/>
      <x:c r="S357" s="872"/>
      <x:c r="T357" s="872"/>
      <x:c r="U357" s="872"/>
      <x:c r="V357" s="872"/>
      <x:c r="W357" s="872"/>
      <x:c r="X357" s="872"/>
      <x:c r="Y357" s="872"/>
      <x:c r="Z357" s="872"/>
      <x:c r="AA357" s="877"/>
      <x:c r="AB357" s="872"/>
      <x:c r="AC357" s="872"/>
      <x:c r="AD357" s="872"/>
      <x:c r="AE357" s="872"/>
      <x:c r="AF357" s="872"/>
      <x:c r="AG357" s="872"/>
      <x:c r="AH357" s="872"/>
      <x:c r="AI357" s="872"/>
      <x:c r="AJ357" s="872"/>
      <x:c r="AK357" s="872"/>
      <x:c r="AL357" s="872"/>
      <x:c r="AM357" s="872"/>
      <x:c r="AN357" s="872"/>
      <x:c r="AO357" s="872"/>
      <x:c r="AP357" s="872"/>
      <x:c r="AQ357" s="878"/>
      <x:c r="AR357" s="874"/>
    </x:row>
    <x:row r="358" s="36" customFormat="1" ht="30" customHeight="1">
      <x:c r="A358" s="871"/>
      <x:c r="B358" s="871"/>
      <x:c r="C358" s="871"/>
      <x:c r="D358" s="872"/>
      <x:c r="E358" s="871"/>
      <x:c r="F358" s="871"/>
      <x:c r="G358" s="872"/>
      <x:c r="H358" s="872"/>
      <x:c r="I358" s="875"/>
      <x:c r="J358" s="872"/>
      <x:c r="K358" s="873"/>
      <x:c r="L358" s="876"/>
      <x:c r="M358" s="873"/>
      <x:c r="N358" s="874"/>
      <x:c r="O358" s="874"/>
      <x:c r="P358" s="872"/>
      <x:c r="Q358" s="872"/>
      <x:c r="R358" s="872"/>
      <x:c r="S358" s="872"/>
      <x:c r="T358" s="872"/>
      <x:c r="U358" s="872"/>
      <x:c r="V358" s="872"/>
      <x:c r="W358" s="872"/>
      <x:c r="X358" s="872"/>
      <x:c r="Y358" s="872"/>
      <x:c r="Z358" s="872"/>
      <x:c r="AA358" s="877"/>
      <x:c r="AB358" s="872"/>
      <x:c r="AC358" s="872"/>
      <x:c r="AD358" s="872"/>
      <x:c r="AE358" s="872"/>
      <x:c r="AF358" s="872"/>
      <x:c r="AG358" s="872"/>
      <x:c r="AH358" s="872"/>
      <x:c r="AI358" s="872"/>
      <x:c r="AJ358" s="872"/>
      <x:c r="AK358" s="872"/>
      <x:c r="AL358" s="872"/>
      <x:c r="AM358" s="872"/>
      <x:c r="AN358" s="872"/>
      <x:c r="AO358" s="872"/>
      <x:c r="AP358" s="872"/>
      <x:c r="AQ358" s="878"/>
      <x:c r="AR358" s="874"/>
    </x:row>
    <x:row r="359" s="36" customFormat="1" ht="30" customHeight="1">
      <x:c r="A359" s="871"/>
      <x:c r="B359" s="871"/>
      <x:c r="C359" s="871"/>
      <x:c r="D359" s="872"/>
      <x:c r="E359" s="871"/>
      <x:c r="F359" s="871"/>
      <x:c r="G359" s="872"/>
      <x:c r="H359" s="872"/>
      <x:c r="I359" s="875"/>
      <x:c r="J359" s="872"/>
      <x:c r="K359" s="873"/>
      <x:c r="L359" s="876"/>
      <x:c r="M359" s="873"/>
      <x:c r="N359" s="874"/>
      <x:c r="O359" s="874"/>
      <x:c r="P359" s="872"/>
      <x:c r="Q359" s="872"/>
      <x:c r="R359" s="872"/>
      <x:c r="S359" s="872"/>
      <x:c r="T359" s="872"/>
      <x:c r="U359" s="872"/>
      <x:c r="V359" s="872"/>
      <x:c r="W359" s="872"/>
      <x:c r="X359" s="872"/>
      <x:c r="Y359" s="872"/>
      <x:c r="Z359" s="872"/>
      <x:c r="AA359" s="877"/>
      <x:c r="AB359" s="872"/>
      <x:c r="AC359" s="872"/>
      <x:c r="AD359" s="872"/>
      <x:c r="AE359" s="872"/>
      <x:c r="AF359" s="872"/>
      <x:c r="AG359" s="872"/>
      <x:c r="AH359" s="872"/>
      <x:c r="AI359" s="872"/>
      <x:c r="AJ359" s="872"/>
      <x:c r="AK359" s="872"/>
      <x:c r="AL359" s="872"/>
      <x:c r="AM359" s="872"/>
      <x:c r="AN359" s="872"/>
      <x:c r="AO359" s="872"/>
      <x:c r="AP359" s="872"/>
      <x:c r="AQ359" s="878"/>
      <x:c r="AR359" s="874"/>
    </x:row>
    <x:row r="360" s="36" customFormat="1" ht="30" customHeight="1">
      <x:c r="A360" s="871"/>
      <x:c r="B360" s="871"/>
      <x:c r="C360" s="871"/>
      <x:c r="D360" s="872"/>
      <x:c r="E360" s="871"/>
      <x:c r="F360" s="871"/>
      <x:c r="G360" s="872"/>
      <x:c r="H360" s="872"/>
      <x:c r="I360" s="875"/>
      <x:c r="J360" s="872"/>
      <x:c r="K360" s="873"/>
      <x:c r="L360" s="876"/>
      <x:c r="M360" s="873"/>
      <x:c r="N360" s="874"/>
      <x:c r="O360" s="874"/>
      <x:c r="P360" s="872"/>
      <x:c r="Q360" s="872"/>
      <x:c r="R360" s="872"/>
      <x:c r="S360" s="872"/>
      <x:c r="T360" s="872"/>
      <x:c r="U360" s="872"/>
      <x:c r="V360" s="872"/>
      <x:c r="W360" s="872"/>
      <x:c r="X360" s="872"/>
      <x:c r="Y360" s="872"/>
      <x:c r="Z360" s="872"/>
      <x:c r="AA360" s="877"/>
      <x:c r="AB360" s="872"/>
      <x:c r="AC360" s="872"/>
      <x:c r="AD360" s="872"/>
      <x:c r="AE360" s="872"/>
      <x:c r="AF360" s="872"/>
      <x:c r="AG360" s="872"/>
      <x:c r="AH360" s="872"/>
      <x:c r="AI360" s="872"/>
      <x:c r="AJ360" s="872"/>
      <x:c r="AK360" s="872"/>
      <x:c r="AL360" s="872"/>
      <x:c r="AM360" s="872"/>
      <x:c r="AN360" s="872"/>
      <x:c r="AO360" s="872"/>
      <x:c r="AP360" s="872"/>
      <x:c r="AQ360" s="878"/>
      <x:c r="AR360" s="874"/>
    </x:row>
    <x:row r="361" s="36" customFormat="1" ht="30" customHeight="1">
      <x:c r="A361" s="871"/>
      <x:c r="B361" s="871"/>
      <x:c r="C361" s="871"/>
      <x:c r="D361" s="872"/>
      <x:c r="E361" s="871"/>
      <x:c r="F361" s="871"/>
      <x:c r="G361" s="872"/>
      <x:c r="H361" s="872"/>
      <x:c r="I361" s="875"/>
      <x:c r="J361" s="872"/>
      <x:c r="K361" s="873"/>
      <x:c r="L361" s="876"/>
      <x:c r="M361" s="873"/>
      <x:c r="N361" s="874"/>
      <x:c r="O361" s="874"/>
      <x:c r="P361" s="872"/>
      <x:c r="Q361" s="872"/>
      <x:c r="R361" s="872"/>
      <x:c r="S361" s="872"/>
      <x:c r="T361" s="872"/>
      <x:c r="U361" s="872"/>
      <x:c r="V361" s="872"/>
      <x:c r="W361" s="872"/>
      <x:c r="X361" s="872"/>
      <x:c r="Y361" s="872"/>
      <x:c r="Z361" s="872"/>
      <x:c r="AA361" s="877"/>
      <x:c r="AB361" s="872"/>
      <x:c r="AC361" s="872"/>
      <x:c r="AD361" s="872"/>
      <x:c r="AE361" s="872"/>
      <x:c r="AF361" s="872"/>
      <x:c r="AG361" s="872"/>
      <x:c r="AH361" s="872"/>
      <x:c r="AI361" s="872"/>
      <x:c r="AJ361" s="872"/>
      <x:c r="AK361" s="872"/>
      <x:c r="AL361" s="872"/>
      <x:c r="AM361" s="872"/>
      <x:c r="AN361" s="872"/>
      <x:c r="AO361" s="872"/>
      <x:c r="AP361" s="872"/>
      <x:c r="AQ361" s="878"/>
      <x:c r="AR361" s="874"/>
    </x:row>
    <x:row r="362" s="36" customFormat="1" ht="30" customHeight="1">
      <x:c r="A362" s="871"/>
      <x:c r="B362" s="871"/>
      <x:c r="C362" s="871"/>
      <x:c r="D362" s="872"/>
      <x:c r="E362" s="871"/>
      <x:c r="F362" s="871"/>
      <x:c r="G362" s="872"/>
      <x:c r="H362" s="872"/>
      <x:c r="I362" s="875"/>
      <x:c r="J362" s="872"/>
      <x:c r="K362" s="873"/>
      <x:c r="L362" s="876"/>
      <x:c r="M362" s="873"/>
      <x:c r="N362" s="874"/>
      <x:c r="O362" s="874"/>
      <x:c r="P362" s="872"/>
      <x:c r="Q362" s="872"/>
      <x:c r="R362" s="872"/>
      <x:c r="S362" s="872"/>
      <x:c r="T362" s="872"/>
      <x:c r="U362" s="872"/>
      <x:c r="V362" s="872"/>
      <x:c r="W362" s="872"/>
      <x:c r="X362" s="872"/>
      <x:c r="Y362" s="872"/>
      <x:c r="Z362" s="872"/>
      <x:c r="AA362" s="877"/>
      <x:c r="AB362" s="872"/>
      <x:c r="AC362" s="872"/>
      <x:c r="AD362" s="872"/>
      <x:c r="AE362" s="872"/>
      <x:c r="AF362" s="872"/>
      <x:c r="AG362" s="872"/>
      <x:c r="AH362" s="872"/>
      <x:c r="AI362" s="872"/>
      <x:c r="AJ362" s="872"/>
      <x:c r="AK362" s="872"/>
      <x:c r="AL362" s="872"/>
      <x:c r="AM362" s="872"/>
      <x:c r="AN362" s="872"/>
      <x:c r="AO362" s="872"/>
      <x:c r="AP362" s="872"/>
      <x:c r="AQ362" s="878"/>
      <x:c r="AR362" s="874"/>
    </x:row>
    <x:row r="363" s="36" customFormat="1" ht="30" customHeight="1">
      <x:c r="A363" s="871"/>
      <x:c r="B363" s="871"/>
      <x:c r="C363" s="871"/>
      <x:c r="D363" s="872"/>
      <x:c r="E363" s="871"/>
      <x:c r="F363" s="871"/>
      <x:c r="G363" s="872"/>
      <x:c r="H363" s="872"/>
      <x:c r="I363" s="875"/>
      <x:c r="J363" s="872"/>
      <x:c r="K363" s="873"/>
      <x:c r="L363" s="876"/>
      <x:c r="M363" s="873"/>
      <x:c r="N363" s="874"/>
      <x:c r="O363" s="874"/>
      <x:c r="P363" s="872"/>
      <x:c r="Q363" s="872"/>
      <x:c r="R363" s="872"/>
      <x:c r="S363" s="872"/>
      <x:c r="T363" s="872"/>
      <x:c r="U363" s="872"/>
      <x:c r="V363" s="872"/>
      <x:c r="W363" s="872"/>
      <x:c r="X363" s="872"/>
      <x:c r="Y363" s="872"/>
      <x:c r="Z363" s="872"/>
      <x:c r="AA363" s="877"/>
      <x:c r="AB363" s="872"/>
      <x:c r="AC363" s="872"/>
      <x:c r="AD363" s="872"/>
      <x:c r="AE363" s="872"/>
      <x:c r="AF363" s="872"/>
      <x:c r="AG363" s="872"/>
      <x:c r="AH363" s="872"/>
      <x:c r="AI363" s="872"/>
      <x:c r="AJ363" s="872"/>
      <x:c r="AK363" s="872"/>
      <x:c r="AL363" s="872"/>
      <x:c r="AM363" s="872"/>
      <x:c r="AN363" s="872"/>
      <x:c r="AO363" s="872"/>
      <x:c r="AP363" s="872"/>
      <x:c r="AQ363" s="878"/>
      <x:c r="AR363" s="874"/>
    </x:row>
    <x:row r="364" s="36" customFormat="1" ht="30" customHeight="1">
      <x:c r="A364" s="871"/>
      <x:c r="B364" s="871"/>
      <x:c r="C364" s="871"/>
      <x:c r="D364" s="872"/>
      <x:c r="E364" s="871"/>
      <x:c r="F364" s="871"/>
      <x:c r="G364" s="872"/>
      <x:c r="H364" s="872"/>
      <x:c r="I364" s="875"/>
      <x:c r="J364" s="872"/>
      <x:c r="K364" s="873"/>
      <x:c r="L364" s="876"/>
      <x:c r="M364" s="873"/>
      <x:c r="N364" s="874"/>
      <x:c r="O364" s="874"/>
      <x:c r="P364" s="872"/>
      <x:c r="Q364" s="872"/>
      <x:c r="R364" s="872"/>
      <x:c r="S364" s="872"/>
      <x:c r="T364" s="872"/>
      <x:c r="U364" s="872"/>
      <x:c r="V364" s="872"/>
      <x:c r="W364" s="872"/>
      <x:c r="X364" s="872"/>
      <x:c r="Y364" s="872"/>
      <x:c r="Z364" s="872"/>
      <x:c r="AA364" s="877"/>
      <x:c r="AB364" s="872"/>
      <x:c r="AC364" s="872"/>
      <x:c r="AD364" s="872"/>
      <x:c r="AE364" s="872"/>
      <x:c r="AF364" s="872"/>
      <x:c r="AG364" s="872"/>
      <x:c r="AH364" s="872"/>
      <x:c r="AI364" s="872"/>
      <x:c r="AJ364" s="872"/>
      <x:c r="AK364" s="872"/>
      <x:c r="AL364" s="872"/>
      <x:c r="AM364" s="872"/>
      <x:c r="AN364" s="872"/>
      <x:c r="AO364" s="872"/>
      <x:c r="AP364" s="872"/>
      <x:c r="AQ364" s="878"/>
      <x:c r="AR364" s="874"/>
    </x:row>
    <x:row r="365" s="36" customFormat="1" ht="30" customHeight="1">
      <x:c r="A365" s="871"/>
      <x:c r="B365" s="871"/>
      <x:c r="C365" s="871"/>
      <x:c r="D365" s="872"/>
      <x:c r="E365" s="871"/>
      <x:c r="F365" s="871"/>
      <x:c r="G365" s="872"/>
      <x:c r="H365" s="872"/>
      <x:c r="I365" s="875"/>
      <x:c r="J365" s="872"/>
      <x:c r="K365" s="873"/>
      <x:c r="L365" s="876"/>
      <x:c r="M365" s="873"/>
      <x:c r="N365" s="874"/>
      <x:c r="O365" s="874"/>
      <x:c r="P365" s="872"/>
      <x:c r="Q365" s="872"/>
      <x:c r="R365" s="872"/>
      <x:c r="S365" s="872"/>
      <x:c r="T365" s="872"/>
      <x:c r="U365" s="872"/>
      <x:c r="V365" s="872"/>
      <x:c r="W365" s="872"/>
      <x:c r="X365" s="872"/>
      <x:c r="Y365" s="872"/>
      <x:c r="Z365" s="872"/>
      <x:c r="AA365" s="877"/>
      <x:c r="AB365" s="872"/>
      <x:c r="AC365" s="872"/>
      <x:c r="AD365" s="872"/>
      <x:c r="AE365" s="872"/>
      <x:c r="AF365" s="872"/>
      <x:c r="AG365" s="872"/>
      <x:c r="AH365" s="872"/>
      <x:c r="AI365" s="872"/>
      <x:c r="AJ365" s="872"/>
      <x:c r="AK365" s="872"/>
      <x:c r="AL365" s="872"/>
      <x:c r="AM365" s="872"/>
      <x:c r="AN365" s="872"/>
      <x:c r="AO365" s="872"/>
      <x:c r="AP365" s="872"/>
      <x:c r="AQ365" s="878"/>
      <x:c r="AR365" s="874"/>
    </x:row>
    <x:row r="366" s="36" customFormat="1" ht="30" customHeight="1">
      <x:c r="A366" s="871"/>
      <x:c r="B366" s="871"/>
      <x:c r="C366" s="871"/>
      <x:c r="D366" s="872"/>
      <x:c r="E366" s="871"/>
      <x:c r="F366" s="871"/>
      <x:c r="G366" s="872"/>
      <x:c r="H366" s="872"/>
      <x:c r="I366" s="875"/>
      <x:c r="J366" s="872"/>
      <x:c r="K366" s="873"/>
      <x:c r="L366" s="876"/>
      <x:c r="M366" s="873"/>
      <x:c r="N366" s="874"/>
      <x:c r="O366" s="874"/>
      <x:c r="P366" s="872"/>
      <x:c r="Q366" s="872"/>
      <x:c r="R366" s="872"/>
      <x:c r="S366" s="872"/>
      <x:c r="T366" s="872"/>
      <x:c r="U366" s="872"/>
      <x:c r="V366" s="872"/>
      <x:c r="W366" s="872"/>
      <x:c r="X366" s="872"/>
      <x:c r="Y366" s="872"/>
      <x:c r="Z366" s="872"/>
      <x:c r="AA366" s="877"/>
      <x:c r="AB366" s="872"/>
      <x:c r="AC366" s="872"/>
      <x:c r="AD366" s="872"/>
      <x:c r="AE366" s="872"/>
      <x:c r="AF366" s="872"/>
      <x:c r="AG366" s="872"/>
      <x:c r="AH366" s="872"/>
      <x:c r="AI366" s="872"/>
      <x:c r="AJ366" s="872"/>
      <x:c r="AK366" s="872"/>
      <x:c r="AL366" s="872"/>
      <x:c r="AM366" s="872"/>
      <x:c r="AN366" s="872"/>
      <x:c r="AO366" s="872"/>
      <x:c r="AP366" s="872"/>
      <x:c r="AQ366" s="878"/>
      <x:c r="AR366" s="874"/>
    </x:row>
    <x:row r="367" s="36" customFormat="1" ht="30" customHeight="1">
      <x:c r="A367" s="871"/>
      <x:c r="B367" s="871"/>
      <x:c r="C367" s="871"/>
      <x:c r="D367" s="872"/>
      <x:c r="E367" s="871"/>
      <x:c r="F367" s="871"/>
      <x:c r="G367" s="872"/>
      <x:c r="H367" s="872"/>
      <x:c r="I367" s="875"/>
      <x:c r="J367" s="872"/>
      <x:c r="K367" s="873"/>
      <x:c r="L367" s="876"/>
      <x:c r="M367" s="873"/>
      <x:c r="N367" s="874"/>
      <x:c r="O367" s="874"/>
      <x:c r="P367" s="872"/>
      <x:c r="Q367" s="872"/>
      <x:c r="R367" s="872"/>
      <x:c r="S367" s="872"/>
      <x:c r="T367" s="872"/>
      <x:c r="U367" s="872"/>
      <x:c r="V367" s="872"/>
      <x:c r="W367" s="872"/>
      <x:c r="X367" s="872"/>
      <x:c r="Y367" s="872"/>
      <x:c r="Z367" s="872"/>
      <x:c r="AA367" s="877"/>
      <x:c r="AB367" s="872"/>
      <x:c r="AC367" s="872"/>
      <x:c r="AD367" s="872"/>
      <x:c r="AE367" s="872"/>
      <x:c r="AF367" s="872"/>
      <x:c r="AG367" s="872"/>
      <x:c r="AH367" s="872"/>
      <x:c r="AI367" s="872"/>
      <x:c r="AJ367" s="872"/>
      <x:c r="AK367" s="872"/>
      <x:c r="AL367" s="872"/>
      <x:c r="AM367" s="872"/>
      <x:c r="AN367" s="872"/>
      <x:c r="AO367" s="872"/>
      <x:c r="AP367" s="872"/>
      <x:c r="AQ367" s="878"/>
      <x:c r="AR367" s="874"/>
    </x:row>
    <x:row r="368" s="36" customFormat="1" ht="30" customHeight="1">
      <x:c r="A368" s="871"/>
      <x:c r="B368" s="871"/>
      <x:c r="C368" s="871"/>
      <x:c r="D368" s="872"/>
      <x:c r="E368" s="871"/>
      <x:c r="F368" s="871"/>
      <x:c r="G368" s="872"/>
      <x:c r="H368" s="872"/>
      <x:c r="I368" s="875"/>
      <x:c r="J368" s="872"/>
      <x:c r="K368" s="873"/>
      <x:c r="L368" s="876"/>
      <x:c r="M368" s="873"/>
      <x:c r="N368" s="874"/>
      <x:c r="O368" s="874"/>
      <x:c r="P368" s="872"/>
      <x:c r="Q368" s="872"/>
      <x:c r="R368" s="872"/>
      <x:c r="S368" s="872"/>
      <x:c r="T368" s="872"/>
      <x:c r="U368" s="872"/>
      <x:c r="V368" s="872"/>
      <x:c r="W368" s="872"/>
      <x:c r="X368" s="872"/>
      <x:c r="Y368" s="872"/>
      <x:c r="Z368" s="872"/>
      <x:c r="AA368" s="877"/>
      <x:c r="AB368" s="872"/>
      <x:c r="AC368" s="872"/>
      <x:c r="AD368" s="872"/>
      <x:c r="AE368" s="872"/>
      <x:c r="AF368" s="872"/>
      <x:c r="AG368" s="872"/>
      <x:c r="AH368" s="872"/>
      <x:c r="AI368" s="872"/>
      <x:c r="AJ368" s="872"/>
      <x:c r="AK368" s="872"/>
      <x:c r="AL368" s="872"/>
      <x:c r="AM368" s="872"/>
      <x:c r="AN368" s="872"/>
      <x:c r="AO368" s="872"/>
      <x:c r="AP368" s="872"/>
      <x:c r="AQ368" s="878"/>
      <x:c r="AR368" s="874"/>
    </x:row>
    <x:row r="369" s="36" customFormat="1" ht="30" customHeight="1">
      <x:c r="A369" s="871"/>
      <x:c r="B369" s="871"/>
      <x:c r="C369" s="871"/>
      <x:c r="D369" s="872"/>
      <x:c r="E369" s="871"/>
      <x:c r="F369" s="871"/>
      <x:c r="G369" s="872"/>
      <x:c r="H369" s="872"/>
      <x:c r="I369" s="875"/>
      <x:c r="J369" s="872"/>
      <x:c r="K369" s="873"/>
      <x:c r="L369" s="876"/>
      <x:c r="M369" s="873"/>
      <x:c r="N369" s="874"/>
      <x:c r="O369" s="874"/>
      <x:c r="P369" s="872"/>
      <x:c r="Q369" s="872"/>
      <x:c r="R369" s="872"/>
      <x:c r="S369" s="872"/>
      <x:c r="T369" s="872"/>
      <x:c r="U369" s="872"/>
      <x:c r="V369" s="872"/>
      <x:c r="W369" s="872"/>
      <x:c r="X369" s="872"/>
      <x:c r="Y369" s="872"/>
      <x:c r="Z369" s="872"/>
      <x:c r="AA369" s="877"/>
      <x:c r="AB369" s="872"/>
      <x:c r="AC369" s="872"/>
      <x:c r="AD369" s="872"/>
      <x:c r="AE369" s="872"/>
      <x:c r="AF369" s="872"/>
      <x:c r="AG369" s="872"/>
      <x:c r="AH369" s="872"/>
      <x:c r="AI369" s="872"/>
      <x:c r="AJ369" s="872"/>
      <x:c r="AK369" s="872"/>
      <x:c r="AL369" s="872"/>
      <x:c r="AM369" s="872"/>
      <x:c r="AN369" s="872"/>
      <x:c r="AO369" s="872"/>
      <x:c r="AP369" s="872"/>
      <x:c r="AQ369" s="878"/>
      <x:c r="AR369" s="874"/>
    </x:row>
    <x:row r="370" s="36" customFormat="1" ht="30" customHeight="1">
      <x:c r="A370" s="871"/>
      <x:c r="B370" s="871"/>
      <x:c r="C370" s="871"/>
      <x:c r="D370" s="872"/>
      <x:c r="E370" s="871"/>
      <x:c r="F370" s="871"/>
      <x:c r="G370" s="872"/>
      <x:c r="H370" s="872"/>
      <x:c r="I370" s="875"/>
      <x:c r="J370" s="872"/>
      <x:c r="K370" s="873"/>
      <x:c r="L370" s="876"/>
      <x:c r="M370" s="873"/>
      <x:c r="N370" s="874"/>
      <x:c r="O370" s="874"/>
      <x:c r="P370" s="872"/>
      <x:c r="Q370" s="872"/>
      <x:c r="R370" s="872"/>
      <x:c r="S370" s="872"/>
      <x:c r="T370" s="872"/>
      <x:c r="U370" s="872"/>
      <x:c r="V370" s="872"/>
      <x:c r="W370" s="872"/>
      <x:c r="X370" s="872"/>
      <x:c r="Y370" s="872"/>
      <x:c r="Z370" s="872"/>
      <x:c r="AA370" s="877"/>
      <x:c r="AB370" s="872"/>
      <x:c r="AC370" s="872"/>
      <x:c r="AD370" s="872"/>
      <x:c r="AE370" s="872"/>
      <x:c r="AF370" s="872"/>
      <x:c r="AG370" s="872"/>
      <x:c r="AH370" s="872"/>
      <x:c r="AI370" s="872"/>
      <x:c r="AJ370" s="872"/>
      <x:c r="AK370" s="872"/>
      <x:c r="AL370" s="872"/>
      <x:c r="AM370" s="872"/>
      <x:c r="AN370" s="872"/>
      <x:c r="AO370" s="872"/>
      <x:c r="AP370" s="872"/>
      <x:c r="AQ370" s="878"/>
      <x:c r="AR370" s="874"/>
    </x:row>
    <x:row r="371" s="36" customFormat="1" ht="30" customHeight="1">
      <x:c r="A371" s="871"/>
      <x:c r="B371" s="871"/>
      <x:c r="C371" s="871"/>
      <x:c r="D371" s="872"/>
      <x:c r="E371" s="871"/>
      <x:c r="F371" s="871"/>
      <x:c r="G371" s="872"/>
      <x:c r="H371" s="872"/>
      <x:c r="I371" s="875"/>
      <x:c r="J371" s="872"/>
      <x:c r="K371" s="873"/>
      <x:c r="L371" s="876"/>
      <x:c r="M371" s="873"/>
      <x:c r="N371" s="874"/>
      <x:c r="O371" s="874"/>
      <x:c r="P371" s="872"/>
      <x:c r="Q371" s="872"/>
      <x:c r="R371" s="872"/>
      <x:c r="S371" s="872"/>
      <x:c r="T371" s="872"/>
      <x:c r="U371" s="872"/>
      <x:c r="V371" s="872"/>
      <x:c r="W371" s="872"/>
      <x:c r="X371" s="872"/>
      <x:c r="Y371" s="872"/>
      <x:c r="Z371" s="872"/>
      <x:c r="AA371" s="877"/>
      <x:c r="AB371" s="872"/>
      <x:c r="AC371" s="872"/>
      <x:c r="AD371" s="872"/>
      <x:c r="AE371" s="872"/>
      <x:c r="AF371" s="872"/>
      <x:c r="AG371" s="872"/>
      <x:c r="AH371" s="872"/>
      <x:c r="AI371" s="872"/>
      <x:c r="AJ371" s="872"/>
      <x:c r="AK371" s="872"/>
      <x:c r="AL371" s="872"/>
      <x:c r="AM371" s="872"/>
      <x:c r="AN371" s="872"/>
      <x:c r="AO371" s="872"/>
      <x:c r="AP371" s="872"/>
      <x:c r="AQ371" s="878"/>
      <x:c r="AR371" s="874"/>
    </x:row>
    <x:row r="372" s="36" customFormat="1" ht="30" customHeight="1">
      <x:c r="A372" s="871"/>
      <x:c r="B372" s="871"/>
      <x:c r="C372" s="871"/>
      <x:c r="D372" s="872"/>
      <x:c r="E372" s="871"/>
      <x:c r="F372" s="871"/>
      <x:c r="G372" s="872"/>
      <x:c r="H372" s="872"/>
      <x:c r="I372" s="875"/>
      <x:c r="J372" s="872"/>
      <x:c r="K372" s="873"/>
      <x:c r="L372" s="876"/>
      <x:c r="M372" s="873"/>
      <x:c r="N372" s="874"/>
      <x:c r="O372" s="874"/>
      <x:c r="P372" s="872"/>
      <x:c r="Q372" s="872"/>
      <x:c r="R372" s="872"/>
      <x:c r="S372" s="872"/>
      <x:c r="T372" s="872"/>
      <x:c r="U372" s="872"/>
      <x:c r="V372" s="872"/>
      <x:c r="W372" s="872"/>
      <x:c r="X372" s="872"/>
      <x:c r="Y372" s="872"/>
      <x:c r="Z372" s="872"/>
      <x:c r="AA372" s="877"/>
      <x:c r="AB372" s="872"/>
      <x:c r="AC372" s="872"/>
      <x:c r="AD372" s="872"/>
      <x:c r="AE372" s="872"/>
      <x:c r="AF372" s="872"/>
      <x:c r="AG372" s="872"/>
      <x:c r="AH372" s="872"/>
      <x:c r="AI372" s="872"/>
      <x:c r="AJ372" s="872"/>
      <x:c r="AK372" s="872"/>
      <x:c r="AL372" s="872"/>
      <x:c r="AM372" s="872"/>
      <x:c r="AN372" s="872"/>
      <x:c r="AO372" s="872"/>
      <x:c r="AP372" s="872"/>
      <x:c r="AQ372" s="878"/>
      <x:c r="AR372" s="874"/>
    </x:row>
    <x:row r="373" s="36" customFormat="1" ht="30" customHeight="1">
      <x:c r="A373" s="871"/>
      <x:c r="B373" s="871"/>
      <x:c r="C373" s="871"/>
      <x:c r="D373" s="872"/>
      <x:c r="E373" s="871"/>
      <x:c r="F373" s="871"/>
      <x:c r="G373" s="872"/>
      <x:c r="H373" s="872"/>
      <x:c r="I373" s="875"/>
      <x:c r="J373" s="872"/>
      <x:c r="K373" s="873"/>
      <x:c r="L373" s="876"/>
      <x:c r="M373" s="873"/>
      <x:c r="N373" s="874"/>
      <x:c r="O373" s="874"/>
      <x:c r="P373" s="872"/>
      <x:c r="Q373" s="872"/>
      <x:c r="R373" s="872"/>
      <x:c r="S373" s="872"/>
      <x:c r="T373" s="872"/>
      <x:c r="U373" s="872"/>
      <x:c r="V373" s="872"/>
      <x:c r="W373" s="872"/>
      <x:c r="X373" s="872"/>
      <x:c r="Y373" s="872"/>
      <x:c r="Z373" s="872"/>
      <x:c r="AA373" s="877"/>
      <x:c r="AB373" s="872"/>
      <x:c r="AC373" s="872"/>
      <x:c r="AD373" s="872"/>
      <x:c r="AE373" s="872"/>
      <x:c r="AF373" s="872"/>
      <x:c r="AG373" s="872"/>
      <x:c r="AH373" s="872"/>
      <x:c r="AI373" s="872"/>
      <x:c r="AJ373" s="872"/>
      <x:c r="AK373" s="872"/>
      <x:c r="AL373" s="872"/>
      <x:c r="AM373" s="872"/>
      <x:c r="AN373" s="872"/>
      <x:c r="AO373" s="872"/>
      <x:c r="AP373" s="872"/>
      <x:c r="AQ373" s="878"/>
      <x:c r="AR373" s="874"/>
    </x:row>
    <x:row r="374" s="36" customFormat="1" ht="30" customHeight="1">
      <x:c r="A374" s="871"/>
      <x:c r="B374" s="871"/>
      <x:c r="C374" s="871"/>
      <x:c r="D374" s="872"/>
      <x:c r="E374" s="871"/>
      <x:c r="F374" s="871"/>
      <x:c r="G374" s="872"/>
      <x:c r="H374" s="872"/>
      <x:c r="I374" s="875"/>
      <x:c r="J374" s="872"/>
      <x:c r="K374" s="873"/>
      <x:c r="L374" s="876"/>
      <x:c r="M374" s="873"/>
      <x:c r="N374" s="874"/>
      <x:c r="O374" s="874"/>
      <x:c r="P374" s="872"/>
      <x:c r="Q374" s="872"/>
      <x:c r="R374" s="872"/>
      <x:c r="S374" s="872"/>
      <x:c r="T374" s="872"/>
      <x:c r="U374" s="872"/>
      <x:c r="V374" s="872"/>
      <x:c r="W374" s="872"/>
      <x:c r="X374" s="872"/>
      <x:c r="Y374" s="872"/>
      <x:c r="Z374" s="872"/>
      <x:c r="AA374" s="877"/>
      <x:c r="AB374" s="872"/>
      <x:c r="AC374" s="872"/>
      <x:c r="AD374" s="872"/>
      <x:c r="AE374" s="872"/>
      <x:c r="AF374" s="872"/>
      <x:c r="AG374" s="872"/>
      <x:c r="AH374" s="872"/>
      <x:c r="AI374" s="872"/>
      <x:c r="AJ374" s="872"/>
      <x:c r="AK374" s="872"/>
      <x:c r="AL374" s="872"/>
      <x:c r="AM374" s="872"/>
      <x:c r="AN374" s="872"/>
      <x:c r="AO374" s="872"/>
      <x:c r="AP374" s="872"/>
      <x:c r="AQ374" s="878"/>
      <x:c r="AR374" s="874"/>
    </x:row>
    <x:row r="375" s="36" customFormat="1" ht="30" customHeight="1">
      <x:c r="A375" s="871"/>
      <x:c r="B375" s="871"/>
      <x:c r="C375" s="871"/>
      <x:c r="D375" s="872"/>
      <x:c r="E375" s="871"/>
      <x:c r="F375" s="871"/>
      <x:c r="G375" s="872"/>
      <x:c r="H375" s="872"/>
      <x:c r="I375" s="875"/>
      <x:c r="J375" s="872"/>
      <x:c r="K375" s="873"/>
      <x:c r="L375" s="876"/>
      <x:c r="M375" s="873"/>
      <x:c r="N375" s="874"/>
      <x:c r="O375" s="874"/>
      <x:c r="P375" s="872"/>
      <x:c r="Q375" s="872"/>
      <x:c r="R375" s="872"/>
      <x:c r="S375" s="872"/>
      <x:c r="T375" s="872"/>
      <x:c r="U375" s="872"/>
      <x:c r="V375" s="872"/>
      <x:c r="W375" s="872"/>
      <x:c r="X375" s="872"/>
      <x:c r="Y375" s="872"/>
      <x:c r="Z375" s="872"/>
      <x:c r="AA375" s="877"/>
      <x:c r="AB375" s="872"/>
      <x:c r="AC375" s="872"/>
      <x:c r="AD375" s="872"/>
      <x:c r="AE375" s="872"/>
      <x:c r="AF375" s="872"/>
      <x:c r="AG375" s="872"/>
      <x:c r="AH375" s="872"/>
      <x:c r="AI375" s="872"/>
      <x:c r="AJ375" s="872"/>
      <x:c r="AK375" s="872"/>
      <x:c r="AL375" s="872"/>
      <x:c r="AM375" s="872"/>
      <x:c r="AN375" s="872"/>
      <x:c r="AO375" s="872"/>
      <x:c r="AP375" s="872"/>
      <x:c r="AQ375" s="878"/>
      <x:c r="AR375" s="874"/>
    </x:row>
    <x:row r="376" s="36" customFormat="1" ht="30" customHeight="1">
      <x:c r="A376" s="871"/>
      <x:c r="B376" s="871"/>
      <x:c r="C376" s="871"/>
      <x:c r="D376" s="872"/>
      <x:c r="E376" s="871"/>
      <x:c r="F376" s="871"/>
      <x:c r="G376" s="872"/>
      <x:c r="H376" s="872"/>
      <x:c r="I376" s="875"/>
      <x:c r="J376" s="872"/>
      <x:c r="K376" s="873"/>
      <x:c r="L376" s="876"/>
      <x:c r="M376" s="873"/>
      <x:c r="N376" s="874"/>
      <x:c r="O376" s="874"/>
      <x:c r="P376" s="872"/>
      <x:c r="Q376" s="872"/>
      <x:c r="R376" s="872"/>
      <x:c r="S376" s="872"/>
      <x:c r="T376" s="872"/>
      <x:c r="U376" s="872"/>
      <x:c r="V376" s="872"/>
      <x:c r="W376" s="872"/>
      <x:c r="X376" s="872"/>
      <x:c r="Y376" s="872"/>
      <x:c r="Z376" s="872"/>
      <x:c r="AA376" s="877"/>
      <x:c r="AB376" s="872"/>
      <x:c r="AC376" s="872"/>
      <x:c r="AD376" s="872"/>
      <x:c r="AE376" s="872"/>
      <x:c r="AF376" s="872"/>
      <x:c r="AG376" s="872"/>
      <x:c r="AH376" s="872"/>
      <x:c r="AI376" s="872"/>
      <x:c r="AJ376" s="872"/>
      <x:c r="AK376" s="872"/>
      <x:c r="AL376" s="872"/>
      <x:c r="AM376" s="872"/>
      <x:c r="AN376" s="872"/>
      <x:c r="AO376" s="872"/>
      <x:c r="AP376" s="872"/>
      <x:c r="AQ376" s="878"/>
      <x:c r="AR376" s="874"/>
    </x:row>
    <x:row r="377" s="36" customFormat="1" ht="30" customHeight="1">
      <x:c r="A377" s="871"/>
      <x:c r="B377" s="871"/>
      <x:c r="C377" s="871"/>
      <x:c r="D377" s="872"/>
      <x:c r="E377" s="871"/>
      <x:c r="F377" s="871"/>
      <x:c r="G377" s="872"/>
      <x:c r="H377" s="872"/>
      <x:c r="I377" s="875"/>
      <x:c r="J377" s="872"/>
      <x:c r="K377" s="873"/>
      <x:c r="L377" s="876"/>
      <x:c r="M377" s="873"/>
      <x:c r="N377" s="874"/>
      <x:c r="O377" s="874"/>
      <x:c r="P377" s="872"/>
      <x:c r="Q377" s="872"/>
      <x:c r="R377" s="872"/>
      <x:c r="S377" s="872"/>
      <x:c r="T377" s="872"/>
      <x:c r="U377" s="872"/>
      <x:c r="V377" s="872"/>
      <x:c r="W377" s="872"/>
      <x:c r="X377" s="872"/>
      <x:c r="Y377" s="872"/>
      <x:c r="Z377" s="872"/>
      <x:c r="AA377" s="877"/>
      <x:c r="AB377" s="872"/>
      <x:c r="AC377" s="872"/>
      <x:c r="AD377" s="872"/>
      <x:c r="AE377" s="872"/>
      <x:c r="AF377" s="872"/>
      <x:c r="AG377" s="872"/>
      <x:c r="AH377" s="872"/>
      <x:c r="AI377" s="872"/>
      <x:c r="AJ377" s="872"/>
      <x:c r="AK377" s="872"/>
      <x:c r="AL377" s="872"/>
      <x:c r="AM377" s="872"/>
      <x:c r="AN377" s="872"/>
      <x:c r="AO377" s="872"/>
      <x:c r="AP377" s="872"/>
      <x:c r="AQ377" s="878"/>
      <x:c r="AR377" s="874"/>
    </x:row>
    <x:row r="378" s="36" customFormat="1" ht="30" customHeight="1">
      <x:c r="A378" s="871"/>
      <x:c r="B378" s="871"/>
      <x:c r="C378" s="871"/>
      <x:c r="D378" s="872"/>
      <x:c r="E378" s="871"/>
      <x:c r="F378" s="871"/>
      <x:c r="G378" s="872"/>
      <x:c r="H378" s="872"/>
      <x:c r="I378" s="875"/>
      <x:c r="J378" s="872"/>
      <x:c r="K378" s="873"/>
      <x:c r="L378" s="876"/>
      <x:c r="M378" s="873"/>
      <x:c r="N378" s="874"/>
      <x:c r="O378" s="874"/>
      <x:c r="P378" s="872"/>
      <x:c r="Q378" s="872"/>
      <x:c r="R378" s="872"/>
      <x:c r="S378" s="872"/>
      <x:c r="T378" s="872"/>
      <x:c r="U378" s="872"/>
      <x:c r="V378" s="872"/>
      <x:c r="W378" s="872"/>
      <x:c r="X378" s="872"/>
      <x:c r="Y378" s="872"/>
      <x:c r="Z378" s="872"/>
      <x:c r="AA378" s="877"/>
      <x:c r="AB378" s="872"/>
      <x:c r="AC378" s="872"/>
      <x:c r="AD378" s="872"/>
      <x:c r="AE378" s="872"/>
      <x:c r="AF378" s="872"/>
      <x:c r="AG378" s="872"/>
      <x:c r="AH378" s="872"/>
      <x:c r="AI378" s="872"/>
      <x:c r="AJ378" s="872"/>
      <x:c r="AK378" s="872"/>
      <x:c r="AL378" s="872"/>
      <x:c r="AM378" s="872"/>
      <x:c r="AN378" s="872"/>
      <x:c r="AO378" s="872"/>
      <x:c r="AP378" s="872"/>
      <x:c r="AQ378" s="878"/>
      <x:c r="AR378" s="874"/>
    </x:row>
    <x:row r="379" s="36" customFormat="1" ht="30" customHeight="1">
      <x:c r="A379" s="871"/>
      <x:c r="B379" s="871"/>
      <x:c r="C379" s="871"/>
      <x:c r="D379" s="872"/>
      <x:c r="E379" s="871"/>
      <x:c r="F379" s="871"/>
      <x:c r="G379" s="872"/>
      <x:c r="H379" s="872"/>
      <x:c r="I379" s="875"/>
      <x:c r="J379" s="872"/>
      <x:c r="K379" s="873"/>
      <x:c r="L379" s="876"/>
      <x:c r="M379" s="873"/>
      <x:c r="N379" s="874"/>
      <x:c r="O379" s="874"/>
      <x:c r="P379" s="872"/>
      <x:c r="Q379" s="872"/>
      <x:c r="R379" s="872"/>
      <x:c r="S379" s="872"/>
      <x:c r="T379" s="872"/>
      <x:c r="U379" s="872"/>
      <x:c r="V379" s="872"/>
      <x:c r="W379" s="872"/>
      <x:c r="X379" s="872"/>
      <x:c r="Y379" s="872"/>
      <x:c r="Z379" s="872"/>
      <x:c r="AA379" s="877"/>
      <x:c r="AB379" s="872"/>
      <x:c r="AC379" s="872"/>
      <x:c r="AD379" s="872"/>
      <x:c r="AE379" s="872"/>
      <x:c r="AF379" s="872"/>
      <x:c r="AG379" s="872"/>
      <x:c r="AH379" s="872"/>
      <x:c r="AI379" s="872"/>
      <x:c r="AJ379" s="872"/>
      <x:c r="AK379" s="872"/>
      <x:c r="AL379" s="872"/>
      <x:c r="AM379" s="872"/>
      <x:c r="AN379" s="872"/>
      <x:c r="AO379" s="872"/>
      <x:c r="AP379" s="872"/>
      <x:c r="AQ379" s="878"/>
      <x:c r="AR379" s="874"/>
    </x:row>
    <x:row r="380" s="36" customFormat="1" ht="30" customHeight="1">
      <x:c r="A380" s="871"/>
      <x:c r="B380" s="871"/>
      <x:c r="C380" s="871"/>
      <x:c r="D380" s="872"/>
      <x:c r="E380" s="871"/>
      <x:c r="F380" s="871"/>
      <x:c r="G380" s="872"/>
      <x:c r="H380" s="872"/>
      <x:c r="I380" s="875"/>
      <x:c r="J380" s="872"/>
      <x:c r="K380" s="873"/>
      <x:c r="L380" s="876"/>
      <x:c r="M380" s="873"/>
      <x:c r="N380" s="874"/>
      <x:c r="O380" s="874"/>
      <x:c r="P380" s="872"/>
      <x:c r="Q380" s="872"/>
      <x:c r="R380" s="872"/>
      <x:c r="S380" s="872"/>
      <x:c r="T380" s="872"/>
      <x:c r="U380" s="872"/>
      <x:c r="V380" s="872"/>
      <x:c r="W380" s="872"/>
      <x:c r="X380" s="872"/>
      <x:c r="Y380" s="872"/>
      <x:c r="Z380" s="872"/>
      <x:c r="AA380" s="877"/>
      <x:c r="AB380" s="872"/>
      <x:c r="AC380" s="872"/>
      <x:c r="AD380" s="872"/>
      <x:c r="AE380" s="872"/>
      <x:c r="AF380" s="872"/>
      <x:c r="AG380" s="872"/>
      <x:c r="AH380" s="872"/>
      <x:c r="AI380" s="872"/>
      <x:c r="AJ380" s="872"/>
      <x:c r="AK380" s="872"/>
      <x:c r="AL380" s="872"/>
      <x:c r="AM380" s="872"/>
      <x:c r="AN380" s="872"/>
      <x:c r="AO380" s="872"/>
      <x:c r="AP380" s="872"/>
      <x:c r="AQ380" s="878"/>
      <x:c r="AR380" s="874"/>
    </x:row>
    <x:row r="381" s="36" customFormat="1" ht="30" customHeight="1">
      <x:c r="A381" s="871"/>
      <x:c r="B381" s="871"/>
      <x:c r="C381" s="871"/>
      <x:c r="D381" s="872"/>
      <x:c r="E381" s="871"/>
      <x:c r="F381" s="871"/>
      <x:c r="G381" s="872"/>
      <x:c r="H381" s="872"/>
      <x:c r="I381" s="875"/>
      <x:c r="J381" s="872"/>
      <x:c r="K381" s="873"/>
      <x:c r="L381" s="876"/>
      <x:c r="M381" s="873"/>
      <x:c r="N381" s="874"/>
      <x:c r="O381" s="874"/>
      <x:c r="P381" s="872"/>
      <x:c r="Q381" s="872"/>
      <x:c r="R381" s="872"/>
      <x:c r="S381" s="872"/>
      <x:c r="T381" s="872"/>
      <x:c r="U381" s="872"/>
      <x:c r="V381" s="872"/>
      <x:c r="W381" s="872"/>
      <x:c r="X381" s="872"/>
      <x:c r="Y381" s="872"/>
      <x:c r="Z381" s="872"/>
      <x:c r="AA381" s="877"/>
      <x:c r="AB381" s="872"/>
      <x:c r="AC381" s="872"/>
      <x:c r="AD381" s="872"/>
      <x:c r="AE381" s="872"/>
      <x:c r="AF381" s="872"/>
      <x:c r="AG381" s="872"/>
      <x:c r="AH381" s="872"/>
      <x:c r="AI381" s="872"/>
      <x:c r="AJ381" s="872"/>
      <x:c r="AK381" s="872"/>
      <x:c r="AL381" s="872"/>
      <x:c r="AM381" s="872"/>
      <x:c r="AN381" s="872"/>
      <x:c r="AO381" s="872"/>
      <x:c r="AP381" s="872"/>
      <x:c r="AQ381" s="878"/>
      <x:c r="AR381" s="874"/>
    </x:row>
    <x:row r="382" s="36" customFormat="1" ht="30" customHeight="1">
      <x:c r="A382" s="871"/>
      <x:c r="B382" s="871"/>
      <x:c r="C382" s="871"/>
      <x:c r="D382" s="872"/>
      <x:c r="E382" s="871"/>
      <x:c r="F382" s="871"/>
      <x:c r="G382" s="872"/>
      <x:c r="H382" s="872"/>
      <x:c r="I382" s="875"/>
      <x:c r="J382" s="872"/>
      <x:c r="K382" s="873"/>
      <x:c r="L382" s="876"/>
      <x:c r="M382" s="873"/>
      <x:c r="N382" s="874"/>
      <x:c r="O382" s="874"/>
      <x:c r="P382" s="872"/>
      <x:c r="Q382" s="872"/>
      <x:c r="R382" s="872"/>
      <x:c r="S382" s="872"/>
      <x:c r="T382" s="872"/>
      <x:c r="U382" s="872"/>
      <x:c r="V382" s="872"/>
      <x:c r="W382" s="872"/>
      <x:c r="X382" s="872"/>
      <x:c r="Y382" s="872"/>
      <x:c r="Z382" s="872"/>
      <x:c r="AA382" s="877"/>
      <x:c r="AB382" s="872"/>
      <x:c r="AC382" s="872"/>
      <x:c r="AD382" s="872"/>
      <x:c r="AE382" s="872"/>
      <x:c r="AF382" s="872"/>
      <x:c r="AG382" s="872"/>
      <x:c r="AH382" s="872"/>
      <x:c r="AI382" s="872"/>
      <x:c r="AJ382" s="872"/>
      <x:c r="AK382" s="872"/>
      <x:c r="AL382" s="872"/>
      <x:c r="AM382" s="872"/>
      <x:c r="AN382" s="872"/>
      <x:c r="AO382" s="872"/>
      <x:c r="AP382" s="872"/>
      <x:c r="AQ382" s="878"/>
      <x:c r="AR382" s="874"/>
    </x:row>
    <x:row r="383" s="36" customFormat="1" ht="30" customHeight="1">
      <x:c r="A383" s="871"/>
      <x:c r="B383" s="871"/>
      <x:c r="C383" s="871"/>
      <x:c r="D383" s="872"/>
      <x:c r="E383" s="871"/>
      <x:c r="F383" s="871"/>
      <x:c r="G383" s="872"/>
      <x:c r="H383" s="872"/>
      <x:c r="I383" s="875"/>
      <x:c r="J383" s="872"/>
      <x:c r="K383" s="873"/>
      <x:c r="L383" s="876"/>
      <x:c r="M383" s="873"/>
      <x:c r="N383" s="874"/>
      <x:c r="O383" s="874"/>
      <x:c r="P383" s="872"/>
      <x:c r="Q383" s="872"/>
      <x:c r="R383" s="872"/>
      <x:c r="S383" s="872"/>
      <x:c r="T383" s="872"/>
      <x:c r="U383" s="872"/>
      <x:c r="V383" s="872"/>
      <x:c r="W383" s="872"/>
      <x:c r="X383" s="872"/>
      <x:c r="Y383" s="872"/>
      <x:c r="Z383" s="872"/>
      <x:c r="AA383" s="877"/>
      <x:c r="AB383" s="872"/>
      <x:c r="AC383" s="872"/>
      <x:c r="AD383" s="872"/>
      <x:c r="AE383" s="872"/>
      <x:c r="AF383" s="872"/>
      <x:c r="AG383" s="872"/>
      <x:c r="AH383" s="872"/>
      <x:c r="AI383" s="872"/>
      <x:c r="AJ383" s="872"/>
      <x:c r="AK383" s="872"/>
      <x:c r="AL383" s="872"/>
      <x:c r="AM383" s="872"/>
      <x:c r="AN383" s="872"/>
      <x:c r="AO383" s="872"/>
      <x:c r="AP383" s="872"/>
      <x:c r="AQ383" s="878"/>
      <x:c r="AR383" s="874"/>
    </x:row>
    <x:row r="384" s="36" customFormat="1" ht="30" customHeight="1">
      <x:c r="A384" s="871"/>
      <x:c r="B384" s="871"/>
      <x:c r="C384" s="871"/>
      <x:c r="D384" s="872"/>
      <x:c r="E384" s="871"/>
      <x:c r="F384" s="871"/>
      <x:c r="G384" s="872"/>
      <x:c r="H384" s="872"/>
      <x:c r="I384" s="875"/>
      <x:c r="J384" s="872"/>
      <x:c r="K384" s="873"/>
      <x:c r="L384" s="876"/>
      <x:c r="M384" s="873"/>
      <x:c r="N384" s="874"/>
      <x:c r="O384" s="874"/>
      <x:c r="P384" s="872"/>
      <x:c r="Q384" s="872"/>
      <x:c r="R384" s="872"/>
      <x:c r="S384" s="872"/>
      <x:c r="T384" s="872"/>
      <x:c r="U384" s="872"/>
      <x:c r="V384" s="872"/>
      <x:c r="W384" s="872"/>
      <x:c r="X384" s="872"/>
      <x:c r="Y384" s="872"/>
      <x:c r="Z384" s="872"/>
      <x:c r="AA384" s="877"/>
      <x:c r="AB384" s="872"/>
      <x:c r="AC384" s="872"/>
      <x:c r="AD384" s="872"/>
      <x:c r="AE384" s="872"/>
      <x:c r="AF384" s="872"/>
      <x:c r="AG384" s="872"/>
      <x:c r="AH384" s="872"/>
      <x:c r="AI384" s="872"/>
      <x:c r="AJ384" s="872"/>
      <x:c r="AK384" s="872"/>
      <x:c r="AL384" s="872"/>
      <x:c r="AM384" s="872"/>
      <x:c r="AN384" s="872"/>
      <x:c r="AO384" s="872"/>
      <x:c r="AP384" s="872"/>
      <x:c r="AQ384" s="878"/>
      <x:c r="AR384" s="874"/>
    </x:row>
    <x:row r="385" s="36" customFormat="1" ht="30" customHeight="1">
      <x:c r="A385" s="871"/>
      <x:c r="B385" s="871"/>
      <x:c r="C385" s="871"/>
      <x:c r="D385" s="872"/>
      <x:c r="E385" s="871"/>
      <x:c r="F385" s="871"/>
      <x:c r="G385" s="872"/>
      <x:c r="H385" s="872"/>
      <x:c r="I385" s="875"/>
      <x:c r="J385" s="872"/>
      <x:c r="K385" s="873"/>
      <x:c r="L385" s="876"/>
      <x:c r="M385" s="873"/>
      <x:c r="N385" s="874"/>
      <x:c r="O385" s="874"/>
      <x:c r="P385" s="872"/>
      <x:c r="Q385" s="872"/>
      <x:c r="R385" s="872"/>
      <x:c r="S385" s="872"/>
      <x:c r="T385" s="872"/>
      <x:c r="U385" s="872"/>
      <x:c r="V385" s="872"/>
      <x:c r="W385" s="872"/>
      <x:c r="X385" s="872"/>
      <x:c r="Y385" s="872"/>
      <x:c r="Z385" s="872"/>
      <x:c r="AA385" s="877"/>
      <x:c r="AB385" s="872"/>
      <x:c r="AC385" s="872"/>
      <x:c r="AD385" s="872"/>
      <x:c r="AE385" s="872"/>
      <x:c r="AF385" s="872"/>
      <x:c r="AG385" s="872"/>
      <x:c r="AH385" s="872"/>
      <x:c r="AI385" s="872"/>
      <x:c r="AJ385" s="872"/>
      <x:c r="AK385" s="872"/>
      <x:c r="AL385" s="872"/>
      <x:c r="AM385" s="872"/>
      <x:c r="AN385" s="872"/>
      <x:c r="AO385" s="872"/>
      <x:c r="AP385" s="872"/>
      <x:c r="AQ385" s="878"/>
      <x:c r="AR385" s="874"/>
    </x:row>
    <x:row r="386" s="36" customFormat="1" ht="30" customHeight="1">
      <x:c r="A386" s="871"/>
      <x:c r="B386" s="871"/>
      <x:c r="C386" s="871"/>
      <x:c r="D386" s="872"/>
      <x:c r="E386" s="871"/>
      <x:c r="F386" s="871"/>
      <x:c r="G386" s="872"/>
      <x:c r="H386" s="872"/>
      <x:c r="I386" s="875"/>
      <x:c r="J386" s="872"/>
      <x:c r="K386" s="873"/>
      <x:c r="L386" s="876"/>
      <x:c r="M386" s="873"/>
      <x:c r="N386" s="874"/>
      <x:c r="O386" s="874"/>
      <x:c r="P386" s="872"/>
      <x:c r="Q386" s="872"/>
      <x:c r="R386" s="872"/>
      <x:c r="S386" s="872"/>
      <x:c r="T386" s="872"/>
      <x:c r="U386" s="872"/>
      <x:c r="V386" s="872"/>
      <x:c r="W386" s="872"/>
      <x:c r="X386" s="872"/>
      <x:c r="Y386" s="872"/>
      <x:c r="Z386" s="872"/>
      <x:c r="AA386" s="877"/>
      <x:c r="AB386" s="872"/>
      <x:c r="AC386" s="872"/>
      <x:c r="AD386" s="872"/>
      <x:c r="AE386" s="872"/>
      <x:c r="AF386" s="872"/>
      <x:c r="AG386" s="872"/>
      <x:c r="AH386" s="872"/>
      <x:c r="AI386" s="872"/>
      <x:c r="AJ386" s="872"/>
      <x:c r="AK386" s="872"/>
      <x:c r="AL386" s="872"/>
      <x:c r="AM386" s="872"/>
      <x:c r="AN386" s="872"/>
      <x:c r="AO386" s="872"/>
      <x:c r="AP386" s="872"/>
      <x:c r="AQ386" s="878"/>
      <x:c r="AR386" s="874"/>
    </x:row>
    <x:row r="387" s="36" customFormat="1" ht="30" customHeight="1">
      <x:c r="A387" s="871"/>
      <x:c r="B387" s="871"/>
      <x:c r="C387" s="871"/>
      <x:c r="D387" s="872"/>
      <x:c r="E387" s="871"/>
      <x:c r="F387" s="871"/>
      <x:c r="G387" s="872"/>
      <x:c r="H387" s="872"/>
      <x:c r="I387" s="875"/>
      <x:c r="J387" s="872"/>
      <x:c r="K387" s="873"/>
      <x:c r="L387" s="876"/>
      <x:c r="M387" s="873"/>
      <x:c r="N387" s="874"/>
      <x:c r="O387" s="874"/>
      <x:c r="P387" s="872"/>
      <x:c r="Q387" s="872"/>
      <x:c r="R387" s="872"/>
      <x:c r="S387" s="872"/>
      <x:c r="T387" s="872"/>
      <x:c r="U387" s="872"/>
      <x:c r="V387" s="872"/>
      <x:c r="W387" s="872"/>
      <x:c r="X387" s="872"/>
      <x:c r="Y387" s="872"/>
      <x:c r="Z387" s="872"/>
      <x:c r="AA387" s="877"/>
      <x:c r="AB387" s="872"/>
      <x:c r="AC387" s="872"/>
      <x:c r="AD387" s="872"/>
      <x:c r="AE387" s="872"/>
      <x:c r="AF387" s="872"/>
      <x:c r="AG387" s="872"/>
      <x:c r="AH387" s="872"/>
      <x:c r="AI387" s="872"/>
      <x:c r="AJ387" s="872"/>
      <x:c r="AK387" s="872"/>
      <x:c r="AL387" s="872"/>
      <x:c r="AM387" s="872"/>
      <x:c r="AN387" s="872"/>
      <x:c r="AO387" s="872"/>
      <x:c r="AP387" s="872"/>
      <x:c r="AQ387" s="878"/>
      <x:c r="AR387" s="874"/>
    </x:row>
    <x:row r="388" s="36" customFormat="1" ht="30" customHeight="1">
      <x:c r="A388" s="871"/>
      <x:c r="B388" s="871"/>
      <x:c r="C388" s="871"/>
      <x:c r="D388" s="872"/>
      <x:c r="E388" s="871"/>
      <x:c r="F388" s="871"/>
      <x:c r="G388" s="872"/>
      <x:c r="H388" s="872"/>
      <x:c r="I388" s="875"/>
      <x:c r="J388" s="872"/>
      <x:c r="K388" s="873"/>
      <x:c r="L388" s="876"/>
      <x:c r="M388" s="873"/>
      <x:c r="N388" s="874"/>
      <x:c r="O388" s="874"/>
      <x:c r="P388" s="872"/>
      <x:c r="Q388" s="872"/>
      <x:c r="R388" s="872"/>
      <x:c r="S388" s="872"/>
      <x:c r="T388" s="872"/>
      <x:c r="U388" s="872"/>
      <x:c r="V388" s="872"/>
      <x:c r="W388" s="872"/>
      <x:c r="X388" s="872"/>
      <x:c r="Y388" s="872"/>
      <x:c r="Z388" s="872"/>
      <x:c r="AA388" s="877"/>
      <x:c r="AB388" s="872"/>
      <x:c r="AC388" s="872"/>
      <x:c r="AD388" s="872"/>
      <x:c r="AE388" s="872"/>
      <x:c r="AF388" s="872"/>
      <x:c r="AG388" s="872"/>
      <x:c r="AH388" s="872"/>
      <x:c r="AI388" s="872"/>
      <x:c r="AJ388" s="872"/>
      <x:c r="AK388" s="872"/>
      <x:c r="AL388" s="872"/>
      <x:c r="AM388" s="872"/>
      <x:c r="AN388" s="872"/>
      <x:c r="AO388" s="872"/>
      <x:c r="AP388" s="872"/>
      <x:c r="AQ388" s="878"/>
      <x:c r="AR388" s="874"/>
    </x:row>
    <x:row r="389" s="36" customFormat="1" ht="30" customHeight="1">
      <x:c r="A389" s="871"/>
      <x:c r="B389" s="871"/>
      <x:c r="C389" s="871"/>
      <x:c r="D389" s="872"/>
      <x:c r="E389" s="871"/>
      <x:c r="F389" s="871"/>
      <x:c r="G389" s="872"/>
      <x:c r="H389" s="872"/>
      <x:c r="I389" s="875"/>
      <x:c r="J389" s="872"/>
      <x:c r="K389" s="873"/>
      <x:c r="L389" s="876"/>
      <x:c r="M389" s="873"/>
      <x:c r="N389" s="874"/>
      <x:c r="O389" s="874"/>
      <x:c r="P389" s="872"/>
      <x:c r="Q389" s="872"/>
      <x:c r="R389" s="872"/>
      <x:c r="S389" s="872"/>
      <x:c r="T389" s="872"/>
      <x:c r="U389" s="872"/>
      <x:c r="V389" s="872"/>
      <x:c r="W389" s="872"/>
      <x:c r="X389" s="872"/>
      <x:c r="Y389" s="872"/>
      <x:c r="Z389" s="872"/>
      <x:c r="AA389" s="877"/>
      <x:c r="AB389" s="872"/>
      <x:c r="AC389" s="872"/>
      <x:c r="AD389" s="872"/>
      <x:c r="AE389" s="872"/>
      <x:c r="AF389" s="872"/>
      <x:c r="AG389" s="872"/>
      <x:c r="AH389" s="872"/>
      <x:c r="AI389" s="872"/>
      <x:c r="AJ389" s="872"/>
      <x:c r="AK389" s="872"/>
      <x:c r="AL389" s="872"/>
      <x:c r="AM389" s="872"/>
      <x:c r="AN389" s="872"/>
      <x:c r="AO389" s="872"/>
      <x:c r="AP389" s="872"/>
      <x:c r="AQ389" s="878"/>
      <x:c r="AR389" s="874"/>
    </x:row>
    <x:row r="390" s="36" customFormat="1" ht="30" customHeight="1">
      <x:c r="A390" s="871"/>
      <x:c r="B390" s="871"/>
      <x:c r="C390" s="871"/>
      <x:c r="D390" s="872"/>
      <x:c r="E390" s="871"/>
      <x:c r="F390" s="871"/>
      <x:c r="G390" s="872"/>
      <x:c r="H390" s="872"/>
      <x:c r="I390" s="875"/>
      <x:c r="J390" s="872"/>
      <x:c r="K390" s="873"/>
      <x:c r="L390" s="876"/>
      <x:c r="M390" s="873"/>
      <x:c r="N390" s="874"/>
      <x:c r="O390" s="874"/>
      <x:c r="P390" s="872"/>
      <x:c r="Q390" s="872"/>
      <x:c r="R390" s="872"/>
      <x:c r="S390" s="872"/>
      <x:c r="T390" s="872"/>
      <x:c r="U390" s="872"/>
      <x:c r="V390" s="872"/>
      <x:c r="W390" s="872"/>
      <x:c r="X390" s="872"/>
      <x:c r="Y390" s="872"/>
      <x:c r="Z390" s="872"/>
      <x:c r="AA390" s="877"/>
      <x:c r="AB390" s="872"/>
      <x:c r="AC390" s="872"/>
      <x:c r="AD390" s="872"/>
      <x:c r="AE390" s="872"/>
      <x:c r="AF390" s="872"/>
      <x:c r="AG390" s="872"/>
      <x:c r="AH390" s="872"/>
      <x:c r="AI390" s="872"/>
      <x:c r="AJ390" s="872"/>
      <x:c r="AK390" s="872"/>
      <x:c r="AL390" s="872"/>
      <x:c r="AM390" s="872"/>
      <x:c r="AN390" s="872"/>
      <x:c r="AO390" s="872"/>
      <x:c r="AP390" s="872"/>
      <x:c r="AQ390" s="878"/>
      <x:c r="AR390" s="874"/>
    </x:row>
    <x:row r="391" s="36" customFormat="1" ht="30" customHeight="1">
      <x:c r="A391" s="871"/>
      <x:c r="B391" s="871"/>
      <x:c r="C391" s="871"/>
      <x:c r="D391" s="872"/>
      <x:c r="E391" s="871"/>
      <x:c r="F391" s="871"/>
      <x:c r="G391" s="872"/>
      <x:c r="H391" s="872"/>
      <x:c r="I391" s="875"/>
      <x:c r="J391" s="872"/>
      <x:c r="K391" s="873"/>
      <x:c r="L391" s="876"/>
      <x:c r="M391" s="873"/>
      <x:c r="N391" s="874"/>
      <x:c r="O391" s="874"/>
      <x:c r="P391" s="872"/>
      <x:c r="Q391" s="872"/>
      <x:c r="R391" s="872"/>
      <x:c r="S391" s="872"/>
      <x:c r="T391" s="872"/>
      <x:c r="U391" s="872"/>
      <x:c r="V391" s="872"/>
      <x:c r="W391" s="872"/>
      <x:c r="X391" s="872"/>
      <x:c r="Y391" s="872"/>
      <x:c r="Z391" s="872"/>
      <x:c r="AA391" s="877"/>
      <x:c r="AB391" s="872"/>
      <x:c r="AC391" s="872"/>
      <x:c r="AD391" s="872"/>
      <x:c r="AE391" s="872"/>
      <x:c r="AF391" s="872"/>
      <x:c r="AG391" s="872"/>
      <x:c r="AH391" s="872"/>
      <x:c r="AI391" s="872"/>
      <x:c r="AJ391" s="872"/>
      <x:c r="AK391" s="872"/>
      <x:c r="AL391" s="872"/>
      <x:c r="AM391" s="872"/>
      <x:c r="AN391" s="872"/>
      <x:c r="AO391" s="872"/>
      <x:c r="AP391" s="872"/>
      <x:c r="AQ391" s="878"/>
      <x:c r="AR391" s="874"/>
    </x:row>
    <x:row r="392" s="36" customFormat="1" ht="30" customHeight="1">
      <x:c r="A392" s="871"/>
      <x:c r="B392" s="871"/>
      <x:c r="C392" s="871"/>
      <x:c r="D392" s="872"/>
      <x:c r="E392" s="871"/>
      <x:c r="F392" s="871"/>
      <x:c r="G392" s="872"/>
      <x:c r="H392" s="872"/>
      <x:c r="I392" s="875"/>
      <x:c r="J392" s="872"/>
      <x:c r="K392" s="873"/>
      <x:c r="L392" s="876"/>
      <x:c r="M392" s="873"/>
      <x:c r="N392" s="874"/>
      <x:c r="O392" s="874"/>
      <x:c r="P392" s="872"/>
      <x:c r="Q392" s="872"/>
      <x:c r="R392" s="872"/>
      <x:c r="S392" s="872"/>
      <x:c r="T392" s="872"/>
      <x:c r="U392" s="872"/>
      <x:c r="V392" s="872"/>
      <x:c r="W392" s="872"/>
      <x:c r="X392" s="872"/>
      <x:c r="Y392" s="872"/>
      <x:c r="Z392" s="872"/>
      <x:c r="AA392" s="877"/>
      <x:c r="AB392" s="872"/>
      <x:c r="AC392" s="872"/>
      <x:c r="AD392" s="872"/>
      <x:c r="AE392" s="872"/>
      <x:c r="AF392" s="872"/>
      <x:c r="AG392" s="872"/>
      <x:c r="AH392" s="872"/>
      <x:c r="AI392" s="872"/>
      <x:c r="AJ392" s="872"/>
      <x:c r="AK392" s="872"/>
      <x:c r="AL392" s="872"/>
      <x:c r="AM392" s="872"/>
      <x:c r="AN392" s="872"/>
      <x:c r="AO392" s="872"/>
      <x:c r="AP392" s="872"/>
      <x:c r="AQ392" s="878"/>
      <x:c r="AR392" s="874"/>
    </x:row>
    <x:row r="393" s="36" customFormat="1" ht="30" customHeight="1">
      <x:c r="A393" s="871"/>
      <x:c r="B393" s="871"/>
      <x:c r="C393" s="871"/>
      <x:c r="D393" s="872"/>
      <x:c r="E393" s="871"/>
      <x:c r="F393" s="871"/>
      <x:c r="G393" s="872"/>
      <x:c r="H393" s="872"/>
      <x:c r="I393" s="875"/>
      <x:c r="J393" s="872"/>
      <x:c r="K393" s="873"/>
      <x:c r="L393" s="876"/>
      <x:c r="M393" s="873"/>
      <x:c r="N393" s="874"/>
      <x:c r="O393" s="874"/>
      <x:c r="P393" s="872"/>
      <x:c r="Q393" s="872"/>
      <x:c r="R393" s="872"/>
      <x:c r="S393" s="872"/>
      <x:c r="T393" s="872"/>
      <x:c r="U393" s="872"/>
      <x:c r="V393" s="872"/>
      <x:c r="W393" s="872"/>
      <x:c r="X393" s="872"/>
      <x:c r="Y393" s="872"/>
      <x:c r="Z393" s="872"/>
      <x:c r="AA393" s="877"/>
      <x:c r="AB393" s="872"/>
      <x:c r="AC393" s="872"/>
      <x:c r="AD393" s="872"/>
      <x:c r="AE393" s="872"/>
      <x:c r="AF393" s="872"/>
      <x:c r="AG393" s="872"/>
      <x:c r="AH393" s="872"/>
      <x:c r="AI393" s="872"/>
      <x:c r="AJ393" s="872"/>
      <x:c r="AK393" s="872"/>
      <x:c r="AL393" s="872"/>
      <x:c r="AM393" s="872"/>
      <x:c r="AN393" s="872"/>
      <x:c r="AO393" s="872"/>
      <x:c r="AP393" s="872"/>
      <x:c r="AQ393" s="878"/>
      <x:c r="AR393" s="874"/>
    </x:row>
    <x:row r="394" s="36" customFormat="1" ht="30" customHeight="1">
      <x:c r="A394" s="871"/>
      <x:c r="B394" s="871"/>
      <x:c r="C394" s="871"/>
      <x:c r="D394" s="872"/>
      <x:c r="E394" s="871"/>
      <x:c r="F394" s="871"/>
      <x:c r="G394" s="872"/>
      <x:c r="H394" s="872"/>
      <x:c r="I394" s="875"/>
      <x:c r="J394" s="872"/>
      <x:c r="K394" s="873"/>
      <x:c r="L394" s="876"/>
      <x:c r="M394" s="873"/>
      <x:c r="N394" s="874"/>
      <x:c r="O394" s="874"/>
      <x:c r="P394" s="872"/>
      <x:c r="Q394" s="872"/>
      <x:c r="R394" s="872"/>
      <x:c r="S394" s="872"/>
      <x:c r="T394" s="872"/>
      <x:c r="U394" s="872"/>
      <x:c r="V394" s="872"/>
      <x:c r="W394" s="872"/>
      <x:c r="X394" s="872"/>
      <x:c r="Y394" s="872"/>
      <x:c r="Z394" s="872"/>
      <x:c r="AA394" s="877"/>
      <x:c r="AB394" s="872"/>
      <x:c r="AC394" s="872"/>
      <x:c r="AD394" s="872"/>
      <x:c r="AE394" s="872"/>
      <x:c r="AF394" s="872"/>
      <x:c r="AG394" s="872"/>
      <x:c r="AH394" s="872"/>
      <x:c r="AI394" s="872"/>
      <x:c r="AJ394" s="872"/>
      <x:c r="AK394" s="872"/>
      <x:c r="AL394" s="872"/>
      <x:c r="AM394" s="872"/>
      <x:c r="AN394" s="872"/>
      <x:c r="AO394" s="872"/>
      <x:c r="AP394" s="872"/>
      <x:c r="AQ394" s="878"/>
      <x:c r="AR394" s="874"/>
    </x:row>
    <x:row r="395" s="36" customFormat="1" ht="30" customHeight="1">
      <x:c r="A395" s="871"/>
      <x:c r="B395" s="871"/>
      <x:c r="C395" s="871"/>
      <x:c r="D395" s="872"/>
      <x:c r="E395" s="871"/>
      <x:c r="F395" s="871"/>
      <x:c r="G395" s="872"/>
      <x:c r="H395" s="872"/>
      <x:c r="I395" s="875"/>
      <x:c r="J395" s="872"/>
      <x:c r="K395" s="873"/>
      <x:c r="L395" s="876"/>
      <x:c r="M395" s="873"/>
      <x:c r="N395" s="874"/>
      <x:c r="O395" s="874"/>
      <x:c r="P395" s="872"/>
      <x:c r="Q395" s="872"/>
      <x:c r="R395" s="872"/>
      <x:c r="S395" s="872"/>
      <x:c r="T395" s="872"/>
      <x:c r="U395" s="872"/>
      <x:c r="V395" s="872"/>
      <x:c r="W395" s="872"/>
      <x:c r="X395" s="872"/>
      <x:c r="Y395" s="872"/>
      <x:c r="Z395" s="872"/>
      <x:c r="AA395" s="877"/>
      <x:c r="AB395" s="872"/>
      <x:c r="AC395" s="872"/>
      <x:c r="AD395" s="872"/>
      <x:c r="AE395" s="872"/>
      <x:c r="AF395" s="872"/>
      <x:c r="AG395" s="872"/>
      <x:c r="AH395" s="872"/>
      <x:c r="AI395" s="872"/>
      <x:c r="AJ395" s="872"/>
      <x:c r="AK395" s="872"/>
      <x:c r="AL395" s="872"/>
      <x:c r="AM395" s="872"/>
      <x:c r="AN395" s="872"/>
      <x:c r="AO395" s="872"/>
      <x:c r="AP395" s="872"/>
      <x:c r="AQ395" s="878"/>
      <x:c r="AR395" s="874"/>
    </x:row>
    <x:row r="396" s="36" customFormat="1" ht="30" customHeight="1">
      <x:c r="A396" s="871"/>
      <x:c r="B396" s="871"/>
      <x:c r="C396" s="871"/>
      <x:c r="D396" s="872"/>
      <x:c r="E396" s="871"/>
      <x:c r="F396" s="871"/>
      <x:c r="G396" s="872"/>
      <x:c r="H396" s="872"/>
      <x:c r="I396" s="875"/>
      <x:c r="J396" s="872"/>
      <x:c r="K396" s="873"/>
      <x:c r="L396" s="876"/>
      <x:c r="M396" s="873"/>
      <x:c r="N396" s="874"/>
      <x:c r="O396" s="874"/>
      <x:c r="P396" s="872"/>
      <x:c r="Q396" s="872"/>
      <x:c r="R396" s="872"/>
      <x:c r="S396" s="872"/>
      <x:c r="T396" s="872"/>
      <x:c r="U396" s="872"/>
      <x:c r="V396" s="872"/>
      <x:c r="W396" s="872"/>
      <x:c r="X396" s="872"/>
      <x:c r="Y396" s="872"/>
      <x:c r="Z396" s="872"/>
      <x:c r="AA396" s="877"/>
      <x:c r="AB396" s="872"/>
      <x:c r="AC396" s="872"/>
      <x:c r="AD396" s="872"/>
      <x:c r="AE396" s="872"/>
      <x:c r="AF396" s="872"/>
      <x:c r="AG396" s="872"/>
      <x:c r="AH396" s="872"/>
      <x:c r="AI396" s="872"/>
      <x:c r="AJ396" s="872"/>
      <x:c r="AK396" s="872"/>
      <x:c r="AL396" s="872"/>
      <x:c r="AM396" s="872"/>
      <x:c r="AN396" s="872"/>
      <x:c r="AO396" s="872"/>
      <x:c r="AP396" s="872"/>
      <x:c r="AQ396" s="878"/>
      <x:c r="AR396" s="874"/>
    </x:row>
    <x:row r="397" s="36" customFormat="1" ht="30" customHeight="1">
      <x:c r="A397" s="871"/>
      <x:c r="B397" s="871"/>
      <x:c r="C397" s="871"/>
      <x:c r="D397" s="872"/>
      <x:c r="E397" s="871"/>
      <x:c r="F397" s="871"/>
      <x:c r="G397" s="872"/>
      <x:c r="H397" s="872"/>
      <x:c r="I397" s="875"/>
      <x:c r="J397" s="872"/>
      <x:c r="K397" s="873"/>
      <x:c r="L397" s="876"/>
      <x:c r="M397" s="873"/>
      <x:c r="N397" s="874"/>
      <x:c r="O397" s="874"/>
      <x:c r="P397" s="872"/>
      <x:c r="Q397" s="872"/>
      <x:c r="R397" s="872"/>
      <x:c r="S397" s="872"/>
      <x:c r="T397" s="872"/>
      <x:c r="U397" s="872"/>
      <x:c r="V397" s="872"/>
      <x:c r="W397" s="872"/>
      <x:c r="X397" s="872"/>
      <x:c r="Y397" s="872"/>
      <x:c r="Z397" s="872"/>
      <x:c r="AA397" s="877"/>
      <x:c r="AB397" s="872"/>
      <x:c r="AC397" s="872"/>
      <x:c r="AD397" s="872"/>
      <x:c r="AE397" s="872"/>
      <x:c r="AF397" s="872"/>
      <x:c r="AG397" s="872"/>
      <x:c r="AH397" s="872"/>
      <x:c r="AI397" s="872"/>
      <x:c r="AJ397" s="872"/>
      <x:c r="AK397" s="872"/>
      <x:c r="AL397" s="872"/>
      <x:c r="AM397" s="872"/>
      <x:c r="AN397" s="872"/>
      <x:c r="AO397" s="872"/>
      <x:c r="AP397" s="872"/>
      <x:c r="AQ397" s="878"/>
      <x:c r="AR397" s="874"/>
    </x:row>
    <x:row r="398" s="36" customFormat="1" ht="30" customHeight="1">
      <x:c r="A398" s="871"/>
      <x:c r="B398" s="871"/>
      <x:c r="C398" s="871"/>
      <x:c r="D398" s="872"/>
      <x:c r="E398" s="871"/>
      <x:c r="F398" s="871"/>
      <x:c r="G398" s="872"/>
      <x:c r="H398" s="872"/>
      <x:c r="I398" s="875"/>
      <x:c r="J398" s="872"/>
      <x:c r="K398" s="873"/>
      <x:c r="L398" s="876"/>
      <x:c r="M398" s="873"/>
      <x:c r="N398" s="874"/>
      <x:c r="O398" s="874"/>
      <x:c r="P398" s="872"/>
      <x:c r="Q398" s="872"/>
      <x:c r="R398" s="872"/>
      <x:c r="S398" s="872"/>
      <x:c r="T398" s="872"/>
      <x:c r="U398" s="872"/>
      <x:c r="V398" s="872"/>
      <x:c r="W398" s="872"/>
      <x:c r="X398" s="872"/>
      <x:c r="Y398" s="872"/>
      <x:c r="Z398" s="872"/>
      <x:c r="AA398" s="877"/>
      <x:c r="AB398" s="872"/>
      <x:c r="AC398" s="872"/>
      <x:c r="AD398" s="872"/>
      <x:c r="AE398" s="872"/>
      <x:c r="AF398" s="872"/>
      <x:c r="AG398" s="872"/>
      <x:c r="AH398" s="872"/>
      <x:c r="AI398" s="872"/>
      <x:c r="AJ398" s="872"/>
      <x:c r="AK398" s="872"/>
      <x:c r="AL398" s="872"/>
      <x:c r="AM398" s="872"/>
      <x:c r="AN398" s="872"/>
      <x:c r="AO398" s="872"/>
      <x:c r="AP398" s="872"/>
      <x:c r="AQ398" s="878"/>
      <x:c r="AR398" s="874"/>
    </x:row>
    <x:row r="399" s="36" customFormat="1" ht="30" customHeight="1">
      <x:c r="A399" s="871"/>
      <x:c r="B399" s="871"/>
      <x:c r="C399" s="871"/>
      <x:c r="D399" s="872"/>
      <x:c r="E399" s="871"/>
      <x:c r="F399" s="871"/>
      <x:c r="G399" s="872"/>
      <x:c r="H399" s="872"/>
      <x:c r="I399" s="875"/>
      <x:c r="J399" s="872"/>
      <x:c r="K399" s="873"/>
      <x:c r="L399" s="876"/>
      <x:c r="M399" s="873"/>
      <x:c r="N399" s="874"/>
      <x:c r="O399" s="874"/>
      <x:c r="P399" s="872"/>
      <x:c r="Q399" s="872"/>
      <x:c r="R399" s="872"/>
      <x:c r="S399" s="872"/>
      <x:c r="T399" s="872"/>
      <x:c r="U399" s="872"/>
      <x:c r="V399" s="872"/>
      <x:c r="W399" s="872"/>
      <x:c r="X399" s="872"/>
      <x:c r="Y399" s="872"/>
      <x:c r="Z399" s="872"/>
      <x:c r="AA399" s="877"/>
      <x:c r="AB399" s="872"/>
      <x:c r="AC399" s="872"/>
      <x:c r="AD399" s="872"/>
      <x:c r="AE399" s="872"/>
      <x:c r="AF399" s="872"/>
      <x:c r="AG399" s="872"/>
      <x:c r="AH399" s="872"/>
      <x:c r="AI399" s="872"/>
      <x:c r="AJ399" s="872"/>
      <x:c r="AK399" s="872"/>
      <x:c r="AL399" s="872"/>
      <x:c r="AM399" s="872"/>
      <x:c r="AN399" s="872"/>
      <x:c r="AO399" s="872"/>
      <x:c r="AP399" s="872"/>
      <x:c r="AQ399" s="878"/>
      <x:c r="AR399" s="874"/>
    </x:row>
    <x:row r="400" s="36" customFormat="1" ht="30" customHeight="1">
      <x:c r="A400" s="871"/>
      <x:c r="B400" s="871"/>
      <x:c r="C400" s="871"/>
      <x:c r="D400" s="872"/>
      <x:c r="E400" s="871"/>
      <x:c r="F400" s="871"/>
      <x:c r="G400" s="872"/>
      <x:c r="H400" s="872"/>
      <x:c r="I400" s="875"/>
      <x:c r="J400" s="872"/>
      <x:c r="K400" s="873"/>
      <x:c r="L400" s="876"/>
      <x:c r="M400" s="873"/>
      <x:c r="N400" s="874"/>
      <x:c r="O400" s="874"/>
      <x:c r="P400" s="872"/>
      <x:c r="Q400" s="872"/>
      <x:c r="R400" s="872"/>
      <x:c r="S400" s="872"/>
      <x:c r="T400" s="872"/>
      <x:c r="U400" s="872"/>
      <x:c r="V400" s="872"/>
      <x:c r="W400" s="872"/>
      <x:c r="X400" s="872"/>
      <x:c r="Y400" s="872"/>
      <x:c r="Z400" s="872"/>
      <x:c r="AA400" s="877"/>
      <x:c r="AB400" s="872"/>
      <x:c r="AC400" s="872"/>
      <x:c r="AD400" s="872"/>
      <x:c r="AE400" s="872"/>
      <x:c r="AF400" s="872"/>
      <x:c r="AG400" s="872"/>
      <x:c r="AH400" s="872"/>
      <x:c r="AI400" s="872"/>
      <x:c r="AJ400" s="872"/>
      <x:c r="AK400" s="872"/>
      <x:c r="AL400" s="872"/>
      <x:c r="AM400" s="872"/>
      <x:c r="AN400" s="872"/>
      <x:c r="AO400" s="872"/>
      <x:c r="AP400" s="872"/>
      <x:c r="AQ400" s="878"/>
      <x:c r="AR400" s="874"/>
    </x:row>
    <x:row r="401" s="36" customFormat="1" ht="30" customHeight="1">
      <x:c r="A401" s="871"/>
      <x:c r="B401" s="871"/>
      <x:c r="C401" s="871"/>
      <x:c r="D401" s="872"/>
      <x:c r="E401" s="871"/>
      <x:c r="F401" s="871"/>
      <x:c r="G401" s="872"/>
      <x:c r="H401" s="872"/>
      <x:c r="I401" s="875"/>
      <x:c r="J401" s="872"/>
      <x:c r="K401" s="873"/>
      <x:c r="L401" s="876"/>
      <x:c r="M401" s="873"/>
      <x:c r="N401" s="874"/>
      <x:c r="O401" s="874"/>
      <x:c r="P401" s="872"/>
      <x:c r="Q401" s="872"/>
      <x:c r="R401" s="872"/>
      <x:c r="S401" s="872"/>
      <x:c r="T401" s="872"/>
      <x:c r="U401" s="872"/>
      <x:c r="V401" s="872"/>
      <x:c r="W401" s="872"/>
      <x:c r="X401" s="872"/>
      <x:c r="Y401" s="872"/>
      <x:c r="Z401" s="872"/>
      <x:c r="AA401" s="877"/>
      <x:c r="AB401" s="872"/>
      <x:c r="AC401" s="872"/>
      <x:c r="AD401" s="872"/>
      <x:c r="AE401" s="872"/>
      <x:c r="AF401" s="872"/>
      <x:c r="AG401" s="872"/>
      <x:c r="AH401" s="872"/>
      <x:c r="AI401" s="872"/>
      <x:c r="AJ401" s="872"/>
      <x:c r="AK401" s="872"/>
      <x:c r="AL401" s="872"/>
      <x:c r="AM401" s="872"/>
      <x:c r="AN401" s="872"/>
      <x:c r="AO401" s="872"/>
      <x:c r="AP401" s="872"/>
      <x:c r="AQ401" s="878"/>
      <x:c r="AR401" s="874"/>
    </x:row>
    <x:row r="402" s="36" customFormat="1" ht="30" customHeight="1">
      <x:c r="A402" s="871"/>
      <x:c r="B402" s="871"/>
      <x:c r="C402" s="871"/>
      <x:c r="D402" s="872"/>
      <x:c r="E402" s="871"/>
      <x:c r="F402" s="871"/>
      <x:c r="G402" s="872"/>
      <x:c r="H402" s="872"/>
      <x:c r="I402" s="875"/>
      <x:c r="J402" s="872"/>
      <x:c r="K402" s="873"/>
      <x:c r="L402" s="876"/>
      <x:c r="M402" s="873"/>
      <x:c r="N402" s="874"/>
      <x:c r="O402" s="874"/>
      <x:c r="P402" s="872"/>
      <x:c r="Q402" s="872"/>
      <x:c r="R402" s="872"/>
      <x:c r="S402" s="872"/>
      <x:c r="T402" s="872"/>
      <x:c r="U402" s="872"/>
      <x:c r="V402" s="872"/>
      <x:c r="W402" s="872"/>
      <x:c r="X402" s="872"/>
      <x:c r="Y402" s="872"/>
      <x:c r="Z402" s="872"/>
      <x:c r="AA402" s="877"/>
      <x:c r="AB402" s="872"/>
      <x:c r="AC402" s="872"/>
      <x:c r="AD402" s="872"/>
      <x:c r="AE402" s="872"/>
      <x:c r="AF402" s="872"/>
      <x:c r="AG402" s="872"/>
      <x:c r="AH402" s="872"/>
      <x:c r="AI402" s="872"/>
      <x:c r="AJ402" s="872"/>
      <x:c r="AK402" s="872"/>
      <x:c r="AL402" s="872"/>
      <x:c r="AM402" s="872"/>
      <x:c r="AN402" s="872"/>
      <x:c r="AO402" s="872"/>
      <x:c r="AP402" s="872"/>
      <x:c r="AQ402" s="878"/>
      <x:c r="AR402" s="874"/>
    </x:row>
    <x:row r="403" s="36" customFormat="1" ht="30" customHeight="1">
      <x:c r="A403" s="871"/>
      <x:c r="B403" s="871"/>
      <x:c r="C403" s="871"/>
      <x:c r="D403" s="872"/>
      <x:c r="E403" s="871"/>
      <x:c r="F403" s="871"/>
      <x:c r="G403" s="872"/>
      <x:c r="H403" s="872"/>
      <x:c r="I403" s="875"/>
      <x:c r="J403" s="872"/>
      <x:c r="K403" s="873"/>
      <x:c r="L403" s="876"/>
      <x:c r="M403" s="873"/>
      <x:c r="N403" s="874"/>
      <x:c r="O403" s="874"/>
      <x:c r="P403" s="872"/>
      <x:c r="Q403" s="872"/>
      <x:c r="R403" s="872"/>
      <x:c r="S403" s="872"/>
      <x:c r="T403" s="872"/>
      <x:c r="U403" s="872"/>
      <x:c r="V403" s="872"/>
      <x:c r="W403" s="872"/>
      <x:c r="X403" s="872"/>
      <x:c r="Y403" s="872"/>
      <x:c r="Z403" s="872"/>
      <x:c r="AA403" s="877"/>
      <x:c r="AB403" s="872"/>
      <x:c r="AC403" s="872"/>
      <x:c r="AD403" s="872"/>
      <x:c r="AE403" s="872"/>
      <x:c r="AF403" s="872"/>
      <x:c r="AG403" s="872"/>
      <x:c r="AH403" s="872"/>
      <x:c r="AI403" s="872"/>
      <x:c r="AJ403" s="872"/>
      <x:c r="AK403" s="872"/>
      <x:c r="AL403" s="872"/>
      <x:c r="AM403" s="872"/>
      <x:c r="AN403" s="872"/>
      <x:c r="AO403" s="872"/>
      <x:c r="AP403" s="872"/>
      <x:c r="AQ403" s="878"/>
      <x:c r="AR403" s="874"/>
    </x:row>
    <x:row r="404" s="36" customFormat="1" ht="30" customHeight="1">
      <x:c r="A404" s="871"/>
      <x:c r="B404" s="871"/>
      <x:c r="C404" s="871"/>
      <x:c r="D404" s="872"/>
      <x:c r="E404" s="871"/>
      <x:c r="F404" s="871"/>
      <x:c r="G404" s="872"/>
      <x:c r="H404" s="872"/>
      <x:c r="I404" s="875"/>
      <x:c r="J404" s="872"/>
      <x:c r="K404" s="873"/>
      <x:c r="L404" s="876"/>
      <x:c r="M404" s="873"/>
      <x:c r="N404" s="874"/>
      <x:c r="O404" s="874"/>
      <x:c r="P404" s="872"/>
      <x:c r="Q404" s="872"/>
      <x:c r="R404" s="872"/>
      <x:c r="S404" s="872"/>
      <x:c r="T404" s="872"/>
      <x:c r="U404" s="872"/>
      <x:c r="V404" s="872"/>
      <x:c r="W404" s="872"/>
      <x:c r="X404" s="872"/>
      <x:c r="Y404" s="872"/>
      <x:c r="Z404" s="872"/>
      <x:c r="AA404" s="877"/>
      <x:c r="AB404" s="872"/>
      <x:c r="AC404" s="872"/>
      <x:c r="AD404" s="872"/>
      <x:c r="AE404" s="872"/>
      <x:c r="AF404" s="872"/>
      <x:c r="AG404" s="872"/>
      <x:c r="AH404" s="872"/>
      <x:c r="AI404" s="872"/>
      <x:c r="AJ404" s="872"/>
      <x:c r="AK404" s="872"/>
      <x:c r="AL404" s="872"/>
      <x:c r="AM404" s="872"/>
      <x:c r="AN404" s="872"/>
      <x:c r="AO404" s="872"/>
      <x:c r="AP404" s="872"/>
      <x:c r="AQ404" s="878"/>
      <x:c r="AR404" s="874"/>
    </x:row>
    <x:row r="405" s="36" customFormat="1" ht="30" customHeight="1">
      <x:c r="A405" s="871"/>
      <x:c r="B405" s="871"/>
      <x:c r="C405" s="871"/>
      <x:c r="D405" s="872"/>
      <x:c r="E405" s="871"/>
      <x:c r="F405" s="871"/>
      <x:c r="G405" s="872"/>
      <x:c r="H405" s="872"/>
      <x:c r="I405" s="875"/>
      <x:c r="J405" s="872"/>
      <x:c r="K405" s="873"/>
      <x:c r="L405" s="876"/>
      <x:c r="M405" s="873"/>
      <x:c r="N405" s="874"/>
      <x:c r="O405" s="874"/>
      <x:c r="P405" s="872"/>
      <x:c r="Q405" s="872"/>
      <x:c r="R405" s="872"/>
      <x:c r="S405" s="872"/>
      <x:c r="T405" s="872"/>
      <x:c r="U405" s="872"/>
      <x:c r="V405" s="872"/>
      <x:c r="W405" s="872"/>
      <x:c r="X405" s="872"/>
      <x:c r="Y405" s="872"/>
      <x:c r="Z405" s="872"/>
      <x:c r="AA405" s="877"/>
      <x:c r="AB405" s="872"/>
      <x:c r="AC405" s="872"/>
      <x:c r="AD405" s="872"/>
      <x:c r="AE405" s="872"/>
      <x:c r="AF405" s="872"/>
      <x:c r="AG405" s="872"/>
      <x:c r="AH405" s="872"/>
      <x:c r="AI405" s="872"/>
      <x:c r="AJ405" s="872"/>
      <x:c r="AK405" s="872"/>
      <x:c r="AL405" s="872"/>
      <x:c r="AM405" s="872"/>
      <x:c r="AN405" s="872"/>
      <x:c r="AO405" s="872"/>
      <x:c r="AP405" s="872"/>
      <x:c r="AQ405" s="878"/>
      <x:c r="AR405" s="874"/>
    </x:row>
    <x:row r="406" s="36" customFormat="1" ht="30" customHeight="1">
      <x:c r="A406" s="871"/>
      <x:c r="B406" s="871"/>
      <x:c r="C406" s="871"/>
      <x:c r="D406" s="872"/>
      <x:c r="E406" s="871"/>
      <x:c r="F406" s="871"/>
      <x:c r="G406" s="872"/>
      <x:c r="H406" s="872"/>
      <x:c r="I406" s="875"/>
      <x:c r="J406" s="872"/>
      <x:c r="K406" s="873"/>
      <x:c r="L406" s="876"/>
      <x:c r="M406" s="873"/>
      <x:c r="N406" s="874"/>
      <x:c r="O406" s="874"/>
      <x:c r="P406" s="872"/>
      <x:c r="Q406" s="872"/>
      <x:c r="R406" s="872"/>
      <x:c r="S406" s="872"/>
      <x:c r="T406" s="872"/>
      <x:c r="U406" s="872"/>
      <x:c r="V406" s="872"/>
      <x:c r="W406" s="872"/>
      <x:c r="X406" s="872"/>
      <x:c r="Y406" s="872"/>
      <x:c r="Z406" s="872"/>
      <x:c r="AA406" s="877"/>
      <x:c r="AB406" s="872"/>
      <x:c r="AC406" s="872"/>
      <x:c r="AD406" s="872"/>
      <x:c r="AE406" s="872"/>
      <x:c r="AF406" s="872"/>
      <x:c r="AG406" s="872"/>
      <x:c r="AH406" s="872"/>
      <x:c r="AI406" s="872"/>
      <x:c r="AJ406" s="872"/>
      <x:c r="AK406" s="872"/>
      <x:c r="AL406" s="872"/>
      <x:c r="AM406" s="872"/>
      <x:c r="AN406" s="872"/>
      <x:c r="AO406" s="872"/>
      <x:c r="AP406" s="872"/>
      <x:c r="AQ406" s="878"/>
      <x:c r="AR406" s="874"/>
    </x:row>
    <x:row r="407" s="36" customFormat="1" ht="30" customHeight="1">
      <x:c r="A407" s="871"/>
      <x:c r="B407" s="871"/>
      <x:c r="C407" s="871"/>
      <x:c r="D407" s="872"/>
      <x:c r="E407" s="871"/>
      <x:c r="F407" s="871"/>
      <x:c r="G407" s="872"/>
      <x:c r="H407" s="872"/>
      <x:c r="I407" s="875"/>
      <x:c r="J407" s="872"/>
      <x:c r="K407" s="873"/>
      <x:c r="L407" s="876"/>
      <x:c r="M407" s="873"/>
      <x:c r="N407" s="874"/>
      <x:c r="O407" s="874"/>
      <x:c r="P407" s="872"/>
      <x:c r="Q407" s="872"/>
      <x:c r="R407" s="872"/>
      <x:c r="S407" s="872"/>
      <x:c r="T407" s="872"/>
      <x:c r="U407" s="872"/>
      <x:c r="V407" s="872"/>
      <x:c r="W407" s="872"/>
      <x:c r="X407" s="872"/>
      <x:c r="Y407" s="872"/>
      <x:c r="Z407" s="872"/>
      <x:c r="AA407" s="877"/>
      <x:c r="AB407" s="872"/>
      <x:c r="AC407" s="872"/>
      <x:c r="AD407" s="872"/>
      <x:c r="AE407" s="872"/>
      <x:c r="AF407" s="872"/>
      <x:c r="AG407" s="872"/>
      <x:c r="AH407" s="872"/>
      <x:c r="AI407" s="872"/>
      <x:c r="AJ407" s="872"/>
      <x:c r="AK407" s="872"/>
      <x:c r="AL407" s="872"/>
      <x:c r="AM407" s="872"/>
      <x:c r="AN407" s="872"/>
      <x:c r="AO407" s="872"/>
      <x:c r="AP407" s="872"/>
      <x:c r="AQ407" s="878"/>
      <x:c r="AR407" s="874"/>
    </x:row>
    <x:row r="408" s="36" customFormat="1" ht="30" customHeight="1">
      <x:c r="A408" s="871"/>
      <x:c r="B408" s="871"/>
      <x:c r="C408" s="871"/>
      <x:c r="D408" s="872"/>
      <x:c r="E408" s="871"/>
      <x:c r="F408" s="871"/>
      <x:c r="G408" s="872"/>
      <x:c r="H408" s="872"/>
      <x:c r="I408" s="875"/>
      <x:c r="J408" s="872"/>
      <x:c r="K408" s="873"/>
      <x:c r="L408" s="876"/>
      <x:c r="M408" s="873"/>
      <x:c r="N408" s="874"/>
      <x:c r="O408" s="874"/>
      <x:c r="P408" s="872"/>
      <x:c r="Q408" s="872"/>
      <x:c r="R408" s="872"/>
      <x:c r="S408" s="872"/>
      <x:c r="T408" s="872"/>
      <x:c r="U408" s="872"/>
      <x:c r="V408" s="872"/>
      <x:c r="W408" s="872"/>
      <x:c r="X408" s="872"/>
      <x:c r="Y408" s="872"/>
      <x:c r="Z408" s="872"/>
      <x:c r="AA408" s="877"/>
      <x:c r="AB408" s="872"/>
      <x:c r="AC408" s="872"/>
      <x:c r="AD408" s="872"/>
      <x:c r="AE408" s="872"/>
      <x:c r="AF408" s="872"/>
      <x:c r="AG408" s="872"/>
      <x:c r="AH408" s="872"/>
      <x:c r="AI408" s="872"/>
      <x:c r="AJ408" s="872"/>
      <x:c r="AK408" s="872"/>
      <x:c r="AL408" s="872"/>
      <x:c r="AM408" s="872"/>
      <x:c r="AN408" s="872"/>
      <x:c r="AO408" s="872"/>
      <x:c r="AP408" s="872"/>
      <x:c r="AQ408" s="878"/>
      <x:c r="AR408" s="874"/>
    </x:row>
    <x:row r="409" s="36" customFormat="1" ht="30" customHeight="1">
      <x:c r="A409" s="871"/>
      <x:c r="B409" s="871"/>
      <x:c r="C409" s="871"/>
      <x:c r="D409" s="872"/>
      <x:c r="E409" s="871"/>
      <x:c r="F409" s="871"/>
      <x:c r="G409" s="872"/>
      <x:c r="H409" s="872"/>
      <x:c r="I409" s="875"/>
      <x:c r="J409" s="872"/>
      <x:c r="K409" s="873"/>
      <x:c r="L409" s="876"/>
      <x:c r="M409" s="873"/>
      <x:c r="N409" s="874"/>
      <x:c r="O409" s="874"/>
      <x:c r="P409" s="872"/>
      <x:c r="Q409" s="872"/>
      <x:c r="R409" s="872"/>
      <x:c r="S409" s="872"/>
      <x:c r="T409" s="872"/>
      <x:c r="U409" s="872"/>
      <x:c r="V409" s="872"/>
      <x:c r="W409" s="872"/>
      <x:c r="X409" s="872"/>
      <x:c r="Y409" s="872"/>
      <x:c r="Z409" s="872"/>
      <x:c r="AA409" s="877"/>
      <x:c r="AB409" s="872"/>
      <x:c r="AC409" s="872"/>
      <x:c r="AD409" s="872"/>
      <x:c r="AE409" s="872"/>
      <x:c r="AF409" s="872"/>
      <x:c r="AG409" s="872"/>
      <x:c r="AH409" s="872"/>
      <x:c r="AI409" s="872"/>
      <x:c r="AJ409" s="872"/>
      <x:c r="AK409" s="872"/>
      <x:c r="AL409" s="872"/>
      <x:c r="AM409" s="872"/>
      <x:c r="AN409" s="872"/>
      <x:c r="AO409" s="872"/>
      <x:c r="AP409" s="872"/>
      <x:c r="AQ409" s="878"/>
      <x:c r="AR409" s="874"/>
    </x:row>
    <x:row r="410" s="36" customFormat="1" ht="30" customHeight="1">
      <x:c r="A410" s="871"/>
      <x:c r="B410" s="871"/>
      <x:c r="C410" s="871"/>
      <x:c r="D410" s="872"/>
      <x:c r="E410" s="871"/>
      <x:c r="F410" s="871"/>
      <x:c r="G410" s="872"/>
      <x:c r="H410" s="872"/>
      <x:c r="I410" s="875"/>
      <x:c r="J410" s="872"/>
      <x:c r="K410" s="873"/>
      <x:c r="L410" s="876"/>
      <x:c r="M410" s="873"/>
      <x:c r="N410" s="874"/>
      <x:c r="O410" s="874"/>
      <x:c r="P410" s="872"/>
      <x:c r="Q410" s="872"/>
      <x:c r="R410" s="872"/>
      <x:c r="S410" s="872"/>
      <x:c r="T410" s="872"/>
      <x:c r="U410" s="872"/>
      <x:c r="V410" s="872"/>
      <x:c r="W410" s="872"/>
      <x:c r="X410" s="872"/>
      <x:c r="Y410" s="872"/>
      <x:c r="Z410" s="872"/>
      <x:c r="AA410" s="877"/>
      <x:c r="AB410" s="872"/>
      <x:c r="AC410" s="872"/>
      <x:c r="AD410" s="872"/>
      <x:c r="AE410" s="872"/>
      <x:c r="AF410" s="872"/>
      <x:c r="AG410" s="872"/>
      <x:c r="AH410" s="872"/>
      <x:c r="AI410" s="872"/>
      <x:c r="AJ410" s="872"/>
      <x:c r="AK410" s="872"/>
      <x:c r="AL410" s="872"/>
      <x:c r="AM410" s="872"/>
      <x:c r="AN410" s="872"/>
      <x:c r="AO410" s="872"/>
      <x:c r="AP410" s="872"/>
      <x:c r="AQ410" s="878"/>
      <x:c r="AR410" s="874"/>
    </x:row>
    <x:row r="411" s="36" customFormat="1" ht="30" customHeight="1">
      <x:c r="A411" s="871"/>
      <x:c r="B411" s="871"/>
      <x:c r="C411" s="871"/>
      <x:c r="D411" s="872"/>
      <x:c r="E411" s="871"/>
      <x:c r="F411" s="871"/>
      <x:c r="G411" s="872"/>
      <x:c r="H411" s="872"/>
      <x:c r="I411" s="875"/>
      <x:c r="J411" s="872"/>
      <x:c r="K411" s="873"/>
      <x:c r="L411" s="876"/>
      <x:c r="M411" s="873"/>
      <x:c r="N411" s="874"/>
      <x:c r="O411" s="874"/>
      <x:c r="P411" s="872"/>
      <x:c r="Q411" s="872"/>
      <x:c r="R411" s="872"/>
      <x:c r="S411" s="872"/>
      <x:c r="T411" s="872"/>
      <x:c r="U411" s="872"/>
      <x:c r="V411" s="872"/>
      <x:c r="W411" s="872"/>
      <x:c r="X411" s="872"/>
      <x:c r="Y411" s="872"/>
      <x:c r="Z411" s="872"/>
      <x:c r="AA411" s="877"/>
      <x:c r="AB411" s="872"/>
      <x:c r="AC411" s="872"/>
      <x:c r="AD411" s="872"/>
      <x:c r="AE411" s="872"/>
      <x:c r="AF411" s="872"/>
      <x:c r="AG411" s="872"/>
      <x:c r="AH411" s="872"/>
      <x:c r="AI411" s="872"/>
      <x:c r="AJ411" s="872"/>
      <x:c r="AK411" s="872"/>
      <x:c r="AL411" s="872"/>
      <x:c r="AM411" s="872"/>
      <x:c r="AN411" s="872"/>
      <x:c r="AO411" s="872"/>
      <x:c r="AP411" s="872"/>
      <x:c r="AQ411" s="878"/>
      <x:c r="AR411" s="874"/>
    </x:row>
    <x:row r="412" s="36" customFormat="1" ht="30" customHeight="1">
      <x:c r="A412" s="871"/>
      <x:c r="B412" s="871"/>
      <x:c r="C412" s="871"/>
      <x:c r="D412" s="872"/>
      <x:c r="E412" s="871"/>
      <x:c r="F412" s="871"/>
      <x:c r="G412" s="872"/>
      <x:c r="H412" s="872"/>
      <x:c r="I412" s="875"/>
      <x:c r="J412" s="872"/>
      <x:c r="K412" s="873"/>
      <x:c r="L412" s="876"/>
      <x:c r="M412" s="873"/>
      <x:c r="N412" s="874"/>
      <x:c r="O412" s="874"/>
      <x:c r="P412" s="872"/>
      <x:c r="Q412" s="872"/>
      <x:c r="R412" s="872"/>
      <x:c r="S412" s="872"/>
      <x:c r="T412" s="872"/>
      <x:c r="U412" s="872"/>
      <x:c r="V412" s="872"/>
      <x:c r="W412" s="872"/>
      <x:c r="X412" s="872"/>
      <x:c r="Y412" s="872"/>
      <x:c r="Z412" s="872"/>
      <x:c r="AA412" s="877"/>
      <x:c r="AB412" s="872"/>
      <x:c r="AC412" s="872"/>
      <x:c r="AD412" s="872"/>
      <x:c r="AE412" s="872"/>
      <x:c r="AF412" s="872"/>
      <x:c r="AG412" s="872"/>
      <x:c r="AH412" s="872"/>
      <x:c r="AI412" s="872"/>
      <x:c r="AJ412" s="872"/>
      <x:c r="AK412" s="872"/>
      <x:c r="AL412" s="872"/>
      <x:c r="AM412" s="872"/>
      <x:c r="AN412" s="872"/>
      <x:c r="AO412" s="872"/>
      <x:c r="AP412" s="872"/>
      <x:c r="AQ412" s="878"/>
      <x:c r="AR412" s="874"/>
    </x:row>
    <x:row r="413" s="36" customFormat="1" ht="30" customHeight="1">
      <x:c r="A413" s="871"/>
      <x:c r="B413" s="871"/>
      <x:c r="C413" s="871"/>
      <x:c r="D413" s="872"/>
      <x:c r="E413" s="871"/>
      <x:c r="F413" s="871"/>
      <x:c r="G413" s="872"/>
      <x:c r="H413" s="872"/>
      <x:c r="I413" s="875"/>
      <x:c r="J413" s="872"/>
      <x:c r="K413" s="873"/>
      <x:c r="L413" s="876"/>
      <x:c r="M413" s="873"/>
      <x:c r="N413" s="874"/>
      <x:c r="O413" s="874"/>
      <x:c r="P413" s="872"/>
      <x:c r="Q413" s="872"/>
      <x:c r="R413" s="872"/>
      <x:c r="S413" s="872"/>
      <x:c r="T413" s="872"/>
      <x:c r="U413" s="872"/>
      <x:c r="V413" s="872"/>
      <x:c r="W413" s="872"/>
      <x:c r="X413" s="872"/>
      <x:c r="Y413" s="872"/>
      <x:c r="Z413" s="872"/>
      <x:c r="AA413" s="877"/>
      <x:c r="AB413" s="872"/>
      <x:c r="AC413" s="872"/>
      <x:c r="AD413" s="872"/>
      <x:c r="AE413" s="872"/>
      <x:c r="AF413" s="872"/>
      <x:c r="AG413" s="872"/>
      <x:c r="AH413" s="872"/>
      <x:c r="AI413" s="872"/>
      <x:c r="AJ413" s="872"/>
      <x:c r="AK413" s="872"/>
      <x:c r="AL413" s="872"/>
      <x:c r="AM413" s="872"/>
      <x:c r="AN413" s="872"/>
      <x:c r="AO413" s="872"/>
      <x:c r="AP413" s="872"/>
      <x:c r="AQ413" s="878"/>
      <x:c r="AR413" s="874"/>
    </x:row>
    <x:row r="414" s="36" customFormat="1" ht="30" customHeight="1">
      <x:c r="A414" s="871"/>
      <x:c r="B414" s="871"/>
      <x:c r="C414" s="871"/>
      <x:c r="D414" s="872"/>
      <x:c r="E414" s="871"/>
      <x:c r="F414" s="871"/>
      <x:c r="G414" s="872"/>
      <x:c r="H414" s="872"/>
      <x:c r="I414" s="875"/>
      <x:c r="J414" s="872"/>
      <x:c r="K414" s="873"/>
      <x:c r="L414" s="876"/>
      <x:c r="M414" s="873"/>
      <x:c r="N414" s="874"/>
      <x:c r="O414" s="874"/>
      <x:c r="P414" s="872"/>
      <x:c r="Q414" s="872"/>
      <x:c r="R414" s="872"/>
      <x:c r="S414" s="872"/>
      <x:c r="T414" s="872"/>
      <x:c r="U414" s="872"/>
      <x:c r="V414" s="872"/>
      <x:c r="W414" s="872"/>
      <x:c r="X414" s="872"/>
      <x:c r="Y414" s="872"/>
      <x:c r="Z414" s="872"/>
      <x:c r="AA414" s="877"/>
      <x:c r="AB414" s="872"/>
      <x:c r="AC414" s="872"/>
      <x:c r="AD414" s="872"/>
      <x:c r="AE414" s="872"/>
      <x:c r="AF414" s="872"/>
      <x:c r="AG414" s="872"/>
      <x:c r="AH414" s="872"/>
      <x:c r="AI414" s="872"/>
      <x:c r="AJ414" s="872"/>
      <x:c r="AK414" s="872"/>
      <x:c r="AL414" s="872"/>
      <x:c r="AM414" s="872"/>
      <x:c r="AN414" s="872"/>
      <x:c r="AO414" s="872"/>
      <x:c r="AP414" s="872"/>
      <x:c r="AQ414" s="878"/>
      <x:c r="AR414" s="874"/>
    </x:row>
    <x:row r="415" s="36" customFormat="1" ht="30" customHeight="1">
      <x:c r="A415" s="871"/>
      <x:c r="B415" s="871"/>
      <x:c r="C415" s="871"/>
      <x:c r="D415" s="872"/>
      <x:c r="E415" s="871"/>
      <x:c r="F415" s="871"/>
      <x:c r="G415" s="872"/>
      <x:c r="H415" s="872"/>
      <x:c r="I415" s="875"/>
      <x:c r="J415" s="872"/>
      <x:c r="K415" s="873"/>
      <x:c r="L415" s="876"/>
      <x:c r="M415" s="873"/>
      <x:c r="N415" s="874"/>
      <x:c r="O415" s="874"/>
      <x:c r="P415" s="872"/>
      <x:c r="Q415" s="872"/>
      <x:c r="R415" s="872"/>
      <x:c r="S415" s="872"/>
      <x:c r="T415" s="872"/>
      <x:c r="U415" s="872"/>
      <x:c r="V415" s="872"/>
      <x:c r="W415" s="872"/>
      <x:c r="X415" s="872"/>
      <x:c r="Y415" s="872"/>
      <x:c r="Z415" s="872"/>
      <x:c r="AA415" s="877"/>
      <x:c r="AB415" s="872"/>
      <x:c r="AC415" s="872"/>
      <x:c r="AD415" s="872"/>
      <x:c r="AE415" s="872"/>
      <x:c r="AF415" s="872"/>
      <x:c r="AG415" s="872"/>
      <x:c r="AH415" s="872"/>
      <x:c r="AI415" s="872"/>
      <x:c r="AJ415" s="872"/>
      <x:c r="AK415" s="872"/>
      <x:c r="AL415" s="872"/>
      <x:c r="AM415" s="872"/>
      <x:c r="AN415" s="872"/>
      <x:c r="AO415" s="872"/>
      <x:c r="AP415" s="872"/>
      <x:c r="AQ415" s="878"/>
      <x:c r="AR415" s="874"/>
    </x:row>
    <x:row r="416" s="36" customFormat="1" ht="30" customHeight="1">
      <x:c r="A416" s="871"/>
      <x:c r="B416" s="871"/>
      <x:c r="C416" s="871"/>
      <x:c r="D416" s="872"/>
      <x:c r="E416" s="871"/>
      <x:c r="F416" s="871"/>
      <x:c r="G416" s="872"/>
      <x:c r="H416" s="872"/>
      <x:c r="I416" s="875"/>
      <x:c r="J416" s="872"/>
      <x:c r="K416" s="873"/>
      <x:c r="L416" s="876"/>
      <x:c r="M416" s="873"/>
      <x:c r="N416" s="874"/>
      <x:c r="O416" s="874"/>
      <x:c r="P416" s="872"/>
      <x:c r="Q416" s="872"/>
      <x:c r="R416" s="872"/>
      <x:c r="S416" s="872"/>
      <x:c r="T416" s="872"/>
      <x:c r="U416" s="872"/>
      <x:c r="V416" s="872"/>
      <x:c r="W416" s="872"/>
      <x:c r="X416" s="872"/>
      <x:c r="Y416" s="872"/>
      <x:c r="Z416" s="872"/>
      <x:c r="AA416" s="877"/>
      <x:c r="AB416" s="872"/>
      <x:c r="AC416" s="872"/>
      <x:c r="AD416" s="872"/>
      <x:c r="AE416" s="872"/>
      <x:c r="AF416" s="872"/>
      <x:c r="AG416" s="872"/>
      <x:c r="AH416" s="872"/>
      <x:c r="AI416" s="872"/>
      <x:c r="AJ416" s="872"/>
      <x:c r="AK416" s="872"/>
      <x:c r="AL416" s="872"/>
      <x:c r="AM416" s="872"/>
      <x:c r="AN416" s="872"/>
      <x:c r="AO416" s="872"/>
      <x:c r="AP416" s="872"/>
      <x:c r="AQ416" s="878"/>
      <x:c r="AR416" s="874"/>
    </x:row>
    <x:row r="417" s="36" customFormat="1" ht="30" customHeight="1">
      <x:c r="A417" s="871"/>
      <x:c r="B417" s="871"/>
      <x:c r="C417" s="871"/>
      <x:c r="D417" s="872"/>
      <x:c r="E417" s="871"/>
      <x:c r="F417" s="871"/>
      <x:c r="G417" s="872"/>
      <x:c r="H417" s="872"/>
      <x:c r="I417" s="875"/>
      <x:c r="J417" s="872"/>
      <x:c r="K417" s="873"/>
      <x:c r="L417" s="876"/>
      <x:c r="M417" s="873"/>
      <x:c r="N417" s="874"/>
      <x:c r="O417" s="874"/>
      <x:c r="P417" s="872"/>
      <x:c r="Q417" s="872"/>
      <x:c r="R417" s="872"/>
      <x:c r="S417" s="872"/>
      <x:c r="T417" s="872"/>
      <x:c r="U417" s="872"/>
      <x:c r="V417" s="872"/>
      <x:c r="W417" s="872"/>
      <x:c r="X417" s="872"/>
      <x:c r="Y417" s="872"/>
      <x:c r="Z417" s="872"/>
      <x:c r="AA417" s="877"/>
      <x:c r="AB417" s="872"/>
      <x:c r="AC417" s="872"/>
      <x:c r="AD417" s="872"/>
      <x:c r="AE417" s="872"/>
      <x:c r="AF417" s="872"/>
      <x:c r="AG417" s="872"/>
      <x:c r="AH417" s="872"/>
      <x:c r="AI417" s="872"/>
      <x:c r="AJ417" s="872"/>
      <x:c r="AK417" s="872"/>
      <x:c r="AL417" s="872"/>
      <x:c r="AM417" s="872"/>
      <x:c r="AN417" s="872"/>
      <x:c r="AO417" s="872"/>
      <x:c r="AP417" s="872"/>
      <x:c r="AQ417" s="878"/>
      <x:c r="AR417" s="874"/>
    </x:row>
    <x:row r="418" s="36" customFormat="1" ht="30" customHeight="1">
      <x:c r="A418" s="871"/>
      <x:c r="B418" s="871"/>
      <x:c r="C418" s="871"/>
      <x:c r="D418" s="872"/>
      <x:c r="E418" s="871"/>
      <x:c r="F418" s="871"/>
      <x:c r="G418" s="872"/>
      <x:c r="H418" s="872"/>
      <x:c r="I418" s="875"/>
      <x:c r="J418" s="872"/>
      <x:c r="K418" s="873"/>
      <x:c r="L418" s="876"/>
      <x:c r="M418" s="873"/>
      <x:c r="N418" s="874"/>
      <x:c r="O418" s="874"/>
      <x:c r="P418" s="872"/>
      <x:c r="Q418" s="872"/>
      <x:c r="R418" s="872"/>
      <x:c r="S418" s="872"/>
      <x:c r="T418" s="872"/>
      <x:c r="U418" s="872"/>
      <x:c r="V418" s="872"/>
      <x:c r="W418" s="872"/>
      <x:c r="X418" s="872"/>
      <x:c r="Y418" s="872"/>
      <x:c r="Z418" s="872"/>
      <x:c r="AA418" s="877"/>
      <x:c r="AB418" s="872"/>
      <x:c r="AC418" s="872"/>
      <x:c r="AD418" s="872"/>
      <x:c r="AE418" s="872"/>
      <x:c r="AF418" s="872"/>
      <x:c r="AG418" s="872"/>
      <x:c r="AH418" s="872"/>
      <x:c r="AI418" s="872"/>
      <x:c r="AJ418" s="872"/>
      <x:c r="AK418" s="872"/>
      <x:c r="AL418" s="872"/>
      <x:c r="AM418" s="872"/>
      <x:c r="AN418" s="872"/>
      <x:c r="AO418" s="872"/>
      <x:c r="AP418" s="872"/>
      <x:c r="AQ418" s="878"/>
      <x:c r="AR418" s="874"/>
    </x:row>
    <x:row r="419" s="36" customFormat="1" ht="30" customHeight="1">
      <x:c r="A419" s="871"/>
      <x:c r="B419" s="871"/>
      <x:c r="C419" s="871"/>
      <x:c r="D419" s="872"/>
      <x:c r="E419" s="871"/>
      <x:c r="F419" s="871"/>
      <x:c r="G419" s="872"/>
      <x:c r="H419" s="872"/>
      <x:c r="I419" s="875"/>
      <x:c r="J419" s="872"/>
      <x:c r="K419" s="873"/>
      <x:c r="L419" s="876"/>
      <x:c r="M419" s="873"/>
      <x:c r="N419" s="874"/>
      <x:c r="O419" s="874"/>
      <x:c r="P419" s="872"/>
      <x:c r="Q419" s="872"/>
      <x:c r="R419" s="872"/>
      <x:c r="S419" s="872"/>
      <x:c r="T419" s="872"/>
      <x:c r="U419" s="872"/>
      <x:c r="V419" s="872"/>
      <x:c r="W419" s="872"/>
      <x:c r="X419" s="872"/>
      <x:c r="Y419" s="872"/>
      <x:c r="Z419" s="872"/>
      <x:c r="AA419" s="877"/>
      <x:c r="AB419" s="872"/>
      <x:c r="AC419" s="872"/>
      <x:c r="AD419" s="872"/>
      <x:c r="AE419" s="872"/>
      <x:c r="AF419" s="872"/>
      <x:c r="AG419" s="872"/>
      <x:c r="AH419" s="872"/>
      <x:c r="AI419" s="872"/>
      <x:c r="AJ419" s="872"/>
      <x:c r="AK419" s="872"/>
      <x:c r="AL419" s="872"/>
      <x:c r="AM419" s="872"/>
      <x:c r="AN419" s="872"/>
      <x:c r="AO419" s="872"/>
      <x:c r="AP419" s="872"/>
      <x:c r="AQ419" s="878"/>
      <x:c r="AR419" s="874"/>
    </x:row>
    <x:row r="420" s="36" customFormat="1" ht="30" customHeight="1">
      <x:c r="A420" s="871"/>
      <x:c r="B420" s="871"/>
      <x:c r="C420" s="871"/>
      <x:c r="D420" s="872"/>
      <x:c r="E420" s="871"/>
      <x:c r="F420" s="871"/>
      <x:c r="G420" s="872"/>
      <x:c r="H420" s="872"/>
      <x:c r="I420" s="875"/>
      <x:c r="J420" s="872"/>
      <x:c r="K420" s="873"/>
      <x:c r="L420" s="876"/>
      <x:c r="M420" s="873"/>
      <x:c r="N420" s="874"/>
      <x:c r="O420" s="874"/>
      <x:c r="P420" s="872"/>
      <x:c r="Q420" s="872"/>
      <x:c r="R420" s="872"/>
      <x:c r="S420" s="872"/>
      <x:c r="T420" s="872"/>
      <x:c r="U420" s="872"/>
      <x:c r="V420" s="872"/>
      <x:c r="W420" s="872"/>
      <x:c r="X420" s="872"/>
      <x:c r="Y420" s="872"/>
      <x:c r="Z420" s="872"/>
      <x:c r="AA420" s="877"/>
      <x:c r="AB420" s="872"/>
      <x:c r="AC420" s="872"/>
      <x:c r="AD420" s="872"/>
      <x:c r="AE420" s="872"/>
      <x:c r="AF420" s="872"/>
      <x:c r="AG420" s="872"/>
      <x:c r="AH420" s="872"/>
      <x:c r="AI420" s="872"/>
      <x:c r="AJ420" s="872"/>
      <x:c r="AK420" s="872"/>
      <x:c r="AL420" s="872"/>
      <x:c r="AM420" s="872"/>
      <x:c r="AN420" s="872"/>
      <x:c r="AO420" s="872"/>
      <x:c r="AP420" s="872"/>
      <x:c r="AQ420" s="878"/>
      <x:c r="AR420" s="874"/>
    </x:row>
    <x:row r="421" s="36" customFormat="1" ht="30" customHeight="1">
      <x:c r="A421" s="871"/>
      <x:c r="B421" s="871"/>
      <x:c r="C421" s="871"/>
      <x:c r="D421" s="872"/>
      <x:c r="E421" s="871"/>
      <x:c r="F421" s="871"/>
      <x:c r="G421" s="872"/>
      <x:c r="H421" s="872"/>
      <x:c r="I421" s="875"/>
      <x:c r="J421" s="872"/>
      <x:c r="K421" s="873"/>
      <x:c r="L421" s="876"/>
      <x:c r="M421" s="873"/>
      <x:c r="N421" s="874"/>
      <x:c r="O421" s="874"/>
      <x:c r="P421" s="872"/>
      <x:c r="Q421" s="872"/>
      <x:c r="R421" s="872"/>
      <x:c r="S421" s="872"/>
      <x:c r="T421" s="872"/>
      <x:c r="U421" s="872"/>
      <x:c r="V421" s="872"/>
      <x:c r="W421" s="872"/>
      <x:c r="X421" s="872"/>
      <x:c r="Y421" s="872"/>
      <x:c r="Z421" s="872"/>
      <x:c r="AA421" s="877"/>
      <x:c r="AB421" s="872"/>
      <x:c r="AC421" s="872"/>
      <x:c r="AD421" s="872"/>
      <x:c r="AE421" s="872"/>
      <x:c r="AF421" s="872"/>
      <x:c r="AG421" s="872"/>
      <x:c r="AH421" s="872"/>
      <x:c r="AI421" s="872"/>
      <x:c r="AJ421" s="872"/>
      <x:c r="AK421" s="872"/>
      <x:c r="AL421" s="872"/>
      <x:c r="AM421" s="872"/>
      <x:c r="AN421" s="872"/>
      <x:c r="AO421" s="872"/>
      <x:c r="AP421" s="872"/>
      <x:c r="AQ421" s="878"/>
      <x:c r="AR421" s="874"/>
    </x:row>
    <x:row r="422" s="36" customFormat="1" ht="30" customHeight="1">
      <x:c r="A422" s="871"/>
      <x:c r="B422" s="871"/>
      <x:c r="C422" s="871"/>
      <x:c r="D422" s="872"/>
      <x:c r="E422" s="871"/>
      <x:c r="F422" s="871"/>
      <x:c r="G422" s="872"/>
      <x:c r="H422" s="872"/>
      <x:c r="I422" s="875"/>
      <x:c r="J422" s="872"/>
      <x:c r="K422" s="873"/>
      <x:c r="L422" s="876"/>
      <x:c r="M422" s="873"/>
      <x:c r="N422" s="874"/>
      <x:c r="O422" s="874"/>
      <x:c r="P422" s="872"/>
      <x:c r="Q422" s="872"/>
      <x:c r="R422" s="872"/>
      <x:c r="S422" s="872"/>
      <x:c r="T422" s="872"/>
      <x:c r="U422" s="872"/>
      <x:c r="V422" s="872"/>
      <x:c r="W422" s="872"/>
      <x:c r="X422" s="872"/>
      <x:c r="Y422" s="872"/>
      <x:c r="Z422" s="872"/>
      <x:c r="AA422" s="877"/>
      <x:c r="AB422" s="872"/>
      <x:c r="AC422" s="872"/>
      <x:c r="AD422" s="872"/>
      <x:c r="AE422" s="872"/>
      <x:c r="AF422" s="872"/>
      <x:c r="AG422" s="872"/>
      <x:c r="AH422" s="872"/>
      <x:c r="AI422" s="872"/>
      <x:c r="AJ422" s="872"/>
      <x:c r="AK422" s="872"/>
      <x:c r="AL422" s="872"/>
      <x:c r="AM422" s="872"/>
      <x:c r="AN422" s="872"/>
      <x:c r="AO422" s="872"/>
      <x:c r="AP422" s="872"/>
      <x:c r="AQ422" s="878"/>
      <x:c r="AR422" s="874"/>
    </x:row>
    <x:row r="423" s="36" customFormat="1" ht="30" customHeight="1">
      <x:c r="A423" s="871"/>
      <x:c r="B423" s="871"/>
      <x:c r="C423" s="871"/>
      <x:c r="D423" s="872"/>
      <x:c r="E423" s="871"/>
      <x:c r="F423" s="871"/>
      <x:c r="G423" s="872"/>
      <x:c r="H423" s="872"/>
      <x:c r="I423" s="875"/>
      <x:c r="J423" s="872"/>
      <x:c r="K423" s="873"/>
      <x:c r="L423" s="876"/>
      <x:c r="M423" s="873"/>
      <x:c r="N423" s="874"/>
      <x:c r="O423" s="874"/>
      <x:c r="P423" s="872"/>
      <x:c r="Q423" s="872"/>
      <x:c r="R423" s="872"/>
      <x:c r="S423" s="872"/>
      <x:c r="T423" s="872"/>
      <x:c r="U423" s="872"/>
      <x:c r="V423" s="872"/>
      <x:c r="W423" s="872"/>
      <x:c r="X423" s="872"/>
      <x:c r="Y423" s="872"/>
      <x:c r="Z423" s="872"/>
      <x:c r="AA423" s="877"/>
      <x:c r="AB423" s="872"/>
      <x:c r="AC423" s="872"/>
      <x:c r="AD423" s="872"/>
      <x:c r="AE423" s="872"/>
      <x:c r="AF423" s="872"/>
      <x:c r="AG423" s="872"/>
      <x:c r="AH423" s="872"/>
      <x:c r="AI423" s="872"/>
      <x:c r="AJ423" s="872"/>
      <x:c r="AK423" s="872"/>
      <x:c r="AL423" s="872"/>
      <x:c r="AM423" s="872"/>
      <x:c r="AN423" s="872"/>
      <x:c r="AO423" s="872"/>
      <x:c r="AP423" s="872"/>
      <x:c r="AQ423" s="878"/>
      <x:c r="AR423" s="874"/>
    </x:row>
    <x:row r="424" s="36" customFormat="1" ht="30" customHeight="1">
      <x:c r="A424" s="871"/>
      <x:c r="B424" s="871"/>
      <x:c r="C424" s="871"/>
      <x:c r="D424" s="872"/>
      <x:c r="E424" s="871"/>
      <x:c r="F424" s="871"/>
      <x:c r="G424" s="872"/>
      <x:c r="H424" s="872"/>
      <x:c r="I424" s="875"/>
      <x:c r="J424" s="872"/>
      <x:c r="K424" s="873"/>
      <x:c r="L424" s="876"/>
      <x:c r="M424" s="873"/>
      <x:c r="N424" s="874"/>
      <x:c r="O424" s="874"/>
      <x:c r="P424" s="872"/>
      <x:c r="Q424" s="872"/>
      <x:c r="R424" s="872"/>
      <x:c r="S424" s="872"/>
      <x:c r="T424" s="872"/>
      <x:c r="U424" s="872"/>
      <x:c r="V424" s="872"/>
      <x:c r="W424" s="872"/>
      <x:c r="X424" s="872"/>
      <x:c r="Y424" s="872"/>
      <x:c r="Z424" s="872"/>
      <x:c r="AA424" s="877"/>
      <x:c r="AB424" s="872"/>
      <x:c r="AC424" s="872"/>
      <x:c r="AD424" s="872"/>
      <x:c r="AE424" s="872"/>
      <x:c r="AF424" s="872"/>
      <x:c r="AG424" s="872"/>
      <x:c r="AH424" s="872"/>
      <x:c r="AI424" s="872"/>
      <x:c r="AJ424" s="872"/>
      <x:c r="AK424" s="872"/>
      <x:c r="AL424" s="872"/>
      <x:c r="AM424" s="872"/>
      <x:c r="AN424" s="872"/>
      <x:c r="AO424" s="872"/>
      <x:c r="AP424" s="872"/>
      <x:c r="AQ424" s="878"/>
      <x:c r="AR424" s="874"/>
    </x:row>
    <x:row r="425" s="36" customFormat="1" ht="30" customHeight="1">
      <x:c r="A425" s="871"/>
      <x:c r="B425" s="871"/>
      <x:c r="C425" s="871"/>
      <x:c r="D425" s="872"/>
      <x:c r="E425" s="871"/>
      <x:c r="F425" s="871"/>
      <x:c r="G425" s="872"/>
      <x:c r="H425" s="872"/>
      <x:c r="I425" s="875"/>
      <x:c r="J425" s="872"/>
      <x:c r="K425" s="873"/>
      <x:c r="L425" s="876"/>
      <x:c r="M425" s="873"/>
      <x:c r="N425" s="874"/>
      <x:c r="O425" s="874"/>
      <x:c r="P425" s="872"/>
      <x:c r="Q425" s="872"/>
      <x:c r="R425" s="872"/>
      <x:c r="S425" s="872"/>
      <x:c r="T425" s="872"/>
      <x:c r="U425" s="872"/>
      <x:c r="V425" s="872"/>
      <x:c r="W425" s="872"/>
      <x:c r="X425" s="872"/>
      <x:c r="Y425" s="872"/>
      <x:c r="Z425" s="872"/>
      <x:c r="AA425" s="877"/>
      <x:c r="AB425" s="872"/>
      <x:c r="AC425" s="872"/>
      <x:c r="AD425" s="872"/>
      <x:c r="AE425" s="872"/>
      <x:c r="AF425" s="872"/>
      <x:c r="AG425" s="872"/>
      <x:c r="AH425" s="872"/>
      <x:c r="AI425" s="872"/>
      <x:c r="AJ425" s="872"/>
      <x:c r="AK425" s="872"/>
      <x:c r="AL425" s="872"/>
      <x:c r="AM425" s="872"/>
      <x:c r="AN425" s="872"/>
      <x:c r="AO425" s="872"/>
      <x:c r="AP425" s="872"/>
      <x:c r="AQ425" s="878"/>
      <x:c r="AR425" s="874"/>
    </x:row>
    <x:row r="426" s="36" customFormat="1" ht="30" customHeight="1">
      <x:c r="A426" s="871"/>
      <x:c r="B426" s="871"/>
      <x:c r="C426" s="871"/>
      <x:c r="D426" s="872"/>
      <x:c r="E426" s="871"/>
      <x:c r="F426" s="871"/>
      <x:c r="G426" s="872"/>
      <x:c r="H426" s="872"/>
      <x:c r="I426" s="875"/>
      <x:c r="J426" s="872"/>
      <x:c r="K426" s="873"/>
      <x:c r="L426" s="876"/>
      <x:c r="M426" s="873"/>
      <x:c r="N426" s="874"/>
      <x:c r="O426" s="874"/>
      <x:c r="P426" s="872"/>
      <x:c r="Q426" s="872"/>
      <x:c r="R426" s="872"/>
      <x:c r="S426" s="872"/>
      <x:c r="T426" s="872"/>
      <x:c r="U426" s="872"/>
      <x:c r="V426" s="872"/>
      <x:c r="W426" s="872"/>
      <x:c r="X426" s="872"/>
      <x:c r="Y426" s="872"/>
      <x:c r="Z426" s="872"/>
      <x:c r="AA426" s="877"/>
      <x:c r="AB426" s="872"/>
      <x:c r="AC426" s="872"/>
      <x:c r="AD426" s="872"/>
      <x:c r="AE426" s="872"/>
      <x:c r="AF426" s="872"/>
      <x:c r="AG426" s="872"/>
      <x:c r="AH426" s="872"/>
      <x:c r="AI426" s="872"/>
      <x:c r="AJ426" s="872"/>
      <x:c r="AK426" s="872"/>
      <x:c r="AL426" s="872"/>
      <x:c r="AM426" s="872"/>
      <x:c r="AN426" s="872"/>
      <x:c r="AO426" s="872"/>
      <x:c r="AP426" s="872"/>
      <x:c r="AQ426" s="878"/>
      <x:c r="AR426" s="874"/>
    </x:row>
    <x:row r="427" s="36" customFormat="1" ht="30" customHeight="1">
      <x:c r="A427" s="871"/>
      <x:c r="B427" s="871"/>
      <x:c r="C427" s="871"/>
      <x:c r="D427" s="872"/>
      <x:c r="E427" s="871"/>
      <x:c r="F427" s="871"/>
      <x:c r="G427" s="872"/>
      <x:c r="H427" s="872"/>
      <x:c r="I427" s="875"/>
      <x:c r="J427" s="872"/>
      <x:c r="K427" s="873"/>
      <x:c r="L427" s="876"/>
      <x:c r="M427" s="873"/>
      <x:c r="N427" s="874"/>
      <x:c r="O427" s="874"/>
      <x:c r="P427" s="872"/>
      <x:c r="Q427" s="872"/>
      <x:c r="R427" s="872"/>
      <x:c r="S427" s="872"/>
      <x:c r="T427" s="872"/>
      <x:c r="U427" s="872"/>
      <x:c r="V427" s="872"/>
      <x:c r="W427" s="872"/>
      <x:c r="X427" s="872"/>
      <x:c r="Y427" s="872"/>
      <x:c r="Z427" s="872"/>
      <x:c r="AA427" s="877"/>
      <x:c r="AB427" s="872"/>
      <x:c r="AC427" s="872"/>
      <x:c r="AD427" s="872"/>
      <x:c r="AE427" s="872"/>
      <x:c r="AF427" s="872"/>
      <x:c r="AG427" s="872"/>
      <x:c r="AH427" s="872"/>
      <x:c r="AI427" s="872"/>
      <x:c r="AJ427" s="872"/>
      <x:c r="AK427" s="872"/>
      <x:c r="AL427" s="872"/>
      <x:c r="AM427" s="872"/>
      <x:c r="AN427" s="872"/>
      <x:c r="AO427" s="872"/>
      <x:c r="AP427" s="872"/>
      <x:c r="AQ427" s="878"/>
      <x:c r="AR427" s="874"/>
    </x:row>
    <x:row r="428" s="36" customFormat="1" ht="30" customHeight="1">
      <x:c r="A428" s="871"/>
      <x:c r="B428" s="871"/>
      <x:c r="C428" s="871"/>
      <x:c r="D428" s="872"/>
      <x:c r="E428" s="871"/>
      <x:c r="F428" s="871"/>
      <x:c r="G428" s="872"/>
      <x:c r="H428" s="872"/>
      <x:c r="I428" s="875"/>
      <x:c r="J428" s="872"/>
      <x:c r="K428" s="873"/>
      <x:c r="L428" s="876"/>
      <x:c r="M428" s="873"/>
      <x:c r="N428" s="874"/>
      <x:c r="O428" s="874"/>
      <x:c r="P428" s="872"/>
      <x:c r="Q428" s="872"/>
      <x:c r="R428" s="872"/>
      <x:c r="S428" s="872"/>
      <x:c r="T428" s="872"/>
      <x:c r="U428" s="872"/>
      <x:c r="V428" s="872"/>
      <x:c r="W428" s="872"/>
      <x:c r="X428" s="872"/>
      <x:c r="Y428" s="872"/>
      <x:c r="Z428" s="872"/>
      <x:c r="AA428" s="877"/>
      <x:c r="AB428" s="872"/>
      <x:c r="AC428" s="872"/>
      <x:c r="AD428" s="872"/>
      <x:c r="AE428" s="872"/>
      <x:c r="AF428" s="872"/>
      <x:c r="AG428" s="872"/>
      <x:c r="AH428" s="872"/>
      <x:c r="AI428" s="872"/>
      <x:c r="AJ428" s="872"/>
      <x:c r="AK428" s="872"/>
      <x:c r="AL428" s="872"/>
      <x:c r="AM428" s="872"/>
      <x:c r="AN428" s="872"/>
      <x:c r="AO428" s="872"/>
      <x:c r="AP428" s="872"/>
      <x:c r="AQ428" s="878"/>
      <x:c r="AR428" s="874"/>
    </x:row>
    <x:row r="429" s="36" customFormat="1" ht="30" customHeight="1">
      <x:c r="A429" s="871"/>
      <x:c r="B429" s="871"/>
      <x:c r="C429" s="871"/>
      <x:c r="D429" s="872"/>
      <x:c r="E429" s="871"/>
      <x:c r="F429" s="871"/>
      <x:c r="G429" s="872"/>
      <x:c r="H429" s="872"/>
      <x:c r="I429" s="875"/>
      <x:c r="J429" s="872"/>
      <x:c r="K429" s="873"/>
      <x:c r="L429" s="876"/>
      <x:c r="M429" s="873"/>
      <x:c r="N429" s="874"/>
      <x:c r="O429" s="874"/>
      <x:c r="P429" s="872"/>
      <x:c r="Q429" s="872"/>
      <x:c r="R429" s="872"/>
      <x:c r="S429" s="872"/>
      <x:c r="T429" s="872"/>
      <x:c r="U429" s="872"/>
      <x:c r="V429" s="872"/>
      <x:c r="W429" s="872"/>
      <x:c r="X429" s="872"/>
      <x:c r="Y429" s="872"/>
      <x:c r="Z429" s="872"/>
      <x:c r="AA429" s="877"/>
      <x:c r="AB429" s="872"/>
      <x:c r="AC429" s="872"/>
      <x:c r="AD429" s="872"/>
      <x:c r="AE429" s="872"/>
      <x:c r="AF429" s="872"/>
      <x:c r="AG429" s="872"/>
      <x:c r="AH429" s="872"/>
      <x:c r="AI429" s="872"/>
      <x:c r="AJ429" s="872"/>
      <x:c r="AK429" s="872"/>
      <x:c r="AL429" s="872"/>
      <x:c r="AM429" s="872"/>
      <x:c r="AN429" s="872"/>
      <x:c r="AO429" s="872"/>
      <x:c r="AP429" s="872"/>
      <x:c r="AQ429" s="878"/>
      <x:c r="AR429" s="874"/>
    </x:row>
    <x:row r="430" s="36" customFormat="1" ht="30" customHeight="1">
      <x:c r="A430" s="871"/>
      <x:c r="B430" s="871"/>
      <x:c r="C430" s="871"/>
      <x:c r="D430" s="872"/>
      <x:c r="E430" s="871"/>
      <x:c r="F430" s="871"/>
      <x:c r="G430" s="872"/>
      <x:c r="H430" s="872"/>
      <x:c r="I430" s="875"/>
      <x:c r="J430" s="872"/>
      <x:c r="K430" s="873"/>
      <x:c r="L430" s="876"/>
      <x:c r="M430" s="873"/>
      <x:c r="N430" s="874"/>
      <x:c r="O430" s="874"/>
      <x:c r="P430" s="872"/>
      <x:c r="Q430" s="872"/>
      <x:c r="R430" s="872"/>
      <x:c r="S430" s="872"/>
      <x:c r="T430" s="872"/>
      <x:c r="U430" s="872"/>
      <x:c r="V430" s="872"/>
      <x:c r="W430" s="872"/>
      <x:c r="X430" s="872"/>
      <x:c r="Y430" s="872"/>
      <x:c r="Z430" s="872"/>
      <x:c r="AA430" s="877"/>
      <x:c r="AB430" s="872"/>
      <x:c r="AC430" s="872"/>
      <x:c r="AD430" s="872"/>
      <x:c r="AE430" s="872"/>
      <x:c r="AF430" s="872"/>
      <x:c r="AG430" s="872"/>
      <x:c r="AH430" s="872"/>
      <x:c r="AI430" s="872"/>
      <x:c r="AJ430" s="872"/>
      <x:c r="AK430" s="872"/>
      <x:c r="AL430" s="872"/>
      <x:c r="AM430" s="872"/>
      <x:c r="AN430" s="872"/>
      <x:c r="AO430" s="872"/>
      <x:c r="AP430" s="872"/>
      <x:c r="AQ430" s="878"/>
      <x:c r="AR430" s="874"/>
    </x:row>
    <x:row r="431" s="36" customFormat="1" ht="30" customHeight="1">
      <x:c r="A431" s="871"/>
      <x:c r="B431" s="871"/>
      <x:c r="C431" s="871"/>
      <x:c r="D431" s="872"/>
      <x:c r="E431" s="871"/>
      <x:c r="F431" s="871"/>
      <x:c r="G431" s="872"/>
      <x:c r="H431" s="872"/>
      <x:c r="I431" s="875"/>
      <x:c r="J431" s="872"/>
      <x:c r="K431" s="873"/>
      <x:c r="L431" s="876"/>
      <x:c r="M431" s="873"/>
      <x:c r="N431" s="874"/>
      <x:c r="O431" s="874"/>
      <x:c r="P431" s="872"/>
      <x:c r="Q431" s="872"/>
      <x:c r="R431" s="872"/>
      <x:c r="S431" s="872"/>
      <x:c r="T431" s="872"/>
      <x:c r="U431" s="872"/>
      <x:c r="V431" s="872"/>
      <x:c r="W431" s="872"/>
      <x:c r="X431" s="872"/>
      <x:c r="Y431" s="872"/>
      <x:c r="Z431" s="872"/>
      <x:c r="AA431" s="877"/>
      <x:c r="AB431" s="872"/>
      <x:c r="AC431" s="872"/>
      <x:c r="AD431" s="872"/>
      <x:c r="AE431" s="872"/>
      <x:c r="AF431" s="872"/>
      <x:c r="AG431" s="872"/>
      <x:c r="AH431" s="872"/>
      <x:c r="AI431" s="872"/>
      <x:c r="AJ431" s="872"/>
      <x:c r="AK431" s="872"/>
      <x:c r="AL431" s="872"/>
      <x:c r="AM431" s="872"/>
      <x:c r="AN431" s="872"/>
      <x:c r="AO431" s="872"/>
      <x:c r="AP431" s="872"/>
      <x:c r="AQ431" s="878"/>
      <x:c r="AR431" s="874"/>
    </x:row>
    <x:row r="432" s="36" customFormat="1" ht="30" customHeight="1">
      <x:c r="A432" s="871"/>
      <x:c r="B432" s="871"/>
      <x:c r="C432" s="871"/>
      <x:c r="D432" s="872"/>
      <x:c r="E432" s="871"/>
      <x:c r="F432" s="871"/>
      <x:c r="G432" s="872"/>
      <x:c r="H432" s="872"/>
      <x:c r="I432" s="875"/>
      <x:c r="J432" s="872"/>
      <x:c r="K432" s="873"/>
      <x:c r="L432" s="876"/>
      <x:c r="M432" s="873"/>
      <x:c r="N432" s="874"/>
      <x:c r="O432" s="874"/>
      <x:c r="P432" s="872"/>
      <x:c r="Q432" s="872"/>
      <x:c r="R432" s="872"/>
      <x:c r="S432" s="872"/>
      <x:c r="T432" s="872"/>
      <x:c r="U432" s="872"/>
      <x:c r="V432" s="872"/>
      <x:c r="W432" s="872"/>
      <x:c r="X432" s="872"/>
      <x:c r="Y432" s="872"/>
      <x:c r="Z432" s="872"/>
      <x:c r="AA432" s="877"/>
      <x:c r="AB432" s="872"/>
      <x:c r="AC432" s="872"/>
      <x:c r="AD432" s="872"/>
      <x:c r="AE432" s="872"/>
      <x:c r="AF432" s="872"/>
      <x:c r="AG432" s="872"/>
      <x:c r="AH432" s="872"/>
      <x:c r="AI432" s="872"/>
      <x:c r="AJ432" s="872"/>
      <x:c r="AK432" s="872"/>
      <x:c r="AL432" s="872"/>
      <x:c r="AM432" s="872"/>
      <x:c r="AN432" s="872"/>
      <x:c r="AO432" s="872"/>
      <x:c r="AP432" s="872"/>
      <x:c r="AQ432" s="878"/>
      <x:c r="AR432" s="874"/>
    </x:row>
    <x:row r="433" s="36" customFormat="1" ht="30" customHeight="1">
      <x:c r="A433" s="871"/>
      <x:c r="B433" s="871"/>
      <x:c r="C433" s="871"/>
      <x:c r="D433" s="872"/>
      <x:c r="E433" s="871"/>
      <x:c r="F433" s="871"/>
      <x:c r="G433" s="872"/>
      <x:c r="H433" s="872"/>
      <x:c r="I433" s="875"/>
      <x:c r="J433" s="872"/>
      <x:c r="K433" s="873"/>
      <x:c r="L433" s="876"/>
      <x:c r="M433" s="873"/>
      <x:c r="N433" s="874"/>
      <x:c r="O433" s="874"/>
      <x:c r="P433" s="872"/>
      <x:c r="Q433" s="872"/>
      <x:c r="R433" s="872"/>
      <x:c r="S433" s="872"/>
      <x:c r="T433" s="872"/>
      <x:c r="U433" s="872"/>
      <x:c r="V433" s="872"/>
      <x:c r="W433" s="872"/>
      <x:c r="X433" s="872"/>
      <x:c r="Y433" s="872"/>
      <x:c r="Z433" s="872"/>
      <x:c r="AA433" s="877"/>
      <x:c r="AB433" s="872"/>
      <x:c r="AC433" s="872"/>
      <x:c r="AD433" s="872"/>
      <x:c r="AE433" s="872"/>
      <x:c r="AF433" s="872"/>
      <x:c r="AG433" s="872"/>
      <x:c r="AH433" s="872"/>
      <x:c r="AI433" s="872"/>
      <x:c r="AJ433" s="872"/>
      <x:c r="AK433" s="872"/>
      <x:c r="AL433" s="872"/>
      <x:c r="AM433" s="872"/>
      <x:c r="AN433" s="872"/>
      <x:c r="AO433" s="872"/>
      <x:c r="AP433" s="872"/>
      <x:c r="AQ433" s="878"/>
      <x:c r="AR433" s="874"/>
    </x:row>
    <x:row r="434" s="36" customFormat="1" ht="30" customHeight="1">
      <x:c r="A434" s="871"/>
      <x:c r="B434" s="871"/>
      <x:c r="C434" s="871"/>
      <x:c r="D434" s="872"/>
      <x:c r="E434" s="871"/>
      <x:c r="F434" s="871"/>
      <x:c r="G434" s="872"/>
      <x:c r="H434" s="872"/>
      <x:c r="I434" s="875"/>
      <x:c r="J434" s="872"/>
      <x:c r="K434" s="873"/>
      <x:c r="L434" s="876"/>
      <x:c r="M434" s="873"/>
      <x:c r="N434" s="874"/>
      <x:c r="O434" s="874"/>
      <x:c r="P434" s="872"/>
      <x:c r="Q434" s="872"/>
      <x:c r="R434" s="872"/>
      <x:c r="S434" s="872"/>
      <x:c r="T434" s="872"/>
      <x:c r="U434" s="872"/>
      <x:c r="V434" s="872"/>
      <x:c r="W434" s="872"/>
      <x:c r="X434" s="872"/>
      <x:c r="Y434" s="872"/>
      <x:c r="Z434" s="872"/>
      <x:c r="AA434" s="877"/>
      <x:c r="AB434" s="872"/>
      <x:c r="AC434" s="872"/>
      <x:c r="AD434" s="872"/>
      <x:c r="AE434" s="872"/>
      <x:c r="AF434" s="872"/>
      <x:c r="AG434" s="872"/>
      <x:c r="AH434" s="872"/>
      <x:c r="AI434" s="872"/>
      <x:c r="AJ434" s="872"/>
      <x:c r="AK434" s="872"/>
      <x:c r="AL434" s="872"/>
      <x:c r="AM434" s="872"/>
      <x:c r="AN434" s="872"/>
      <x:c r="AO434" s="872"/>
      <x:c r="AP434" s="872"/>
      <x:c r="AQ434" s="878"/>
      <x:c r="AR434" s="874"/>
    </x:row>
    <x:row r="435" s="36" customFormat="1" ht="30" customHeight="1">
      <x:c r="A435" s="871"/>
      <x:c r="B435" s="871"/>
      <x:c r="C435" s="871"/>
      <x:c r="D435" s="872"/>
      <x:c r="E435" s="871"/>
      <x:c r="F435" s="871"/>
      <x:c r="G435" s="872"/>
      <x:c r="H435" s="872"/>
      <x:c r="I435" s="875"/>
      <x:c r="J435" s="872"/>
      <x:c r="K435" s="873"/>
      <x:c r="L435" s="876"/>
      <x:c r="M435" s="873"/>
      <x:c r="N435" s="874"/>
      <x:c r="O435" s="874"/>
      <x:c r="P435" s="872"/>
      <x:c r="Q435" s="872"/>
      <x:c r="R435" s="872"/>
      <x:c r="S435" s="872"/>
      <x:c r="T435" s="872"/>
      <x:c r="U435" s="872"/>
      <x:c r="V435" s="872"/>
      <x:c r="W435" s="872"/>
      <x:c r="X435" s="872"/>
      <x:c r="Y435" s="872"/>
      <x:c r="Z435" s="872"/>
      <x:c r="AA435" s="877"/>
      <x:c r="AB435" s="872"/>
      <x:c r="AC435" s="872"/>
      <x:c r="AD435" s="872"/>
      <x:c r="AE435" s="872"/>
      <x:c r="AF435" s="872"/>
      <x:c r="AG435" s="872"/>
      <x:c r="AH435" s="872"/>
      <x:c r="AI435" s="872"/>
      <x:c r="AJ435" s="872"/>
      <x:c r="AK435" s="872"/>
      <x:c r="AL435" s="872"/>
      <x:c r="AM435" s="872"/>
      <x:c r="AN435" s="872"/>
      <x:c r="AO435" s="872"/>
      <x:c r="AP435" s="872"/>
      <x:c r="AQ435" s="878"/>
      <x:c r="AR435" s="874"/>
    </x:row>
    <x:row r="436" s="36" customFormat="1" ht="30" customHeight="1">
      <x:c r="A436" s="871"/>
      <x:c r="B436" s="871"/>
      <x:c r="C436" s="871"/>
      <x:c r="D436" s="872"/>
      <x:c r="E436" s="871"/>
      <x:c r="F436" s="871"/>
      <x:c r="G436" s="872"/>
      <x:c r="H436" s="872"/>
      <x:c r="I436" s="875"/>
      <x:c r="J436" s="872"/>
      <x:c r="K436" s="873"/>
      <x:c r="L436" s="876"/>
      <x:c r="M436" s="873"/>
      <x:c r="N436" s="874"/>
      <x:c r="O436" s="874"/>
      <x:c r="P436" s="872"/>
      <x:c r="Q436" s="872"/>
      <x:c r="R436" s="872"/>
      <x:c r="S436" s="872"/>
      <x:c r="T436" s="872"/>
      <x:c r="U436" s="872"/>
      <x:c r="V436" s="872"/>
      <x:c r="W436" s="872"/>
      <x:c r="X436" s="872"/>
      <x:c r="Y436" s="872"/>
      <x:c r="Z436" s="872"/>
      <x:c r="AA436" s="877"/>
      <x:c r="AB436" s="872"/>
      <x:c r="AC436" s="872"/>
      <x:c r="AD436" s="872"/>
      <x:c r="AE436" s="872"/>
      <x:c r="AF436" s="872"/>
      <x:c r="AG436" s="872"/>
      <x:c r="AH436" s="872"/>
      <x:c r="AI436" s="872"/>
      <x:c r="AJ436" s="872"/>
      <x:c r="AK436" s="872"/>
      <x:c r="AL436" s="872"/>
      <x:c r="AM436" s="872"/>
      <x:c r="AN436" s="872"/>
      <x:c r="AO436" s="872"/>
      <x:c r="AP436" s="872"/>
      <x:c r="AQ436" s="878"/>
      <x:c r="AR436" s="874"/>
    </x:row>
    <x:row r="437" s="36" customFormat="1" ht="30" customHeight="1">
      <x:c r="A437" s="871"/>
      <x:c r="B437" s="871"/>
      <x:c r="C437" s="871"/>
      <x:c r="D437" s="872"/>
      <x:c r="E437" s="871"/>
      <x:c r="F437" s="871"/>
      <x:c r="G437" s="872"/>
      <x:c r="H437" s="872"/>
      <x:c r="I437" s="875"/>
      <x:c r="J437" s="872"/>
      <x:c r="K437" s="873"/>
      <x:c r="L437" s="876"/>
      <x:c r="M437" s="873"/>
      <x:c r="N437" s="874"/>
      <x:c r="O437" s="874"/>
      <x:c r="P437" s="872"/>
      <x:c r="Q437" s="872"/>
      <x:c r="R437" s="872"/>
      <x:c r="S437" s="872"/>
      <x:c r="T437" s="872"/>
      <x:c r="U437" s="872"/>
      <x:c r="V437" s="872"/>
      <x:c r="W437" s="872"/>
      <x:c r="X437" s="872"/>
      <x:c r="Y437" s="872"/>
      <x:c r="Z437" s="872"/>
      <x:c r="AA437" s="877"/>
      <x:c r="AB437" s="872"/>
      <x:c r="AC437" s="872"/>
      <x:c r="AD437" s="872"/>
      <x:c r="AE437" s="872"/>
      <x:c r="AF437" s="872"/>
      <x:c r="AG437" s="872"/>
      <x:c r="AH437" s="872"/>
      <x:c r="AI437" s="872"/>
      <x:c r="AJ437" s="872"/>
      <x:c r="AK437" s="872"/>
      <x:c r="AL437" s="872"/>
      <x:c r="AM437" s="872"/>
      <x:c r="AN437" s="872"/>
      <x:c r="AO437" s="872"/>
      <x:c r="AP437" s="872"/>
      <x:c r="AQ437" s="878"/>
      <x:c r="AR437" s="874"/>
    </x:row>
    <x:row r="438" s="36" customFormat="1" ht="30" customHeight="1">
      <x:c r="A438" s="871"/>
      <x:c r="B438" s="871"/>
      <x:c r="C438" s="871"/>
      <x:c r="D438" s="872"/>
      <x:c r="E438" s="871"/>
      <x:c r="F438" s="871"/>
      <x:c r="G438" s="872"/>
      <x:c r="H438" s="872"/>
      <x:c r="I438" s="875"/>
      <x:c r="J438" s="872"/>
      <x:c r="K438" s="873"/>
      <x:c r="L438" s="876"/>
      <x:c r="M438" s="873"/>
      <x:c r="N438" s="874"/>
      <x:c r="O438" s="874"/>
      <x:c r="P438" s="872"/>
      <x:c r="Q438" s="872"/>
      <x:c r="R438" s="872"/>
      <x:c r="S438" s="872"/>
      <x:c r="T438" s="872"/>
      <x:c r="U438" s="872"/>
      <x:c r="V438" s="872"/>
      <x:c r="W438" s="872"/>
      <x:c r="X438" s="872"/>
      <x:c r="Y438" s="872"/>
      <x:c r="Z438" s="872"/>
      <x:c r="AA438" s="877"/>
      <x:c r="AB438" s="872"/>
      <x:c r="AC438" s="872"/>
      <x:c r="AD438" s="872"/>
      <x:c r="AE438" s="872"/>
      <x:c r="AF438" s="872"/>
      <x:c r="AG438" s="872"/>
      <x:c r="AH438" s="872"/>
      <x:c r="AI438" s="872"/>
      <x:c r="AJ438" s="872"/>
      <x:c r="AK438" s="872"/>
      <x:c r="AL438" s="872"/>
      <x:c r="AM438" s="872"/>
      <x:c r="AN438" s="872"/>
      <x:c r="AO438" s="872"/>
      <x:c r="AP438" s="872"/>
      <x:c r="AQ438" s="878"/>
      <x:c r="AR438" s="874"/>
    </x:row>
    <x:row r="439" s="36" customFormat="1" ht="30" customHeight="1">
      <x:c r="A439" s="871"/>
      <x:c r="B439" s="871"/>
      <x:c r="C439" s="871"/>
      <x:c r="D439" s="872"/>
      <x:c r="E439" s="871"/>
      <x:c r="F439" s="871"/>
      <x:c r="G439" s="872"/>
      <x:c r="H439" s="872"/>
      <x:c r="I439" s="875"/>
      <x:c r="J439" s="872"/>
      <x:c r="K439" s="873"/>
      <x:c r="L439" s="876"/>
      <x:c r="M439" s="873"/>
      <x:c r="N439" s="874"/>
      <x:c r="O439" s="874"/>
      <x:c r="P439" s="872"/>
      <x:c r="Q439" s="872"/>
      <x:c r="R439" s="872"/>
      <x:c r="S439" s="872"/>
      <x:c r="T439" s="872"/>
      <x:c r="U439" s="872"/>
      <x:c r="V439" s="872"/>
      <x:c r="W439" s="872"/>
      <x:c r="X439" s="872"/>
      <x:c r="Y439" s="872"/>
      <x:c r="Z439" s="872"/>
      <x:c r="AA439" s="877"/>
      <x:c r="AB439" s="872"/>
      <x:c r="AC439" s="872"/>
      <x:c r="AD439" s="872"/>
      <x:c r="AE439" s="872"/>
      <x:c r="AF439" s="872"/>
      <x:c r="AG439" s="872"/>
      <x:c r="AH439" s="872"/>
      <x:c r="AI439" s="872"/>
      <x:c r="AJ439" s="872"/>
      <x:c r="AK439" s="872"/>
      <x:c r="AL439" s="872"/>
      <x:c r="AM439" s="872"/>
      <x:c r="AN439" s="872"/>
      <x:c r="AO439" s="872"/>
      <x:c r="AP439" s="872"/>
      <x:c r="AQ439" s="878"/>
      <x:c r="AR439" s="874"/>
    </x:row>
    <x:row r="440" s="36" customFormat="1" ht="30" customHeight="1">
      <x:c r="A440" s="871"/>
      <x:c r="B440" s="871"/>
      <x:c r="C440" s="871"/>
      <x:c r="D440" s="872"/>
      <x:c r="E440" s="871"/>
      <x:c r="F440" s="871"/>
      <x:c r="G440" s="872"/>
      <x:c r="H440" s="872"/>
      <x:c r="I440" s="875"/>
      <x:c r="J440" s="872"/>
      <x:c r="K440" s="873"/>
      <x:c r="L440" s="876"/>
      <x:c r="M440" s="873"/>
      <x:c r="N440" s="874"/>
      <x:c r="O440" s="874"/>
      <x:c r="P440" s="872"/>
      <x:c r="Q440" s="872"/>
      <x:c r="R440" s="872"/>
      <x:c r="S440" s="872"/>
      <x:c r="T440" s="872"/>
      <x:c r="U440" s="872"/>
      <x:c r="V440" s="872"/>
      <x:c r="W440" s="872"/>
      <x:c r="X440" s="872"/>
      <x:c r="Y440" s="872"/>
      <x:c r="Z440" s="872"/>
      <x:c r="AA440" s="877"/>
      <x:c r="AB440" s="872"/>
      <x:c r="AC440" s="872"/>
      <x:c r="AD440" s="872"/>
      <x:c r="AE440" s="872"/>
      <x:c r="AF440" s="872"/>
      <x:c r="AG440" s="872"/>
      <x:c r="AH440" s="872"/>
      <x:c r="AI440" s="872"/>
      <x:c r="AJ440" s="872"/>
      <x:c r="AK440" s="872"/>
      <x:c r="AL440" s="872"/>
      <x:c r="AM440" s="872"/>
      <x:c r="AN440" s="872"/>
      <x:c r="AO440" s="872"/>
      <x:c r="AP440" s="872"/>
      <x:c r="AQ440" s="878"/>
      <x:c r="AR440" s="874"/>
    </x:row>
    <x:row r="441" s="36" customFormat="1" ht="30" customHeight="1">
      <x:c r="A441" s="871"/>
      <x:c r="B441" s="871"/>
      <x:c r="C441" s="871"/>
      <x:c r="D441" s="872"/>
      <x:c r="E441" s="871"/>
      <x:c r="F441" s="871"/>
      <x:c r="G441" s="872"/>
      <x:c r="H441" s="872"/>
      <x:c r="I441" s="875"/>
      <x:c r="J441" s="872"/>
      <x:c r="K441" s="873"/>
      <x:c r="L441" s="876"/>
      <x:c r="M441" s="873"/>
      <x:c r="N441" s="874"/>
      <x:c r="O441" s="874"/>
      <x:c r="P441" s="872"/>
      <x:c r="Q441" s="872"/>
      <x:c r="R441" s="872"/>
      <x:c r="S441" s="872"/>
      <x:c r="T441" s="872"/>
      <x:c r="U441" s="872"/>
      <x:c r="V441" s="872"/>
      <x:c r="W441" s="872"/>
      <x:c r="X441" s="872"/>
      <x:c r="Y441" s="872"/>
      <x:c r="Z441" s="872"/>
      <x:c r="AA441" s="877"/>
      <x:c r="AB441" s="872"/>
      <x:c r="AC441" s="872"/>
      <x:c r="AD441" s="872"/>
      <x:c r="AE441" s="872"/>
      <x:c r="AF441" s="872"/>
      <x:c r="AG441" s="872"/>
      <x:c r="AH441" s="872"/>
      <x:c r="AI441" s="872"/>
      <x:c r="AJ441" s="872"/>
      <x:c r="AK441" s="872"/>
      <x:c r="AL441" s="872"/>
      <x:c r="AM441" s="872"/>
      <x:c r="AN441" s="872"/>
      <x:c r="AO441" s="872"/>
      <x:c r="AP441" s="872"/>
      <x:c r="AQ441" s="878"/>
      <x:c r="AR441" s="874"/>
    </x:row>
    <x:row r="442" s="36" customFormat="1" ht="30" customHeight="1">
      <x:c r="A442" s="871"/>
      <x:c r="B442" s="871"/>
      <x:c r="C442" s="871"/>
      <x:c r="D442" s="872"/>
      <x:c r="E442" s="871"/>
      <x:c r="F442" s="871"/>
      <x:c r="G442" s="872"/>
      <x:c r="H442" s="872"/>
      <x:c r="I442" s="875"/>
      <x:c r="J442" s="872"/>
      <x:c r="K442" s="873"/>
      <x:c r="L442" s="876"/>
      <x:c r="M442" s="873"/>
      <x:c r="N442" s="874"/>
      <x:c r="O442" s="874"/>
      <x:c r="P442" s="872"/>
      <x:c r="Q442" s="872"/>
      <x:c r="R442" s="872"/>
      <x:c r="S442" s="872"/>
      <x:c r="T442" s="872"/>
      <x:c r="U442" s="872"/>
      <x:c r="V442" s="872"/>
      <x:c r="W442" s="872"/>
      <x:c r="X442" s="872"/>
      <x:c r="Y442" s="872"/>
      <x:c r="Z442" s="872"/>
      <x:c r="AA442" s="877"/>
      <x:c r="AB442" s="872"/>
      <x:c r="AC442" s="872"/>
      <x:c r="AD442" s="872"/>
      <x:c r="AE442" s="872"/>
      <x:c r="AF442" s="872"/>
      <x:c r="AG442" s="872"/>
      <x:c r="AH442" s="872"/>
      <x:c r="AI442" s="872"/>
      <x:c r="AJ442" s="872"/>
      <x:c r="AK442" s="872"/>
      <x:c r="AL442" s="872"/>
      <x:c r="AM442" s="872"/>
      <x:c r="AN442" s="872"/>
      <x:c r="AO442" s="872"/>
      <x:c r="AP442" s="872"/>
      <x:c r="AQ442" s="878"/>
      <x:c r="AR442" s="874"/>
    </x:row>
    <x:row r="443" s="36" customFormat="1" ht="30" customHeight="1">
      <x:c r="A443" s="871"/>
      <x:c r="B443" s="871"/>
      <x:c r="C443" s="871"/>
      <x:c r="D443" s="872"/>
      <x:c r="E443" s="871"/>
      <x:c r="F443" s="871"/>
      <x:c r="G443" s="872"/>
      <x:c r="H443" s="872"/>
      <x:c r="I443" s="875"/>
      <x:c r="J443" s="872"/>
      <x:c r="K443" s="873"/>
      <x:c r="L443" s="876"/>
      <x:c r="M443" s="873"/>
      <x:c r="N443" s="874"/>
      <x:c r="O443" s="874"/>
      <x:c r="P443" s="872"/>
      <x:c r="Q443" s="872"/>
      <x:c r="R443" s="872"/>
      <x:c r="S443" s="872"/>
      <x:c r="T443" s="872"/>
      <x:c r="U443" s="872"/>
      <x:c r="V443" s="872"/>
      <x:c r="W443" s="872"/>
      <x:c r="X443" s="872"/>
      <x:c r="Y443" s="872"/>
      <x:c r="Z443" s="872"/>
      <x:c r="AA443" s="877"/>
      <x:c r="AB443" s="872"/>
      <x:c r="AC443" s="872"/>
      <x:c r="AD443" s="872"/>
      <x:c r="AE443" s="872"/>
      <x:c r="AF443" s="872"/>
      <x:c r="AG443" s="872"/>
      <x:c r="AH443" s="872"/>
      <x:c r="AI443" s="872"/>
      <x:c r="AJ443" s="872"/>
      <x:c r="AK443" s="872"/>
      <x:c r="AL443" s="872"/>
      <x:c r="AM443" s="872"/>
      <x:c r="AN443" s="872"/>
      <x:c r="AO443" s="872"/>
      <x:c r="AP443" s="872"/>
      <x:c r="AQ443" s="878"/>
      <x:c r="AR443" s="874"/>
    </x:row>
    <x:row r="444" s="36" customFormat="1" ht="30" customHeight="1">
      <x:c r="A444" s="871"/>
      <x:c r="B444" s="871"/>
      <x:c r="C444" s="871"/>
      <x:c r="D444" s="872"/>
      <x:c r="E444" s="871"/>
      <x:c r="F444" s="871"/>
      <x:c r="G444" s="872"/>
      <x:c r="H444" s="872"/>
      <x:c r="I444" s="875"/>
      <x:c r="J444" s="872"/>
      <x:c r="K444" s="873"/>
      <x:c r="L444" s="876"/>
      <x:c r="M444" s="873"/>
      <x:c r="N444" s="874"/>
      <x:c r="O444" s="874"/>
      <x:c r="P444" s="872"/>
      <x:c r="Q444" s="872"/>
      <x:c r="R444" s="872"/>
      <x:c r="S444" s="872"/>
      <x:c r="T444" s="872"/>
      <x:c r="U444" s="872"/>
      <x:c r="V444" s="872"/>
      <x:c r="W444" s="872"/>
      <x:c r="X444" s="872"/>
      <x:c r="Y444" s="872"/>
      <x:c r="Z444" s="872"/>
      <x:c r="AA444" s="877"/>
      <x:c r="AB444" s="872"/>
      <x:c r="AC444" s="872"/>
      <x:c r="AD444" s="872"/>
      <x:c r="AE444" s="872"/>
      <x:c r="AF444" s="872"/>
      <x:c r="AG444" s="872"/>
      <x:c r="AH444" s="872"/>
      <x:c r="AI444" s="872"/>
      <x:c r="AJ444" s="872"/>
      <x:c r="AK444" s="872"/>
      <x:c r="AL444" s="872"/>
      <x:c r="AM444" s="872"/>
      <x:c r="AN444" s="872"/>
      <x:c r="AO444" s="872"/>
      <x:c r="AP444" s="872"/>
      <x:c r="AQ444" s="878"/>
      <x:c r="AR444" s="874"/>
    </x:row>
    <x:row r="445" s="36" customFormat="1" ht="30" customHeight="1">
      <x:c r="A445" s="871"/>
      <x:c r="B445" s="871"/>
      <x:c r="C445" s="871"/>
      <x:c r="D445" s="872"/>
      <x:c r="E445" s="871"/>
      <x:c r="F445" s="871"/>
      <x:c r="G445" s="872"/>
      <x:c r="H445" s="872"/>
      <x:c r="I445" s="875"/>
      <x:c r="J445" s="872"/>
      <x:c r="K445" s="873"/>
      <x:c r="L445" s="876"/>
      <x:c r="M445" s="873"/>
      <x:c r="N445" s="874"/>
      <x:c r="O445" s="874"/>
      <x:c r="P445" s="872"/>
      <x:c r="Q445" s="872"/>
      <x:c r="R445" s="872"/>
      <x:c r="S445" s="872"/>
      <x:c r="T445" s="872"/>
      <x:c r="U445" s="872"/>
      <x:c r="V445" s="872"/>
      <x:c r="W445" s="872"/>
      <x:c r="X445" s="872"/>
      <x:c r="Y445" s="872"/>
      <x:c r="Z445" s="872"/>
      <x:c r="AA445" s="877"/>
      <x:c r="AB445" s="872"/>
      <x:c r="AC445" s="872"/>
      <x:c r="AD445" s="872"/>
      <x:c r="AE445" s="872"/>
      <x:c r="AF445" s="872"/>
      <x:c r="AG445" s="872"/>
      <x:c r="AH445" s="872"/>
      <x:c r="AI445" s="872"/>
      <x:c r="AJ445" s="872"/>
      <x:c r="AK445" s="872"/>
      <x:c r="AL445" s="872"/>
      <x:c r="AM445" s="872"/>
      <x:c r="AN445" s="872"/>
      <x:c r="AO445" s="872"/>
      <x:c r="AP445" s="872"/>
      <x:c r="AQ445" s="878"/>
      <x:c r="AR445" s="874"/>
    </x:row>
    <x:row r="446" s="36" customFormat="1" ht="30" customHeight="1">
      <x:c r="A446" s="871"/>
      <x:c r="B446" s="871"/>
      <x:c r="C446" s="871"/>
      <x:c r="D446" s="872"/>
      <x:c r="E446" s="871"/>
      <x:c r="F446" s="871"/>
      <x:c r="G446" s="872"/>
      <x:c r="H446" s="872"/>
      <x:c r="I446" s="875"/>
      <x:c r="J446" s="872"/>
      <x:c r="K446" s="873"/>
      <x:c r="L446" s="876"/>
      <x:c r="M446" s="873"/>
      <x:c r="N446" s="874"/>
      <x:c r="O446" s="874"/>
      <x:c r="P446" s="872"/>
      <x:c r="Q446" s="872"/>
      <x:c r="R446" s="872"/>
      <x:c r="S446" s="872"/>
      <x:c r="T446" s="872"/>
      <x:c r="U446" s="872"/>
      <x:c r="V446" s="872"/>
      <x:c r="W446" s="872"/>
      <x:c r="X446" s="872"/>
      <x:c r="Y446" s="872"/>
      <x:c r="Z446" s="872"/>
      <x:c r="AA446" s="877"/>
      <x:c r="AB446" s="872"/>
      <x:c r="AC446" s="872"/>
      <x:c r="AD446" s="872"/>
      <x:c r="AE446" s="872"/>
      <x:c r="AF446" s="872"/>
      <x:c r="AG446" s="872"/>
      <x:c r="AH446" s="872"/>
      <x:c r="AI446" s="872"/>
      <x:c r="AJ446" s="872"/>
      <x:c r="AK446" s="872"/>
      <x:c r="AL446" s="872"/>
      <x:c r="AM446" s="872"/>
      <x:c r="AN446" s="872"/>
      <x:c r="AO446" s="872"/>
      <x:c r="AP446" s="872"/>
      <x:c r="AQ446" s="878"/>
      <x:c r="AR446" s="874"/>
    </x:row>
    <x:row r="447" s="36" customFormat="1" ht="30" customHeight="1">
      <x:c r="A447" s="871"/>
      <x:c r="B447" s="871"/>
      <x:c r="C447" s="871"/>
      <x:c r="D447" s="872"/>
      <x:c r="E447" s="871"/>
      <x:c r="F447" s="871"/>
      <x:c r="G447" s="872"/>
      <x:c r="H447" s="872"/>
      <x:c r="I447" s="875"/>
      <x:c r="J447" s="872"/>
      <x:c r="K447" s="873"/>
      <x:c r="L447" s="876"/>
      <x:c r="M447" s="873"/>
      <x:c r="N447" s="874"/>
      <x:c r="O447" s="874"/>
      <x:c r="P447" s="872"/>
      <x:c r="Q447" s="872"/>
      <x:c r="R447" s="872"/>
      <x:c r="S447" s="872"/>
      <x:c r="T447" s="872"/>
      <x:c r="U447" s="872"/>
      <x:c r="V447" s="872"/>
      <x:c r="W447" s="872"/>
      <x:c r="X447" s="872"/>
      <x:c r="Y447" s="872"/>
      <x:c r="Z447" s="872"/>
      <x:c r="AA447" s="877"/>
      <x:c r="AB447" s="872"/>
      <x:c r="AC447" s="872"/>
      <x:c r="AD447" s="872"/>
      <x:c r="AE447" s="872"/>
      <x:c r="AF447" s="872"/>
      <x:c r="AG447" s="872"/>
      <x:c r="AH447" s="872"/>
      <x:c r="AI447" s="872"/>
      <x:c r="AJ447" s="872"/>
      <x:c r="AK447" s="872"/>
      <x:c r="AL447" s="872"/>
      <x:c r="AM447" s="872"/>
      <x:c r="AN447" s="872"/>
      <x:c r="AO447" s="872"/>
      <x:c r="AP447" s="872"/>
      <x:c r="AQ447" s="878"/>
      <x:c r="AR447" s="874"/>
    </x:row>
    <x:row r="448" s="36" customFormat="1" ht="30" customHeight="1">
      <x:c r="A448" s="871"/>
      <x:c r="B448" s="871"/>
      <x:c r="C448" s="871"/>
      <x:c r="D448" s="872"/>
      <x:c r="E448" s="871"/>
      <x:c r="F448" s="871"/>
      <x:c r="G448" s="872"/>
      <x:c r="H448" s="872"/>
      <x:c r="I448" s="875"/>
      <x:c r="J448" s="872"/>
      <x:c r="K448" s="873"/>
      <x:c r="L448" s="876"/>
      <x:c r="M448" s="873"/>
      <x:c r="N448" s="874"/>
      <x:c r="O448" s="874"/>
      <x:c r="P448" s="872"/>
      <x:c r="Q448" s="872"/>
      <x:c r="R448" s="872"/>
      <x:c r="S448" s="872"/>
      <x:c r="T448" s="872"/>
      <x:c r="U448" s="872"/>
      <x:c r="V448" s="872"/>
      <x:c r="W448" s="872"/>
      <x:c r="X448" s="872"/>
      <x:c r="Y448" s="872"/>
      <x:c r="Z448" s="872"/>
      <x:c r="AA448" s="877"/>
      <x:c r="AB448" s="872"/>
      <x:c r="AC448" s="872"/>
      <x:c r="AD448" s="872"/>
      <x:c r="AE448" s="872"/>
      <x:c r="AF448" s="872"/>
      <x:c r="AG448" s="872"/>
      <x:c r="AH448" s="872"/>
      <x:c r="AI448" s="872"/>
      <x:c r="AJ448" s="872"/>
      <x:c r="AK448" s="872"/>
      <x:c r="AL448" s="872"/>
      <x:c r="AM448" s="872"/>
      <x:c r="AN448" s="872"/>
      <x:c r="AO448" s="872"/>
      <x:c r="AP448" s="872"/>
      <x:c r="AQ448" s="878"/>
      <x:c r="AR448" s="874"/>
    </x:row>
    <x:row r="449" s="36" customFormat="1" ht="30" customHeight="1">
      <x:c r="A449" s="871"/>
      <x:c r="B449" s="871"/>
      <x:c r="C449" s="871"/>
      <x:c r="D449" s="872"/>
      <x:c r="E449" s="871"/>
      <x:c r="F449" s="871"/>
      <x:c r="G449" s="872"/>
      <x:c r="H449" s="872"/>
      <x:c r="I449" s="875"/>
      <x:c r="J449" s="872"/>
      <x:c r="K449" s="873"/>
      <x:c r="L449" s="876"/>
      <x:c r="M449" s="873"/>
      <x:c r="N449" s="874"/>
      <x:c r="O449" s="874"/>
      <x:c r="P449" s="872"/>
      <x:c r="Q449" s="872"/>
      <x:c r="R449" s="872"/>
      <x:c r="S449" s="872"/>
      <x:c r="T449" s="872"/>
      <x:c r="U449" s="872"/>
      <x:c r="V449" s="872"/>
      <x:c r="W449" s="872"/>
      <x:c r="X449" s="872"/>
      <x:c r="Y449" s="872"/>
      <x:c r="Z449" s="872"/>
      <x:c r="AA449" s="877"/>
      <x:c r="AB449" s="872"/>
      <x:c r="AC449" s="872"/>
      <x:c r="AD449" s="872"/>
      <x:c r="AE449" s="872"/>
      <x:c r="AF449" s="872"/>
      <x:c r="AG449" s="872"/>
      <x:c r="AH449" s="872"/>
      <x:c r="AI449" s="872"/>
      <x:c r="AJ449" s="872"/>
      <x:c r="AK449" s="872"/>
      <x:c r="AL449" s="872"/>
      <x:c r="AM449" s="872"/>
      <x:c r="AN449" s="872"/>
      <x:c r="AO449" s="872"/>
      <x:c r="AP449" s="872"/>
      <x:c r="AQ449" s="878"/>
      <x:c r="AR449" s="874"/>
    </x:row>
    <x:row r="450" s="36" customFormat="1" ht="30" customHeight="1">
      <x:c r="A450" s="871"/>
      <x:c r="B450" s="871"/>
      <x:c r="C450" s="871"/>
      <x:c r="D450" s="872"/>
      <x:c r="E450" s="871"/>
      <x:c r="F450" s="871"/>
      <x:c r="G450" s="872"/>
      <x:c r="H450" s="872"/>
      <x:c r="I450" s="875"/>
      <x:c r="J450" s="872"/>
      <x:c r="K450" s="873"/>
      <x:c r="L450" s="876"/>
      <x:c r="M450" s="873"/>
      <x:c r="N450" s="874"/>
      <x:c r="O450" s="874"/>
      <x:c r="P450" s="872"/>
      <x:c r="Q450" s="872"/>
      <x:c r="R450" s="872"/>
      <x:c r="S450" s="872"/>
      <x:c r="T450" s="872"/>
      <x:c r="U450" s="872"/>
      <x:c r="V450" s="872"/>
      <x:c r="W450" s="872"/>
      <x:c r="X450" s="872"/>
      <x:c r="Y450" s="872"/>
      <x:c r="Z450" s="872"/>
      <x:c r="AA450" s="877"/>
      <x:c r="AB450" s="872"/>
      <x:c r="AC450" s="872"/>
      <x:c r="AD450" s="872"/>
      <x:c r="AE450" s="872"/>
      <x:c r="AF450" s="872"/>
      <x:c r="AG450" s="872"/>
      <x:c r="AH450" s="872"/>
      <x:c r="AI450" s="872"/>
      <x:c r="AJ450" s="872"/>
      <x:c r="AK450" s="872"/>
      <x:c r="AL450" s="872"/>
      <x:c r="AM450" s="872"/>
      <x:c r="AN450" s="872"/>
      <x:c r="AO450" s="872"/>
      <x:c r="AP450" s="872"/>
      <x:c r="AQ450" s="878"/>
      <x:c r="AR450" s="874"/>
    </x:row>
    <x:row r="451" s="36" customFormat="1" ht="30" customHeight="1">
      <x:c r="A451" s="871"/>
      <x:c r="B451" s="871"/>
      <x:c r="C451" s="871"/>
      <x:c r="D451" s="872"/>
      <x:c r="E451" s="871"/>
      <x:c r="F451" s="871"/>
      <x:c r="G451" s="872"/>
      <x:c r="H451" s="872"/>
      <x:c r="I451" s="875"/>
      <x:c r="J451" s="872"/>
      <x:c r="K451" s="873"/>
      <x:c r="L451" s="876"/>
      <x:c r="M451" s="873"/>
      <x:c r="N451" s="874"/>
      <x:c r="O451" s="874"/>
      <x:c r="P451" s="872"/>
      <x:c r="Q451" s="872"/>
      <x:c r="R451" s="872"/>
      <x:c r="S451" s="872"/>
      <x:c r="T451" s="872"/>
      <x:c r="U451" s="872"/>
      <x:c r="V451" s="872"/>
      <x:c r="W451" s="872"/>
      <x:c r="X451" s="872"/>
      <x:c r="Y451" s="872"/>
      <x:c r="Z451" s="872"/>
      <x:c r="AA451" s="877"/>
      <x:c r="AB451" s="872"/>
      <x:c r="AC451" s="872"/>
      <x:c r="AD451" s="872"/>
      <x:c r="AE451" s="872"/>
      <x:c r="AF451" s="872"/>
      <x:c r="AG451" s="872"/>
      <x:c r="AH451" s="872"/>
      <x:c r="AI451" s="872"/>
      <x:c r="AJ451" s="872"/>
      <x:c r="AK451" s="872"/>
      <x:c r="AL451" s="872"/>
      <x:c r="AM451" s="872"/>
      <x:c r="AN451" s="872"/>
      <x:c r="AO451" s="872"/>
      <x:c r="AP451" s="872"/>
      <x:c r="AQ451" s="878"/>
      <x:c r="AR451" s="874"/>
    </x:row>
    <x:row r="452" s="36" customFormat="1" ht="30" customHeight="1">
      <x:c r="A452" s="871"/>
      <x:c r="B452" s="871"/>
      <x:c r="C452" s="871"/>
      <x:c r="D452" s="872"/>
      <x:c r="E452" s="871"/>
      <x:c r="F452" s="871"/>
      <x:c r="G452" s="872"/>
      <x:c r="H452" s="872"/>
      <x:c r="I452" s="875"/>
      <x:c r="J452" s="872"/>
      <x:c r="K452" s="873"/>
      <x:c r="L452" s="876"/>
      <x:c r="M452" s="873"/>
      <x:c r="N452" s="874"/>
      <x:c r="O452" s="874"/>
      <x:c r="P452" s="872"/>
      <x:c r="Q452" s="872"/>
      <x:c r="R452" s="872"/>
      <x:c r="S452" s="872"/>
      <x:c r="T452" s="872"/>
      <x:c r="U452" s="872"/>
      <x:c r="V452" s="872"/>
      <x:c r="W452" s="872"/>
      <x:c r="X452" s="872"/>
      <x:c r="Y452" s="872"/>
      <x:c r="Z452" s="872"/>
      <x:c r="AA452" s="877"/>
      <x:c r="AB452" s="872"/>
      <x:c r="AC452" s="872"/>
      <x:c r="AD452" s="872"/>
      <x:c r="AE452" s="872"/>
      <x:c r="AF452" s="872"/>
      <x:c r="AG452" s="872"/>
      <x:c r="AH452" s="872"/>
      <x:c r="AI452" s="872"/>
      <x:c r="AJ452" s="872"/>
      <x:c r="AK452" s="872"/>
      <x:c r="AL452" s="872"/>
      <x:c r="AM452" s="872"/>
      <x:c r="AN452" s="872"/>
      <x:c r="AO452" s="872"/>
      <x:c r="AP452" s="872"/>
      <x:c r="AQ452" s="878"/>
      <x:c r="AR452" s="874"/>
    </x:row>
    <x:row r="453" s="36" customFormat="1" ht="30" customHeight="1">
      <x:c r="A453" s="871"/>
      <x:c r="B453" s="871"/>
      <x:c r="C453" s="871"/>
      <x:c r="D453" s="872"/>
      <x:c r="E453" s="871"/>
      <x:c r="F453" s="871"/>
      <x:c r="G453" s="872"/>
      <x:c r="H453" s="872"/>
      <x:c r="I453" s="875"/>
      <x:c r="J453" s="872"/>
      <x:c r="K453" s="873"/>
      <x:c r="L453" s="876"/>
      <x:c r="M453" s="873"/>
      <x:c r="N453" s="874"/>
      <x:c r="O453" s="874"/>
      <x:c r="P453" s="872"/>
      <x:c r="Q453" s="872"/>
      <x:c r="R453" s="872"/>
      <x:c r="S453" s="872"/>
      <x:c r="T453" s="872"/>
      <x:c r="U453" s="872"/>
      <x:c r="V453" s="872"/>
      <x:c r="W453" s="872"/>
      <x:c r="X453" s="872"/>
      <x:c r="Y453" s="872"/>
      <x:c r="Z453" s="872"/>
      <x:c r="AA453" s="877"/>
      <x:c r="AB453" s="872"/>
      <x:c r="AC453" s="872"/>
      <x:c r="AD453" s="872"/>
      <x:c r="AE453" s="872"/>
      <x:c r="AF453" s="872"/>
      <x:c r="AG453" s="872"/>
      <x:c r="AH453" s="872"/>
      <x:c r="AI453" s="872"/>
      <x:c r="AJ453" s="872"/>
      <x:c r="AK453" s="872"/>
      <x:c r="AL453" s="872"/>
      <x:c r="AM453" s="872"/>
      <x:c r="AN453" s="872"/>
      <x:c r="AO453" s="872"/>
      <x:c r="AP453" s="872"/>
      <x:c r="AQ453" s="878"/>
      <x:c r="AR453" s="874"/>
    </x:row>
    <x:row r="454" s="36" customFormat="1" ht="30" customHeight="1">
      <x:c r="A454" s="871"/>
      <x:c r="B454" s="871"/>
      <x:c r="C454" s="871"/>
      <x:c r="D454" s="872"/>
      <x:c r="E454" s="871"/>
      <x:c r="F454" s="871"/>
      <x:c r="G454" s="872"/>
      <x:c r="H454" s="872"/>
      <x:c r="I454" s="875"/>
      <x:c r="J454" s="872"/>
      <x:c r="K454" s="873"/>
      <x:c r="L454" s="876"/>
      <x:c r="M454" s="873"/>
      <x:c r="N454" s="874"/>
      <x:c r="O454" s="874"/>
      <x:c r="P454" s="872"/>
      <x:c r="Q454" s="872"/>
      <x:c r="R454" s="872"/>
      <x:c r="S454" s="872"/>
      <x:c r="T454" s="872"/>
      <x:c r="U454" s="872"/>
      <x:c r="V454" s="872"/>
      <x:c r="W454" s="872"/>
      <x:c r="X454" s="872"/>
      <x:c r="Y454" s="872"/>
      <x:c r="Z454" s="872"/>
      <x:c r="AA454" s="877"/>
      <x:c r="AB454" s="872"/>
      <x:c r="AC454" s="872"/>
      <x:c r="AD454" s="872"/>
      <x:c r="AE454" s="872"/>
      <x:c r="AF454" s="872"/>
      <x:c r="AG454" s="872"/>
      <x:c r="AH454" s="872"/>
      <x:c r="AI454" s="872"/>
      <x:c r="AJ454" s="872"/>
      <x:c r="AK454" s="872"/>
      <x:c r="AL454" s="872"/>
      <x:c r="AM454" s="872"/>
      <x:c r="AN454" s="872"/>
      <x:c r="AO454" s="872"/>
      <x:c r="AP454" s="872"/>
      <x:c r="AQ454" s="878"/>
      <x:c r="AR454" s="874"/>
    </x:row>
    <x:row r="455" s="36" customFormat="1" ht="30" customHeight="1">
      <x:c r="A455" s="871"/>
      <x:c r="B455" s="871"/>
      <x:c r="C455" s="871"/>
      <x:c r="D455" s="872"/>
      <x:c r="E455" s="871"/>
      <x:c r="F455" s="871"/>
      <x:c r="G455" s="872"/>
      <x:c r="H455" s="872"/>
      <x:c r="I455" s="875"/>
      <x:c r="J455" s="872"/>
      <x:c r="K455" s="873"/>
      <x:c r="L455" s="876"/>
      <x:c r="M455" s="873"/>
      <x:c r="N455" s="874"/>
      <x:c r="O455" s="874"/>
      <x:c r="P455" s="872"/>
      <x:c r="Q455" s="872"/>
      <x:c r="R455" s="872"/>
      <x:c r="S455" s="872"/>
      <x:c r="T455" s="872"/>
      <x:c r="U455" s="872"/>
      <x:c r="V455" s="872"/>
      <x:c r="W455" s="872"/>
      <x:c r="X455" s="872"/>
      <x:c r="Y455" s="872"/>
      <x:c r="Z455" s="872"/>
      <x:c r="AA455" s="877"/>
      <x:c r="AB455" s="872"/>
      <x:c r="AC455" s="872"/>
      <x:c r="AD455" s="872"/>
      <x:c r="AE455" s="872"/>
      <x:c r="AF455" s="872"/>
      <x:c r="AG455" s="872"/>
      <x:c r="AH455" s="872"/>
      <x:c r="AI455" s="872"/>
      <x:c r="AJ455" s="872"/>
      <x:c r="AK455" s="872"/>
      <x:c r="AL455" s="872"/>
      <x:c r="AM455" s="872"/>
      <x:c r="AN455" s="872"/>
      <x:c r="AO455" s="872"/>
      <x:c r="AP455" s="872"/>
      <x:c r="AQ455" s="878"/>
      <x:c r="AR455" s="874"/>
    </x:row>
    <x:row r="456" s="36" customFormat="1" ht="30" customHeight="1">
      <x:c r="A456" s="871"/>
      <x:c r="B456" s="871"/>
      <x:c r="C456" s="871"/>
      <x:c r="D456" s="872"/>
      <x:c r="E456" s="871"/>
      <x:c r="F456" s="871"/>
      <x:c r="G456" s="872"/>
      <x:c r="H456" s="872"/>
      <x:c r="I456" s="875"/>
      <x:c r="J456" s="872"/>
      <x:c r="K456" s="873"/>
      <x:c r="L456" s="876"/>
      <x:c r="M456" s="873"/>
      <x:c r="N456" s="874"/>
      <x:c r="O456" s="874"/>
      <x:c r="P456" s="872"/>
      <x:c r="Q456" s="872"/>
      <x:c r="R456" s="872"/>
      <x:c r="S456" s="872"/>
      <x:c r="T456" s="872"/>
      <x:c r="U456" s="872"/>
      <x:c r="V456" s="872"/>
      <x:c r="W456" s="872"/>
      <x:c r="X456" s="872"/>
      <x:c r="Y456" s="872"/>
      <x:c r="Z456" s="872"/>
      <x:c r="AA456" s="877"/>
      <x:c r="AB456" s="872"/>
      <x:c r="AC456" s="872"/>
      <x:c r="AD456" s="872"/>
      <x:c r="AE456" s="872"/>
      <x:c r="AF456" s="872"/>
      <x:c r="AG456" s="872"/>
      <x:c r="AH456" s="872"/>
      <x:c r="AI456" s="872"/>
      <x:c r="AJ456" s="872"/>
      <x:c r="AK456" s="872"/>
      <x:c r="AL456" s="872"/>
      <x:c r="AM456" s="872"/>
      <x:c r="AN456" s="872"/>
      <x:c r="AO456" s="872"/>
      <x:c r="AP456" s="872"/>
      <x:c r="AQ456" s="878"/>
      <x:c r="AR456" s="874"/>
    </x:row>
    <x:row r="457" s="36" customFormat="1" ht="30" customHeight="1">
      <x:c r="A457" s="871"/>
      <x:c r="B457" s="871"/>
      <x:c r="C457" s="871"/>
      <x:c r="D457" s="872"/>
      <x:c r="E457" s="871"/>
      <x:c r="F457" s="871"/>
      <x:c r="G457" s="872"/>
      <x:c r="H457" s="872"/>
      <x:c r="I457" s="875"/>
      <x:c r="J457" s="872"/>
      <x:c r="K457" s="873"/>
      <x:c r="L457" s="876"/>
      <x:c r="M457" s="873"/>
      <x:c r="N457" s="874"/>
      <x:c r="O457" s="874"/>
      <x:c r="P457" s="872"/>
      <x:c r="Q457" s="872"/>
      <x:c r="R457" s="872"/>
      <x:c r="S457" s="872"/>
      <x:c r="T457" s="872"/>
      <x:c r="U457" s="872"/>
      <x:c r="V457" s="872"/>
      <x:c r="W457" s="872"/>
      <x:c r="X457" s="872"/>
      <x:c r="Y457" s="872"/>
      <x:c r="Z457" s="872"/>
      <x:c r="AA457" s="877"/>
      <x:c r="AB457" s="872"/>
      <x:c r="AC457" s="872"/>
      <x:c r="AD457" s="872"/>
      <x:c r="AE457" s="872"/>
      <x:c r="AF457" s="872"/>
      <x:c r="AG457" s="872"/>
      <x:c r="AH457" s="872"/>
      <x:c r="AI457" s="872"/>
      <x:c r="AJ457" s="872"/>
      <x:c r="AK457" s="872"/>
      <x:c r="AL457" s="872"/>
      <x:c r="AM457" s="872"/>
      <x:c r="AN457" s="872"/>
      <x:c r="AO457" s="872"/>
      <x:c r="AP457" s="872"/>
      <x:c r="AQ457" s="878"/>
      <x:c r="AR457" s="874"/>
    </x:row>
    <x:row r="458" s="36" customFormat="1" ht="30" customHeight="1">
      <x:c r="A458" s="871"/>
      <x:c r="B458" s="871"/>
      <x:c r="C458" s="871"/>
      <x:c r="D458" s="872"/>
      <x:c r="E458" s="871"/>
      <x:c r="F458" s="871"/>
      <x:c r="G458" s="872"/>
      <x:c r="H458" s="872"/>
      <x:c r="I458" s="875"/>
      <x:c r="J458" s="872"/>
      <x:c r="K458" s="873"/>
      <x:c r="L458" s="876"/>
      <x:c r="M458" s="873"/>
      <x:c r="N458" s="874"/>
      <x:c r="O458" s="874"/>
      <x:c r="P458" s="872"/>
      <x:c r="Q458" s="872"/>
      <x:c r="R458" s="872"/>
      <x:c r="S458" s="872"/>
      <x:c r="T458" s="872"/>
      <x:c r="U458" s="872"/>
      <x:c r="V458" s="872"/>
      <x:c r="W458" s="872"/>
      <x:c r="X458" s="872"/>
      <x:c r="Y458" s="872"/>
      <x:c r="Z458" s="872"/>
      <x:c r="AA458" s="877"/>
      <x:c r="AB458" s="872"/>
      <x:c r="AC458" s="872"/>
      <x:c r="AD458" s="872"/>
      <x:c r="AE458" s="872"/>
      <x:c r="AF458" s="872"/>
      <x:c r="AG458" s="872"/>
      <x:c r="AH458" s="872"/>
      <x:c r="AI458" s="872"/>
      <x:c r="AJ458" s="872"/>
      <x:c r="AK458" s="872"/>
      <x:c r="AL458" s="872"/>
      <x:c r="AM458" s="872"/>
      <x:c r="AN458" s="872"/>
      <x:c r="AO458" s="872"/>
      <x:c r="AP458" s="872"/>
      <x:c r="AQ458" s="878"/>
      <x:c r="AR458" s="874"/>
    </x:row>
    <x:row r="459" s="36" customFormat="1" ht="30" customHeight="1">
      <x:c r="A459" s="871"/>
      <x:c r="B459" s="871"/>
      <x:c r="C459" s="871"/>
      <x:c r="D459" s="872"/>
      <x:c r="E459" s="871"/>
      <x:c r="F459" s="871"/>
      <x:c r="G459" s="872"/>
      <x:c r="H459" s="872"/>
      <x:c r="I459" s="875"/>
      <x:c r="J459" s="872"/>
      <x:c r="K459" s="873"/>
      <x:c r="L459" s="876"/>
      <x:c r="M459" s="873"/>
      <x:c r="N459" s="874"/>
      <x:c r="O459" s="874"/>
      <x:c r="P459" s="872"/>
      <x:c r="Q459" s="872"/>
      <x:c r="R459" s="872"/>
      <x:c r="S459" s="872"/>
      <x:c r="T459" s="872"/>
      <x:c r="U459" s="872"/>
      <x:c r="V459" s="872"/>
      <x:c r="W459" s="872"/>
      <x:c r="X459" s="872"/>
      <x:c r="Y459" s="872"/>
      <x:c r="Z459" s="872"/>
      <x:c r="AA459" s="877"/>
      <x:c r="AB459" s="872"/>
      <x:c r="AC459" s="872"/>
      <x:c r="AD459" s="872"/>
      <x:c r="AE459" s="872"/>
      <x:c r="AF459" s="872"/>
      <x:c r="AG459" s="872"/>
      <x:c r="AH459" s="872"/>
      <x:c r="AI459" s="872"/>
      <x:c r="AJ459" s="872"/>
      <x:c r="AK459" s="872"/>
      <x:c r="AL459" s="872"/>
      <x:c r="AM459" s="872"/>
      <x:c r="AN459" s="872"/>
      <x:c r="AO459" s="872"/>
      <x:c r="AP459" s="872"/>
      <x:c r="AQ459" s="878"/>
      <x:c r="AR459" s="874"/>
    </x:row>
    <x:row r="460" s="36" customFormat="1" ht="30" customHeight="1">
      <x:c r="A460" s="871"/>
      <x:c r="B460" s="871"/>
      <x:c r="C460" s="871"/>
      <x:c r="D460" s="872"/>
      <x:c r="E460" s="871"/>
      <x:c r="F460" s="871"/>
      <x:c r="G460" s="872"/>
      <x:c r="H460" s="872"/>
      <x:c r="I460" s="875"/>
      <x:c r="J460" s="872"/>
      <x:c r="K460" s="873"/>
      <x:c r="L460" s="876"/>
      <x:c r="M460" s="873"/>
      <x:c r="N460" s="874"/>
      <x:c r="O460" s="874"/>
      <x:c r="P460" s="872"/>
      <x:c r="Q460" s="872"/>
      <x:c r="R460" s="872"/>
      <x:c r="S460" s="872"/>
      <x:c r="T460" s="872"/>
      <x:c r="U460" s="872"/>
      <x:c r="V460" s="872"/>
      <x:c r="W460" s="872"/>
      <x:c r="X460" s="872"/>
      <x:c r="Y460" s="872"/>
      <x:c r="Z460" s="872"/>
      <x:c r="AA460" s="877"/>
      <x:c r="AB460" s="872"/>
      <x:c r="AC460" s="872"/>
      <x:c r="AD460" s="872"/>
      <x:c r="AE460" s="872"/>
      <x:c r="AF460" s="872"/>
      <x:c r="AG460" s="872"/>
      <x:c r="AH460" s="872"/>
      <x:c r="AI460" s="872"/>
      <x:c r="AJ460" s="872"/>
      <x:c r="AK460" s="872"/>
      <x:c r="AL460" s="872"/>
      <x:c r="AM460" s="872"/>
      <x:c r="AN460" s="872"/>
      <x:c r="AO460" s="872"/>
      <x:c r="AP460" s="872"/>
      <x:c r="AQ460" s="878"/>
      <x:c r="AR460" s="874"/>
    </x:row>
    <x:row r="461" s="36" customFormat="1" ht="30" customHeight="1">
      <x:c r="A461" s="871"/>
      <x:c r="B461" s="871"/>
      <x:c r="C461" s="871"/>
      <x:c r="D461" s="872"/>
      <x:c r="E461" s="871"/>
      <x:c r="F461" s="871"/>
      <x:c r="G461" s="872"/>
      <x:c r="H461" s="872"/>
      <x:c r="I461" s="875"/>
      <x:c r="J461" s="872"/>
      <x:c r="K461" s="873"/>
      <x:c r="L461" s="876"/>
      <x:c r="M461" s="873"/>
      <x:c r="N461" s="874"/>
      <x:c r="O461" s="874"/>
      <x:c r="P461" s="872"/>
      <x:c r="Q461" s="872"/>
      <x:c r="R461" s="872"/>
      <x:c r="S461" s="872"/>
      <x:c r="T461" s="872"/>
      <x:c r="U461" s="872"/>
      <x:c r="V461" s="872"/>
      <x:c r="W461" s="872"/>
      <x:c r="X461" s="872"/>
      <x:c r="Y461" s="872"/>
      <x:c r="Z461" s="872"/>
      <x:c r="AA461" s="877"/>
      <x:c r="AB461" s="872"/>
      <x:c r="AC461" s="872"/>
      <x:c r="AD461" s="872"/>
      <x:c r="AE461" s="872"/>
      <x:c r="AF461" s="872"/>
      <x:c r="AG461" s="872"/>
      <x:c r="AH461" s="872"/>
      <x:c r="AI461" s="872"/>
      <x:c r="AJ461" s="872"/>
      <x:c r="AK461" s="872"/>
      <x:c r="AL461" s="872"/>
      <x:c r="AM461" s="872"/>
      <x:c r="AN461" s="872"/>
      <x:c r="AO461" s="872"/>
      <x:c r="AP461" s="872"/>
      <x:c r="AQ461" s="878"/>
      <x:c r="AR461" s="874"/>
    </x:row>
    <x:row r="462" s="36" customFormat="1" ht="30" customHeight="1">
      <x:c r="A462" s="871"/>
      <x:c r="B462" s="871"/>
      <x:c r="C462" s="871"/>
      <x:c r="D462" s="872"/>
      <x:c r="E462" s="871"/>
      <x:c r="F462" s="871"/>
      <x:c r="G462" s="872"/>
      <x:c r="H462" s="872"/>
      <x:c r="I462" s="875"/>
      <x:c r="J462" s="872"/>
      <x:c r="K462" s="873"/>
      <x:c r="L462" s="876"/>
      <x:c r="M462" s="873"/>
      <x:c r="N462" s="874"/>
      <x:c r="O462" s="874"/>
      <x:c r="P462" s="872"/>
      <x:c r="Q462" s="872"/>
      <x:c r="R462" s="872"/>
      <x:c r="S462" s="872"/>
      <x:c r="T462" s="872"/>
      <x:c r="U462" s="872"/>
      <x:c r="V462" s="872"/>
      <x:c r="W462" s="872"/>
      <x:c r="X462" s="872"/>
      <x:c r="Y462" s="872"/>
      <x:c r="Z462" s="872"/>
      <x:c r="AA462" s="877"/>
      <x:c r="AB462" s="872"/>
      <x:c r="AC462" s="872"/>
      <x:c r="AD462" s="872"/>
      <x:c r="AE462" s="872"/>
      <x:c r="AF462" s="872"/>
      <x:c r="AG462" s="872"/>
      <x:c r="AH462" s="872"/>
      <x:c r="AI462" s="872"/>
      <x:c r="AJ462" s="872"/>
      <x:c r="AK462" s="872"/>
      <x:c r="AL462" s="872"/>
      <x:c r="AM462" s="872"/>
      <x:c r="AN462" s="872"/>
      <x:c r="AO462" s="872"/>
      <x:c r="AP462" s="872"/>
      <x:c r="AQ462" s="878"/>
      <x:c r="AR462" s="874"/>
    </x:row>
    <x:row r="463" s="36" customFormat="1" ht="30" customHeight="1">
      <x:c r="A463" s="871"/>
      <x:c r="B463" s="871"/>
      <x:c r="C463" s="871"/>
      <x:c r="D463" s="872"/>
      <x:c r="E463" s="871"/>
      <x:c r="F463" s="871"/>
      <x:c r="G463" s="872"/>
      <x:c r="H463" s="872"/>
      <x:c r="I463" s="875"/>
      <x:c r="J463" s="872"/>
      <x:c r="K463" s="873"/>
      <x:c r="L463" s="876"/>
      <x:c r="M463" s="873"/>
      <x:c r="N463" s="874"/>
      <x:c r="O463" s="874"/>
      <x:c r="P463" s="872"/>
      <x:c r="Q463" s="872"/>
      <x:c r="R463" s="872"/>
      <x:c r="S463" s="872"/>
      <x:c r="T463" s="872"/>
      <x:c r="U463" s="872"/>
      <x:c r="V463" s="872"/>
      <x:c r="W463" s="872"/>
      <x:c r="X463" s="872"/>
      <x:c r="Y463" s="872"/>
      <x:c r="Z463" s="872"/>
      <x:c r="AA463" s="877"/>
      <x:c r="AB463" s="872"/>
      <x:c r="AC463" s="872"/>
      <x:c r="AD463" s="872"/>
      <x:c r="AE463" s="872"/>
      <x:c r="AF463" s="872"/>
      <x:c r="AG463" s="872"/>
      <x:c r="AH463" s="872"/>
      <x:c r="AI463" s="872"/>
      <x:c r="AJ463" s="872"/>
      <x:c r="AK463" s="872"/>
      <x:c r="AL463" s="872"/>
      <x:c r="AM463" s="872"/>
      <x:c r="AN463" s="872"/>
      <x:c r="AO463" s="872"/>
      <x:c r="AP463" s="872"/>
      <x:c r="AQ463" s="878"/>
      <x:c r="AR463" s="874"/>
    </x:row>
    <x:row r="464" s="36" customFormat="1" ht="30" customHeight="1">
      <x:c r="A464" s="871"/>
      <x:c r="B464" s="871"/>
      <x:c r="C464" s="871"/>
      <x:c r="D464" s="872"/>
      <x:c r="E464" s="871"/>
      <x:c r="F464" s="871"/>
      <x:c r="G464" s="872"/>
      <x:c r="H464" s="872"/>
      <x:c r="I464" s="875"/>
      <x:c r="J464" s="872"/>
      <x:c r="K464" s="873"/>
      <x:c r="L464" s="876"/>
      <x:c r="M464" s="873"/>
      <x:c r="N464" s="874"/>
      <x:c r="O464" s="874"/>
      <x:c r="P464" s="872"/>
      <x:c r="Q464" s="872"/>
      <x:c r="R464" s="872"/>
      <x:c r="S464" s="872"/>
      <x:c r="T464" s="872"/>
      <x:c r="U464" s="872"/>
      <x:c r="V464" s="872"/>
      <x:c r="W464" s="872"/>
      <x:c r="X464" s="872"/>
      <x:c r="Y464" s="872"/>
      <x:c r="Z464" s="872"/>
      <x:c r="AA464" s="877"/>
      <x:c r="AB464" s="872"/>
      <x:c r="AC464" s="872"/>
      <x:c r="AD464" s="872"/>
      <x:c r="AE464" s="872"/>
      <x:c r="AF464" s="872"/>
      <x:c r="AG464" s="872"/>
      <x:c r="AH464" s="872"/>
      <x:c r="AI464" s="872"/>
      <x:c r="AJ464" s="872"/>
      <x:c r="AK464" s="872"/>
      <x:c r="AL464" s="872"/>
      <x:c r="AM464" s="872"/>
      <x:c r="AN464" s="872"/>
      <x:c r="AO464" s="872"/>
      <x:c r="AP464" s="872"/>
      <x:c r="AQ464" s="878"/>
      <x:c r="AR464" s="874"/>
    </x:row>
    <x:row r="465" s="36" customFormat="1" ht="30" customHeight="1">
      <x:c r="A465" s="871"/>
      <x:c r="B465" s="871"/>
      <x:c r="C465" s="871"/>
      <x:c r="D465" s="872"/>
      <x:c r="E465" s="871"/>
      <x:c r="F465" s="871"/>
      <x:c r="G465" s="872"/>
      <x:c r="H465" s="872"/>
      <x:c r="I465" s="875"/>
      <x:c r="J465" s="872"/>
      <x:c r="K465" s="873"/>
      <x:c r="L465" s="876"/>
      <x:c r="M465" s="873"/>
      <x:c r="N465" s="874"/>
      <x:c r="O465" s="874"/>
      <x:c r="P465" s="872"/>
      <x:c r="Q465" s="872"/>
      <x:c r="R465" s="872"/>
      <x:c r="S465" s="872"/>
      <x:c r="T465" s="872"/>
      <x:c r="U465" s="872"/>
      <x:c r="V465" s="872"/>
      <x:c r="W465" s="872"/>
      <x:c r="X465" s="872"/>
      <x:c r="Y465" s="872"/>
      <x:c r="Z465" s="872"/>
      <x:c r="AA465" s="877"/>
      <x:c r="AB465" s="872"/>
      <x:c r="AC465" s="872"/>
      <x:c r="AD465" s="872"/>
      <x:c r="AE465" s="872"/>
      <x:c r="AF465" s="872"/>
      <x:c r="AG465" s="872"/>
      <x:c r="AH465" s="872"/>
      <x:c r="AI465" s="872"/>
      <x:c r="AJ465" s="872"/>
      <x:c r="AK465" s="872"/>
      <x:c r="AL465" s="872"/>
      <x:c r="AM465" s="872"/>
      <x:c r="AN465" s="872"/>
      <x:c r="AO465" s="872"/>
      <x:c r="AP465" s="872"/>
      <x:c r="AQ465" s="878"/>
      <x:c r="AR465" s="874"/>
    </x:row>
    <x:row r="466" s="36" customFormat="1" ht="30" customHeight="1">
      <x:c r="A466" s="871"/>
      <x:c r="B466" s="871"/>
      <x:c r="C466" s="871"/>
      <x:c r="D466" s="872"/>
      <x:c r="E466" s="871"/>
      <x:c r="F466" s="871"/>
      <x:c r="G466" s="872"/>
      <x:c r="H466" s="872"/>
      <x:c r="I466" s="875"/>
      <x:c r="J466" s="872"/>
      <x:c r="K466" s="873"/>
      <x:c r="L466" s="876"/>
      <x:c r="M466" s="873"/>
      <x:c r="N466" s="874"/>
      <x:c r="O466" s="874"/>
      <x:c r="P466" s="872"/>
      <x:c r="Q466" s="872"/>
      <x:c r="R466" s="872"/>
      <x:c r="S466" s="872"/>
      <x:c r="T466" s="872"/>
      <x:c r="U466" s="872"/>
      <x:c r="V466" s="872"/>
      <x:c r="W466" s="872"/>
      <x:c r="X466" s="872"/>
      <x:c r="Y466" s="872"/>
      <x:c r="Z466" s="872"/>
      <x:c r="AA466" s="877"/>
      <x:c r="AB466" s="872"/>
      <x:c r="AC466" s="872"/>
      <x:c r="AD466" s="872"/>
      <x:c r="AE466" s="872"/>
      <x:c r="AF466" s="872"/>
      <x:c r="AG466" s="872"/>
      <x:c r="AH466" s="872"/>
      <x:c r="AI466" s="872"/>
      <x:c r="AJ466" s="872"/>
      <x:c r="AK466" s="872"/>
      <x:c r="AL466" s="872"/>
      <x:c r="AM466" s="872"/>
      <x:c r="AN466" s="872"/>
      <x:c r="AO466" s="872"/>
      <x:c r="AP466" s="872"/>
      <x:c r="AQ466" s="878"/>
      <x:c r="AR466" s="874"/>
    </x:row>
    <x:row r="467" s="36" customFormat="1" ht="30" customHeight="1">
      <x:c r="A467" s="871"/>
      <x:c r="B467" s="871"/>
      <x:c r="C467" s="871"/>
      <x:c r="D467" s="872"/>
      <x:c r="E467" s="871"/>
      <x:c r="F467" s="871"/>
      <x:c r="G467" s="872"/>
      <x:c r="H467" s="872"/>
      <x:c r="I467" s="875"/>
      <x:c r="J467" s="872"/>
      <x:c r="K467" s="873"/>
      <x:c r="L467" s="876"/>
      <x:c r="M467" s="873"/>
      <x:c r="N467" s="874"/>
      <x:c r="O467" s="874"/>
      <x:c r="P467" s="872"/>
      <x:c r="Q467" s="872"/>
      <x:c r="R467" s="872"/>
      <x:c r="S467" s="872"/>
      <x:c r="T467" s="872"/>
      <x:c r="U467" s="872"/>
      <x:c r="V467" s="872"/>
      <x:c r="W467" s="872"/>
      <x:c r="X467" s="872"/>
      <x:c r="Y467" s="872"/>
      <x:c r="Z467" s="872"/>
      <x:c r="AA467" s="877"/>
      <x:c r="AB467" s="872"/>
      <x:c r="AC467" s="872"/>
      <x:c r="AD467" s="872"/>
      <x:c r="AE467" s="872"/>
      <x:c r="AF467" s="872"/>
      <x:c r="AG467" s="872"/>
      <x:c r="AH467" s="872"/>
      <x:c r="AI467" s="872"/>
      <x:c r="AJ467" s="872"/>
      <x:c r="AK467" s="872"/>
      <x:c r="AL467" s="872"/>
      <x:c r="AM467" s="872"/>
      <x:c r="AN467" s="872"/>
      <x:c r="AO467" s="872"/>
      <x:c r="AP467" s="872"/>
      <x:c r="AQ467" s="878"/>
      <x:c r="AR467" s="874"/>
    </x:row>
    <x:row r="468" s="36" customFormat="1" ht="30" customHeight="1">
      <x:c r="A468" s="871"/>
      <x:c r="B468" s="871"/>
      <x:c r="C468" s="871"/>
      <x:c r="D468" s="872"/>
      <x:c r="E468" s="871"/>
      <x:c r="F468" s="871"/>
      <x:c r="G468" s="872"/>
      <x:c r="H468" s="872"/>
      <x:c r="I468" s="875"/>
      <x:c r="J468" s="872"/>
      <x:c r="K468" s="873"/>
      <x:c r="L468" s="876"/>
      <x:c r="M468" s="873"/>
      <x:c r="N468" s="874"/>
      <x:c r="O468" s="874"/>
      <x:c r="P468" s="872"/>
      <x:c r="Q468" s="872"/>
      <x:c r="R468" s="872"/>
      <x:c r="S468" s="872"/>
      <x:c r="T468" s="872"/>
      <x:c r="U468" s="872"/>
      <x:c r="V468" s="872"/>
      <x:c r="W468" s="872"/>
      <x:c r="X468" s="872"/>
      <x:c r="Y468" s="872"/>
      <x:c r="Z468" s="872"/>
      <x:c r="AA468" s="877"/>
      <x:c r="AB468" s="872"/>
      <x:c r="AC468" s="872"/>
      <x:c r="AD468" s="872"/>
      <x:c r="AE468" s="872"/>
      <x:c r="AF468" s="872"/>
      <x:c r="AG468" s="872"/>
      <x:c r="AH468" s="872"/>
      <x:c r="AI468" s="872"/>
      <x:c r="AJ468" s="872"/>
      <x:c r="AK468" s="872"/>
      <x:c r="AL468" s="872"/>
      <x:c r="AM468" s="872"/>
      <x:c r="AN468" s="872"/>
      <x:c r="AO468" s="872"/>
      <x:c r="AP468" s="872"/>
      <x:c r="AQ468" s="878"/>
      <x:c r="AR468" s="874"/>
    </x:row>
    <x:row r="469" s="36" customFormat="1" ht="30" customHeight="1">
      <x:c r="A469" s="871"/>
      <x:c r="B469" s="871"/>
      <x:c r="C469" s="871"/>
      <x:c r="D469" s="872"/>
      <x:c r="E469" s="871"/>
      <x:c r="F469" s="871"/>
      <x:c r="G469" s="872"/>
      <x:c r="H469" s="872"/>
      <x:c r="I469" s="875"/>
      <x:c r="J469" s="872"/>
      <x:c r="K469" s="873"/>
      <x:c r="L469" s="876"/>
      <x:c r="M469" s="873"/>
      <x:c r="N469" s="874"/>
      <x:c r="O469" s="874"/>
      <x:c r="P469" s="872"/>
      <x:c r="Q469" s="872"/>
      <x:c r="R469" s="872"/>
      <x:c r="S469" s="872"/>
      <x:c r="T469" s="872"/>
      <x:c r="U469" s="872"/>
      <x:c r="V469" s="872"/>
      <x:c r="W469" s="872"/>
      <x:c r="X469" s="872"/>
      <x:c r="Y469" s="872"/>
      <x:c r="Z469" s="872"/>
      <x:c r="AA469" s="877"/>
      <x:c r="AB469" s="872"/>
      <x:c r="AC469" s="872"/>
      <x:c r="AD469" s="872"/>
      <x:c r="AE469" s="872"/>
      <x:c r="AF469" s="872"/>
      <x:c r="AG469" s="872"/>
      <x:c r="AH469" s="872"/>
      <x:c r="AI469" s="872"/>
      <x:c r="AJ469" s="872"/>
      <x:c r="AK469" s="872"/>
      <x:c r="AL469" s="872"/>
      <x:c r="AM469" s="872"/>
      <x:c r="AN469" s="872"/>
      <x:c r="AO469" s="872"/>
      <x:c r="AP469" s="872"/>
      <x:c r="AQ469" s="878"/>
      <x:c r="AR469" s="874"/>
    </x:row>
    <x:row r="470" s="36" customFormat="1" ht="30" customHeight="1">
      <x:c r="A470" s="871"/>
      <x:c r="B470" s="871"/>
      <x:c r="C470" s="871"/>
      <x:c r="D470" s="872"/>
      <x:c r="E470" s="871"/>
      <x:c r="F470" s="871"/>
      <x:c r="G470" s="872"/>
      <x:c r="H470" s="872"/>
      <x:c r="I470" s="875"/>
      <x:c r="J470" s="872"/>
      <x:c r="K470" s="873"/>
      <x:c r="L470" s="876"/>
      <x:c r="M470" s="873"/>
      <x:c r="N470" s="874"/>
      <x:c r="O470" s="874"/>
      <x:c r="P470" s="872"/>
      <x:c r="Q470" s="872"/>
      <x:c r="R470" s="872"/>
      <x:c r="S470" s="872"/>
      <x:c r="T470" s="872"/>
      <x:c r="U470" s="872"/>
      <x:c r="V470" s="872"/>
      <x:c r="W470" s="872"/>
      <x:c r="X470" s="872"/>
      <x:c r="Y470" s="872"/>
      <x:c r="Z470" s="872"/>
      <x:c r="AA470" s="877"/>
      <x:c r="AB470" s="872"/>
      <x:c r="AC470" s="872"/>
      <x:c r="AD470" s="872"/>
      <x:c r="AE470" s="872"/>
      <x:c r="AF470" s="872"/>
      <x:c r="AG470" s="872"/>
      <x:c r="AH470" s="872"/>
      <x:c r="AI470" s="872"/>
      <x:c r="AJ470" s="872"/>
      <x:c r="AK470" s="872"/>
      <x:c r="AL470" s="872"/>
      <x:c r="AM470" s="872"/>
      <x:c r="AN470" s="872"/>
      <x:c r="AO470" s="872"/>
      <x:c r="AP470" s="872"/>
      <x:c r="AQ470" s="878"/>
      <x:c r="AR470" s="874"/>
    </x:row>
    <x:row r="471" s="36" customFormat="1" ht="30" customHeight="1">
      <x:c r="A471" s="871"/>
      <x:c r="B471" s="871"/>
      <x:c r="C471" s="871"/>
      <x:c r="D471" s="872"/>
      <x:c r="E471" s="871"/>
      <x:c r="F471" s="871"/>
      <x:c r="G471" s="872"/>
      <x:c r="H471" s="872"/>
      <x:c r="I471" s="875"/>
      <x:c r="J471" s="872"/>
      <x:c r="K471" s="873"/>
      <x:c r="L471" s="876"/>
      <x:c r="M471" s="873"/>
      <x:c r="N471" s="874"/>
      <x:c r="O471" s="874"/>
      <x:c r="P471" s="872"/>
      <x:c r="Q471" s="872"/>
      <x:c r="R471" s="872"/>
      <x:c r="S471" s="872"/>
      <x:c r="T471" s="872"/>
      <x:c r="U471" s="872"/>
      <x:c r="V471" s="872"/>
      <x:c r="W471" s="872"/>
      <x:c r="X471" s="872"/>
      <x:c r="Y471" s="872"/>
      <x:c r="Z471" s="872"/>
      <x:c r="AA471" s="877"/>
      <x:c r="AB471" s="872"/>
      <x:c r="AC471" s="872"/>
      <x:c r="AD471" s="872"/>
      <x:c r="AE471" s="872"/>
      <x:c r="AF471" s="872"/>
      <x:c r="AG471" s="872"/>
      <x:c r="AH471" s="872"/>
      <x:c r="AI471" s="872"/>
      <x:c r="AJ471" s="872"/>
      <x:c r="AK471" s="872"/>
      <x:c r="AL471" s="872"/>
      <x:c r="AM471" s="872"/>
      <x:c r="AN471" s="872"/>
      <x:c r="AO471" s="872"/>
      <x:c r="AP471" s="872"/>
      <x:c r="AQ471" s="878"/>
      <x:c r="AR471" s="874"/>
    </x:row>
    <x:row r="472" s="36" customFormat="1" ht="30" customHeight="1">
      <x:c r="A472" s="871"/>
      <x:c r="B472" s="871"/>
      <x:c r="C472" s="871"/>
      <x:c r="D472" s="872"/>
      <x:c r="E472" s="871"/>
      <x:c r="F472" s="871"/>
      <x:c r="G472" s="872"/>
      <x:c r="H472" s="872"/>
      <x:c r="I472" s="875"/>
      <x:c r="J472" s="872"/>
      <x:c r="K472" s="873"/>
      <x:c r="L472" s="876"/>
      <x:c r="M472" s="873"/>
      <x:c r="N472" s="874"/>
      <x:c r="O472" s="874"/>
      <x:c r="P472" s="872"/>
      <x:c r="Q472" s="872"/>
      <x:c r="R472" s="872"/>
      <x:c r="S472" s="872"/>
      <x:c r="T472" s="872"/>
      <x:c r="U472" s="872"/>
      <x:c r="V472" s="872"/>
      <x:c r="W472" s="872"/>
      <x:c r="X472" s="872"/>
      <x:c r="Y472" s="872"/>
      <x:c r="Z472" s="872"/>
      <x:c r="AA472" s="877"/>
      <x:c r="AB472" s="872"/>
      <x:c r="AC472" s="872"/>
      <x:c r="AD472" s="872"/>
      <x:c r="AE472" s="872"/>
      <x:c r="AF472" s="872"/>
      <x:c r="AG472" s="872"/>
      <x:c r="AH472" s="872"/>
      <x:c r="AI472" s="872"/>
      <x:c r="AJ472" s="872"/>
      <x:c r="AK472" s="872"/>
      <x:c r="AL472" s="872"/>
      <x:c r="AM472" s="872"/>
      <x:c r="AN472" s="872"/>
      <x:c r="AO472" s="872"/>
      <x:c r="AP472" s="872"/>
      <x:c r="AQ472" s="878"/>
      <x:c r="AR472" s="874"/>
    </x:row>
    <x:row r="473" s="36" customFormat="1" ht="30" customHeight="1">
      <x:c r="A473" s="871"/>
      <x:c r="B473" s="871"/>
      <x:c r="C473" s="871"/>
      <x:c r="D473" s="872"/>
      <x:c r="E473" s="871"/>
      <x:c r="F473" s="871"/>
      <x:c r="G473" s="872"/>
      <x:c r="H473" s="872"/>
      <x:c r="I473" s="875"/>
      <x:c r="J473" s="872"/>
      <x:c r="K473" s="873"/>
      <x:c r="L473" s="876"/>
      <x:c r="M473" s="873"/>
      <x:c r="N473" s="874"/>
      <x:c r="O473" s="874"/>
      <x:c r="P473" s="872"/>
      <x:c r="Q473" s="872"/>
      <x:c r="R473" s="872"/>
      <x:c r="S473" s="872"/>
      <x:c r="T473" s="872"/>
      <x:c r="U473" s="872"/>
      <x:c r="V473" s="872"/>
      <x:c r="W473" s="872"/>
      <x:c r="X473" s="872"/>
      <x:c r="Y473" s="872"/>
      <x:c r="Z473" s="872"/>
      <x:c r="AA473" s="877"/>
      <x:c r="AB473" s="872"/>
      <x:c r="AC473" s="872"/>
      <x:c r="AD473" s="872"/>
      <x:c r="AE473" s="872"/>
      <x:c r="AF473" s="872"/>
      <x:c r="AG473" s="872"/>
      <x:c r="AH473" s="872"/>
      <x:c r="AI473" s="872"/>
      <x:c r="AJ473" s="872"/>
      <x:c r="AK473" s="872"/>
      <x:c r="AL473" s="872"/>
      <x:c r="AM473" s="872"/>
      <x:c r="AN473" s="872"/>
      <x:c r="AO473" s="872"/>
      <x:c r="AP473" s="872"/>
      <x:c r="AQ473" s="878"/>
      <x:c r="AR473" s="874"/>
    </x:row>
    <x:row r="474" s="36" customFormat="1" ht="30" customHeight="1">
      <x:c r="A474" s="871"/>
      <x:c r="B474" s="871"/>
      <x:c r="C474" s="871"/>
      <x:c r="D474" s="872"/>
      <x:c r="E474" s="871"/>
      <x:c r="F474" s="871"/>
      <x:c r="G474" s="872"/>
      <x:c r="H474" s="872"/>
      <x:c r="I474" s="875"/>
      <x:c r="J474" s="872"/>
      <x:c r="K474" s="873"/>
      <x:c r="L474" s="876"/>
      <x:c r="M474" s="873"/>
      <x:c r="N474" s="874"/>
      <x:c r="O474" s="874"/>
      <x:c r="P474" s="872"/>
      <x:c r="Q474" s="872"/>
      <x:c r="R474" s="872"/>
      <x:c r="S474" s="872"/>
      <x:c r="T474" s="872"/>
      <x:c r="U474" s="872"/>
      <x:c r="V474" s="872"/>
      <x:c r="W474" s="872"/>
      <x:c r="X474" s="872"/>
      <x:c r="Y474" s="872"/>
      <x:c r="Z474" s="872"/>
      <x:c r="AA474" s="877"/>
      <x:c r="AB474" s="872"/>
      <x:c r="AC474" s="872"/>
      <x:c r="AD474" s="872"/>
      <x:c r="AE474" s="872"/>
      <x:c r="AF474" s="872"/>
      <x:c r="AG474" s="872"/>
      <x:c r="AH474" s="872"/>
      <x:c r="AI474" s="872"/>
      <x:c r="AJ474" s="872"/>
      <x:c r="AK474" s="872"/>
      <x:c r="AL474" s="872"/>
      <x:c r="AM474" s="872"/>
      <x:c r="AN474" s="872"/>
      <x:c r="AO474" s="872"/>
      <x:c r="AP474" s="872"/>
      <x:c r="AQ474" s="878"/>
      <x:c r="AR474" s="874"/>
    </x:row>
    <x:row r="475" s="36" customFormat="1" ht="30" customHeight="1">
      <x:c r="A475" s="871"/>
      <x:c r="B475" s="871"/>
      <x:c r="C475" s="871"/>
      <x:c r="D475" s="872"/>
      <x:c r="E475" s="871"/>
      <x:c r="F475" s="871"/>
      <x:c r="G475" s="872"/>
      <x:c r="H475" s="872"/>
      <x:c r="I475" s="875"/>
      <x:c r="J475" s="872"/>
      <x:c r="K475" s="873"/>
      <x:c r="L475" s="876"/>
      <x:c r="M475" s="873"/>
      <x:c r="N475" s="874"/>
      <x:c r="O475" s="874"/>
      <x:c r="P475" s="872"/>
      <x:c r="Q475" s="872"/>
      <x:c r="R475" s="872"/>
      <x:c r="S475" s="872"/>
      <x:c r="T475" s="872"/>
      <x:c r="U475" s="872"/>
      <x:c r="V475" s="872"/>
      <x:c r="W475" s="872"/>
      <x:c r="X475" s="872"/>
      <x:c r="Y475" s="872"/>
      <x:c r="Z475" s="872"/>
      <x:c r="AA475" s="877"/>
      <x:c r="AB475" s="872"/>
      <x:c r="AC475" s="872"/>
      <x:c r="AD475" s="872"/>
      <x:c r="AE475" s="872"/>
      <x:c r="AF475" s="872"/>
      <x:c r="AG475" s="872"/>
      <x:c r="AH475" s="872"/>
      <x:c r="AI475" s="872"/>
      <x:c r="AJ475" s="872"/>
      <x:c r="AK475" s="872"/>
      <x:c r="AL475" s="872"/>
      <x:c r="AM475" s="872"/>
      <x:c r="AN475" s="872"/>
      <x:c r="AO475" s="872"/>
      <x:c r="AP475" s="872"/>
      <x:c r="AQ475" s="878"/>
      <x:c r="AR475" s="874"/>
    </x:row>
    <x:row r="476" s="36" customFormat="1" ht="30" customHeight="1">
      <x:c r="A476" s="871"/>
      <x:c r="B476" s="871"/>
      <x:c r="C476" s="871"/>
      <x:c r="D476" s="872"/>
      <x:c r="E476" s="871"/>
      <x:c r="F476" s="871"/>
      <x:c r="G476" s="872"/>
      <x:c r="H476" s="872"/>
      <x:c r="I476" s="875"/>
      <x:c r="J476" s="872"/>
      <x:c r="K476" s="873"/>
      <x:c r="L476" s="876"/>
      <x:c r="M476" s="873"/>
      <x:c r="N476" s="874"/>
      <x:c r="O476" s="874"/>
      <x:c r="P476" s="872"/>
      <x:c r="Q476" s="872"/>
      <x:c r="R476" s="872"/>
      <x:c r="S476" s="872"/>
      <x:c r="T476" s="872"/>
      <x:c r="U476" s="872"/>
      <x:c r="V476" s="872"/>
      <x:c r="W476" s="872"/>
      <x:c r="X476" s="872"/>
      <x:c r="Y476" s="872"/>
      <x:c r="Z476" s="872"/>
      <x:c r="AA476" s="877"/>
      <x:c r="AB476" s="872"/>
      <x:c r="AC476" s="872"/>
      <x:c r="AD476" s="872"/>
      <x:c r="AE476" s="872"/>
      <x:c r="AF476" s="872"/>
      <x:c r="AG476" s="872"/>
      <x:c r="AH476" s="872"/>
      <x:c r="AI476" s="872"/>
      <x:c r="AJ476" s="872"/>
      <x:c r="AK476" s="872"/>
      <x:c r="AL476" s="872"/>
      <x:c r="AM476" s="872"/>
      <x:c r="AN476" s="872"/>
      <x:c r="AO476" s="872"/>
      <x:c r="AP476" s="872"/>
      <x:c r="AQ476" s="878"/>
      <x:c r="AR476" s="874"/>
    </x:row>
    <x:row r="477" s="36" customFormat="1" ht="30" customHeight="1">
      <x:c r="A477" s="871"/>
      <x:c r="B477" s="871"/>
      <x:c r="C477" s="871"/>
      <x:c r="D477" s="872"/>
      <x:c r="E477" s="871"/>
      <x:c r="F477" s="871"/>
      <x:c r="G477" s="872"/>
      <x:c r="H477" s="872"/>
      <x:c r="I477" s="875"/>
      <x:c r="J477" s="872"/>
      <x:c r="K477" s="873"/>
      <x:c r="L477" s="876"/>
      <x:c r="M477" s="873"/>
      <x:c r="N477" s="874"/>
      <x:c r="O477" s="874"/>
      <x:c r="P477" s="872"/>
      <x:c r="Q477" s="872"/>
      <x:c r="R477" s="872"/>
      <x:c r="S477" s="872"/>
      <x:c r="T477" s="872"/>
      <x:c r="U477" s="872"/>
      <x:c r="V477" s="872"/>
      <x:c r="W477" s="872"/>
      <x:c r="X477" s="872"/>
      <x:c r="Y477" s="872"/>
      <x:c r="Z477" s="872"/>
      <x:c r="AA477" s="877"/>
      <x:c r="AB477" s="872"/>
      <x:c r="AC477" s="872"/>
      <x:c r="AD477" s="872"/>
      <x:c r="AE477" s="872"/>
      <x:c r="AF477" s="872"/>
      <x:c r="AG477" s="872"/>
      <x:c r="AH477" s="872"/>
      <x:c r="AI477" s="872"/>
      <x:c r="AJ477" s="872"/>
      <x:c r="AK477" s="872"/>
      <x:c r="AL477" s="872"/>
      <x:c r="AM477" s="872"/>
      <x:c r="AN477" s="872"/>
      <x:c r="AO477" s="872"/>
      <x:c r="AP477" s="872"/>
      <x:c r="AQ477" s="878"/>
      <x:c r="AR477" s="874"/>
    </x:row>
    <x:row r="478" s="36" customFormat="1" ht="30" customHeight="1">
      <x:c r="A478" s="871"/>
      <x:c r="B478" s="871"/>
      <x:c r="C478" s="871"/>
      <x:c r="D478" s="872"/>
      <x:c r="E478" s="871"/>
      <x:c r="F478" s="871"/>
      <x:c r="G478" s="872"/>
      <x:c r="H478" s="872"/>
      <x:c r="I478" s="875"/>
      <x:c r="J478" s="872"/>
      <x:c r="K478" s="873"/>
      <x:c r="L478" s="876"/>
      <x:c r="M478" s="873"/>
      <x:c r="N478" s="874"/>
      <x:c r="O478" s="874"/>
      <x:c r="P478" s="872"/>
      <x:c r="Q478" s="872"/>
      <x:c r="R478" s="872"/>
      <x:c r="S478" s="872"/>
      <x:c r="T478" s="872"/>
      <x:c r="U478" s="872"/>
      <x:c r="V478" s="872"/>
      <x:c r="W478" s="872"/>
      <x:c r="X478" s="872"/>
      <x:c r="Y478" s="872"/>
      <x:c r="Z478" s="872"/>
      <x:c r="AA478" s="877"/>
      <x:c r="AB478" s="872"/>
      <x:c r="AC478" s="872"/>
      <x:c r="AD478" s="872"/>
      <x:c r="AE478" s="872"/>
      <x:c r="AF478" s="872"/>
      <x:c r="AG478" s="872"/>
      <x:c r="AH478" s="872"/>
      <x:c r="AI478" s="872"/>
      <x:c r="AJ478" s="872"/>
      <x:c r="AK478" s="872"/>
      <x:c r="AL478" s="872"/>
      <x:c r="AM478" s="872"/>
      <x:c r="AN478" s="872"/>
      <x:c r="AO478" s="872"/>
      <x:c r="AP478" s="872"/>
      <x:c r="AQ478" s="878"/>
      <x:c r="AR478" s="874"/>
    </x:row>
    <x:row r="479" s="36" customFormat="1" ht="30" customHeight="1">
      <x:c r="A479" s="871"/>
      <x:c r="B479" s="871"/>
      <x:c r="C479" s="871"/>
      <x:c r="D479" s="872"/>
      <x:c r="E479" s="871"/>
      <x:c r="F479" s="871"/>
      <x:c r="G479" s="872"/>
      <x:c r="H479" s="872"/>
      <x:c r="I479" s="875"/>
      <x:c r="J479" s="872"/>
      <x:c r="K479" s="873"/>
      <x:c r="L479" s="876"/>
      <x:c r="M479" s="873"/>
      <x:c r="N479" s="874"/>
      <x:c r="O479" s="874"/>
      <x:c r="P479" s="872"/>
      <x:c r="Q479" s="872"/>
      <x:c r="R479" s="872"/>
      <x:c r="S479" s="872"/>
      <x:c r="T479" s="872"/>
      <x:c r="U479" s="872"/>
      <x:c r="V479" s="872"/>
      <x:c r="W479" s="872"/>
      <x:c r="X479" s="872"/>
      <x:c r="Y479" s="872"/>
      <x:c r="Z479" s="872"/>
      <x:c r="AA479" s="877"/>
      <x:c r="AB479" s="872"/>
      <x:c r="AC479" s="872"/>
      <x:c r="AD479" s="872"/>
      <x:c r="AE479" s="872"/>
      <x:c r="AF479" s="872"/>
      <x:c r="AG479" s="872"/>
      <x:c r="AH479" s="872"/>
      <x:c r="AI479" s="872"/>
      <x:c r="AJ479" s="872"/>
      <x:c r="AK479" s="872"/>
      <x:c r="AL479" s="872"/>
      <x:c r="AM479" s="872"/>
      <x:c r="AN479" s="872"/>
      <x:c r="AO479" s="872"/>
      <x:c r="AP479" s="872"/>
      <x:c r="AQ479" s="878"/>
      <x:c r="AR479" s="874"/>
    </x:row>
    <x:row r="480" s="36" customFormat="1" ht="30" customHeight="1">
      <x:c r="A480" s="871"/>
      <x:c r="B480" s="871"/>
      <x:c r="C480" s="871"/>
      <x:c r="D480" s="872"/>
      <x:c r="E480" s="871"/>
      <x:c r="F480" s="871"/>
      <x:c r="G480" s="872"/>
      <x:c r="H480" s="872"/>
      <x:c r="I480" s="875"/>
      <x:c r="J480" s="872"/>
      <x:c r="K480" s="873"/>
      <x:c r="L480" s="876"/>
      <x:c r="M480" s="873"/>
      <x:c r="N480" s="874"/>
      <x:c r="O480" s="874"/>
      <x:c r="P480" s="872"/>
      <x:c r="Q480" s="872"/>
      <x:c r="R480" s="872"/>
      <x:c r="S480" s="872"/>
      <x:c r="T480" s="872"/>
      <x:c r="U480" s="872"/>
      <x:c r="V480" s="872"/>
      <x:c r="W480" s="872"/>
      <x:c r="X480" s="872"/>
      <x:c r="Y480" s="872"/>
      <x:c r="Z480" s="872"/>
      <x:c r="AA480" s="877"/>
      <x:c r="AB480" s="872"/>
      <x:c r="AC480" s="872"/>
      <x:c r="AD480" s="872"/>
      <x:c r="AE480" s="872"/>
      <x:c r="AF480" s="872"/>
      <x:c r="AG480" s="872"/>
      <x:c r="AH480" s="872"/>
      <x:c r="AI480" s="872"/>
      <x:c r="AJ480" s="872"/>
      <x:c r="AK480" s="872"/>
      <x:c r="AL480" s="872"/>
      <x:c r="AM480" s="872"/>
      <x:c r="AN480" s="872"/>
      <x:c r="AO480" s="872"/>
      <x:c r="AP480" s="872"/>
      <x:c r="AQ480" s="878"/>
      <x:c r="AR480" s="874"/>
    </x:row>
    <x:row r="481" s="36" customFormat="1" ht="30" customHeight="1">
      <x:c r="A481" s="871"/>
      <x:c r="B481" s="871"/>
      <x:c r="C481" s="871"/>
      <x:c r="D481" s="872"/>
      <x:c r="E481" s="871"/>
      <x:c r="F481" s="871"/>
      <x:c r="G481" s="872"/>
      <x:c r="H481" s="872"/>
      <x:c r="I481" s="875"/>
      <x:c r="J481" s="872"/>
      <x:c r="K481" s="873"/>
      <x:c r="L481" s="876"/>
      <x:c r="M481" s="873"/>
      <x:c r="N481" s="874"/>
      <x:c r="O481" s="874"/>
      <x:c r="P481" s="872"/>
      <x:c r="Q481" s="872"/>
      <x:c r="R481" s="872"/>
      <x:c r="S481" s="872"/>
      <x:c r="T481" s="872"/>
      <x:c r="U481" s="872"/>
      <x:c r="V481" s="872"/>
      <x:c r="W481" s="872"/>
      <x:c r="X481" s="872"/>
      <x:c r="Y481" s="872"/>
      <x:c r="Z481" s="872"/>
      <x:c r="AA481" s="877"/>
      <x:c r="AB481" s="872"/>
      <x:c r="AC481" s="872"/>
      <x:c r="AD481" s="872"/>
      <x:c r="AE481" s="872"/>
      <x:c r="AF481" s="872"/>
      <x:c r="AG481" s="872"/>
      <x:c r="AH481" s="872"/>
      <x:c r="AI481" s="872"/>
      <x:c r="AJ481" s="872"/>
      <x:c r="AK481" s="872"/>
      <x:c r="AL481" s="872"/>
      <x:c r="AM481" s="872"/>
      <x:c r="AN481" s="872"/>
      <x:c r="AO481" s="872"/>
      <x:c r="AP481" s="872"/>
      <x:c r="AQ481" s="878"/>
      <x:c r="AR481" s="874"/>
    </x:row>
    <x:row r="482" s="36" customFormat="1" ht="30" customHeight="1">
      <x:c r="A482" s="871"/>
      <x:c r="B482" s="871"/>
      <x:c r="C482" s="871"/>
      <x:c r="D482" s="872"/>
      <x:c r="E482" s="871"/>
      <x:c r="F482" s="871"/>
      <x:c r="G482" s="872"/>
      <x:c r="H482" s="872"/>
      <x:c r="I482" s="875"/>
      <x:c r="J482" s="872"/>
      <x:c r="K482" s="873"/>
      <x:c r="L482" s="876"/>
      <x:c r="M482" s="873"/>
      <x:c r="N482" s="874"/>
      <x:c r="O482" s="874"/>
      <x:c r="P482" s="872"/>
      <x:c r="Q482" s="872"/>
      <x:c r="R482" s="872"/>
      <x:c r="S482" s="872"/>
      <x:c r="T482" s="872"/>
      <x:c r="U482" s="872"/>
      <x:c r="V482" s="872"/>
      <x:c r="W482" s="872"/>
      <x:c r="X482" s="872"/>
      <x:c r="Y482" s="872"/>
      <x:c r="Z482" s="872"/>
      <x:c r="AA482" s="877"/>
      <x:c r="AB482" s="872"/>
      <x:c r="AC482" s="872"/>
      <x:c r="AD482" s="872"/>
      <x:c r="AE482" s="872"/>
      <x:c r="AF482" s="872"/>
      <x:c r="AG482" s="872"/>
      <x:c r="AH482" s="872"/>
      <x:c r="AI482" s="872"/>
      <x:c r="AJ482" s="872"/>
      <x:c r="AK482" s="872"/>
      <x:c r="AL482" s="872"/>
      <x:c r="AM482" s="872"/>
      <x:c r="AN482" s="872"/>
      <x:c r="AO482" s="872"/>
      <x:c r="AP482" s="872"/>
      <x:c r="AQ482" s="878"/>
      <x:c r="AR482" s="874"/>
    </x:row>
    <x:row r="483" s="36" customFormat="1" ht="30" customHeight="1">
      <x:c r="A483" s="871"/>
      <x:c r="B483" s="871"/>
      <x:c r="C483" s="871"/>
      <x:c r="D483" s="872"/>
      <x:c r="E483" s="871"/>
      <x:c r="F483" s="871"/>
      <x:c r="G483" s="872"/>
      <x:c r="H483" s="872"/>
      <x:c r="I483" s="875"/>
      <x:c r="J483" s="872"/>
      <x:c r="K483" s="873"/>
      <x:c r="L483" s="876"/>
      <x:c r="M483" s="873"/>
      <x:c r="N483" s="874"/>
      <x:c r="O483" s="874"/>
      <x:c r="P483" s="872"/>
      <x:c r="Q483" s="872"/>
      <x:c r="R483" s="872"/>
      <x:c r="S483" s="872"/>
      <x:c r="T483" s="872"/>
      <x:c r="U483" s="872"/>
      <x:c r="V483" s="872"/>
      <x:c r="W483" s="872"/>
      <x:c r="X483" s="872"/>
      <x:c r="Y483" s="872"/>
      <x:c r="Z483" s="872"/>
      <x:c r="AA483" s="877"/>
      <x:c r="AB483" s="872"/>
      <x:c r="AC483" s="872"/>
      <x:c r="AD483" s="872"/>
      <x:c r="AE483" s="872"/>
      <x:c r="AF483" s="872"/>
      <x:c r="AG483" s="872"/>
      <x:c r="AH483" s="872"/>
      <x:c r="AI483" s="872"/>
      <x:c r="AJ483" s="872"/>
      <x:c r="AK483" s="872"/>
      <x:c r="AL483" s="872"/>
      <x:c r="AM483" s="872"/>
      <x:c r="AN483" s="872"/>
      <x:c r="AO483" s="872"/>
      <x:c r="AP483" s="872"/>
      <x:c r="AQ483" s="878"/>
      <x:c r="AR483" s="874"/>
    </x:row>
    <x:row r="484" s="36" customFormat="1" ht="30" customHeight="1">
      <x:c r="A484" s="871"/>
      <x:c r="B484" s="871"/>
      <x:c r="C484" s="871"/>
      <x:c r="D484" s="872"/>
      <x:c r="E484" s="871"/>
      <x:c r="F484" s="871"/>
      <x:c r="G484" s="872"/>
      <x:c r="H484" s="872"/>
      <x:c r="I484" s="875"/>
      <x:c r="J484" s="872"/>
      <x:c r="K484" s="873"/>
      <x:c r="L484" s="876"/>
      <x:c r="M484" s="873"/>
      <x:c r="N484" s="874"/>
      <x:c r="O484" s="874"/>
      <x:c r="P484" s="872"/>
      <x:c r="Q484" s="872"/>
      <x:c r="R484" s="872"/>
      <x:c r="S484" s="872"/>
      <x:c r="T484" s="872"/>
      <x:c r="U484" s="872"/>
      <x:c r="V484" s="872"/>
      <x:c r="W484" s="872"/>
      <x:c r="X484" s="872"/>
      <x:c r="Y484" s="872"/>
      <x:c r="Z484" s="872"/>
      <x:c r="AA484" s="877"/>
      <x:c r="AB484" s="872"/>
      <x:c r="AC484" s="872"/>
      <x:c r="AD484" s="872"/>
      <x:c r="AE484" s="872"/>
      <x:c r="AF484" s="872"/>
      <x:c r="AG484" s="872"/>
      <x:c r="AH484" s="872"/>
      <x:c r="AI484" s="872"/>
      <x:c r="AJ484" s="872"/>
      <x:c r="AK484" s="872"/>
      <x:c r="AL484" s="872"/>
      <x:c r="AM484" s="872"/>
      <x:c r="AN484" s="872"/>
      <x:c r="AO484" s="872"/>
      <x:c r="AP484" s="872"/>
      <x:c r="AQ484" s="878"/>
      <x:c r="AR484" s="874"/>
    </x:row>
    <x:row r="485" s="36" customFormat="1" ht="30" customHeight="1">
      <x:c r="A485" s="871"/>
      <x:c r="B485" s="871"/>
      <x:c r="C485" s="871"/>
      <x:c r="D485" s="872"/>
      <x:c r="E485" s="871"/>
      <x:c r="F485" s="871"/>
      <x:c r="G485" s="872"/>
      <x:c r="H485" s="872"/>
      <x:c r="I485" s="875"/>
      <x:c r="J485" s="872"/>
      <x:c r="K485" s="873"/>
      <x:c r="L485" s="876"/>
      <x:c r="M485" s="873"/>
      <x:c r="N485" s="874"/>
      <x:c r="O485" s="874"/>
      <x:c r="P485" s="872"/>
      <x:c r="Q485" s="872"/>
      <x:c r="R485" s="872"/>
      <x:c r="S485" s="872"/>
      <x:c r="T485" s="872"/>
      <x:c r="U485" s="872"/>
      <x:c r="V485" s="872"/>
      <x:c r="W485" s="872"/>
      <x:c r="X485" s="872"/>
      <x:c r="Y485" s="872"/>
      <x:c r="Z485" s="872"/>
      <x:c r="AA485" s="877"/>
      <x:c r="AB485" s="872"/>
      <x:c r="AC485" s="872"/>
      <x:c r="AD485" s="872"/>
      <x:c r="AE485" s="872"/>
      <x:c r="AF485" s="872"/>
      <x:c r="AG485" s="872"/>
      <x:c r="AH485" s="872"/>
      <x:c r="AI485" s="872"/>
      <x:c r="AJ485" s="872"/>
      <x:c r="AK485" s="872"/>
      <x:c r="AL485" s="872"/>
      <x:c r="AM485" s="872"/>
      <x:c r="AN485" s="872"/>
      <x:c r="AO485" s="872"/>
      <x:c r="AP485" s="872"/>
      <x:c r="AQ485" s="878"/>
      <x:c r="AR485" s="874"/>
    </x:row>
    <x:row r="486" s="36" customFormat="1" ht="30" customHeight="1">
      <x:c r="A486" s="871"/>
      <x:c r="B486" s="871"/>
      <x:c r="C486" s="871"/>
      <x:c r="D486" s="872"/>
      <x:c r="E486" s="871"/>
      <x:c r="F486" s="871"/>
      <x:c r="G486" s="872"/>
      <x:c r="H486" s="872"/>
      <x:c r="I486" s="875"/>
      <x:c r="J486" s="872"/>
      <x:c r="K486" s="873"/>
      <x:c r="L486" s="876"/>
      <x:c r="M486" s="873"/>
      <x:c r="N486" s="874"/>
      <x:c r="O486" s="874"/>
      <x:c r="P486" s="872"/>
      <x:c r="Q486" s="872"/>
      <x:c r="R486" s="872"/>
      <x:c r="S486" s="872"/>
      <x:c r="T486" s="872"/>
      <x:c r="U486" s="872"/>
      <x:c r="V486" s="872"/>
      <x:c r="W486" s="872"/>
      <x:c r="X486" s="872"/>
      <x:c r="Y486" s="872"/>
      <x:c r="Z486" s="872"/>
      <x:c r="AA486" s="877"/>
      <x:c r="AB486" s="872"/>
      <x:c r="AC486" s="872"/>
      <x:c r="AD486" s="872"/>
      <x:c r="AE486" s="872"/>
      <x:c r="AF486" s="872"/>
      <x:c r="AG486" s="872"/>
      <x:c r="AH486" s="872"/>
      <x:c r="AI486" s="872"/>
      <x:c r="AJ486" s="872"/>
      <x:c r="AK486" s="872"/>
      <x:c r="AL486" s="872"/>
      <x:c r="AM486" s="872"/>
      <x:c r="AN486" s="872"/>
      <x:c r="AO486" s="872"/>
      <x:c r="AP486" s="872"/>
      <x:c r="AQ486" s="878"/>
      <x:c r="AR486" s="874"/>
    </x:row>
    <x:row r="487" s="36" customFormat="1" ht="30" customHeight="1">
      <x:c r="A487" s="871"/>
      <x:c r="B487" s="871"/>
      <x:c r="C487" s="871"/>
      <x:c r="D487" s="872"/>
      <x:c r="E487" s="871"/>
      <x:c r="F487" s="871"/>
      <x:c r="G487" s="872"/>
      <x:c r="H487" s="872"/>
      <x:c r="I487" s="875"/>
      <x:c r="J487" s="872"/>
      <x:c r="K487" s="873"/>
      <x:c r="L487" s="876"/>
      <x:c r="M487" s="873"/>
      <x:c r="N487" s="874"/>
      <x:c r="O487" s="874"/>
      <x:c r="P487" s="872"/>
      <x:c r="Q487" s="872"/>
      <x:c r="R487" s="872"/>
      <x:c r="S487" s="872"/>
      <x:c r="T487" s="872"/>
      <x:c r="U487" s="872"/>
      <x:c r="V487" s="872"/>
      <x:c r="W487" s="872"/>
      <x:c r="X487" s="872"/>
      <x:c r="Y487" s="872"/>
      <x:c r="Z487" s="872"/>
      <x:c r="AA487" s="877"/>
      <x:c r="AB487" s="872"/>
      <x:c r="AC487" s="872"/>
      <x:c r="AD487" s="872"/>
      <x:c r="AE487" s="872"/>
      <x:c r="AF487" s="872"/>
      <x:c r="AG487" s="872"/>
      <x:c r="AH487" s="872"/>
      <x:c r="AI487" s="872"/>
      <x:c r="AJ487" s="872"/>
      <x:c r="AK487" s="872"/>
      <x:c r="AL487" s="872"/>
      <x:c r="AM487" s="872"/>
      <x:c r="AN487" s="872"/>
      <x:c r="AO487" s="872"/>
      <x:c r="AP487" s="872"/>
      <x:c r="AQ487" s="878"/>
      <x:c r="AR487" s="874"/>
    </x:row>
    <x:row r="488" s="36" customFormat="1" ht="30" customHeight="1">
      <x:c r="A488" s="871"/>
      <x:c r="B488" s="871"/>
      <x:c r="C488" s="871"/>
      <x:c r="D488" s="872"/>
      <x:c r="E488" s="871"/>
      <x:c r="F488" s="871"/>
      <x:c r="G488" s="872"/>
      <x:c r="H488" s="872"/>
      <x:c r="I488" s="875"/>
      <x:c r="J488" s="872"/>
      <x:c r="K488" s="873"/>
      <x:c r="L488" s="876"/>
      <x:c r="M488" s="873"/>
      <x:c r="N488" s="874"/>
      <x:c r="O488" s="874"/>
      <x:c r="P488" s="872"/>
      <x:c r="Q488" s="872"/>
      <x:c r="R488" s="872"/>
      <x:c r="S488" s="872"/>
      <x:c r="T488" s="872"/>
      <x:c r="U488" s="872"/>
      <x:c r="V488" s="872"/>
      <x:c r="W488" s="872"/>
      <x:c r="X488" s="872"/>
      <x:c r="Y488" s="872"/>
      <x:c r="Z488" s="872"/>
      <x:c r="AA488" s="877"/>
      <x:c r="AB488" s="872"/>
      <x:c r="AC488" s="872"/>
      <x:c r="AD488" s="872"/>
      <x:c r="AE488" s="872"/>
      <x:c r="AF488" s="872"/>
      <x:c r="AG488" s="872"/>
      <x:c r="AH488" s="872"/>
      <x:c r="AI488" s="872"/>
      <x:c r="AJ488" s="872"/>
      <x:c r="AK488" s="872"/>
      <x:c r="AL488" s="872"/>
      <x:c r="AM488" s="872"/>
      <x:c r="AN488" s="872"/>
      <x:c r="AO488" s="872"/>
      <x:c r="AP488" s="872"/>
      <x:c r="AQ488" s="878"/>
      <x:c r="AR488" s="874"/>
    </x:row>
    <x:row r="489" s="36" customFormat="1" ht="30" customHeight="1">
      <x:c r="A489" s="871"/>
      <x:c r="B489" s="871"/>
      <x:c r="C489" s="871"/>
      <x:c r="D489" s="872"/>
      <x:c r="E489" s="871"/>
      <x:c r="F489" s="871"/>
      <x:c r="G489" s="872"/>
      <x:c r="H489" s="872"/>
      <x:c r="I489" s="875"/>
      <x:c r="J489" s="872"/>
      <x:c r="K489" s="873"/>
      <x:c r="L489" s="876"/>
      <x:c r="M489" s="873"/>
      <x:c r="N489" s="874"/>
      <x:c r="O489" s="874"/>
      <x:c r="P489" s="872"/>
      <x:c r="Q489" s="872"/>
      <x:c r="R489" s="872"/>
      <x:c r="S489" s="872"/>
      <x:c r="T489" s="872"/>
      <x:c r="U489" s="872"/>
      <x:c r="V489" s="872"/>
      <x:c r="W489" s="872"/>
      <x:c r="X489" s="872"/>
      <x:c r="Y489" s="872"/>
      <x:c r="Z489" s="872"/>
      <x:c r="AA489" s="877"/>
      <x:c r="AB489" s="872"/>
      <x:c r="AC489" s="872"/>
      <x:c r="AD489" s="872"/>
      <x:c r="AE489" s="872"/>
      <x:c r="AF489" s="872"/>
      <x:c r="AG489" s="872"/>
      <x:c r="AH489" s="872"/>
      <x:c r="AI489" s="872"/>
      <x:c r="AJ489" s="872"/>
      <x:c r="AK489" s="872"/>
      <x:c r="AL489" s="872"/>
      <x:c r="AM489" s="872"/>
      <x:c r="AN489" s="872"/>
      <x:c r="AO489" s="872"/>
      <x:c r="AP489" s="872"/>
      <x:c r="AQ489" s="878"/>
      <x:c r="AR489" s="874"/>
    </x:row>
    <x:row r="490" s="36" customFormat="1" ht="30" customHeight="1">
      <x:c r="A490" s="871"/>
      <x:c r="B490" s="871"/>
      <x:c r="C490" s="871"/>
      <x:c r="D490" s="872"/>
      <x:c r="E490" s="871"/>
      <x:c r="F490" s="871"/>
      <x:c r="G490" s="872"/>
      <x:c r="H490" s="872"/>
      <x:c r="I490" s="875"/>
      <x:c r="J490" s="872"/>
      <x:c r="K490" s="873"/>
      <x:c r="L490" s="876"/>
      <x:c r="M490" s="873"/>
      <x:c r="N490" s="874"/>
      <x:c r="O490" s="874"/>
      <x:c r="P490" s="872"/>
      <x:c r="Q490" s="872"/>
      <x:c r="R490" s="872"/>
      <x:c r="S490" s="872"/>
      <x:c r="T490" s="872"/>
      <x:c r="U490" s="872"/>
      <x:c r="V490" s="872"/>
      <x:c r="W490" s="872"/>
      <x:c r="X490" s="872"/>
      <x:c r="Y490" s="872"/>
      <x:c r="Z490" s="872"/>
      <x:c r="AA490" s="877"/>
      <x:c r="AB490" s="872"/>
      <x:c r="AC490" s="872"/>
      <x:c r="AD490" s="872"/>
      <x:c r="AE490" s="872"/>
      <x:c r="AF490" s="872"/>
      <x:c r="AG490" s="872"/>
      <x:c r="AH490" s="872"/>
      <x:c r="AI490" s="872"/>
      <x:c r="AJ490" s="872"/>
      <x:c r="AK490" s="872"/>
      <x:c r="AL490" s="872"/>
      <x:c r="AM490" s="872"/>
      <x:c r="AN490" s="872"/>
      <x:c r="AO490" s="872"/>
      <x:c r="AP490" s="872"/>
      <x:c r="AQ490" s="878"/>
      <x:c r="AR490" s="874"/>
    </x:row>
    <x:row r="491" s="36" customFormat="1" ht="30" customHeight="1">
      <x:c r="A491" s="871"/>
      <x:c r="B491" s="871"/>
      <x:c r="C491" s="871"/>
      <x:c r="D491" s="872"/>
      <x:c r="E491" s="871"/>
      <x:c r="F491" s="871"/>
      <x:c r="G491" s="872"/>
      <x:c r="H491" s="872"/>
      <x:c r="I491" s="875"/>
      <x:c r="J491" s="872"/>
      <x:c r="K491" s="873"/>
      <x:c r="L491" s="876"/>
      <x:c r="M491" s="873"/>
      <x:c r="N491" s="874"/>
      <x:c r="O491" s="874"/>
      <x:c r="P491" s="872"/>
      <x:c r="Q491" s="872"/>
      <x:c r="R491" s="872"/>
      <x:c r="S491" s="872"/>
      <x:c r="T491" s="872"/>
      <x:c r="U491" s="872"/>
      <x:c r="V491" s="872"/>
      <x:c r="W491" s="872"/>
      <x:c r="X491" s="872"/>
      <x:c r="Y491" s="872"/>
      <x:c r="Z491" s="872"/>
      <x:c r="AA491" s="877"/>
      <x:c r="AB491" s="872"/>
      <x:c r="AC491" s="872"/>
      <x:c r="AD491" s="872"/>
      <x:c r="AE491" s="872"/>
      <x:c r="AF491" s="872"/>
      <x:c r="AG491" s="872"/>
      <x:c r="AH491" s="872"/>
      <x:c r="AI491" s="872"/>
      <x:c r="AJ491" s="872"/>
      <x:c r="AK491" s="872"/>
      <x:c r="AL491" s="872"/>
      <x:c r="AM491" s="872"/>
      <x:c r="AN491" s="872"/>
      <x:c r="AO491" s="872"/>
      <x:c r="AP491" s="872"/>
      <x:c r="AQ491" s="878"/>
      <x:c r="AR491" s="874"/>
    </x:row>
    <x:row r="492" s="36" customFormat="1" ht="30" customHeight="1">
      <x:c r="A492" s="871"/>
      <x:c r="B492" s="871"/>
      <x:c r="C492" s="871"/>
      <x:c r="D492" s="872"/>
      <x:c r="E492" s="871"/>
      <x:c r="F492" s="871"/>
      <x:c r="G492" s="872"/>
      <x:c r="H492" s="872"/>
      <x:c r="I492" s="875"/>
      <x:c r="J492" s="872"/>
      <x:c r="K492" s="873"/>
      <x:c r="L492" s="876"/>
      <x:c r="M492" s="873"/>
      <x:c r="N492" s="874"/>
      <x:c r="O492" s="874"/>
      <x:c r="P492" s="872"/>
      <x:c r="Q492" s="872"/>
      <x:c r="R492" s="872"/>
      <x:c r="S492" s="872"/>
      <x:c r="T492" s="872"/>
      <x:c r="U492" s="872"/>
      <x:c r="V492" s="872"/>
      <x:c r="W492" s="872"/>
      <x:c r="X492" s="872"/>
      <x:c r="Y492" s="872"/>
      <x:c r="Z492" s="872"/>
      <x:c r="AA492" s="877"/>
      <x:c r="AB492" s="872"/>
      <x:c r="AC492" s="872"/>
      <x:c r="AD492" s="872"/>
      <x:c r="AE492" s="872"/>
      <x:c r="AF492" s="872"/>
      <x:c r="AG492" s="872"/>
      <x:c r="AH492" s="872"/>
      <x:c r="AI492" s="872"/>
      <x:c r="AJ492" s="872"/>
      <x:c r="AK492" s="872"/>
      <x:c r="AL492" s="872"/>
      <x:c r="AM492" s="872"/>
      <x:c r="AN492" s="872"/>
      <x:c r="AO492" s="872"/>
      <x:c r="AP492" s="872"/>
      <x:c r="AQ492" s="878"/>
      <x:c r="AR492" s="874"/>
    </x:row>
    <x:row r="493" s="36" customFormat="1" ht="30" customHeight="1">
      <x:c r="A493" s="871"/>
      <x:c r="B493" s="871"/>
      <x:c r="C493" s="871"/>
      <x:c r="D493" s="872"/>
      <x:c r="E493" s="871"/>
      <x:c r="F493" s="871"/>
      <x:c r="G493" s="872"/>
      <x:c r="H493" s="872"/>
      <x:c r="I493" s="875"/>
      <x:c r="J493" s="872"/>
      <x:c r="K493" s="873"/>
      <x:c r="L493" s="876"/>
      <x:c r="M493" s="873"/>
      <x:c r="N493" s="874"/>
      <x:c r="O493" s="874"/>
      <x:c r="P493" s="872"/>
      <x:c r="Q493" s="872"/>
      <x:c r="R493" s="872"/>
      <x:c r="S493" s="872"/>
      <x:c r="T493" s="872"/>
      <x:c r="U493" s="872"/>
      <x:c r="V493" s="872"/>
      <x:c r="W493" s="872"/>
      <x:c r="X493" s="872"/>
      <x:c r="Y493" s="872"/>
      <x:c r="Z493" s="872"/>
      <x:c r="AA493" s="877"/>
      <x:c r="AB493" s="872"/>
      <x:c r="AC493" s="872"/>
      <x:c r="AD493" s="872"/>
      <x:c r="AE493" s="872"/>
      <x:c r="AF493" s="872"/>
      <x:c r="AG493" s="872"/>
      <x:c r="AH493" s="872"/>
      <x:c r="AI493" s="872"/>
      <x:c r="AJ493" s="872"/>
      <x:c r="AK493" s="872"/>
      <x:c r="AL493" s="872"/>
      <x:c r="AM493" s="872"/>
      <x:c r="AN493" s="872"/>
      <x:c r="AO493" s="872"/>
      <x:c r="AP493" s="872"/>
      <x:c r="AQ493" s="878"/>
      <x:c r="AR493" s="874"/>
    </x:row>
    <x:row r="494" s="36" customFormat="1" ht="30" customHeight="1">
      <x:c r="A494" s="871"/>
      <x:c r="B494" s="871"/>
      <x:c r="C494" s="871"/>
      <x:c r="D494" s="872"/>
      <x:c r="E494" s="871"/>
      <x:c r="F494" s="871"/>
      <x:c r="G494" s="872"/>
      <x:c r="H494" s="872"/>
      <x:c r="I494" s="875"/>
      <x:c r="J494" s="872"/>
      <x:c r="K494" s="873"/>
      <x:c r="L494" s="876"/>
      <x:c r="M494" s="873"/>
      <x:c r="N494" s="874"/>
      <x:c r="O494" s="874"/>
      <x:c r="P494" s="872"/>
      <x:c r="Q494" s="872"/>
      <x:c r="R494" s="872"/>
      <x:c r="S494" s="872"/>
      <x:c r="T494" s="872"/>
      <x:c r="U494" s="872"/>
      <x:c r="V494" s="872"/>
      <x:c r="W494" s="872"/>
      <x:c r="X494" s="872"/>
      <x:c r="Y494" s="872"/>
      <x:c r="Z494" s="872"/>
      <x:c r="AA494" s="877"/>
      <x:c r="AB494" s="872"/>
      <x:c r="AC494" s="872"/>
      <x:c r="AD494" s="872"/>
      <x:c r="AE494" s="872"/>
      <x:c r="AF494" s="872"/>
      <x:c r="AG494" s="872"/>
      <x:c r="AH494" s="872"/>
      <x:c r="AI494" s="872"/>
      <x:c r="AJ494" s="872"/>
      <x:c r="AK494" s="872"/>
      <x:c r="AL494" s="872"/>
      <x:c r="AM494" s="872"/>
      <x:c r="AN494" s="872"/>
      <x:c r="AO494" s="872"/>
      <x:c r="AP494" s="872"/>
      <x:c r="AQ494" s="878"/>
      <x:c r="AR494" s="874"/>
    </x:row>
    <x:row r="495" s="36" customFormat="1" ht="30" customHeight="1">
      <x:c r="A495" s="871"/>
      <x:c r="B495" s="871"/>
      <x:c r="C495" s="871"/>
      <x:c r="D495" s="872"/>
      <x:c r="E495" s="871"/>
      <x:c r="F495" s="871"/>
      <x:c r="G495" s="872"/>
      <x:c r="H495" s="872"/>
      <x:c r="I495" s="875"/>
      <x:c r="J495" s="872"/>
      <x:c r="K495" s="873"/>
      <x:c r="L495" s="876"/>
      <x:c r="M495" s="873"/>
      <x:c r="N495" s="874"/>
      <x:c r="O495" s="874"/>
      <x:c r="P495" s="872"/>
      <x:c r="Q495" s="872"/>
      <x:c r="R495" s="872"/>
      <x:c r="S495" s="872"/>
      <x:c r="T495" s="872"/>
      <x:c r="U495" s="872"/>
      <x:c r="V495" s="872"/>
      <x:c r="W495" s="872"/>
      <x:c r="X495" s="872"/>
      <x:c r="Y495" s="872"/>
      <x:c r="Z495" s="872"/>
      <x:c r="AA495" s="877"/>
      <x:c r="AB495" s="872"/>
      <x:c r="AC495" s="872"/>
      <x:c r="AD495" s="872"/>
      <x:c r="AE495" s="872"/>
      <x:c r="AF495" s="872"/>
      <x:c r="AG495" s="872"/>
      <x:c r="AH495" s="872"/>
      <x:c r="AI495" s="872"/>
      <x:c r="AJ495" s="872"/>
      <x:c r="AK495" s="872"/>
      <x:c r="AL495" s="872"/>
      <x:c r="AM495" s="872"/>
      <x:c r="AN495" s="872"/>
      <x:c r="AO495" s="872"/>
      <x:c r="AP495" s="872"/>
      <x:c r="AQ495" s="878"/>
      <x:c r="AR495" s="874"/>
    </x:row>
    <x:row r="496" s="36" customFormat="1" ht="30" customHeight="1">
      <x:c r="A496" s="871"/>
      <x:c r="B496" s="871"/>
      <x:c r="C496" s="871"/>
      <x:c r="D496" s="872"/>
      <x:c r="E496" s="871"/>
      <x:c r="F496" s="871"/>
      <x:c r="G496" s="872"/>
      <x:c r="H496" s="872"/>
      <x:c r="I496" s="875"/>
      <x:c r="J496" s="872"/>
      <x:c r="K496" s="873"/>
      <x:c r="L496" s="876"/>
      <x:c r="M496" s="873"/>
      <x:c r="N496" s="874"/>
      <x:c r="O496" s="874"/>
      <x:c r="P496" s="872"/>
      <x:c r="Q496" s="872"/>
      <x:c r="R496" s="872"/>
      <x:c r="S496" s="872"/>
      <x:c r="T496" s="872"/>
      <x:c r="U496" s="872"/>
      <x:c r="V496" s="872"/>
      <x:c r="W496" s="872"/>
      <x:c r="X496" s="872"/>
      <x:c r="Y496" s="872"/>
      <x:c r="Z496" s="872"/>
      <x:c r="AA496" s="877"/>
      <x:c r="AB496" s="872"/>
      <x:c r="AC496" s="872"/>
      <x:c r="AD496" s="872"/>
      <x:c r="AE496" s="872"/>
      <x:c r="AF496" s="872"/>
      <x:c r="AG496" s="872"/>
      <x:c r="AH496" s="872"/>
      <x:c r="AI496" s="872"/>
      <x:c r="AJ496" s="872"/>
      <x:c r="AK496" s="872"/>
      <x:c r="AL496" s="872"/>
      <x:c r="AM496" s="872"/>
      <x:c r="AN496" s="872"/>
      <x:c r="AO496" s="872"/>
      <x:c r="AP496" s="872"/>
      <x:c r="AQ496" s="878"/>
      <x:c r="AR496" s="874"/>
    </x:row>
    <x:row r="497" s="36" customFormat="1" ht="30" customHeight="1">
      <x:c r="A497" s="871"/>
      <x:c r="B497" s="871"/>
      <x:c r="C497" s="871"/>
      <x:c r="D497" s="872"/>
      <x:c r="E497" s="871"/>
      <x:c r="F497" s="871"/>
      <x:c r="G497" s="872"/>
      <x:c r="H497" s="872"/>
      <x:c r="I497" s="875"/>
      <x:c r="J497" s="872"/>
      <x:c r="K497" s="873"/>
      <x:c r="L497" s="876"/>
      <x:c r="M497" s="873"/>
      <x:c r="N497" s="874"/>
      <x:c r="O497" s="874"/>
      <x:c r="P497" s="872"/>
      <x:c r="Q497" s="872"/>
      <x:c r="R497" s="872"/>
      <x:c r="S497" s="872"/>
      <x:c r="T497" s="872"/>
      <x:c r="U497" s="872"/>
      <x:c r="V497" s="872"/>
      <x:c r="W497" s="872"/>
      <x:c r="X497" s="872"/>
      <x:c r="Y497" s="872"/>
      <x:c r="Z497" s="872"/>
      <x:c r="AA497" s="877"/>
      <x:c r="AB497" s="872"/>
      <x:c r="AC497" s="872"/>
      <x:c r="AD497" s="872"/>
      <x:c r="AE497" s="872"/>
      <x:c r="AF497" s="872"/>
      <x:c r="AG497" s="872"/>
      <x:c r="AH497" s="872"/>
      <x:c r="AI497" s="872"/>
      <x:c r="AJ497" s="872"/>
      <x:c r="AK497" s="872"/>
      <x:c r="AL497" s="872"/>
      <x:c r="AM497" s="872"/>
      <x:c r="AN497" s="872"/>
      <x:c r="AO497" s="872"/>
      <x:c r="AP497" s="872"/>
      <x:c r="AQ497" s="878"/>
      <x:c r="AR497" s="874"/>
    </x:row>
    <x:row r="498" s="36" customFormat="1" ht="30" customHeight="1">
      <x:c r="A498" s="871"/>
      <x:c r="B498" s="871"/>
      <x:c r="C498" s="871"/>
      <x:c r="D498" s="872"/>
      <x:c r="E498" s="871"/>
      <x:c r="F498" s="871"/>
      <x:c r="G498" s="872"/>
      <x:c r="H498" s="872"/>
      <x:c r="I498" s="875"/>
      <x:c r="J498" s="872"/>
      <x:c r="K498" s="873"/>
      <x:c r="L498" s="876"/>
      <x:c r="M498" s="873"/>
      <x:c r="N498" s="874"/>
      <x:c r="O498" s="874"/>
      <x:c r="P498" s="872"/>
      <x:c r="Q498" s="872"/>
      <x:c r="R498" s="872"/>
      <x:c r="S498" s="872"/>
      <x:c r="T498" s="872"/>
      <x:c r="U498" s="872"/>
      <x:c r="V498" s="872"/>
      <x:c r="W498" s="872"/>
      <x:c r="X498" s="872"/>
      <x:c r="Y498" s="872"/>
      <x:c r="Z498" s="872"/>
      <x:c r="AA498" s="877"/>
      <x:c r="AB498" s="872"/>
      <x:c r="AC498" s="872"/>
      <x:c r="AD498" s="872"/>
      <x:c r="AE498" s="872"/>
      <x:c r="AF498" s="872"/>
      <x:c r="AG498" s="872"/>
      <x:c r="AH498" s="872"/>
      <x:c r="AI498" s="872"/>
      <x:c r="AJ498" s="872"/>
      <x:c r="AK498" s="872"/>
      <x:c r="AL498" s="872"/>
      <x:c r="AM498" s="872"/>
      <x:c r="AN498" s="872"/>
      <x:c r="AO498" s="872"/>
      <x:c r="AP498" s="872"/>
      <x:c r="AQ498" s="878"/>
      <x:c r="AR498" s="874"/>
    </x:row>
    <x:row r="499" s="36" customFormat="1" ht="30" customHeight="1">
      <x:c r="A499" s="871"/>
      <x:c r="B499" s="871"/>
      <x:c r="C499" s="871"/>
      <x:c r="D499" s="872"/>
      <x:c r="E499" s="871"/>
      <x:c r="F499" s="871"/>
      <x:c r="G499" s="872"/>
      <x:c r="H499" s="872"/>
      <x:c r="I499" s="875"/>
      <x:c r="J499" s="872"/>
      <x:c r="K499" s="873"/>
      <x:c r="L499" s="876"/>
      <x:c r="M499" s="873"/>
      <x:c r="N499" s="874"/>
      <x:c r="O499" s="874"/>
      <x:c r="P499" s="872"/>
      <x:c r="Q499" s="872"/>
      <x:c r="R499" s="872"/>
      <x:c r="S499" s="872"/>
      <x:c r="T499" s="872"/>
      <x:c r="U499" s="872"/>
      <x:c r="V499" s="872"/>
      <x:c r="W499" s="872"/>
      <x:c r="X499" s="872"/>
      <x:c r="Y499" s="872"/>
      <x:c r="Z499" s="872"/>
      <x:c r="AA499" s="877"/>
      <x:c r="AB499" s="872"/>
      <x:c r="AC499" s="872"/>
      <x:c r="AD499" s="872"/>
      <x:c r="AE499" s="872"/>
      <x:c r="AF499" s="872"/>
      <x:c r="AG499" s="872"/>
      <x:c r="AH499" s="872"/>
      <x:c r="AI499" s="872"/>
      <x:c r="AJ499" s="872"/>
      <x:c r="AK499" s="872"/>
      <x:c r="AL499" s="872"/>
      <x:c r="AM499" s="872"/>
      <x:c r="AN499" s="872"/>
      <x:c r="AO499" s="872"/>
      <x:c r="AP499" s="872"/>
      <x:c r="AQ499" s="878"/>
      <x:c r="AR499" s="874"/>
    </x:row>
    <x:row r="500" s="36" customFormat="1" ht="30" customHeight="1">
      <x:c r="A500" s="871"/>
      <x:c r="B500" s="871"/>
      <x:c r="C500" s="871"/>
      <x:c r="D500" s="872"/>
      <x:c r="E500" s="871"/>
      <x:c r="F500" s="871"/>
      <x:c r="G500" s="872"/>
      <x:c r="H500" s="872"/>
      <x:c r="I500" s="875"/>
      <x:c r="J500" s="872"/>
      <x:c r="K500" s="873"/>
      <x:c r="L500" s="876"/>
      <x:c r="M500" s="873"/>
      <x:c r="N500" s="874"/>
      <x:c r="O500" s="874"/>
      <x:c r="P500" s="872"/>
      <x:c r="Q500" s="872"/>
      <x:c r="R500" s="872"/>
      <x:c r="S500" s="872"/>
      <x:c r="T500" s="872"/>
      <x:c r="U500" s="872"/>
      <x:c r="V500" s="872"/>
      <x:c r="W500" s="872"/>
      <x:c r="X500" s="872"/>
      <x:c r="Y500" s="872"/>
      <x:c r="Z500" s="872"/>
      <x:c r="AA500" s="877"/>
      <x:c r="AB500" s="872"/>
      <x:c r="AC500" s="872"/>
      <x:c r="AD500" s="872"/>
      <x:c r="AE500" s="872"/>
      <x:c r="AF500" s="872"/>
      <x:c r="AG500" s="872"/>
      <x:c r="AH500" s="872"/>
      <x:c r="AI500" s="872"/>
      <x:c r="AJ500" s="872"/>
      <x:c r="AK500" s="872"/>
      <x:c r="AL500" s="872"/>
      <x:c r="AM500" s="872"/>
      <x:c r="AN500" s="872"/>
      <x:c r="AO500" s="872"/>
      <x:c r="AP500" s="872"/>
      <x:c r="AQ500" s="878"/>
      <x:c r="AR500" s="874"/>
    </x:row>
    <x:row r="501" s="36" customFormat="1" ht="30" customHeight="1">
      <x:c r="A501" s="871"/>
      <x:c r="B501" s="871"/>
      <x:c r="C501" s="871"/>
      <x:c r="D501" s="872"/>
      <x:c r="E501" s="871"/>
      <x:c r="F501" s="871"/>
      <x:c r="G501" s="872"/>
      <x:c r="H501" s="872"/>
      <x:c r="I501" s="875"/>
      <x:c r="J501" s="872"/>
      <x:c r="K501" s="873"/>
      <x:c r="L501" s="876"/>
      <x:c r="M501" s="873"/>
      <x:c r="N501" s="874"/>
      <x:c r="O501" s="874"/>
      <x:c r="P501" s="872"/>
      <x:c r="Q501" s="872"/>
      <x:c r="R501" s="872"/>
      <x:c r="S501" s="872"/>
      <x:c r="T501" s="872"/>
      <x:c r="U501" s="872"/>
      <x:c r="V501" s="872"/>
      <x:c r="W501" s="872"/>
      <x:c r="X501" s="872"/>
      <x:c r="Y501" s="872"/>
      <x:c r="Z501" s="872"/>
      <x:c r="AA501" s="877"/>
      <x:c r="AB501" s="872"/>
      <x:c r="AC501" s="872"/>
      <x:c r="AD501" s="872"/>
      <x:c r="AE501" s="872"/>
      <x:c r="AF501" s="872"/>
      <x:c r="AG501" s="872"/>
      <x:c r="AH501" s="872"/>
      <x:c r="AI501" s="872"/>
      <x:c r="AJ501" s="872"/>
      <x:c r="AK501" s="872"/>
      <x:c r="AL501" s="872"/>
      <x:c r="AM501" s="872"/>
      <x:c r="AN501" s="872"/>
      <x:c r="AO501" s="872"/>
      <x:c r="AP501" s="872"/>
      <x:c r="AQ501" s="878"/>
      <x:c r="AR501" s="874"/>
    </x:row>
    <x:row r="502" s="36" customFormat="1" ht="30" customHeight="1">
      <x:c r="A502" s="871"/>
      <x:c r="B502" s="871"/>
      <x:c r="C502" s="871"/>
      <x:c r="D502" s="872"/>
      <x:c r="E502" s="871"/>
      <x:c r="F502" s="871"/>
      <x:c r="G502" s="872"/>
      <x:c r="H502" s="872"/>
      <x:c r="I502" s="875"/>
      <x:c r="J502" s="872"/>
      <x:c r="K502" s="873"/>
      <x:c r="L502" s="876"/>
      <x:c r="M502" s="873"/>
      <x:c r="N502" s="874"/>
      <x:c r="O502" s="874"/>
      <x:c r="P502" s="872"/>
      <x:c r="Q502" s="872"/>
      <x:c r="R502" s="872"/>
      <x:c r="S502" s="872"/>
      <x:c r="T502" s="872"/>
      <x:c r="U502" s="872"/>
      <x:c r="V502" s="872"/>
      <x:c r="W502" s="872"/>
      <x:c r="X502" s="872"/>
      <x:c r="Y502" s="872"/>
      <x:c r="Z502" s="872"/>
      <x:c r="AA502" s="877"/>
      <x:c r="AB502" s="872"/>
      <x:c r="AC502" s="872"/>
      <x:c r="AD502" s="872"/>
      <x:c r="AE502" s="872"/>
      <x:c r="AF502" s="872"/>
      <x:c r="AG502" s="872"/>
      <x:c r="AH502" s="872"/>
      <x:c r="AI502" s="872"/>
      <x:c r="AJ502" s="872"/>
      <x:c r="AK502" s="872"/>
      <x:c r="AL502" s="872"/>
      <x:c r="AM502" s="872"/>
      <x:c r="AN502" s="872"/>
      <x:c r="AO502" s="872"/>
      <x:c r="AP502" s="872"/>
      <x:c r="AQ502" s="878"/>
      <x:c r="AR502" s="874"/>
    </x:row>
  </x:sheetData>
  <x:mergeCells>
    <x:mergeCell ref="A1:F1"/>
    <x:mergeCell ref="G1:J1"/>
    <x:mergeCell ref="K1:M1"/>
    <x:mergeCell ref="N1:AR1"/>
  </x:mergeCells>
  <x:conditionalFormatting sqref="G3:G502">
    <x:cfRule type="containsText" dxfId="3" priority="1" operator="containsText" text="PENDING"/>
    <x:cfRule type="containsText" dxfId="4" priority="2" operator="containsText" text="ACCEPT"/>
    <x:cfRule type="containsText" dxfId="4" priority="3" operator="containsText" text="CORRECT"/>
    <x:cfRule type="containsText" dxfId="0" priority="4" operator="containsText" text="REJECT"/>
    <x:cfRule type="containsText" dxfId="0" priority="5" operator="containsText" text="INCORRECT"/>
    <x:cfRule type="containsText" dxfId="50" priority="12" operator="containsText" text="ACCEPT"/>
    <x:cfRule type="containsText" dxfId="51" priority="13" operator="containsText" text="REJECT"/>
    <x:cfRule type="containsText" dxfId="52" priority="14" operator="containsText" text="PENDING"/>
    <x:cfRule type="containsText" dxfId="53" priority="15" operator="containsText" text="ACCEPT"/>
    <x:cfRule type="containsText" dxfId="54" priority="16" operator="containsText" text="REJECT"/>
    <x:cfRule type="containsText" dxfId="55" priority="17" operator="containsText" text="PENDING"/>
  </x:conditionalFormatting>
  <x:conditionalFormatting sqref="K3:K502">
    <x:cfRule type="containsText" dxfId="4" priority="6" operator="containsText" text="APPLIED"/>
    <x:cfRule type="containsText" dxfId="25" priority="7" operator="containsText" text="REJECTED"/>
    <x:cfRule type="containsText" dxfId="3" priority="8" operator="containsText" text="PENDING"/>
    <x:cfRule type="containsText" dxfId="3" priority="9" operator="containsText" text="WAITING_FOR_HUMAN"/>
    <x:cfRule type="containsText" dxfId="0" priority="10" operator="containsText" text="NEEDS_REPLAN"/>
    <x:cfRule type="containsText" dxfId="9" priority="11" operator="containsText" text="QUEUED"/>
  </x:conditionalFormatting>
  <x:dataValidations count="13">
    <x:dataValidation type="list" allowBlank="0" showDropDown="0" showInputMessage="0" showErrorMessage="0" sqref="G3:G502">
      <x:formula1>"PENDING,ACCEPT,REJECT,CORRECT,INCORRECT"</x:formula1>
    </x:dataValidation>
    <x:dataValidation type="list" sqref="T3:T502">
      <x:formula1>"Norway,EU / EEA,International,Multi-jurisdiction,Site-specific,Other"</x:formula1>
    </x:dataValidation>
    <x:dataValidation type="list" sqref="U3:U502">
      <x:formula1>"Law,Regulation,Permit / authority decision,Technical standard,Scheme standard,Interpretation document,Audit / assessment document,Equipment manual / OEM instruction,Design / engineering document,Internal policy / contract,Other"</x:formula1>
    </x:dataValidation>
    <x:dataValidation type="list" sqref="V3:V502">
      <x:formula1>"Public authority,Standards body,Certification scheme,Manufacturer / supplier,Project / engineering,Client / internal,Pending classification"</x:formula1>
    </x:dataValidation>
    <x:dataValidation type="list" sqref="W3:W502">
      <x:formula1>"Primary normative,Referenced normative,Asset-specific normative,Guidance / interpretation,Audit / assessment tool,Context / evidence,Draft working material"</x:formula1>
    </x:dataValidation>
    <x:dataValidation type="list" sqref="X3:X502">
      <x:formula1>"English,Norwegian,Other"</x:formula1>
    </x:dataValidation>
    <x:dataValidation type="list" sqref="Y3:Y502">
      <x:formula1>"html,pdf,xlsx,zip"</x:formula1>
    </x:dataValidation>
    <x:dataValidation type="list" sqref="AC3:AH502">
      <x:formula1>"LOW,MEDIUM,HIGH"</x:formula1>
    </x:dataValidation>
    <x:dataValidation type="list" sqref="AI3:AI502">
      <x:formula1>"INCLUDE,PENDING,EXCLUDE"</x:formula1>
    </x:dataValidation>
    <x:dataValidation type="list" sqref="AJ3:AJ502">
      <x:formula1>"OFFICIAL_WEBSITE,CLIENT_OR_SITE,SUPPLIER_OR_INTEGRATOR,INTERNAL_REPOSITORY,OTHER"</x:formula1>
    </x:dataValidation>
    <x:dataValidation type="list" sqref="AK3:AK502">
      <x:formula1>"OFFICIAL_ORIGINAL,AUTHORISED_COPY,CLIENT_PROVIDED_COPY,UNVERIFIED"</x:formula1>
    </x:dataValidation>
    <x:dataValidation type="list" sqref="AL3:AL502">
      <x:formula1>"VERSIONED,ROLLING,UNKNOWN"</x:formula1>
    </x:dataValidation>
    <x:dataValidation type="list" sqref="AN3:AN502">
      <x:formula1>"CURRENT,SUPERSEDED,WITHDRAWN"</x:formula1>
    </x:dataValidation>
  </x:dataValidations>
  <x:pageMargins left="0.7" right="0.7" top="0.75" bottom="0.75" header="0.3" footer="0.3"/>
  <x:tableParts count="1">
    <x:tablePart xmlns:r="http://schemas.openxmlformats.org/officeDocument/2006/relationships" r:id="R9e3ede6fd86e4786"/>
  </x:tableParts>
</x:worksheet>
</file>