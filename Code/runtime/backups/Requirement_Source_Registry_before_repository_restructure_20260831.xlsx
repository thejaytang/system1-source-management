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9402c8c56dc4b51" /></Relationships>
</file>

<file path=xl/workbook.xml><?xml version="1.0" encoding="utf-8"?>
<x:workbook xmlns:x="http://schemas.openxmlformats.org/spreadsheetml/2006/main">
  <x:sheets>
    <x:sheet xmlns:r="http://schemas.openxmlformats.org/officeDocument/2006/relationships" name="Instructions" sheetId="1" r:id="R89d7fe9f994f4ccc"/>
    <x:sheet xmlns:r="http://schemas.openxmlformats.org/officeDocument/2006/relationships" name="Categories" sheetId="2" r:id="R0c8ed123063b41d7"/>
    <x:sheet xmlns:r="http://schemas.openxmlformats.org/officeDocument/2006/relationships" name="Source Register" sheetId="3" r:id="Rcf9b4583eaa54fc8"/>
    <x:sheet xmlns:r="http://schemas.openxmlformats.org/officeDocument/2006/relationships" name="Dashboard" sheetId="4" r:id="Re13da91f192342a1"/>
    <x:sheet xmlns:r="http://schemas.openxmlformats.org/officeDocument/2006/relationships" name="Human Operation Desktop" sheetId="5" r:id="Rc447554bd74a43d2"/>
    <x:sheet xmlns:r="http://schemas.openxmlformats.org/officeDocument/2006/relationships" name="QA Inspection Log" sheetId="6" r:id="R490bf08df6a5405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164" formatCode="yyyy-mm-dd"/>
    <x:numFmt numFmtId="165" formatCode="yyyy-mm-dd hh:mm"/>
    <x:numFmt numFmtId="200" formatCode="0.0%"/>
    <x:numFmt numFmtId="201" formatCode="0%"/>
  </x:numFmts>
  <x:fonts count="30">
    <x:font>
      <x:sz val="11"/>
      <x:name val="Carlito"/>
    </x:font>
    <x:font>
      <x:b/>
      <x:sz val="18"/>
      <x:color rgb="FFFFFFFF"/>
      <x:name val="Aptos Display"/>
    </x:font>
    <x:font>
      <x:i/>
      <x:sz val="11"/>
      <x:color rgb="FF0B1F3A"/>
      <x:name val="Carlito"/>
    </x:font>
    <x:font>
      <x:b/>
      <x:sz val="11"/>
      <x:color rgb="FF0B1F3A"/>
      <x:name val="Carlito"/>
    </x:font>
    <x:font>
      <x:b/>
      <x:sz val="12"/>
      <x:color rgb="FF0B1F3A"/>
      <x:name val="Carlito"/>
    </x:font>
    <x:font>
      <x:b/>
      <x:sz val="11"/>
      <x:color rgb="FFFFFFFF"/>
      <x:name val="Carlito"/>
    </x:font>
    <x:font>
      <x:sz val="11"/>
      <x:color rgb="FF1565C0"/>
      <x:name val="Carlito"/>
    </x:font>
    <x:font>
      <x:b/>
      <x:sz val="15"/>
      <x:color rgb="FFFFFFFF"/>
      <x:name val="Aptos Display"/>
    </x:font>
    <x:font>
      <x:b/>
      <x:sz val="10"/>
      <x:color rgb="FF475467"/>
      <x:name val="Carlito"/>
    </x:font>
    <x:font>
      <x:b/>
      <x:sz val="22"/>
      <x:color rgb="FF0B1F3A"/>
      <x:name val="Carlito"/>
    </x:font>
    <x:font>
      <x:b/>
      <x:sz val="22"/>
      <x:color rgb="FF206A3B"/>
      <x:name val="Carlito"/>
    </x:font>
    <x:font>
      <x:b/>
      <x:sz val="22"/>
      <x:color rgb="FFB42318"/>
      <x:name val="Carlito"/>
    </x:font>
    <x:font>
      <x:b/>
      <x:sz val="22"/>
      <x:color rgb="FF2563EB"/>
      <x:name val="Carlito"/>
    </x:font>
    <x:font>
      <x:b/>
      <x:sz val="22"/>
      <x:color rgb="FF7C3AED"/>
      <x:name val="Carlito"/>
    </x:font>
    <x:font>
      <x:b/>
      <x:sz val="22"/>
      <x:color rgb="FF8A5A00"/>
      <x:name val="Carlito"/>
    </x:font>
    <x:font>
      <x:sz val="11"/>
      <x:color rgb="FF0B1F3A"/>
      <x:name val="Carlito"/>
    </x:font>
    <x:font>
      <x:b/>
      <x:sz val="13"/>
      <x:color rgb="FFFFFFFF"/>
      <x:name val="Carlito"/>
    </x:font>
    <x:font>
      <x:sz val="1"/>
      <x:color rgb="FFF8FAFC"/>
      <x:name val="Carlito"/>
    </x:font>
    <x:font>
      <x:sz val="9"/>
      <x:color rgb="FF0B1F3A"/>
      <x:name val="Carlito"/>
    </x:font>
    <x:font>
      <x:b/>
      <x:sz val="12"/>
      <x:color rgb="FFFFFFFF"/>
      <x:name val="Carlito"/>
    </x:font>
    <x:font>
      <x:b/>
      <x:sz val="13"/>
      <x:color rgb="FF0B1F3A"/>
      <x:name val="Carlito"/>
    </x:font>
    <x:font>
      <x:b/>
      <x:sz val="10"/>
      <x:color rgb="FF0B1F3A"/>
      <x:name val="Carlito"/>
    </x:font>
    <x:font>
      <x:b/>
      <x:sz val="10"/>
      <x:color rgb="FFFFFFFF"/>
      <x:name val="Carlito"/>
    </x:font>
    <x:font>
      <x:b/>
      <x:sz val="16"/>
      <x:color rgb="FF0B1F3A"/>
      <x:name val="Carlito"/>
    </x:font>
    <x:font>
      <x:b/>
      <x:i/>
      <x:sz val="11"/>
      <x:color rgb="FF0B1F3A"/>
      <x:name val="Carlito"/>
    </x:font>
    <x:font>
      <x:b/>
      <x:sz val="16"/>
      <x:color rgb="FF206A3B"/>
      <x:name val="Carlito"/>
    </x:font>
    <x:font>
      <x:b/>
      <x:sz val="16"/>
      <x:color rgb="FF8A5A00"/>
      <x:name val="Carlito"/>
    </x:font>
    <x:font>
      <x:i/>
      <x:sz val="9"/>
      <x:color rgb="FF0B1F3A"/>
      <x:name val="Carlito"/>
    </x:font>
    <x:font>
      <x:sz val="9"/>
      <x:color rgb="FF1565C0"/>
      <x:name val="Carlito"/>
    </x:font>
    <x:font>
      <x:sz val="10"/>
      <x:color rgb="FF0B1F3A"/>
      <x:name val="Carlito"/>
    </x:font>
  </x:fonts>
  <x:fills count="33">
    <x:fill>
      <x:patternFill patternType="none"/>
    </x:fill>
    <x:fill>
      <x:patternFill patternType="gray125"/>
    </x:fill>
    <x:fill>
      <x:patternFill patternType="solid">
        <x:fgColor rgb="FF0B1F3A"/>
      </x:patternFill>
    </x:fill>
    <x:fill>
      <x:patternFill patternType="solid">
        <x:fgColor rgb="FFE8F1FB"/>
      </x:patternFill>
    </x:fill>
    <x:fill>
      <x:patternFill patternType="solid">
        <x:fgColor rgb="FFFFF4D6"/>
      </x:patternFill>
    </x:fill>
    <x:fill>
      <x:patternFill patternType="solid">
        <x:fgColor rgb="FFDDF5F1"/>
      </x:patternFill>
    </x:fill>
    <x:fill>
      <x:patternFill patternType="solid">
        <x:fgColor rgb="FF0F766E"/>
      </x:patternFill>
    </x:fill>
    <x:fill>
      <x:patternFill patternType="solid">
        <x:fgColor rgb="FF2563EB"/>
      </x:patternFill>
    </x:fill>
    <x:fill>
      <x:patternFill patternType="solid">
        <x:fgColor rgb="FF7C3AED"/>
      </x:patternFill>
    </x:fill>
    <x:fill>
      <x:patternFill patternType="solid">
        <x:fgColor rgb="FFB7791F"/>
      </x:patternFill>
    </x:fill>
    <x:fill>
      <x:patternFill patternType="solid">
        <x:fgColor rgb="FF0E7490"/>
      </x:patternFill>
    </x:fill>
    <x:fill>
      <x:patternFill patternType="solid">
        <x:fgColor rgb="FF475467"/>
      </x:patternFill>
    </x:fill>
    <x:fill>
      <x:patternFill patternType="solid">
        <x:fgColor rgb="FFF8FAFC"/>
      </x:patternFill>
    </x:fill>
    <x:fill>
      <x:patternFill patternType="solid">
        <x:fgColor rgb="FFFFFFFF"/>
      </x:patternFill>
    </x:fill>
    <x:fill>
      <x:patternFill patternType="solid">
        <x:fgColor rgb="FFE6F4EA"/>
      </x:patternFill>
    </x:fill>
    <x:fill>
      <x:patternFill patternType="solid">
        <x:fgColor rgb="FFFDE8E7"/>
      </x:patternFill>
    </x:fill>
    <x:fill>
      <x:patternFill patternType="solid">
        <x:fgColor rgb="FFF3F5F7"/>
      </x:patternFill>
    </x:fill>
    <x:fill>
      <x:patternFill patternType="solid">
        <x:fgColor rgb="FF0B1F3A"/>
      </x:patternFill>
    </x:fill>
    <x:fill>
      <x:patternFill patternType="solid">
        <x:fgColor rgb="FF0F766E"/>
      </x:patternFill>
    </x:fill>
    <x:fill>
      <x:patternFill patternType="solid">
        <x:fgColor rgb="FF0E7490"/>
      </x:patternFill>
    </x:fill>
    <x:fill>
      <x:patternFill patternType="solid">
        <x:fgColor rgb="FF475467"/>
      </x:patternFill>
    </x:fill>
    <x:fill>
      <x:patternFill patternType="solid">
        <x:fgColor rgb="FFFFFFFF"/>
      </x:patternFill>
    </x:fill>
    <x:fill>
      <x:patternFill patternType="solid">
        <x:fgColor rgb="FFE8F1FB"/>
      </x:patternFill>
    </x:fill>
    <x:fill>
      <x:patternFill patternType="solid">
        <x:fgColor rgb="FFF3F5F7"/>
      </x:patternFill>
    </x:fill>
    <x:fill>
      <x:patternFill patternType="solid">
        <x:fgColor rgb="FFDDF5F1"/>
      </x:patternFill>
    </x:fill>
    <x:fill>
      <x:patternFill patternType="solid">
        <x:fgColor rgb="FFE6F4EA"/>
      </x:patternFill>
    </x:fill>
    <x:fill>
      <x:patternFill patternType="solid">
        <x:fgColor rgb="FFFFF4D6"/>
      </x:patternFill>
    </x:fill>
    <x:fill>
      <x:patternFill patternType="solid">
        <x:fgColor rgb="FF0B1F3A"/>
      </x:patternFill>
    </x:fill>
    <x:fill>
      <x:patternFill patternType="solid">
        <x:fgColor rgb="FF0B1F3A"/>
      </x:patternFill>
    </x:fill>
    <x:fill>
      <x:patternFill patternType="solid">
        <x:fgColor rgb="FF0F766E"/>
      </x:patternFill>
    </x:fill>
    <x:fill>
      <x:patternFill patternType="solid">
        <x:fgColor rgb="FF0E7490"/>
      </x:patternFill>
    </x:fill>
    <x:fill>
      <x:patternFill patternType="solid">
        <x:fgColor rgb="FF475467"/>
      </x:patternFill>
    </x:fill>
    <x:fill>
      <x:patternFill patternType="solid">
        <x:fgColor rgb="FFFFFFFF"/>
      </x:patternFill>
    </x:fill>
  </x:fills>
  <x:borders count="33">
    <x:border/>
    <x:border>
      <x:left style="thin">
        <x:color rgb="FFE7B84B"/>
      </x:left>
      <x:top style="thin">
        <x:color rgb="FFE7B84B"/>
      </x:top>
      <x:bottom style="thin">
        <x:color rgb="FFE7B84B"/>
      </x:bottom>
    </x:border>
    <x:border>
      <x:right style="thin">
        <x:color rgb="FFE7B84B"/>
      </x:right>
      <x:top style="thin">
        <x:color rgb="FFE7B84B"/>
      </x:top>
      <x:bottom style="thin">
        <x:color rgb="FFE7B84B"/>
      </x:bottom>
    </x:border>
    <x:border>
      <x:right style="thin">
        <x:color rgb="FF52657A"/>
      </x:right>
    </x:border>
    <x:border>
      <x:left style="thin">
        <x:color rgb="FF52657A"/>
      </x:left>
      <x:right style="thin">
        <x:color rgb="FF52657A"/>
      </x:right>
    </x:border>
    <x:border>
      <x:left style="thin">
        <x:color rgb="FF52657A"/>
      </x:left>
    </x:border>
    <x:border>
      <x:left style="thin">
        <x:color rgb="FFD0D5DD"/>
      </x:left>
      <x:right style="thin">
        <x:color rgb="FF52657A"/>
      </x:right>
      <x:top style="thin">
        <x:color rgb="FFD0D5DD"/>
      </x:top>
    </x:border>
    <x:border>
      <x:left style="thin">
        <x:color rgb="FF52657A"/>
      </x:left>
      <x:right style="thin">
        <x:color rgb="FF52657A"/>
      </x:right>
      <x:top style="thin">
        <x:color rgb="FFD0D5DD"/>
      </x:top>
    </x:border>
    <x:border>
      <x:left style="thin">
        <x:color rgb="FF52657A"/>
      </x:left>
      <x:right style="thin">
        <x:color rgb="FFD0D5DD"/>
      </x:right>
      <x:top style="thin">
        <x:color rgb="FFD0D5DD"/>
      </x:top>
    </x:border>
    <x:border>
      <x:left style="thin">
        <x:color rgb="FFD0D5DD"/>
      </x:left>
    </x:border>
    <x:border>
      <x:right style="thin">
        <x:color rgb="FFD0D5DD"/>
      </x:right>
    </x:border>
    <x:border>
      <x:left style="thin">
        <x:color rgb="FFD0D5DD"/>
      </x:left>
      <x:bottom style="thin">
        <x:color rgb="FFD0D5DD"/>
      </x:bottom>
    </x:border>
    <x:border>
      <x:bottom style="thin">
        <x:color rgb="FFD0D5DD"/>
      </x:bottom>
    </x:border>
    <x:border>
      <x:right style="thin">
        <x:color rgb="FFD0D5DD"/>
      </x:right>
      <x:bottom style="thin">
        <x:color rgb="FFD0D5DD"/>
      </x:bottom>
    </x:border>
    <x:border>
      <x:left style="thin">
        <x:color rgb="FFD0D5DD"/>
      </x:left>
      <x:top style="thin">
        <x:color rgb="FFD0D5DD"/>
      </x:top>
    </x:border>
    <x:border>
      <x:right style="thin">
        <x:color rgb="FFD0D5DD"/>
      </x:right>
      <x:top style="thin">
        <x:color rgb="FFD0D5DD"/>
      </x:top>
    </x:border>
    <x:border>
      <x:left style="thin">
        <x:color rgb="FFFFFFFF"/>
      </x:left>
      <x:top style="thin">
        <x:color rgb="FFFFFFFF"/>
      </x:top>
      <x:bottom style="thin">
        <x:color rgb="FFFFFFFF"/>
      </x:bottom>
    </x:border>
    <x:border>
      <x:top style="thin">
        <x:color rgb="FFFFFFFF"/>
      </x:top>
      <x:bottom style="thin">
        <x:color rgb="FFFFFFFF"/>
      </x:bottom>
    </x:border>
    <x:border>
      <x:right style="thin">
        <x:color rgb="FFFFFFFF"/>
      </x:right>
      <x:top style="thin">
        <x:color rgb="FFFFFFFF"/>
      </x:top>
      <x:bottom style="thin">
        <x:color rgb="FFFFFFFF"/>
      </x:bottom>
    </x:border>
    <x:border>
      <x:left style="thin">
        <x:color rgb="FFD0D5DD"/>
      </x:left>
      <x:top style="thin">
        <x:color rgb="FFD0D5DD"/>
      </x:top>
      <x:bottom style="thin">
        <x:color rgb="FFD0D5DD"/>
      </x:bottom>
    </x:border>
    <x:border>
      <x:top style="thin">
        <x:color rgb="FFD0D5DD"/>
      </x:top>
      <x:bottom style="thin">
        <x:color rgb="FFD0D5DD"/>
      </x:bottom>
    </x:border>
    <x:border>
      <x:right style="thin">
        <x:color rgb="FFD0D5DD"/>
      </x:right>
      <x:top style="thin">
        <x:color rgb="FFD0D5DD"/>
      </x:top>
      <x:bottom style="thin">
        <x:color rgb="FFD0D5DD"/>
      </x:bottom>
    </x:border>
    <x:border>
      <x:top style="thin">
        <x:color rgb="FFD0D5DD"/>
      </x:top>
    </x:border>
    <x:border>
      <x:left style="thin">
        <x:color rgb="FFD0D5DD"/>
      </x:left>
      <x:right style="thin">
        <x:color rgb="FFD0D5DD"/>
      </x:right>
      <x:top style="thin">
        <x:color rgb="FFD0D5DD"/>
      </x:top>
      <x:bottom style="thin">
        <x:color rgb="FFD0D5DD"/>
      </x:bottom>
    </x:border>
    <x:border>
      <x:left style="thin">
        <x:color rgb="FFD0D5DD"/>
      </x:left>
      <x:right style="thin">
        <x:color rgb="FF52657A"/>
      </x:right>
      <x:top style="thin">
        <x:color rgb="FFD0D5DD"/>
      </x:top>
      <x:bottom style="thin">
        <x:color rgb="FFD0D5DD"/>
      </x:bottom>
    </x:border>
    <x:border>
      <x:left style="thin">
        <x:color rgb="FF52657A"/>
      </x:left>
      <x:right style="thin">
        <x:color rgb="FFD0D5DD"/>
      </x:right>
      <x:top style="thin">
        <x:color rgb="FFD0D5DD"/>
      </x:top>
      <x:bottom style="thin">
        <x:color rgb="FFD0D5DD"/>
      </x:bottom>
    </x:border>
    <x:border>
      <x:left style="thin">
        <x:color rgb="FFFFFFFF"/>
      </x:left>
      <x:right style="thin">
        <x:color rgb="FFFFFFFF"/>
      </x:right>
      <x:top style="thin">
        <x:color rgb="FFFFFFFF"/>
      </x:top>
      <x:bottom style="thin">
        <x:color rgb="FFFFFFFF"/>
      </x:bottom>
    </x:border>
    <x:border>
      <x:top style="thin">
        <x:color rgb="FFFFFFFF"/>
      </x:top>
    </x:border>
    <x:border>
      <x:right style="thin">
        <x:color rgb="FFFFFFFF"/>
      </x:right>
      <x:top style="thin">
        <x:color rgb="FFFFFFFF"/>
      </x:top>
    </x:border>
    <x:border>
      <x:left style="thin">
        <x:color rgb="FF52657A"/>
      </x:left>
      <x:right style="thin">
        <x:color rgb="FF52657A"/>
      </x:right>
      <x:top style="thin">
        <x:color rgb="FF52657A"/>
      </x:top>
      <x:bottom style="thin">
        <x:color rgb="FF52657A"/>
      </x:bottom>
    </x:border>
    <x:border>
      <x:left style="thin">
        <x:color rgb="FF52657A"/>
      </x:left>
      <x:right style="thin">
        <x:color rgb="FF52657A"/>
      </x:right>
      <x:top style="thin">
        <x:color rgb="FFD0D5DD"/>
      </x:top>
      <x:bottom style="thin">
        <x:color rgb="FFD0D5DD"/>
      </x:bottom>
    </x:border>
    <x:border>
      <x:right style="thin">
        <x:color rgb="FF52657A"/>
      </x:right>
      <x:top style="thin">
        <x:color rgb="FFD0D5DD"/>
      </x:top>
    </x:border>
    <x:border>
      <x:right style="thin">
        <x:color rgb="FF52657A"/>
      </x:right>
      <x:top style="thin">
        <x:color rgb="FFD0D5DD"/>
      </x:top>
      <x:bottom style="thin">
        <x:color rgb="FFD0D5DD"/>
      </x:bottom>
    </x:border>
  </x:borders>
  <x:cellStyleXfs count="1">
    <x:xf numFmtId="0" fontId="0" fillId="0" borderId="0"/>
  </x:cellStyleXfs>
  <x:cellXfs count="731">
    <x:xf numFmtId="0" fontId="0" fillId="0" borderId="0" xfId="0"/>
    <x:xf numFmtId="0" fontId="0" fillId="2" borderId="0" xfId="0"/>
    <x:xf numFmtId="0" fontId="1" fillId="2" borderId="0" xfId="0"/>
    <x:xf numFmtId="0" fontId="1" fillId="2" borderId="0" xfId="0" applyAlignment="1">
      <x:alignment horizontal="left"/>
    </x:xf>
    <x:xf numFmtId="0" fontId="1" fillId="2" borderId="0" xfId="0" applyAlignment="1">
      <x:alignment horizontal="left" vertical="center"/>
    </x:xf>
    <x:xf numFmtId="0" fontId="0" fillId="3" borderId="0" xfId="0"/>
    <x:xf numFmtId="0" fontId="2" fillId="3" borderId="0" xfId="0"/>
    <x:xf numFmtId="0" fontId="2" fillId="3" borderId="0" xfId="0" applyAlignment="1">
      <x:alignment wrapText="1"/>
    </x:xf>
    <x:xf numFmtId="0" fontId="2" fillId="3" borderId="0" xfId="0" applyAlignment="1">
      <x:alignment vertical="center" wrapText="1"/>
    </x:xf>
    <x:xf numFmtId="164" fontId="0" fillId="0" borderId="0" xfId="0"/>
    <x:xf numFmtId="0" fontId="0" fillId="4" borderId="0" xfId="0"/>
    <x:xf numFmtId="164" fontId="0" fillId="4" borderId="0" xfId="0"/>
    <x:xf numFmtId="0" fontId="3" fillId="4" borderId="0" xfId="0"/>
    <x:xf numFmtId="164" fontId="3" fillId="4" borderId="0" xfId="0"/>
    <x:xf numFmtId="0" fontId="3" fillId="4" borderId="1" xfId="0"/>
    <x:xf numFmtId="164" fontId="3" fillId="4" borderId="2" xfId="0"/>
    <x:xf numFmtId="0" fontId="0" fillId="5" borderId="0" xfId="0"/>
    <x:xf numFmtId="0" fontId="4" fillId="5" borderId="0" xfId="0"/>
    <x:xf numFmtId="0" fontId="4" fillId="5" borderId="0" xfId="0" applyAlignment="1">
      <x:alignment vertical="center"/>
    </x:xf>
    <x:xf numFmtId="0" fontId="5" fillId="2" borderId="0" xfId="0"/>
    <x:xf numFmtId="0" fontId="5" fillId="2" borderId="3" xfId="0"/>
    <x:xf numFmtId="0" fontId="5" fillId="2" borderId="4" xfId="0"/>
    <x:xf numFmtId="0" fontId="5" fillId="2" borderId="5" xfId="0"/>
    <x:xf numFmtId="0" fontId="5" fillId="2" borderId="3" xfId="0" applyAlignment="1">
      <x:alignment wrapText="1"/>
    </x:xf>
    <x:xf numFmtId="0" fontId="5" fillId="2" borderId="4" xfId="0" applyAlignment="1">
      <x:alignment wrapText="1"/>
    </x:xf>
    <x:xf numFmtId="0" fontId="5" fillId="2" borderId="5" xfId="0" applyAlignment="1">
      <x:alignment wrapText="1"/>
    </x:xf>
    <x:xf numFmtId="0" fontId="5" fillId="2" borderId="3" xfId="0" applyAlignment="1">
      <x:alignment horizontal="left" wrapText="1"/>
    </x:xf>
    <x:xf numFmtId="0" fontId="5" fillId="2" borderId="4" xfId="0" applyAlignment="1">
      <x:alignment horizontal="left" wrapText="1"/>
    </x:xf>
    <x:xf numFmtId="0" fontId="5" fillId="2" borderId="5" xfId="0" applyAlignment="1">
      <x:alignment horizontal="left" wrapText="1"/>
    </x:xf>
    <x:xf numFmtId="0" fontId="5" fillId="2" borderId="3" xfId="0" applyAlignment="1">
      <x:alignment horizontal="left" vertical="center" wrapText="1"/>
    </x:xf>
    <x:xf numFmtId="0" fontId="5" fillId="2" borderId="4" xfId="0" applyAlignment="1">
      <x:alignment horizontal="left" vertical="center" wrapText="1"/>
    </x:xf>
    <x:xf numFmtId="0" fontId="5" fillId="2" borderId="5" xfId="0" applyAlignment="1">
      <x:alignment horizontal="left" vertical="center" wrapText="1"/>
    </x:xf>
    <x:xf numFmtId="0" fontId="5" fillId="2" borderId="6" xfId="0" applyAlignment="1">
      <x:alignment horizontal="left" vertical="center" wrapText="1"/>
    </x:xf>
    <x:xf numFmtId="0" fontId="5" fillId="2" borderId="7" xfId="0" applyAlignment="1">
      <x:alignment horizontal="left" vertical="center" wrapText="1"/>
    </x:xf>
    <x:xf numFmtId="0" fontId="5" fillId="2" borderId="8" xfId="0" applyAlignment="1">
      <x:alignment horizontal="left" vertical="center" wrapText="1"/>
    </x:xf>
    <x:xf numFmtId="0" fontId="0" fillId="0" borderId="9" xfId="0"/>
    <x:xf numFmtId="0" fontId="0" fillId="0" borderId="0" xfId="0"/>
    <x:xf numFmtId="0" fontId="0" fillId="0" borderId="10" xfId="0"/>
    <x:xf numFmtId="0" fontId="0" fillId="0" borderId="11" xfId="0"/>
    <x:xf numFmtId="0" fontId="0" fillId="0" borderId="12" xfId="0"/>
    <x:xf numFmtId="0" fontId="0" fillId="0" borderId="13" xfId="0"/>
    <x:xf numFmtId="0" fontId="0" fillId="0" borderId="9" xfId="0" applyAlignment="1">
      <x:alignment wrapText="1"/>
    </x:xf>
    <x:xf numFmtId="0" fontId="0" fillId="0" borderId="0" xfId="0" applyAlignment="1">
      <x:alignment wrapText="1"/>
    </x:xf>
    <x:xf numFmtId="0" fontId="0" fillId="0" borderId="10" xfId="0" applyAlignment="1">
      <x:alignment wrapText="1"/>
    </x:xf>
    <x:xf numFmtId="0" fontId="0" fillId="0" borderId="11" xfId="0" applyAlignment="1">
      <x:alignment wrapText="1"/>
    </x:xf>
    <x:xf numFmtId="0" fontId="0" fillId="0" borderId="12" xfId="0" applyAlignment="1">
      <x:alignment wrapText="1"/>
    </x:xf>
    <x:xf numFmtId="0" fontId="0" fillId="0" borderId="13" xfId="0" applyAlignment="1">
      <x:alignment wrapText="1"/>
    </x:xf>
    <x:xf numFmtId="0" fontId="5" fillId="2" borderId="6" xfId="0" applyAlignment="1">
      <x:alignment horizontal="left" vertical="top" wrapText="1"/>
    </x:xf>
    <x:xf numFmtId="0" fontId="5" fillId="2" borderId="7" xfId="0" applyAlignment="1">
      <x:alignment horizontal="left" vertical="top" wrapText="1"/>
    </x:xf>
    <x:xf numFmtId="0" fontId="5" fillId="2" borderId="8" xfId="0" applyAlignment="1">
      <x:alignment horizontal="left" vertical="top" wrapText="1"/>
    </x:xf>
    <x:xf numFmtId="0" fontId="0" fillId="0" borderId="9" xfId="0" applyAlignment="1">
      <x:alignment vertical="top" wrapText="1"/>
    </x:xf>
    <x:xf numFmtId="0" fontId="0" fillId="0" borderId="0" xfId="0" applyAlignment="1">
      <x:alignment vertical="top" wrapText="1"/>
    </x:xf>
    <x:xf numFmtId="0" fontId="0" fillId="0" borderId="10" xfId="0" applyAlignment="1">
      <x:alignment vertical="top" wrapText="1"/>
    </x:xf>
    <x:xf numFmtId="0" fontId="0" fillId="0" borderId="11" xfId="0" applyAlignment="1">
      <x:alignment vertical="top" wrapText="1"/>
    </x:xf>
    <x:xf numFmtId="0" fontId="0" fillId="0" borderId="12" xfId="0" applyAlignment="1">
      <x:alignment vertical="top" wrapText="1"/>
    </x:xf>
    <x:xf numFmtId="0" fontId="0" fillId="0" borderId="13" xfId="0" applyAlignment="1">
      <x:alignment vertical="top" wrapText="1"/>
    </x:xf>
    <x:xf numFmtId="0" fontId="0" fillId="0" borderId="14" xfId="0"/>
    <x:xf numFmtId="0" fontId="0" fillId="0" borderId="15" xfId="0"/>
    <x:xf numFmtId="0" fontId="0" fillId="0" borderId="14" xfId="0" applyAlignment="1">
      <x:alignment wrapText="1"/>
    </x:xf>
    <x:xf numFmtId="0" fontId="0" fillId="0" borderId="15" xfId="0" applyAlignment="1">
      <x:alignment wrapText="1"/>
    </x:xf>
    <x:xf numFmtId="0" fontId="0" fillId="0" borderId="14" xfId="0" applyAlignment="1">
      <x:alignment vertical="top" wrapText="1"/>
    </x:xf>
    <x:xf numFmtId="0" fontId="0" fillId="0" borderId="15" xfId="0" applyAlignment="1">
      <x:alignment vertical="top" wrapText="1"/>
    </x:xf>
    <x:xf numFmtId="0" fontId="0" fillId="6" borderId="0" xfId="0"/>
    <x:xf numFmtId="0" fontId="5" fillId="6" borderId="0" xfId="0"/>
    <x:xf numFmtId="0" fontId="5" fillId="6" borderId="16" xfId="0"/>
    <x:xf numFmtId="0" fontId="5" fillId="6" borderId="17" xfId="0"/>
    <x:xf numFmtId="0" fontId="5" fillId="6" borderId="18" xfId="0"/>
    <x:xf numFmtId="0" fontId="5" fillId="6" borderId="16" xfId="0" applyAlignment="1">
      <x:alignment horizontal="center"/>
    </x:xf>
    <x:xf numFmtId="0" fontId="5" fillId="6" borderId="17" xfId="0" applyAlignment="1">
      <x:alignment horizontal="center"/>
    </x:xf>
    <x:xf numFmtId="0" fontId="5" fillId="6" borderId="18" xfId="0" applyAlignment="1">
      <x:alignment horizontal="center"/>
    </x:xf>
    <x:xf numFmtId="0" fontId="5" fillId="6" borderId="16" xfId="0" applyAlignment="1">
      <x:alignment horizontal="center" vertical="center"/>
    </x:xf>
    <x:xf numFmtId="0" fontId="5" fillId="6" borderId="17" xfId="0" applyAlignment="1">
      <x:alignment horizontal="center" vertical="center"/>
    </x:xf>
    <x:xf numFmtId="0" fontId="5" fillId="6" borderId="18" xfId="0" applyAlignment="1">
      <x:alignment horizontal="center" vertical="center"/>
    </x:xf>
    <x:xf numFmtId="0" fontId="0" fillId="7" borderId="0" xfId="0"/>
    <x:xf numFmtId="0" fontId="5" fillId="7" borderId="0" xfId="0"/>
    <x:xf numFmtId="0" fontId="5" fillId="7" borderId="16" xfId="0"/>
    <x:xf numFmtId="0" fontId="5" fillId="7" borderId="17" xfId="0"/>
    <x:xf numFmtId="0" fontId="5" fillId="7" borderId="18" xfId="0"/>
    <x:xf numFmtId="0" fontId="5" fillId="7" borderId="16" xfId="0" applyAlignment="1">
      <x:alignment horizontal="center"/>
    </x:xf>
    <x:xf numFmtId="0" fontId="5" fillId="7" borderId="17" xfId="0" applyAlignment="1">
      <x:alignment horizontal="center"/>
    </x:xf>
    <x:xf numFmtId="0" fontId="5" fillId="7" borderId="18" xfId="0" applyAlignment="1">
      <x:alignment horizontal="center"/>
    </x:xf>
    <x:xf numFmtId="0" fontId="5" fillId="7" borderId="16" xfId="0" applyAlignment="1">
      <x:alignment horizontal="center" vertical="center"/>
    </x:xf>
    <x:xf numFmtId="0" fontId="5" fillId="7" borderId="17" xfId="0" applyAlignment="1">
      <x:alignment horizontal="center" vertical="center"/>
    </x:xf>
    <x:xf numFmtId="0" fontId="5" fillId="7" borderId="18" xfId="0" applyAlignment="1">
      <x:alignment horizontal="center" vertical="center"/>
    </x:xf>
    <x:xf numFmtId="0" fontId="0" fillId="8" borderId="0" xfId="0"/>
    <x:xf numFmtId="0" fontId="5" fillId="8" borderId="0" xfId="0"/>
    <x:xf numFmtId="0" fontId="5" fillId="8" borderId="16" xfId="0"/>
    <x:xf numFmtId="0" fontId="5" fillId="8" borderId="17" xfId="0"/>
    <x:xf numFmtId="0" fontId="5" fillId="8" borderId="18" xfId="0"/>
    <x:xf numFmtId="0" fontId="5" fillId="8" borderId="16" xfId="0" applyAlignment="1">
      <x:alignment horizontal="center"/>
    </x:xf>
    <x:xf numFmtId="0" fontId="5" fillId="8" borderId="17" xfId="0" applyAlignment="1">
      <x:alignment horizontal="center"/>
    </x:xf>
    <x:xf numFmtId="0" fontId="5" fillId="8" borderId="18" xfId="0" applyAlignment="1">
      <x:alignment horizontal="center"/>
    </x:xf>
    <x:xf numFmtId="0" fontId="5" fillId="8" borderId="16" xfId="0" applyAlignment="1">
      <x:alignment horizontal="center" vertical="center"/>
    </x:xf>
    <x:xf numFmtId="0" fontId="5" fillId="8" borderId="17" xfId="0" applyAlignment="1">
      <x:alignment horizontal="center" vertical="center"/>
    </x:xf>
    <x:xf numFmtId="0" fontId="5" fillId="8" borderId="18" xfId="0" applyAlignment="1">
      <x:alignment horizontal="center" vertical="center"/>
    </x:xf>
    <x:xf numFmtId="0" fontId="0" fillId="9" borderId="0" xfId="0"/>
    <x:xf numFmtId="0" fontId="5" fillId="9" borderId="0" xfId="0"/>
    <x:xf numFmtId="0" fontId="5" fillId="9" borderId="16" xfId="0"/>
    <x:xf numFmtId="0" fontId="5" fillId="9" borderId="17" xfId="0"/>
    <x:xf numFmtId="0" fontId="5" fillId="9" borderId="18" xfId="0"/>
    <x:xf numFmtId="0" fontId="5" fillId="9" borderId="16" xfId="0" applyAlignment="1">
      <x:alignment horizontal="center"/>
    </x:xf>
    <x:xf numFmtId="0" fontId="5" fillId="9" borderId="17" xfId="0" applyAlignment="1">
      <x:alignment horizontal="center"/>
    </x:xf>
    <x:xf numFmtId="0" fontId="5" fillId="9" borderId="18" xfId="0" applyAlignment="1">
      <x:alignment horizontal="center"/>
    </x:xf>
    <x:xf numFmtId="0" fontId="5" fillId="9" borderId="16" xfId="0" applyAlignment="1">
      <x:alignment horizontal="center" vertical="center"/>
    </x:xf>
    <x:xf numFmtId="0" fontId="5" fillId="9" borderId="17" xfId="0" applyAlignment="1">
      <x:alignment horizontal="center" vertical="center"/>
    </x:xf>
    <x:xf numFmtId="0" fontId="5" fillId="9" borderId="18" xfId="0" applyAlignment="1">
      <x:alignment horizontal="center" vertical="center"/>
    </x:xf>
    <x:xf numFmtId="0" fontId="0" fillId="10" borderId="0" xfId="0"/>
    <x:xf numFmtId="0" fontId="5" fillId="10" borderId="0" xfId="0"/>
    <x:xf numFmtId="0" fontId="5" fillId="10" borderId="16" xfId="0"/>
    <x:xf numFmtId="0" fontId="5" fillId="10" borderId="17" xfId="0"/>
    <x:xf numFmtId="0" fontId="5" fillId="10" borderId="18" xfId="0"/>
    <x:xf numFmtId="0" fontId="5" fillId="10" borderId="16" xfId="0" applyAlignment="1">
      <x:alignment horizontal="center"/>
    </x:xf>
    <x:xf numFmtId="0" fontId="5" fillId="10" borderId="17" xfId="0" applyAlignment="1">
      <x:alignment horizontal="center"/>
    </x:xf>
    <x:xf numFmtId="0" fontId="5" fillId="10" borderId="18" xfId="0" applyAlignment="1">
      <x:alignment horizontal="center"/>
    </x:xf>
    <x:xf numFmtId="0" fontId="5" fillId="10" borderId="16" xfId="0" applyAlignment="1">
      <x:alignment horizontal="center" vertical="center"/>
    </x:xf>
    <x:xf numFmtId="0" fontId="5" fillId="10" borderId="17" xfId="0" applyAlignment="1">
      <x:alignment horizontal="center" vertical="center"/>
    </x:xf>
    <x:xf numFmtId="0" fontId="5" fillId="10" borderId="18" xfId="0" applyAlignment="1">
      <x:alignment horizontal="center" vertical="center"/>
    </x:xf>
    <x:xf numFmtId="0" fontId="0" fillId="11" borderId="0" xfId="0"/>
    <x:xf numFmtId="0" fontId="5" fillId="11" borderId="0" xfId="0"/>
    <x:xf numFmtId="0" fontId="5" fillId="11" borderId="16" xfId="0"/>
    <x:xf numFmtId="0" fontId="5" fillId="11" borderId="17" xfId="0"/>
    <x:xf numFmtId="0" fontId="5" fillId="11" borderId="18" xfId="0"/>
    <x:xf numFmtId="0" fontId="5" fillId="11" borderId="16" xfId="0" applyAlignment="1">
      <x:alignment horizontal="center"/>
    </x:xf>
    <x:xf numFmtId="0" fontId="5" fillId="11" borderId="17" xfId="0" applyAlignment="1">
      <x:alignment horizontal="center"/>
    </x:xf>
    <x:xf numFmtId="0" fontId="5" fillId="11" borderId="18" xfId="0" applyAlignment="1">
      <x:alignment horizontal="center"/>
    </x:xf>
    <x:xf numFmtId="0" fontId="5" fillId="11" borderId="16" xfId="0" applyAlignment="1">
      <x:alignment horizontal="center" vertical="center"/>
    </x:xf>
    <x:xf numFmtId="0" fontId="5" fillId="11" borderId="17" xfId="0" applyAlignment="1">
      <x:alignment horizontal="center" vertical="center"/>
    </x:xf>
    <x:xf numFmtId="0" fontId="5" fillId="11" borderId="18" xfId="0" applyAlignment="1">
      <x:alignment horizontal="center" vertical="center"/>
    </x:xf>
    <x:xf numFmtId="165" fontId="0" fillId="0" borderId="0" xfId="0"/>
    <x:xf numFmtId="0" fontId="6" fillId="0" borderId="0" xfId="0"/>
    <x:xf numFmtId="0" fontId="7" fillId="2" borderId="0" xfId="0"/>
    <x:xf numFmtId="0" fontId="7" fillId="2" borderId="0" xfId="0" applyAlignment="1">
      <x:alignment horizontal="left"/>
    </x:xf>
    <x:xf numFmtId="0" fontId="7" fillId="2" borderId="0" xfId="0" applyAlignment="1">
      <x:alignment horizontal="left" vertical="center"/>
    </x:xf>
    <x:xf numFmtId="0" fontId="0" fillId="12" borderId="0" xfId="0"/>
    <x:xf numFmtId="0" fontId="8" fillId="3" borderId="0" xfId="0"/>
    <x:xf numFmtId="0" fontId="8" fillId="3" borderId="19" xfId="0"/>
    <x:xf numFmtId="0" fontId="8" fillId="3" borderId="20" xfId="0"/>
    <x:xf numFmtId="0" fontId="8" fillId="3" borderId="21" xfId="0"/>
    <x:xf numFmtId="0" fontId="8" fillId="3" borderId="19" xfId="0" applyAlignment="1">
      <x:alignment horizontal="center"/>
    </x:xf>
    <x:xf numFmtId="0" fontId="8" fillId="3" borderId="20" xfId="0" applyAlignment="1">
      <x:alignment horizontal="center"/>
    </x:xf>
    <x:xf numFmtId="0" fontId="8" fillId="3" borderId="21" xfId="0" applyAlignment="1">
      <x:alignment horizontal="center"/>
    </x:xf>
    <x:xf numFmtId="0" fontId="8" fillId="3" borderId="19" xfId="0" applyAlignment="1">
      <x:alignment horizontal="center" vertical="center"/>
    </x:xf>
    <x:xf numFmtId="0" fontId="8" fillId="3" borderId="20" xfId="0" applyAlignment="1">
      <x:alignment horizontal="center" vertical="center"/>
    </x:xf>
    <x:xf numFmtId="0" fontId="8" fillId="3" borderId="21" xfId="0" applyAlignment="1">
      <x:alignment horizontal="center" vertical="center"/>
    </x:xf>
    <x:xf numFmtId="0" fontId="0" fillId="13" borderId="0" xfId="0"/>
    <x:xf numFmtId="0" fontId="9" fillId="13" borderId="0" xfId="0"/>
    <x:xf numFmtId="0" fontId="9" fillId="13" borderId="14" xfId="0"/>
    <x:xf numFmtId="0" fontId="9" fillId="13" borderId="22" xfId="0"/>
    <x:xf numFmtId="0" fontId="9" fillId="13" borderId="15" xfId="0"/>
    <x:xf numFmtId="0" fontId="9" fillId="13" borderId="11" xfId="0"/>
    <x:xf numFmtId="0" fontId="9" fillId="13" borderId="12" xfId="0"/>
    <x:xf numFmtId="0" fontId="9" fillId="13" borderId="13" xfId="0"/>
    <x:xf numFmtId="1" fontId="9" fillId="13" borderId="14" xfId="0"/>
    <x:xf numFmtId="1" fontId="9" fillId="13" borderId="22" xfId="0"/>
    <x:xf numFmtId="1" fontId="9" fillId="13" borderId="15" xfId="0"/>
    <x:xf numFmtId="1" fontId="9" fillId="13" borderId="11" xfId="0"/>
    <x:xf numFmtId="1" fontId="9" fillId="13" borderId="12" xfId="0"/>
    <x:xf numFmtId="1" fontId="9" fillId="13" borderId="13" xfId="0"/>
    <x:xf numFmtId="1" fontId="9" fillId="13" borderId="14" xfId="0" applyAlignment="1">
      <x:alignment horizontal="center"/>
    </x:xf>
    <x:xf numFmtId="1" fontId="9" fillId="13" borderId="22" xfId="0" applyAlignment="1">
      <x:alignment horizontal="center"/>
    </x:xf>
    <x:xf numFmtId="1" fontId="9" fillId="13" borderId="15" xfId="0" applyAlignment="1">
      <x:alignment horizontal="center"/>
    </x:xf>
    <x:xf numFmtId="1" fontId="9" fillId="13" borderId="11" xfId="0" applyAlignment="1">
      <x:alignment horizontal="center"/>
    </x:xf>
    <x:xf numFmtId="1" fontId="9" fillId="13" borderId="12" xfId="0" applyAlignment="1">
      <x:alignment horizontal="center"/>
    </x:xf>
    <x:xf numFmtId="1" fontId="9" fillId="13" borderId="13" xfId="0" applyAlignment="1">
      <x:alignment horizontal="center"/>
    </x:xf>
    <x:xf numFmtId="1" fontId="9" fillId="13" borderId="14" xfId="0" applyAlignment="1">
      <x:alignment horizontal="center" vertical="center"/>
    </x:xf>
    <x:xf numFmtId="1" fontId="9" fillId="13" borderId="22" xfId="0" applyAlignment="1">
      <x:alignment horizontal="center" vertical="center"/>
    </x:xf>
    <x:xf numFmtId="1" fontId="9" fillId="13" borderId="15" xfId="0" applyAlignment="1">
      <x:alignment horizontal="center" vertical="center"/>
    </x:xf>
    <x:xf numFmtId="1" fontId="9" fillId="13" borderId="11" xfId="0" applyAlignment="1">
      <x:alignment horizontal="center" vertical="center"/>
    </x:xf>
    <x:xf numFmtId="1" fontId="9" fillId="13" borderId="12" xfId="0" applyAlignment="1">
      <x:alignment horizontal="center" vertical="center"/>
    </x:xf>
    <x:xf numFmtId="1" fontId="9" fillId="13" borderId="13" xfId="0" applyAlignment="1">
      <x:alignment horizontal="center" vertical="center"/>
    </x:xf>
    <x:xf numFmtId="0" fontId="0" fillId="14" borderId="0" xfId="0"/>
    <x:xf numFmtId="0" fontId="8" fillId="14" borderId="0" xfId="0"/>
    <x:xf numFmtId="0" fontId="8" fillId="14" borderId="19" xfId="0"/>
    <x:xf numFmtId="0" fontId="8" fillId="14" borderId="20" xfId="0"/>
    <x:xf numFmtId="0" fontId="8" fillId="14" borderId="21" xfId="0"/>
    <x:xf numFmtId="0" fontId="8" fillId="14" borderId="19" xfId="0" applyAlignment="1">
      <x:alignment horizontal="center"/>
    </x:xf>
    <x:xf numFmtId="0" fontId="8" fillId="14" borderId="20" xfId="0" applyAlignment="1">
      <x:alignment horizontal="center"/>
    </x:xf>
    <x:xf numFmtId="0" fontId="8" fillId="14" borderId="21" xfId="0" applyAlignment="1">
      <x:alignment horizontal="center"/>
    </x:xf>
    <x:xf numFmtId="0" fontId="8" fillId="14" borderId="19" xfId="0" applyAlignment="1">
      <x:alignment horizontal="center" vertical="center"/>
    </x:xf>
    <x:xf numFmtId="0" fontId="8" fillId="14" borderId="20" xfId="0" applyAlignment="1">
      <x:alignment horizontal="center" vertical="center"/>
    </x:xf>
    <x:xf numFmtId="0" fontId="8" fillId="14" borderId="21" xfId="0" applyAlignment="1">
      <x:alignment horizontal="center" vertical="center"/>
    </x:xf>
    <x:xf numFmtId="0" fontId="10" fillId="13" borderId="0" xfId="0"/>
    <x:xf numFmtId="0" fontId="10" fillId="13" borderId="14" xfId="0"/>
    <x:xf numFmtId="0" fontId="10" fillId="13" borderId="22" xfId="0"/>
    <x:xf numFmtId="0" fontId="10" fillId="13" borderId="15" xfId="0"/>
    <x:xf numFmtId="0" fontId="10" fillId="13" borderId="11" xfId="0"/>
    <x:xf numFmtId="0" fontId="10" fillId="13" borderId="12" xfId="0"/>
    <x:xf numFmtId="0" fontId="10" fillId="13" borderId="13" xfId="0"/>
    <x:xf numFmtId="1" fontId="10" fillId="13" borderId="14" xfId="0"/>
    <x:xf numFmtId="1" fontId="10" fillId="13" borderId="22" xfId="0"/>
    <x:xf numFmtId="1" fontId="10" fillId="13" borderId="15" xfId="0"/>
    <x:xf numFmtId="1" fontId="10" fillId="13" borderId="11" xfId="0"/>
    <x:xf numFmtId="1" fontId="10" fillId="13" borderId="12" xfId="0"/>
    <x:xf numFmtId="1" fontId="10" fillId="13" borderId="13" xfId="0"/>
    <x:xf numFmtId="1" fontId="10" fillId="13" borderId="14" xfId="0" applyAlignment="1">
      <x:alignment horizontal="center"/>
    </x:xf>
    <x:xf numFmtId="1" fontId="10" fillId="13" borderId="22" xfId="0" applyAlignment="1">
      <x:alignment horizontal="center"/>
    </x:xf>
    <x:xf numFmtId="1" fontId="10" fillId="13" borderId="15" xfId="0" applyAlignment="1">
      <x:alignment horizontal="center"/>
    </x:xf>
    <x:xf numFmtId="1" fontId="10" fillId="13" borderId="11" xfId="0" applyAlignment="1">
      <x:alignment horizontal="center"/>
    </x:xf>
    <x:xf numFmtId="1" fontId="10" fillId="13" borderId="12" xfId="0" applyAlignment="1">
      <x:alignment horizontal="center"/>
    </x:xf>
    <x:xf numFmtId="1" fontId="10" fillId="13" borderId="13" xfId="0" applyAlignment="1">
      <x:alignment horizontal="center"/>
    </x:xf>
    <x:xf numFmtId="1" fontId="10" fillId="13" borderId="14" xfId="0" applyAlignment="1">
      <x:alignment horizontal="center" vertical="center"/>
    </x:xf>
    <x:xf numFmtId="1" fontId="10" fillId="13" borderId="22" xfId="0" applyAlignment="1">
      <x:alignment horizontal="center" vertical="center"/>
    </x:xf>
    <x:xf numFmtId="1" fontId="10" fillId="13" borderId="15" xfId="0" applyAlignment="1">
      <x:alignment horizontal="center" vertical="center"/>
    </x:xf>
    <x:xf numFmtId="1" fontId="10" fillId="13" borderId="11" xfId="0" applyAlignment="1">
      <x:alignment horizontal="center" vertical="center"/>
    </x:xf>
    <x:xf numFmtId="1" fontId="10" fillId="13" borderId="12" xfId="0" applyAlignment="1">
      <x:alignment horizontal="center" vertical="center"/>
    </x:xf>
    <x:xf numFmtId="1" fontId="10" fillId="13" borderId="13" xfId="0" applyAlignment="1">
      <x:alignment horizontal="center" vertical="center"/>
    </x:xf>
    <x:xf numFmtId="0" fontId="0" fillId="15" borderId="0" xfId="0"/>
    <x:xf numFmtId="0" fontId="8" fillId="15" borderId="0" xfId="0"/>
    <x:xf numFmtId="0" fontId="8" fillId="15" borderId="19" xfId="0"/>
    <x:xf numFmtId="0" fontId="8" fillId="15" borderId="20" xfId="0"/>
    <x:xf numFmtId="0" fontId="8" fillId="15" borderId="21" xfId="0"/>
    <x:xf numFmtId="0" fontId="8" fillId="15" borderId="19" xfId="0" applyAlignment="1">
      <x:alignment horizontal="center"/>
    </x:xf>
    <x:xf numFmtId="0" fontId="8" fillId="15" borderId="20" xfId="0" applyAlignment="1">
      <x:alignment horizontal="center"/>
    </x:xf>
    <x:xf numFmtId="0" fontId="8" fillId="15" borderId="21" xfId="0" applyAlignment="1">
      <x:alignment horizontal="center"/>
    </x:xf>
    <x:xf numFmtId="0" fontId="8" fillId="15" borderId="19" xfId="0" applyAlignment="1">
      <x:alignment horizontal="center" vertical="center"/>
    </x:xf>
    <x:xf numFmtId="0" fontId="8" fillId="15" borderId="20" xfId="0" applyAlignment="1">
      <x:alignment horizontal="center" vertical="center"/>
    </x:xf>
    <x:xf numFmtId="0" fontId="8" fillId="15" borderId="21" xfId="0" applyAlignment="1">
      <x:alignment horizontal="center" vertical="center"/>
    </x:xf>
    <x:xf numFmtId="0" fontId="11" fillId="13" borderId="0" xfId="0"/>
    <x:xf numFmtId="0" fontId="11" fillId="13" borderId="14" xfId="0"/>
    <x:xf numFmtId="0" fontId="11" fillId="13" borderId="22" xfId="0"/>
    <x:xf numFmtId="0" fontId="11" fillId="13" borderId="15" xfId="0"/>
    <x:xf numFmtId="0" fontId="11" fillId="13" borderId="11" xfId="0"/>
    <x:xf numFmtId="0" fontId="11" fillId="13" borderId="12" xfId="0"/>
    <x:xf numFmtId="0" fontId="11" fillId="13" borderId="13" xfId="0"/>
    <x:xf numFmtId="1" fontId="11" fillId="13" borderId="14" xfId="0"/>
    <x:xf numFmtId="1" fontId="11" fillId="13" borderId="22" xfId="0"/>
    <x:xf numFmtId="1" fontId="11" fillId="13" borderId="15" xfId="0"/>
    <x:xf numFmtId="1" fontId="11" fillId="13" borderId="11" xfId="0"/>
    <x:xf numFmtId="1" fontId="11" fillId="13" borderId="12" xfId="0"/>
    <x:xf numFmtId="1" fontId="11" fillId="13" borderId="13" xfId="0"/>
    <x:xf numFmtId="1" fontId="11" fillId="13" borderId="14" xfId="0" applyAlignment="1">
      <x:alignment horizontal="center"/>
    </x:xf>
    <x:xf numFmtId="1" fontId="11" fillId="13" borderId="22" xfId="0" applyAlignment="1">
      <x:alignment horizontal="center"/>
    </x:xf>
    <x:xf numFmtId="1" fontId="11" fillId="13" borderId="15" xfId="0" applyAlignment="1">
      <x:alignment horizontal="center"/>
    </x:xf>
    <x:xf numFmtId="1" fontId="11" fillId="13" borderId="11" xfId="0" applyAlignment="1">
      <x:alignment horizontal="center"/>
    </x:xf>
    <x:xf numFmtId="1" fontId="11" fillId="13" borderId="12" xfId="0" applyAlignment="1">
      <x:alignment horizontal="center"/>
    </x:xf>
    <x:xf numFmtId="1" fontId="11" fillId="13" borderId="13" xfId="0" applyAlignment="1">
      <x:alignment horizontal="center"/>
    </x:xf>
    <x:xf numFmtId="1" fontId="11" fillId="13" borderId="14" xfId="0" applyAlignment="1">
      <x:alignment horizontal="center" vertical="center"/>
    </x:xf>
    <x:xf numFmtId="1" fontId="11" fillId="13" borderId="22" xfId="0" applyAlignment="1">
      <x:alignment horizontal="center" vertical="center"/>
    </x:xf>
    <x:xf numFmtId="1" fontId="11" fillId="13" borderId="15" xfId="0" applyAlignment="1">
      <x:alignment horizontal="center" vertical="center"/>
    </x:xf>
    <x:xf numFmtId="1" fontId="11" fillId="13" borderId="11" xfId="0" applyAlignment="1">
      <x:alignment horizontal="center" vertical="center"/>
    </x:xf>
    <x:xf numFmtId="1" fontId="11" fillId="13" borderId="12" xfId="0" applyAlignment="1">
      <x:alignment horizontal="center" vertical="center"/>
    </x:xf>
    <x:xf numFmtId="1" fontId="11" fillId="13" borderId="13" xfId="0" applyAlignment="1">
      <x:alignment horizontal="center" vertical="center"/>
    </x:xf>
    <x:xf numFmtId="0" fontId="0" fillId="16" borderId="0" xfId="0"/>
    <x:xf numFmtId="0" fontId="8" fillId="16" borderId="0" xfId="0"/>
    <x:xf numFmtId="0" fontId="8" fillId="16" borderId="19" xfId="0"/>
    <x:xf numFmtId="0" fontId="8" fillId="16" borderId="20" xfId="0"/>
    <x:xf numFmtId="0" fontId="8" fillId="16" borderId="21" xfId="0"/>
    <x:xf numFmtId="0" fontId="8" fillId="16" borderId="19" xfId="0" applyAlignment="1">
      <x:alignment horizontal="center"/>
    </x:xf>
    <x:xf numFmtId="0" fontId="8" fillId="16" borderId="20" xfId="0" applyAlignment="1">
      <x:alignment horizontal="center"/>
    </x:xf>
    <x:xf numFmtId="0" fontId="8" fillId="16" borderId="21" xfId="0" applyAlignment="1">
      <x:alignment horizontal="center"/>
    </x:xf>
    <x:xf numFmtId="0" fontId="8" fillId="16" borderId="19" xfId="0" applyAlignment="1">
      <x:alignment horizontal="center" vertical="center"/>
    </x:xf>
    <x:xf numFmtId="0" fontId="8" fillId="16" borderId="20" xfId="0" applyAlignment="1">
      <x:alignment horizontal="center" vertical="center"/>
    </x:xf>
    <x:xf numFmtId="0" fontId="8" fillId="16" borderId="21" xfId="0" applyAlignment="1">
      <x:alignment horizontal="center" vertical="center"/>
    </x:xf>
    <x:xf numFmtId="0" fontId="12" fillId="13" borderId="0" xfId="0"/>
    <x:xf numFmtId="0" fontId="12" fillId="13" borderId="14" xfId="0"/>
    <x:xf numFmtId="0" fontId="12" fillId="13" borderId="22" xfId="0"/>
    <x:xf numFmtId="0" fontId="12" fillId="13" borderId="15" xfId="0"/>
    <x:xf numFmtId="0" fontId="12" fillId="13" borderId="11" xfId="0"/>
    <x:xf numFmtId="0" fontId="12" fillId="13" borderId="12" xfId="0"/>
    <x:xf numFmtId="0" fontId="12" fillId="13" borderId="13" xfId="0"/>
    <x:xf numFmtId="1" fontId="12" fillId="13" borderId="14" xfId="0"/>
    <x:xf numFmtId="1" fontId="12" fillId="13" borderId="22" xfId="0"/>
    <x:xf numFmtId="1" fontId="12" fillId="13" borderId="15" xfId="0"/>
    <x:xf numFmtId="1" fontId="12" fillId="13" borderId="11" xfId="0"/>
    <x:xf numFmtId="1" fontId="12" fillId="13" borderId="12" xfId="0"/>
    <x:xf numFmtId="1" fontId="12" fillId="13" borderId="13" xfId="0"/>
    <x:xf numFmtId="1" fontId="12" fillId="13" borderId="14" xfId="0" applyAlignment="1">
      <x:alignment horizontal="center"/>
    </x:xf>
    <x:xf numFmtId="1" fontId="12" fillId="13" borderId="22" xfId="0" applyAlignment="1">
      <x:alignment horizontal="center"/>
    </x:xf>
    <x:xf numFmtId="1" fontId="12" fillId="13" borderId="15" xfId="0" applyAlignment="1">
      <x:alignment horizontal="center"/>
    </x:xf>
    <x:xf numFmtId="1" fontId="12" fillId="13" borderId="11" xfId="0" applyAlignment="1">
      <x:alignment horizontal="center"/>
    </x:xf>
    <x:xf numFmtId="1" fontId="12" fillId="13" borderId="12" xfId="0" applyAlignment="1">
      <x:alignment horizontal="center"/>
    </x:xf>
    <x:xf numFmtId="1" fontId="12" fillId="13" borderId="13" xfId="0" applyAlignment="1">
      <x:alignment horizontal="center"/>
    </x:xf>
    <x:xf numFmtId="1" fontId="12" fillId="13" borderId="14" xfId="0" applyAlignment="1">
      <x:alignment horizontal="center" vertical="center"/>
    </x:xf>
    <x:xf numFmtId="1" fontId="12" fillId="13" borderId="22" xfId="0" applyAlignment="1">
      <x:alignment horizontal="center" vertical="center"/>
    </x:xf>
    <x:xf numFmtId="1" fontId="12" fillId="13" borderId="15" xfId="0" applyAlignment="1">
      <x:alignment horizontal="center" vertical="center"/>
    </x:xf>
    <x:xf numFmtId="1" fontId="12" fillId="13" borderId="11" xfId="0" applyAlignment="1">
      <x:alignment horizontal="center" vertical="center"/>
    </x:xf>
    <x:xf numFmtId="1" fontId="12" fillId="13" borderId="12" xfId="0" applyAlignment="1">
      <x:alignment horizontal="center" vertical="center"/>
    </x:xf>
    <x:xf numFmtId="1" fontId="12" fillId="13" borderId="13" xfId="0" applyAlignment="1">
      <x:alignment horizontal="center" vertical="center"/>
    </x:xf>
    <x:xf numFmtId="0" fontId="13" fillId="13" borderId="0" xfId="0"/>
    <x:xf numFmtId="0" fontId="13" fillId="13" borderId="14" xfId="0"/>
    <x:xf numFmtId="0" fontId="13" fillId="13" borderId="22" xfId="0"/>
    <x:xf numFmtId="0" fontId="13" fillId="13" borderId="15" xfId="0"/>
    <x:xf numFmtId="0" fontId="13" fillId="13" borderId="11" xfId="0"/>
    <x:xf numFmtId="0" fontId="13" fillId="13" borderId="12" xfId="0"/>
    <x:xf numFmtId="0" fontId="13" fillId="13" borderId="13" xfId="0"/>
    <x:xf numFmtId="1" fontId="13" fillId="13" borderId="14" xfId="0"/>
    <x:xf numFmtId="1" fontId="13" fillId="13" borderId="22" xfId="0"/>
    <x:xf numFmtId="1" fontId="13" fillId="13" borderId="15" xfId="0"/>
    <x:xf numFmtId="1" fontId="13" fillId="13" borderId="11" xfId="0"/>
    <x:xf numFmtId="1" fontId="13" fillId="13" borderId="12" xfId="0"/>
    <x:xf numFmtId="1" fontId="13" fillId="13" borderId="13" xfId="0"/>
    <x:xf numFmtId="1" fontId="13" fillId="13" borderId="14" xfId="0" applyAlignment="1">
      <x:alignment horizontal="center"/>
    </x:xf>
    <x:xf numFmtId="1" fontId="13" fillId="13" borderId="22" xfId="0" applyAlignment="1">
      <x:alignment horizontal="center"/>
    </x:xf>
    <x:xf numFmtId="1" fontId="13" fillId="13" borderId="15" xfId="0" applyAlignment="1">
      <x:alignment horizontal="center"/>
    </x:xf>
    <x:xf numFmtId="1" fontId="13" fillId="13" borderId="11" xfId="0" applyAlignment="1">
      <x:alignment horizontal="center"/>
    </x:xf>
    <x:xf numFmtId="1" fontId="13" fillId="13" borderId="12" xfId="0" applyAlignment="1">
      <x:alignment horizontal="center"/>
    </x:xf>
    <x:xf numFmtId="1" fontId="13" fillId="13" borderId="13" xfId="0" applyAlignment="1">
      <x:alignment horizontal="center"/>
    </x:xf>
    <x:xf numFmtId="1" fontId="13" fillId="13" borderId="14" xfId="0" applyAlignment="1">
      <x:alignment horizontal="center" vertical="center"/>
    </x:xf>
    <x:xf numFmtId="1" fontId="13" fillId="13" borderId="22" xfId="0" applyAlignment="1">
      <x:alignment horizontal="center" vertical="center"/>
    </x:xf>
    <x:xf numFmtId="1" fontId="13" fillId="13" borderId="15" xfId="0" applyAlignment="1">
      <x:alignment horizontal="center" vertical="center"/>
    </x:xf>
    <x:xf numFmtId="1" fontId="13" fillId="13" borderId="11" xfId="0" applyAlignment="1">
      <x:alignment horizontal="center" vertical="center"/>
    </x:xf>
    <x:xf numFmtId="1" fontId="13" fillId="13" borderId="12" xfId="0" applyAlignment="1">
      <x:alignment horizontal="center" vertical="center"/>
    </x:xf>
    <x:xf numFmtId="1" fontId="13" fillId="13" borderId="13" xfId="0" applyAlignment="1">
      <x:alignment horizontal="center" vertical="center"/>
    </x:xf>
    <x:xf numFmtId="0" fontId="8" fillId="4" borderId="0" xfId="0"/>
    <x:xf numFmtId="0" fontId="8" fillId="4" borderId="19" xfId="0"/>
    <x:xf numFmtId="0" fontId="8" fillId="4" borderId="20" xfId="0"/>
    <x:xf numFmtId="0" fontId="8" fillId="4" borderId="21" xfId="0"/>
    <x:xf numFmtId="0" fontId="8" fillId="4" borderId="19" xfId="0" applyAlignment="1">
      <x:alignment horizontal="center"/>
    </x:xf>
    <x:xf numFmtId="0" fontId="8" fillId="4" borderId="20" xfId="0" applyAlignment="1">
      <x:alignment horizontal="center"/>
    </x:xf>
    <x:xf numFmtId="0" fontId="8" fillId="4" borderId="21" xfId="0" applyAlignment="1">
      <x:alignment horizontal="center"/>
    </x:xf>
    <x:xf numFmtId="0" fontId="8" fillId="4" borderId="19" xfId="0" applyAlignment="1">
      <x:alignment horizontal="center" vertical="center"/>
    </x:xf>
    <x:xf numFmtId="0" fontId="8" fillId="4" borderId="20" xfId="0" applyAlignment="1">
      <x:alignment horizontal="center" vertical="center"/>
    </x:xf>
    <x:xf numFmtId="0" fontId="8" fillId="4" borderId="21" xfId="0" applyAlignment="1">
      <x:alignment horizontal="center" vertical="center"/>
    </x:xf>
    <x:xf numFmtId="0" fontId="14" fillId="13" borderId="0" xfId="0"/>
    <x:xf numFmtId="0" fontId="14" fillId="13" borderId="14" xfId="0"/>
    <x:xf numFmtId="0" fontId="14" fillId="13" borderId="22" xfId="0"/>
    <x:xf numFmtId="0" fontId="14" fillId="13" borderId="15" xfId="0"/>
    <x:xf numFmtId="0" fontId="14" fillId="13" borderId="11" xfId="0"/>
    <x:xf numFmtId="0" fontId="14" fillId="13" borderId="12" xfId="0"/>
    <x:xf numFmtId="0" fontId="14" fillId="13" borderId="13" xfId="0"/>
    <x:xf numFmtId="1" fontId="14" fillId="13" borderId="14" xfId="0"/>
    <x:xf numFmtId="1" fontId="14" fillId="13" borderId="22" xfId="0"/>
    <x:xf numFmtId="1" fontId="14" fillId="13" borderId="15" xfId="0"/>
    <x:xf numFmtId="1" fontId="14" fillId="13" borderId="11" xfId="0"/>
    <x:xf numFmtId="1" fontId="14" fillId="13" borderId="12" xfId="0"/>
    <x:xf numFmtId="1" fontId="14" fillId="13" borderId="13" xfId="0"/>
    <x:xf numFmtId="1" fontId="14" fillId="13" borderId="14" xfId="0" applyAlignment="1">
      <x:alignment horizontal="center"/>
    </x:xf>
    <x:xf numFmtId="1" fontId="14" fillId="13" borderId="22" xfId="0" applyAlignment="1">
      <x:alignment horizontal="center"/>
    </x:xf>
    <x:xf numFmtId="1" fontId="14" fillId="13" borderId="15" xfId="0" applyAlignment="1">
      <x:alignment horizontal="center"/>
    </x:xf>
    <x:xf numFmtId="1" fontId="14" fillId="13" borderId="11" xfId="0" applyAlignment="1">
      <x:alignment horizontal="center"/>
    </x:xf>
    <x:xf numFmtId="1" fontId="14" fillId="13" borderId="12" xfId="0" applyAlignment="1">
      <x:alignment horizontal="center"/>
    </x:xf>
    <x:xf numFmtId="1" fontId="14" fillId="13" borderId="13" xfId="0" applyAlignment="1">
      <x:alignment horizontal="center"/>
    </x:xf>
    <x:xf numFmtId="1" fontId="14" fillId="13" borderId="14" xfId="0" applyAlignment="1">
      <x:alignment horizontal="center" vertical="center"/>
    </x:xf>
    <x:xf numFmtId="1" fontId="14" fillId="13" borderId="22" xfId="0" applyAlignment="1">
      <x:alignment horizontal="center" vertical="center"/>
    </x:xf>
    <x:xf numFmtId="1" fontId="14" fillId="13" borderId="15" xfId="0" applyAlignment="1">
      <x:alignment horizontal="center" vertical="center"/>
    </x:xf>
    <x:xf numFmtId="1" fontId="14" fillId="13" borderId="11" xfId="0" applyAlignment="1">
      <x:alignment horizontal="center" vertical="center"/>
    </x:xf>
    <x:xf numFmtId="1" fontId="14" fillId="13" borderId="12" xfId="0" applyAlignment="1">
      <x:alignment horizontal="center" vertical="center"/>
    </x:xf>
    <x:xf numFmtId="1" fontId="14" fillId="13" borderId="13" xfId="0" applyAlignment="1">
      <x:alignment horizontal="center" vertical="center"/>
    </x:xf>
    <x:xf numFmtId="0" fontId="5" fillId="13" borderId="3" xfId="0" applyAlignment="1">
      <x:alignment horizontal="left" vertical="center" wrapText="1"/>
    </x:xf>
    <x:xf numFmtId="0" fontId="5" fillId="13" borderId="5" xfId="0" applyAlignment="1">
      <x:alignment horizontal="left" vertical="center" wrapText="1"/>
    </x:xf>
    <x:xf numFmtId="0" fontId="3" fillId="13" borderId="3" xfId="0" applyAlignment="1">
      <x:alignment horizontal="left" vertical="center" wrapText="1"/>
    </x:xf>
    <x:xf numFmtId="0" fontId="3" fillId="13" borderId="5" xfId="0" applyAlignment="1">
      <x:alignment horizontal="left" vertical="center" wrapText="1"/>
    </x:xf>
    <x:xf numFmtId="0" fontId="15" fillId="13" borderId="0" xfId="0"/>
    <x:xf numFmtId="0" fontId="3" fillId="13" borderId="23" xfId="0" applyAlignment="1">
      <x:alignment horizontal="left" vertical="center" wrapText="1"/>
    </x:xf>
    <x:xf numFmtId="0" fontId="15" fillId="13" borderId="23" xfId="0"/>
    <x:xf numFmtId="0" fontId="3" fillId="2" borderId="23" xfId="0" applyAlignment="1">
      <x:alignment horizontal="left" vertical="center" wrapText="1"/>
    </x:xf>
    <x:xf numFmtId="0" fontId="5" fillId="2" borderId="23" xfId="0" applyAlignment="1">
      <x:alignment horizontal="left" vertical="center" wrapText="1"/>
    </x:xf>
    <x:xf numFmtId="0" fontId="5" fillId="2" borderId="24" xfId="0" applyAlignment="1">
      <x:alignment horizontal="left" vertical="center" wrapText="1"/>
    </x:xf>
    <x:xf numFmtId="0" fontId="5" fillId="2" borderId="25" xfId="0" applyAlignment="1">
      <x:alignment horizontal="left" vertical="center" wrapText="1"/>
    </x:xf>
    <x:xf numFmtId="1" fontId="15" fillId="13" borderId="23" xfId="0"/>
    <x:xf numFmtId="0" fontId="16" fillId="2" borderId="0" xfId="0"/>
    <x:xf numFmtId="0" fontId="16" fillId="2" borderId="0" xfId="0" applyAlignment="1">
      <x:alignment horizontal="left"/>
    </x:xf>
    <x:xf numFmtId="0" fontId="16" fillId="2" borderId="0" xfId="0" applyAlignment="1">
      <x:alignment horizontal="left" vertical="center"/>
    </x:xf>
    <x:xf numFmtId="0" fontId="3" fillId="13" borderId="0" xfId="0"/>
    <x:xf numFmtId="0" fontId="3" fillId="13" borderId="14" xfId="0"/>
    <x:xf numFmtId="0" fontId="3" fillId="13" borderId="22" xfId="0"/>
    <x:xf numFmtId="0" fontId="3" fillId="13" borderId="15" xfId="0"/>
    <x:xf numFmtId="0" fontId="3" fillId="13" borderId="11" xfId="0"/>
    <x:xf numFmtId="0" fontId="3" fillId="13" borderId="12" xfId="0"/>
    <x:xf numFmtId="0" fontId="3" fillId="13" borderId="13" xfId="0"/>
    <x:xf numFmtId="0" fontId="3" fillId="13" borderId="14" xfId="0" applyAlignment="1">
      <x:alignment wrapText="1"/>
    </x:xf>
    <x:xf numFmtId="0" fontId="3" fillId="13" borderId="22" xfId="0" applyAlignment="1">
      <x:alignment wrapText="1"/>
    </x:xf>
    <x:xf numFmtId="0" fontId="3" fillId="13" borderId="15" xfId="0" applyAlignment="1">
      <x:alignment wrapText="1"/>
    </x:xf>
    <x:xf numFmtId="0" fontId="3" fillId="13" borderId="11" xfId="0" applyAlignment="1">
      <x:alignment wrapText="1"/>
    </x:xf>
    <x:xf numFmtId="0" fontId="3" fillId="13" borderId="12" xfId="0" applyAlignment="1">
      <x:alignment wrapText="1"/>
    </x:xf>
    <x:xf numFmtId="0" fontId="3" fillId="13" borderId="13" xfId="0" applyAlignment="1">
      <x:alignment wrapText="1"/>
    </x:xf>
    <x:xf numFmtId="0" fontId="3" fillId="13" borderId="14" xfId="0" applyAlignment="1">
      <x:alignment horizontal="left" wrapText="1"/>
    </x:xf>
    <x:xf numFmtId="0" fontId="3" fillId="13" borderId="22" xfId="0" applyAlignment="1">
      <x:alignment horizontal="left" wrapText="1"/>
    </x:xf>
    <x:xf numFmtId="0" fontId="3" fillId="13" borderId="15" xfId="0" applyAlignment="1">
      <x:alignment horizontal="left" wrapText="1"/>
    </x:xf>
    <x:xf numFmtId="0" fontId="3" fillId="13" borderId="11" xfId="0" applyAlignment="1">
      <x:alignment horizontal="left" wrapText="1"/>
    </x:xf>
    <x:xf numFmtId="0" fontId="3" fillId="13" borderId="12" xfId="0" applyAlignment="1">
      <x:alignment horizontal="left" wrapText="1"/>
    </x:xf>
    <x:xf numFmtId="0" fontId="3" fillId="13" borderId="13" xfId="0" applyAlignment="1">
      <x:alignment horizontal="left" wrapText="1"/>
    </x:xf>
    <x:xf numFmtId="0" fontId="3" fillId="13" borderId="14" xfId="0" applyAlignment="1">
      <x:alignment horizontal="left" vertical="center" wrapText="1"/>
    </x:xf>
    <x:xf numFmtId="0" fontId="3" fillId="13" borderId="22" xfId="0" applyAlignment="1">
      <x:alignment horizontal="left" vertical="center" wrapText="1"/>
    </x:xf>
    <x:xf numFmtId="0" fontId="3" fillId="13" borderId="15" xfId="0" applyAlignment="1">
      <x:alignment horizontal="left" vertical="center" wrapText="1"/>
    </x:xf>
    <x:xf numFmtId="0" fontId="3" fillId="13" borderId="11" xfId="0" applyAlignment="1">
      <x:alignment horizontal="left" vertical="center" wrapText="1"/>
    </x:xf>
    <x:xf numFmtId="0" fontId="3" fillId="13" borderId="12" xfId="0" applyAlignment="1">
      <x:alignment horizontal="left" vertical="center" wrapText="1"/>
    </x:xf>
    <x:xf numFmtId="0" fontId="3" fillId="13" borderId="13" xfId="0" applyAlignment="1">
      <x:alignment horizontal="left" vertical="center" wrapText="1"/>
    </x:xf>
    <x:xf numFmtId="0" fontId="3" fillId="5" borderId="0" xfId="0"/>
    <x:xf numFmtId="0" fontId="3" fillId="5" borderId="0" xfId="0" applyAlignment="1">
      <x:alignment horizontal="left"/>
    </x:xf>
    <x:xf numFmtId="0" fontId="3" fillId="5" borderId="0" xfId="0" applyAlignment="1">
      <x:alignment horizontal="left" vertical="center"/>
    </x:xf>
    <x:xf numFmtId="0" fontId="17" fillId="0" borderId="0" xfId="0"/>
    <x:xf numFmtId="0" fontId="18" fillId="13" borderId="0" xfId="0"/>
    <x:xf numFmtId="0" fontId="18" fillId="13" borderId="23" xfId="0"/>
    <x:xf numFmtId="0" fontId="18" fillId="13" borderId="23" xfId="0" applyAlignment="1">
      <x:alignment wrapText="1"/>
    </x:xf>
    <x:xf numFmtId="0" fontId="18" fillId="13" borderId="23" xfId="0" applyAlignment="1">
      <x:alignment vertical="top" wrapText="1"/>
    </x:xf>
    <x:xf numFmtId="164" fontId="18" fillId="13" borderId="23" xfId="0" applyAlignment="1">
      <x:alignment vertical="top" wrapText="1"/>
    </x:xf>
    <x:xf numFmtId="1" fontId="18" fillId="13" borderId="23" xfId="0" applyAlignment="1">
      <x:alignment vertical="top" wrapText="1"/>
    </x:xf>
    <x:xf numFmtId="164" fontId="3" fillId="4" borderId="2" xfId="0"/>
    <x:xf numFmtId="0" fontId="5" fillId="6" borderId="26" xfId="0" applyAlignment="1">
      <x:alignment horizontal="center" vertical="center"/>
    </x:xf>
    <x:xf numFmtId="0" fontId="0" fillId="0" borderId="17" xfId="0"/>
    <x:xf numFmtId="0" fontId="0" fillId="0" borderId="18" xfId="0"/>
    <x:xf numFmtId="0" fontId="5" fillId="7" borderId="26" xfId="0" applyAlignment="1">
      <x:alignment horizontal="center" vertical="center"/>
    </x:xf>
    <x:xf numFmtId="0" fontId="5" fillId="8" borderId="26" xfId="0" applyAlignment="1">
      <x:alignment horizontal="center" vertical="center"/>
    </x:xf>
    <x:xf numFmtId="0" fontId="5" fillId="9" borderId="26" xfId="0" applyAlignment="1">
      <x:alignment horizontal="center" vertical="center"/>
    </x:xf>
    <x:xf numFmtId="0" fontId="5" fillId="10" borderId="26" xfId="0" applyAlignment="1">
      <x:alignment horizontal="center" vertical="center"/>
    </x:xf>
    <x:xf numFmtId="0" fontId="5" fillId="11" borderId="26" xfId="0" applyAlignment="1">
      <x:alignment horizontal="center" vertical="center"/>
    </x:xf>
    <x:xf numFmtId="164" fontId="0" fillId="0" borderId="0" xfId="0"/>
    <x:xf numFmtId="165" fontId="0" fillId="0" borderId="0" xfId="0"/>
    <x:xf numFmtId="0" fontId="8" fillId="3" borderId="23" xfId="0" applyAlignment="1">
      <x:alignment horizontal="center" vertical="center"/>
    </x:xf>
    <x:xf numFmtId="0" fontId="0" fillId="0" borderId="20" xfId="0"/>
    <x:xf numFmtId="0" fontId="0" fillId="0" borderId="21" xfId="0"/>
    <x:xf numFmtId="0" fontId="8" fillId="14" borderId="23" xfId="0" applyAlignment="1">
      <x:alignment horizontal="center" vertical="center"/>
    </x:xf>
    <x:xf numFmtId="0" fontId="8" fillId="15" borderId="23" xfId="0" applyAlignment="1">
      <x:alignment horizontal="center" vertical="center"/>
    </x:xf>
    <x:xf numFmtId="1" fontId="9" fillId="13" borderId="23" xfId="0" applyAlignment="1">
      <x:alignment horizontal="center" vertical="center"/>
    </x:xf>
    <x:xf numFmtId="0" fontId="0" fillId="0" borderId="22" xfId="0"/>
    <x:xf numFmtId="1" fontId="10" fillId="13" borderId="23" xfId="0" applyAlignment="1">
      <x:alignment horizontal="center" vertical="center"/>
    </x:xf>
    <x:xf numFmtId="1" fontId="11" fillId="13" borderId="23" xfId="0" applyAlignment="1">
      <x:alignment horizontal="center" vertical="center"/>
    </x:xf>
    <x:xf numFmtId="0" fontId="8" fillId="16" borderId="23" xfId="0" applyAlignment="1">
      <x:alignment horizontal="center" vertical="center"/>
    </x:xf>
    <x:xf numFmtId="0" fontId="8" fillId="4" borderId="23" xfId="0" applyAlignment="1">
      <x:alignment horizontal="center" vertical="center"/>
    </x:xf>
    <x:xf numFmtId="1" fontId="12" fillId="13" borderId="23" xfId="0" applyAlignment="1">
      <x:alignment horizontal="center" vertical="center"/>
    </x:xf>
    <x:xf numFmtId="1" fontId="13" fillId="13" borderId="23" xfId="0" applyAlignment="1">
      <x:alignment horizontal="center" vertical="center"/>
    </x:xf>
    <x:xf numFmtId="1" fontId="14" fillId="13" borderId="23" xfId="0" applyAlignment="1">
      <x:alignment horizontal="center" vertical="center"/>
    </x:xf>
    <x:xf numFmtId="1" fontId="15" fillId="13" borderId="23" xfId="0"/>
    <x:xf numFmtId="164" fontId="18" fillId="13" borderId="23" xfId="0" applyAlignment="1">
      <x:alignment vertical="top" wrapText="1"/>
    </x:xf>
    <x:xf numFmtId="1" fontId="18" fillId="13" borderId="23" xfId="0" applyAlignment="1">
      <x:alignment vertical="top" wrapText="1"/>
    </x:xf>
    <x:xf numFmtId="0" fontId="0" fillId="17" borderId="0" xfId="0"/>
    <x:xf numFmtId="0" fontId="19" fillId="17" borderId="0" xfId="0"/>
    <x:xf numFmtId="0" fontId="19" fillId="17" borderId="19" xfId="0"/>
    <x:xf numFmtId="0" fontId="19" fillId="17" borderId="20" xfId="0"/>
    <x:xf numFmtId="0" fontId="19" fillId="17" borderId="21" xfId="0"/>
    <x:xf numFmtId="0" fontId="19" fillId="17" borderId="19" xfId="0" applyAlignment="1">
      <x:alignment horizontal="center"/>
    </x:xf>
    <x:xf numFmtId="0" fontId="19" fillId="17" borderId="20" xfId="0" applyAlignment="1">
      <x:alignment horizontal="center"/>
    </x:xf>
    <x:xf numFmtId="0" fontId="19" fillId="17" borderId="21" xfId="0" applyAlignment="1">
      <x:alignment horizontal="center"/>
    </x:xf>
    <x:xf numFmtId="0" fontId="19" fillId="17" borderId="19" xfId="0" applyAlignment="1">
      <x:alignment horizontal="center" vertical="center"/>
    </x:xf>
    <x:xf numFmtId="0" fontId="19" fillId="17" borderId="20" xfId="0" applyAlignment="1">
      <x:alignment horizontal="center" vertical="center"/>
    </x:xf>
    <x:xf numFmtId="0" fontId="19" fillId="17" borderId="21" xfId="0" applyAlignment="1">
      <x:alignment horizontal="center" vertical="center"/>
    </x:xf>
    <x:xf numFmtId="0" fontId="0" fillId="18" borderId="0" xfId="0"/>
    <x:xf numFmtId="0" fontId="19" fillId="18" borderId="0" xfId="0"/>
    <x:xf numFmtId="0" fontId="19" fillId="18" borderId="19" xfId="0"/>
    <x:xf numFmtId="0" fontId="19" fillId="18" borderId="20" xfId="0"/>
    <x:xf numFmtId="0" fontId="19" fillId="18" borderId="21" xfId="0"/>
    <x:xf numFmtId="0" fontId="19" fillId="18" borderId="19" xfId="0" applyAlignment="1">
      <x:alignment horizontal="center"/>
    </x:xf>
    <x:xf numFmtId="0" fontId="19" fillId="18" borderId="20" xfId="0" applyAlignment="1">
      <x:alignment horizontal="center"/>
    </x:xf>
    <x:xf numFmtId="0" fontId="19" fillId="18" borderId="21" xfId="0" applyAlignment="1">
      <x:alignment horizontal="center"/>
    </x:xf>
    <x:xf numFmtId="0" fontId="19" fillId="18" borderId="19" xfId="0" applyAlignment="1">
      <x:alignment horizontal="center" vertical="center"/>
    </x:xf>
    <x:xf numFmtId="0" fontId="19" fillId="18" borderId="20" xfId="0" applyAlignment="1">
      <x:alignment horizontal="center" vertical="center"/>
    </x:xf>
    <x:xf numFmtId="0" fontId="19" fillId="18" borderId="21" xfId="0" applyAlignment="1">
      <x:alignment horizontal="center" vertical="center"/>
    </x:xf>
    <x:xf numFmtId="0" fontId="0" fillId="19" borderId="0" xfId="0"/>
    <x:xf numFmtId="0" fontId="19" fillId="19" borderId="0" xfId="0"/>
    <x:xf numFmtId="0" fontId="19" fillId="19" borderId="19" xfId="0"/>
    <x:xf numFmtId="0" fontId="19" fillId="19" borderId="20" xfId="0"/>
    <x:xf numFmtId="0" fontId="19" fillId="19" borderId="21" xfId="0"/>
    <x:xf numFmtId="0" fontId="19" fillId="19" borderId="19" xfId="0" applyAlignment="1">
      <x:alignment horizontal="center"/>
    </x:xf>
    <x:xf numFmtId="0" fontId="19" fillId="19" borderId="20" xfId="0" applyAlignment="1">
      <x:alignment horizontal="center"/>
    </x:xf>
    <x:xf numFmtId="0" fontId="19" fillId="19" borderId="21" xfId="0" applyAlignment="1">
      <x:alignment horizontal="center"/>
    </x:xf>
    <x:xf numFmtId="0" fontId="19" fillId="19" borderId="19" xfId="0" applyAlignment="1">
      <x:alignment horizontal="center" vertical="center"/>
    </x:xf>
    <x:xf numFmtId="0" fontId="19" fillId="19" borderId="20" xfId="0" applyAlignment="1">
      <x:alignment horizontal="center" vertical="center"/>
    </x:xf>
    <x:xf numFmtId="0" fontId="19" fillId="19" borderId="21" xfId="0" applyAlignment="1">
      <x:alignment horizontal="center" vertical="center"/>
    </x:xf>
    <x:xf numFmtId="0" fontId="0" fillId="20" borderId="0" xfId="0"/>
    <x:xf numFmtId="0" fontId="19" fillId="20" borderId="0" xfId="0"/>
    <x:xf numFmtId="0" fontId="19" fillId="20" borderId="19" xfId="0"/>
    <x:xf numFmtId="0" fontId="19" fillId="20" borderId="20" xfId="0"/>
    <x:xf numFmtId="0" fontId="19" fillId="20" borderId="21" xfId="0"/>
    <x:xf numFmtId="0" fontId="19" fillId="20" borderId="19" xfId="0" applyAlignment="1">
      <x:alignment horizontal="center"/>
    </x:xf>
    <x:xf numFmtId="0" fontId="19" fillId="20" borderId="20" xfId="0" applyAlignment="1">
      <x:alignment horizontal="center"/>
    </x:xf>
    <x:xf numFmtId="0" fontId="19" fillId="20" borderId="21" xfId="0" applyAlignment="1">
      <x:alignment horizontal="center"/>
    </x:xf>
    <x:xf numFmtId="0" fontId="19" fillId="20" borderId="19" xfId="0" applyAlignment="1">
      <x:alignment horizontal="center" vertical="center"/>
    </x:xf>
    <x:xf numFmtId="0" fontId="19" fillId="20" borderId="20" xfId="0" applyAlignment="1">
      <x:alignment horizontal="center" vertical="center"/>
    </x:xf>
    <x:xf numFmtId="0" fontId="19" fillId="20" borderId="21" xfId="0" applyAlignment="1">
      <x:alignment horizontal="center" vertical="center"/>
    </x:xf>
    <x:xf numFmtId="0" fontId="5" fillId="17" borderId="0" xfId="0"/>
    <x:xf numFmtId="0" fontId="5" fillId="17" borderId="29" xfId="0"/>
    <x:xf numFmtId="0" fontId="5" fillId="17" borderId="29" xfId="0" applyAlignment="1">
      <x:alignment wrapText="1"/>
    </x:xf>
    <x:xf numFmtId="0" fontId="5" fillId="17" borderId="29" xfId="0" applyAlignment="1">
      <x:alignment horizontal="left" wrapText="1"/>
    </x:xf>
    <x:xf numFmtId="0" fontId="5" fillId="17" borderId="29" xfId="0" applyAlignment="1">
      <x:alignment horizontal="left" vertical="center" wrapText="1"/>
    </x:xf>
    <x:xf numFmtId="0" fontId="0" fillId="21" borderId="0" xfId="0"/>
    <x:xf numFmtId="0" fontId="18" fillId="21" borderId="0" xfId="0"/>
    <x:xf numFmtId="0" fontId="18" fillId="21" borderId="23" xfId="0"/>
    <x:xf numFmtId="0" fontId="18" fillId="21" borderId="23" xfId="0" applyAlignment="1">
      <x:alignment wrapText="1"/>
    </x:xf>
    <x:xf numFmtId="0" fontId="18" fillId="21" borderId="23" xfId="0" applyAlignment="1">
      <x:alignment vertical="top" wrapText="1"/>
    </x:xf>
    <x:xf numFmtId="165" fontId="18" fillId="21" borderId="23" xfId="0" applyAlignment="1">
      <x:alignment vertical="top" wrapText="1"/>
    </x:xf>
    <x:xf numFmtId="0" fontId="16" fillId="21" borderId="0" xfId="0" applyAlignment="1">
      <x:alignment horizontal="left" vertical="center"/>
    </x:xf>
    <x:xf numFmtId="0" fontId="8" fillId="21" borderId="23" xfId="0" applyAlignment="1">
      <x:alignment horizontal="center" vertical="center"/>
    </x:xf>
    <x:xf numFmtId="0" fontId="0" fillId="21" borderId="20" xfId="0"/>
    <x:xf numFmtId="0" fontId="0" fillId="21" borderId="21" xfId="0"/>
    <x:xf numFmtId="1" fontId="11" fillId="21" borderId="23" xfId="0" applyAlignment="1">
      <x:alignment horizontal="center" vertical="center"/>
    </x:xf>
    <x:xf numFmtId="0" fontId="0" fillId="21" borderId="22" xfId="0"/>
    <x:xf numFmtId="0" fontId="0" fillId="21" borderId="15" xfId="0"/>
    <x:xf numFmtId="1" fontId="14" fillId="21" borderId="23" xfId="0" applyAlignment="1">
      <x:alignment horizontal="center" vertical="center"/>
    </x:xf>
    <x:xf numFmtId="1" fontId="9" fillId="21" borderId="23" xfId="0" applyAlignment="1">
      <x:alignment horizontal="center" vertical="center"/>
    </x:xf>
    <x:xf numFmtId="0" fontId="0" fillId="21" borderId="11" xfId="0"/>
    <x:xf numFmtId="0" fontId="0" fillId="21" borderId="12" xfId="0"/>
    <x:xf numFmtId="0" fontId="0" fillId="21" borderId="13" xfId="0"/>
    <x:xf numFmtId="0" fontId="3" fillId="21" borderId="23" xfId="0" applyAlignment="1">
      <x:alignment horizontal="left" vertical="center" wrapText="1"/>
    </x:xf>
    <x:xf numFmtId="0" fontId="3" fillId="21" borderId="0" xfId="0" applyAlignment="1">
      <x:alignment horizontal="left" vertical="center"/>
    </x:xf>
    <x:xf numFmtId="0" fontId="5" fillId="21" borderId="3" xfId="0" applyAlignment="1">
      <x:alignment horizontal="left" vertical="center" wrapText="1"/>
    </x:xf>
    <x:xf numFmtId="0" fontId="5" fillId="21" borderId="4" xfId="0" applyAlignment="1">
      <x:alignment horizontal="left" vertical="center" wrapText="1"/>
    </x:xf>
    <x:xf numFmtId="0" fontId="5" fillId="21" borderId="5" xfId="0" applyAlignment="1">
      <x:alignment horizontal="left" vertical="center" wrapText="1"/>
    </x:xf>
    <x:xf numFmtId="164" fontId="18" fillId="21" borderId="23" xfId="0" applyAlignment="1">
      <x:alignment vertical="top" wrapText="1"/>
    </x:xf>
    <x:xf numFmtId="1" fontId="18" fillId="21" borderId="23" xfId="0" applyAlignment="1">
      <x:alignment vertical="top" wrapText="1"/>
    </x:xf>
    <x:xf numFmtId="0" fontId="20" fillId="21" borderId="0" xfId="0" applyAlignment="1">
      <x:alignment horizontal="left" vertical="center"/>
    </x:xf>
    <x:xf numFmtId="0" fontId="15" fillId="21" borderId="0" xfId="0"/>
    <x:xf numFmtId="0" fontId="21" fillId="21" borderId="23" xfId="0" applyAlignment="1">
      <x:alignment horizontal="center" vertical="center"/>
    </x:xf>
    <x:xf numFmtId="0" fontId="15" fillId="21" borderId="20" xfId="0"/>
    <x:xf numFmtId="0" fontId="15" fillId="21" borderId="21" xfId="0"/>
    <x:xf numFmtId="0" fontId="15" fillId="21" borderId="22" xfId="0"/>
    <x:xf numFmtId="0" fontId="15" fillId="21" borderId="15" xfId="0"/>
    <x:xf numFmtId="0" fontId="15" fillId="21" borderId="11" xfId="0"/>
    <x:xf numFmtId="0" fontId="15" fillId="21" borderId="12" xfId="0"/>
    <x:xf numFmtId="0" fontId="15" fillId="21" borderId="13" xfId="0"/>
    <x:xf numFmtId="0" fontId="3" fillId="21" borderId="3" xfId="0" applyAlignment="1">
      <x:alignment horizontal="left" vertical="center" wrapText="1"/>
    </x:xf>
    <x:xf numFmtId="0" fontId="3" fillId="21" borderId="4" xfId="0" applyAlignment="1">
      <x:alignment horizontal="left" vertical="center" wrapText="1"/>
    </x:xf>
    <x:xf numFmtId="0" fontId="3" fillId="21" borderId="5" xfId="0" applyAlignment="1">
      <x:alignment horizontal="left" vertical="center" wrapText="1"/>
    </x:xf>
    <x:xf numFmtId="0" fontId="20" fillId="21" borderId="0" xfId="0" applyAlignment="1">
      <x:alignment horizontal="left" vertical="center" wrapText="1"/>
    </x:xf>
    <x:xf numFmtId="0" fontId="15" fillId="21" borderId="0" xfId="0" applyAlignment="1">
      <x:alignment wrapText="1"/>
    </x:xf>
    <x:xf numFmtId="0" fontId="21" fillId="21" borderId="23" xfId="0" applyAlignment="1">
      <x:alignment horizontal="center" vertical="center" wrapText="1"/>
    </x:xf>
    <x:xf numFmtId="0" fontId="15" fillId="21" borderId="20" xfId="0" applyAlignment="1">
      <x:alignment wrapText="1"/>
    </x:xf>
    <x:xf numFmtId="0" fontId="15" fillId="21" borderId="21" xfId="0" applyAlignment="1">
      <x:alignment wrapText="1"/>
    </x:xf>
    <x:xf numFmtId="1" fontId="9" fillId="21" borderId="23" xfId="0" applyAlignment="1">
      <x:alignment horizontal="center" vertical="center" wrapText="1"/>
    </x:xf>
    <x:xf numFmtId="0" fontId="15" fillId="21" borderId="22" xfId="0" applyAlignment="1">
      <x:alignment wrapText="1"/>
    </x:xf>
    <x:xf numFmtId="0" fontId="15" fillId="21" borderId="15" xfId="0" applyAlignment="1">
      <x:alignment wrapText="1"/>
    </x:xf>
    <x:xf numFmtId="0" fontId="15" fillId="21" borderId="11" xfId="0" applyAlignment="1">
      <x:alignment wrapText="1"/>
    </x:xf>
    <x:xf numFmtId="0" fontId="15" fillId="21" borderId="12" xfId="0" applyAlignment="1">
      <x:alignment wrapText="1"/>
    </x:xf>
    <x:xf numFmtId="0" fontId="15" fillId="21" borderId="13" xfId="0" applyAlignment="1">
      <x:alignment wrapText="1"/>
    </x:xf>
    <x:xf numFmtId="0" fontId="3" fillId="21" borderId="0" xfId="0" applyAlignment="1">
      <x:alignment horizontal="left" vertical="center" wrapText="1"/>
    </x:xf>
    <x:xf numFmtId="0" fontId="20" fillId="17" borderId="0" xfId="0" applyAlignment="1">
      <x:alignment horizontal="left" vertical="center" wrapText="1"/>
    </x:xf>
    <x:xf numFmtId="0" fontId="15" fillId="17" borderId="0" xfId="0" applyAlignment="1">
      <x:alignment wrapText="1"/>
    </x:xf>
    <x:xf numFmtId="0" fontId="16" fillId="17" borderId="0" xfId="0" applyAlignment="1">
      <x:alignment horizontal="left" vertical="center" wrapText="1"/>
    </x:xf>
    <x:xf numFmtId="0" fontId="16" fillId="17" borderId="0" xfId="0" applyAlignment="1">
      <x:alignment wrapText="1"/>
    </x:xf>
    <x:xf numFmtId="0" fontId="16" fillId="17" borderId="0" xfId="0" applyAlignment="1">
      <x:alignment vertical="center" wrapText="1"/>
    </x:xf>
    <x:xf numFmtId="0" fontId="21" fillId="17" borderId="23" xfId="0" applyAlignment="1">
      <x:alignment horizontal="center" vertical="center" wrapText="1"/>
    </x:xf>
    <x:xf numFmtId="0" fontId="15" fillId="17" borderId="20" xfId="0" applyAlignment="1">
      <x:alignment wrapText="1"/>
    </x:xf>
    <x:xf numFmtId="0" fontId="15" fillId="17" borderId="21" xfId="0" applyAlignment="1">
      <x:alignment wrapText="1"/>
    </x:xf>
    <x:xf numFmtId="0" fontId="22" fillId="17" borderId="23" xfId="0" applyAlignment="1">
      <x:alignment horizontal="center" vertical="center" wrapText="1"/>
    </x:xf>
    <x:xf numFmtId="0" fontId="22" fillId="17" borderId="20" xfId="0" applyAlignment="1">
      <x:alignment wrapText="1"/>
    </x:xf>
    <x:xf numFmtId="0" fontId="22" fillId="17" borderId="21" xfId="0" applyAlignment="1">
      <x:alignment wrapText="1"/>
    </x:xf>
    <x:xf numFmtId="0" fontId="22" fillId="17" borderId="20" xfId="0" applyAlignment="1">
      <x:alignment horizontal="center" wrapText="1"/>
    </x:xf>
    <x:xf numFmtId="0" fontId="22" fillId="17" borderId="21" xfId="0" applyAlignment="1">
      <x:alignment horizontal="center" wrapText="1"/>
    </x:xf>
    <x:xf numFmtId="0" fontId="22" fillId="17" borderId="20" xfId="0" applyAlignment="1">
      <x:alignment horizontal="center" vertical="center" wrapText="1"/>
    </x:xf>
    <x:xf numFmtId="0" fontId="22" fillId="17" borderId="21" xfId="0" applyAlignment="1">
      <x:alignment horizontal="center" vertical="center" wrapText="1"/>
    </x:xf>
    <x:xf numFmtId="1" fontId="9" fillId="22" borderId="23" xfId="0" applyAlignment="1">
      <x:alignment horizontal="center" vertical="center" wrapText="1"/>
    </x:xf>
    <x:xf numFmtId="0" fontId="15" fillId="22" borderId="22" xfId="0" applyAlignment="1">
      <x:alignment wrapText="1"/>
    </x:xf>
    <x:xf numFmtId="0" fontId="15" fillId="22" borderId="15" xfId="0" applyAlignment="1">
      <x:alignment wrapText="1"/>
    </x:xf>
    <x:xf numFmtId="0" fontId="15" fillId="22" borderId="11" xfId="0" applyAlignment="1">
      <x:alignment wrapText="1"/>
    </x:xf>
    <x:xf numFmtId="0" fontId="15" fillId="22" borderId="12" xfId="0" applyAlignment="1">
      <x:alignment wrapText="1"/>
    </x:xf>
    <x:xf numFmtId="0" fontId="15" fillId="22" borderId="13" xfId="0" applyAlignment="1">
      <x:alignment wrapText="1"/>
    </x:xf>
    <x:xf numFmtId="1" fontId="23" fillId="22" borderId="23" xfId="0" applyAlignment="1">
      <x:alignment horizontal="center" vertical="center" wrapText="1"/>
    </x:xf>
    <x:xf numFmtId="0" fontId="23" fillId="22" borderId="22" xfId="0" applyAlignment="1">
      <x:alignment wrapText="1"/>
    </x:xf>
    <x:xf numFmtId="0" fontId="23" fillId="22" borderId="15" xfId="0" applyAlignment="1">
      <x:alignment wrapText="1"/>
    </x:xf>
    <x:xf numFmtId="0" fontId="23" fillId="22" borderId="11" xfId="0" applyAlignment="1">
      <x:alignment wrapText="1"/>
    </x:xf>
    <x:xf numFmtId="0" fontId="23" fillId="22" borderId="12" xfId="0" applyAlignment="1">
      <x:alignment wrapText="1"/>
    </x:xf>
    <x:xf numFmtId="0" fontId="23" fillId="22" borderId="13" xfId="0" applyAlignment="1">
      <x:alignment wrapText="1"/>
    </x:xf>
    <x:xf numFmtId="0" fontId="23" fillId="22" borderId="22" xfId="0" applyAlignment="1">
      <x:alignment horizontal="center" wrapText="1"/>
    </x:xf>
    <x:xf numFmtId="0" fontId="23" fillId="22" borderId="15" xfId="0" applyAlignment="1">
      <x:alignment horizontal="center" wrapText="1"/>
    </x:xf>
    <x:xf numFmtId="0" fontId="23" fillId="22" borderId="11" xfId="0" applyAlignment="1">
      <x:alignment horizontal="center" wrapText="1"/>
    </x:xf>
    <x:xf numFmtId="0" fontId="23" fillId="22" borderId="12" xfId="0" applyAlignment="1">
      <x:alignment horizontal="center" wrapText="1"/>
    </x:xf>
    <x:xf numFmtId="0" fontId="23" fillId="22" borderId="13" xfId="0" applyAlignment="1">
      <x:alignment horizontal="center" wrapText="1"/>
    </x:xf>
    <x:xf numFmtId="0" fontId="23" fillId="22" borderId="22" xfId="0" applyAlignment="1">
      <x:alignment horizontal="center" vertical="center" wrapText="1"/>
    </x:xf>
    <x:xf numFmtId="0" fontId="23" fillId="22" borderId="15" xfId="0" applyAlignment="1">
      <x:alignment horizontal="center" vertical="center" wrapText="1"/>
    </x:xf>
    <x:xf numFmtId="0" fontId="23" fillId="22" borderId="11" xfId="0" applyAlignment="1">
      <x:alignment horizontal="center" vertical="center" wrapText="1"/>
    </x:xf>
    <x:xf numFmtId="0" fontId="23" fillId="22" borderId="12" xfId="0" applyAlignment="1">
      <x:alignment horizontal="center" vertical="center" wrapText="1"/>
    </x:xf>
    <x:xf numFmtId="0" fontId="23" fillId="22" borderId="13" xfId="0" applyAlignment="1">
      <x:alignment horizontal="center" vertical="center" wrapText="1"/>
    </x:xf>
    <x:xf numFmtId="165" fontId="23" fillId="22" borderId="23" xfId="0" applyAlignment="1">
      <x:alignment horizontal="center" vertical="center" wrapText="1"/>
    </x:xf>
    <x:xf numFmtId="165" fontId="23" fillId="22" borderId="22" xfId="0" applyAlignment="1">
      <x:alignment horizontal="center" vertical="center" wrapText="1"/>
    </x:xf>
    <x:xf numFmtId="165" fontId="23" fillId="22" borderId="15" xfId="0" applyAlignment="1">
      <x:alignment horizontal="center" vertical="center" wrapText="1"/>
    </x:xf>
    <x:xf numFmtId="165" fontId="23" fillId="22" borderId="11" xfId="0" applyAlignment="1">
      <x:alignment horizontal="center" vertical="center" wrapText="1"/>
    </x:xf>
    <x:xf numFmtId="165" fontId="23" fillId="22" borderId="12" xfId="0" applyAlignment="1">
      <x:alignment horizontal="center" vertical="center" wrapText="1"/>
    </x:xf>
    <x:xf numFmtId="165" fontId="23" fillId="22" borderId="13" xfId="0" applyAlignment="1">
      <x:alignment horizontal="center" vertical="center" wrapText="1"/>
    </x:xf>
    <x:xf numFmtId="0" fontId="3" fillId="23" borderId="23" xfId="0" applyAlignment="1">
      <x:alignment horizontal="left" vertical="center" wrapText="1"/>
    </x:xf>
    <x:xf numFmtId="0" fontId="15" fillId="23" borderId="22" xfId="0" applyAlignment="1">
      <x:alignment wrapText="1"/>
    </x:xf>
    <x:xf numFmtId="0" fontId="15" fillId="23" borderId="15" xfId="0" applyAlignment="1">
      <x:alignment wrapText="1"/>
    </x:xf>
    <x:xf numFmtId="0" fontId="15" fillId="23" borderId="11" xfId="0" applyAlignment="1">
      <x:alignment wrapText="1"/>
    </x:xf>
    <x:xf numFmtId="0" fontId="15" fillId="23" borderId="12" xfId="0" applyAlignment="1">
      <x:alignment wrapText="1"/>
    </x:xf>
    <x:xf numFmtId="0" fontId="15" fillId="23" borderId="13" xfId="0" applyAlignment="1">
      <x:alignment wrapText="1"/>
    </x:xf>
    <x:xf numFmtId="0" fontId="24" fillId="23" borderId="23" xfId="0" applyAlignment="1">
      <x:alignment horizontal="left" vertical="center" wrapText="1"/>
    </x:xf>
    <x:xf numFmtId="0" fontId="2" fillId="23" borderId="22" xfId="0" applyAlignment="1">
      <x:alignment wrapText="1"/>
    </x:xf>
    <x:xf numFmtId="0" fontId="2" fillId="23" borderId="15" xfId="0" applyAlignment="1">
      <x:alignment wrapText="1"/>
    </x:xf>
    <x:xf numFmtId="0" fontId="2" fillId="23" borderId="11" xfId="0" applyAlignment="1">
      <x:alignment wrapText="1"/>
    </x:xf>
    <x:xf numFmtId="0" fontId="2" fillId="23" borderId="12" xfId="0" applyAlignment="1">
      <x:alignment wrapText="1"/>
    </x:xf>
    <x:xf numFmtId="0" fontId="2" fillId="23" borderId="13" xfId="0" applyAlignment="1">
      <x:alignment wrapText="1"/>
    </x:xf>
    <x:xf numFmtId="0" fontId="2" fillId="23" borderId="22" xfId="0" applyAlignment="1">
      <x:alignment vertical="center" wrapText="1"/>
    </x:xf>
    <x:xf numFmtId="0" fontId="2" fillId="23" borderId="15" xfId="0" applyAlignment="1">
      <x:alignment vertical="center" wrapText="1"/>
    </x:xf>
    <x:xf numFmtId="0" fontId="2" fillId="23" borderId="11" xfId="0" applyAlignment="1">
      <x:alignment vertical="center" wrapText="1"/>
    </x:xf>
    <x:xf numFmtId="0" fontId="2" fillId="23" borderId="12" xfId="0" applyAlignment="1">
      <x:alignment vertical="center" wrapText="1"/>
    </x:xf>
    <x:xf numFmtId="0" fontId="2" fillId="23" borderId="13" xfId="0" applyAlignment="1">
      <x:alignment vertical="center" wrapText="1"/>
    </x:xf>
    <x:xf numFmtId="0" fontId="3" fillId="24" borderId="0" xfId="0" applyAlignment="1">
      <x:alignment horizontal="left" vertical="center" wrapText="1"/>
    </x:xf>
    <x:xf numFmtId="0" fontId="15" fillId="24" borderId="0" xfId="0" applyAlignment="1">
      <x:alignment wrapText="1"/>
    </x:xf>
    <x:xf numFmtId="0" fontId="3" fillId="24" borderId="0" xfId="0" applyAlignment="1">
      <x:alignment wrapText="1"/>
    </x:xf>
    <x:xf numFmtId="0" fontId="3" fillId="24" borderId="0" xfId="0" applyAlignment="1">
      <x:alignment vertical="center" wrapText="1"/>
    </x:xf>
    <x:xf numFmtId="0" fontId="3" fillId="17" borderId="3" xfId="0" applyAlignment="1">
      <x:alignment horizontal="left" vertical="center" wrapText="1"/>
    </x:xf>
    <x:xf numFmtId="0" fontId="3" fillId="17" borderId="4" xfId="0" applyAlignment="1">
      <x:alignment horizontal="left" vertical="center" wrapText="1"/>
    </x:xf>
    <x:xf numFmtId="0" fontId="22" fillId="17" borderId="3" xfId="0" applyAlignment="1">
      <x:alignment horizontal="left" vertical="center" wrapText="1"/>
    </x:xf>
    <x:xf numFmtId="0" fontId="22" fillId="17" borderId="4" xfId="0" applyAlignment="1">
      <x:alignment horizontal="left" vertical="center" wrapText="1"/>
    </x:xf>
    <x:xf numFmtId="0" fontId="22" fillId="17" borderId="24" xfId="0" applyAlignment="1">
      <x:alignment horizontal="left" vertical="center" wrapText="1"/>
    </x:xf>
    <x:xf numFmtId="0" fontId="22" fillId="17" borderId="30" xfId="0" applyAlignment="1">
      <x:alignment horizontal="left" vertical="center" wrapText="1"/>
    </x:xf>
    <x:xf numFmtId="0" fontId="22" fillId="17" borderId="25" xfId="0" applyAlignment="1">
      <x:alignment horizontal="left" vertical="center" wrapText="1"/>
    </x:xf>
    <x:xf numFmtId="0" fontId="22" fillId="17" borderId="24" xfId="0" applyAlignment="1">
      <x:alignment horizontal="center" vertical="center" wrapText="1"/>
    </x:xf>
    <x:xf numFmtId="0" fontId="22" fillId="17" borderId="30" xfId="0" applyAlignment="1">
      <x:alignment horizontal="center" vertical="center" wrapText="1"/>
    </x:xf>
    <x:xf numFmtId="0" fontId="22" fillId="17" borderId="25" xfId="0" applyAlignment="1">
      <x:alignment horizontal="center" vertical="center" wrapText="1"/>
    </x:xf>
    <x:xf numFmtId="0" fontId="18" fillId="25" borderId="23" xfId="0" applyAlignment="1">
      <x:alignment vertical="top" wrapText="1"/>
    </x:xf>
    <x:xf numFmtId="0" fontId="25" fillId="25" borderId="23" xfId="0" applyAlignment="1">
      <x:alignment vertical="top" wrapText="1"/>
    </x:xf>
    <x:xf numFmtId="0" fontId="25" fillId="25" borderId="23" xfId="0" applyAlignment="1">
      <x:alignment horizontal="center" vertical="top" wrapText="1"/>
    </x:xf>
    <x:xf numFmtId="0" fontId="25" fillId="25" borderId="23" xfId="0" applyAlignment="1">
      <x:alignment horizontal="center" vertical="center" wrapText="1"/>
    </x:xf>
    <x:xf numFmtId="1" fontId="18" fillId="25" borderId="23" xfId="0" applyAlignment="1">
      <x:alignment vertical="top" wrapText="1"/>
    </x:xf>
    <x:xf numFmtId="1" fontId="25" fillId="25" borderId="23" xfId="0" applyAlignment="1">
      <x:alignment vertical="top" wrapText="1"/>
    </x:xf>
    <x:xf numFmtId="1" fontId="25" fillId="25" borderId="23" xfId="0" applyAlignment="1">
      <x:alignment horizontal="center" vertical="top" wrapText="1"/>
    </x:xf>
    <x:xf numFmtId="1" fontId="25" fillId="25" borderId="23" xfId="0" applyAlignment="1">
      <x:alignment horizontal="center" vertical="center" wrapText="1"/>
    </x:xf>
    <x:xf numFmtId="9" fontId="25" fillId="25" borderId="23" xfId="0" applyAlignment="1">
      <x:alignment horizontal="center" vertical="center" wrapText="1"/>
    </x:xf>
    <x:xf numFmtId="0" fontId="3" fillId="17" borderId="5" xfId="0" applyAlignment="1">
      <x:alignment horizontal="left" vertical="center" wrapText="1"/>
    </x:xf>
    <x:xf numFmtId="0" fontId="22" fillId="17" borderId="5" xfId="0" applyAlignment="1">
      <x:alignment horizontal="left" vertical="center" wrapText="1"/>
    </x:xf>
    <x:xf numFmtId="0" fontId="18" fillId="26" borderId="23" xfId="0" applyAlignment="1">
      <x:alignment vertical="top" wrapText="1"/>
    </x:xf>
    <x:xf numFmtId="0" fontId="26" fillId="26" borderId="23" xfId="0" applyAlignment="1">
      <x:alignment vertical="top" wrapText="1"/>
    </x:xf>
    <x:xf numFmtId="0" fontId="26" fillId="26" borderId="23" xfId="0" applyAlignment="1">
      <x:alignment horizontal="center" vertical="top" wrapText="1"/>
    </x:xf>
    <x:xf numFmtId="0" fontId="26" fillId="26" borderId="23" xfId="0" applyAlignment="1">
      <x:alignment horizontal="center" vertical="center" wrapText="1"/>
    </x:xf>
    <x:xf numFmtId="0" fontId="18" fillId="24" borderId="23" xfId="0" applyAlignment="1">
      <x:alignment vertical="top" wrapText="1"/>
    </x:xf>
    <x:xf numFmtId="164" fontId="18" fillId="24" borderId="23" xfId="0" applyAlignment="1">
      <x:alignment vertical="top" wrapText="1"/>
    </x:xf>
    <x:xf numFmtId="1" fontId="18" fillId="24" borderId="23" xfId="0" applyAlignment="1">
      <x:alignment vertical="top" wrapText="1"/>
    </x:xf>
    <x:xf numFmtId="0" fontId="4" fillId="24" borderId="23" xfId="0" applyAlignment="1">
      <x:alignment vertical="top" wrapText="1"/>
    </x:xf>
    <x:xf numFmtId="164" fontId="4" fillId="24" borderId="23" xfId="0" applyAlignment="1">
      <x:alignment vertical="top" wrapText="1"/>
    </x:xf>
    <x:xf numFmtId="1" fontId="4" fillId="24" borderId="23" xfId="0" applyAlignment="1">
      <x:alignment vertical="top" wrapText="1"/>
    </x:xf>
    <x:xf numFmtId="0" fontId="4" fillId="24" borderId="23" xfId="0" applyAlignment="1">
      <x:alignment horizontal="left" vertical="top" wrapText="1"/>
    </x:xf>
    <x:xf numFmtId="164" fontId="4" fillId="24" borderId="23" xfId="0" applyAlignment="1">
      <x:alignment horizontal="left" vertical="top" wrapText="1"/>
    </x:xf>
    <x:xf numFmtId="1" fontId="4" fillId="24" borderId="23" xfId="0" applyAlignment="1">
      <x:alignment horizontal="left" vertical="top" wrapText="1"/>
    </x:xf>
    <x:xf numFmtId="0" fontId="4" fillId="24" borderId="23" xfId="0" applyAlignment="1">
      <x:alignment horizontal="left" vertical="center" wrapText="1"/>
    </x:xf>
    <x:xf numFmtId="164" fontId="4" fillId="24" borderId="23" xfId="0" applyAlignment="1">
      <x:alignment horizontal="left" vertical="center" wrapText="1"/>
    </x:xf>
    <x:xf numFmtId="1" fontId="4" fillId="24" borderId="23" xfId="0" applyAlignment="1">
      <x:alignment horizontal="left" vertical="center" wrapText="1"/>
    </x:xf>
    <x:xf numFmtId="0" fontId="18" fillId="17" borderId="23" xfId="0" applyAlignment="1">
      <x:alignment vertical="top" wrapText="1"/>
    </x:xf>
    <x:xf numFmtId="0" fontId="22" fillId="17" borderId="23" xfId="0" applyAlignment="1">
      <x:alignment vertical="top" wrapText="1"/>
    </x:xf>
    <x:xf numFmtId="0" fontId="22" fillId="17" borderId="23" xfId="0" applyAlignment="1">
      <x:alignment horizontal="center" vertical="top" wrapText="1"/>
    </x:xf>
    <x:xf numFmtId="1" fontId="18" fillId="17" borderId="23" xfId="0" applyAlignment="1">
      <x:alignment vertical="top" wrapText="1"/>
    </x:xf>
    <x:xf numFmtId="1" fontId="22" fillId="17" borderId="23" xfId="0" applyAlignment="1">
      <x:alignment vertical="top" wrapText="1"/>
    </x:xf>
    <x:xf numFmtId="1" fontId="22" fillId="17" borderId="23" xfId="0" applyAlignment="1">
      <x:alignment horizontal="center" vertical="top" wrapText="1"/>
    </x:xf>
    <x:xf numFmtId="1" fontId="22" fillId="17" borderId="23" xfId="0" applyAlignment="1">
      <x:alignment horizontal="center" vertical="center" wrapText="1"/>
    </x:xf>
    <x:xf numFmtId="1" fontId="18" fillId="26" borderId="23" xfId="0" applyAlignment="1">
      <x:alignment vertical="top" wrapText="1"/>
    </x:xf>
    <x:xf numFmtId="1" fontId="26" fillId="26" borderId="23" xfId="0" applyAlignment="1">
      <x:alignment vertical="top" wrapText="1"/>
    </x:xf>
    <x:xf numFmtId="1" fontId="26" fillId="26" borderId="23" xfId="0" applyAlignment="1">
      <x:alignment horizontal="center" vertical="top" wrapText="1"/>
    </x:xf>
    <x:xf numFmtId="1" fontId="26" fillId="26" borderId="23" xfId="0" applyAlignment="1">
      <x:alignment horizontal="center" vertical="center" wrapText="1"/>
    </x:xf>
    <x:xf numFmtId="0" fontId="18" fillId="22" borderId="23" xfId="0" applyAlignment="1">
      <x:alignment vertical="top" wrapText="1"/>
    </x:xf>
    <x:xf numFmtId="0" fontId="23" fillId="22" borderId="23" xfId="0" applyAlignment="1">
      <x:alignment vertical="top" wrapText="1"/>
    </x:xf>
    <x:xf numFmtId="0" fontId="23" fillId="22" borderId="23" xfId="0" applyAlignment="1">
      <x:alignment horizontal="center" vertical="top" wrapText="1"/>
    </x:xf>
    <x:xf numFmtId="0" fontId="23" fillId="22" borderId="23" xfId="0" applyAlignment="1">
      <x:alignment horizontal="center" vertical="center" wrapText="1"/>
    </x:xf>
    <x:xf numFmtId="0" fontId="18" fillId="23" borderId="23" xfId="0" applyAlignment="1">
      <x:alignment vertical="top" wrapText="1"/>
    </x:xf>
    <x:xf numFmtId="164" fontId="18" fillId="23" borderId="23" xfId="0" applyAlignment="1">
      <x:alignment vertical="top" wrapText="1"/>
    </x:xf>
    <x:xf numFmtId="1" fontId="18" fillId="23" borderId="23" xfId="0" applyAlignment="1">
      <x:alignment vertical="top" wrapText="1"/>
    </x:xf>
    <x:xf numFmtId="0" fontId="27" fillId="23" borderId="23" xfId="0" applyAlignment="1">
      <x:alignment vertical="top" wrapText="1"/>
    </x:xf>
    <x:xf numFmtId="164" fontId="27" fillId="23" borderId="23" xfId="0" applyAlignment="1">
      <x:alignment vertical="top" wrapText="1"/>
    </x:xf>
    <x:xf numFmtId="1" fontId="27" fillId="23" borderId="23" xfId="0" applyAlignment="1">
      <x:alignment vertical="top" wrapText="1"/>
    </x:xf>
    <x:xf numFmtId="0" fontId="27" fillId="23" borderId="23" xfId="0" applyAlignment="1">
      <x:alignment vertical="center" wrapText="1"/>
    </x:xf>
    <x:xf numFmtId="164" fontId="27" fillId="23" borderId="23" xfId="0" applyAlignment="1">
      <x:alignment vertical="center" wrapText="1"/>
    </x:xf>
    <x:xf numFmtId="1" fontId="27" fillId="23" borderId="23" xfId="0" applyAlignment="1">
      <x:alignment vertical="center" wrapText="1"/>
    </x:xf>
    <x:xf numFmtId="0" fontId="0" fillId="21" borderId="9" xfId="0" applyAlignment="1">
      <x:alignment vertical="top" wrapText="1"/>
    </x:xf>
    <x:xf numFmtId="0" fontId="0" fillId="21" borderId="0" xfId="0" applyAlignment="1">
      <x:alignment vertical="top" wrapText="1"/>
    </x:xf>
    <x:xf numFmtId="0" fontId="0" fillId="21" borderId="10" xfId="0" applyAlignment="1">
      <x:alignment vertical="top" wrapText="1"/>
    </x:xf>
    <x:xf numFmtId="0" fontId="0" fillId="21" borderId="11" xfId="0" applyAlignment="1">
      <x:alignment vertical="top" wrapText="1"/>
    </x:xf>
    <x:xf numFmtId="0" fontId="0" fillId="21" borderId="12" xfId="0" applyAlignment="1">
      <x:alignment vertical="top" wrapText="1"/>
    </x:xf>
    <x:xf numFmtId="0" fontId="0" fillId="21" borderId="13" xfId="0" applyAlignment="1">
      <x:alignment vertical="top" wrapText="1"/>
    </x:xf>
    <x:xf numFmtId="0" fontId="15" fillId="21" borderId="9" xfId="0" applyAlignment="1">
      <x:alignment vertical="top" wrapText="1"/>
    </x:xf>
    <x:xf numFmtId="0" fontId="15" fillId="21" borderId="0" xfId="0" applyAlignment="1">
      <x:alignment vertical="top" wrapText="1"/>
    </x:xf>
    <x:xf numFmtId="0" fontId="15" fillId="21" borderId="10" xfId="0" applyAlignment="1">
      <x:alignment vertical="top" wrapText="1"/>
    </x:xf>
    <x:xf numFmtId="0" fontId="15" fillId="21" borderId="11" xfId="0" applyAlignment="1">
      <x:alignment vertical="top" wrapText="1"/>
    </x:xf>
    <x:xf numFmtId="0" fontId="15" fillId="21" borderId="12" xfId="0" applyAlignment="1">
      <x:alignment vertical="top" wrapText="1"/>
    </x:xf>
    <x:xf numFmtId="0" fontId="15" fillId="21" borderId="13" xfId="0" applyAlignment="1">
      <x:alignment vertical="top" wrapText="1"/>
    </x:xf>
    <x:xf numFmtId="0" fontId="15" fillId="21" borderId="23" xfId="0" applyAlignment="1">
      <x:alignment vertical="top" wrapText="1"/>
    </x:xf>
    <x:xf numFmtId="0" fontId="15" fillId="21" borderId="23" xfId="0"/>
    <x:xf numFmtId="0" fontId="15" fillId="21" borderId="23" xfId="0" applyAlignment="1">
      <x:alignment wrapText="1"/>
    </x:xf>
    <x:xf numFmtId="0" fontId="0" fillId="24" borderId="0" xfId="0"/>
    <x:xf numFmtId="0" fontId="4" fillId="24" borderId="0" xfId="0"/>
    <x:xf numFmtId="0" fontId="4" fillId="24" borderId="0" xfId="0" applyAlignment="1">
      <x:alignment horizontal="left"/>
    </x:xf>
    <x:xf numFmtId="0" fontId="4" fillId="24" borderId="0" xfId="0" applyAlignment="1">
      <x:alignment horizontal="left" vertical="center"/>
    </x:xf>
    <x:xf numFmtId="9" fontId="25" fillId="25" borderId="23" xfId="0" applyAlignment="1">
      <x:alignment horizontal="center" vertical="center" wrapText="1"/>
    </x:xf>
    <x:xf numFmtId="0" fontId="19" fillId="17" borderId="23" xfId="0" applyAlignment="1">
      <x:alignment horizontal="center" vertical="center"/>
    </x:xf>
    <x:xf numFmtId="0" fontId="19" fillId="18" borderId="23" xfId="0" applyAlignment="1">
      <x:alignment horizontal="center" vertical="center"/>
    </x:xf>
    <x:xf numFmtId="0" fontId="19" fillId="19" borderId="23" xfId="0" applyAlignment="1">
      <x:alignment horizontal="center" vertical="center"/>
    </x:xf>
    <x:xf numFmtId="0" fontId="19" fillId="20" borderId="23" xfId="0" applyAlignment="1">
      <x:alignment horizontal="center" vertical="center"/>
    </x:xf>
    <x:xf numFmtId="0" fontId="22" fillId="27" borderId="24" xfId="0" applyAlignment="1">
      <x:alignment horizontal="center" vertical="center" wrapText="1"/>
    </x:xf>
    <x:xf numFmtId="0" fontId="22" fillId="27" borderId="30" xfId="0" applyAlignment="1">
      <x:alignment horizontal="center" vertical="center" wrapText="1"/>
    </x:xf>
    <x:xf numFmtId="0" fontId="22" fillId="27" borderId="25" xfId="0" applyAlignment="1">
      <x:alignment horizontal="center" vertical="center" wrapText="1"/>
    </x:xf>
    <x:xf numFmtId="0" fontId="22" fillId="27" borderId="23" xfId="0" applyAlignment="1">
      <x:alignment horizontal="center" vertical="center" wrapText="1"/>
    </x:xf>
    <x:xf numFmtId="1" fontId="22" fillId="27" borderId="23" xfId="0" applyAlignment="1">
      <x:alignment horizontal="center" vertical="center" wrapText="1"/>
    </x:xf>
    <x:xf numFmtId="0" fontId="6" fillId="0" borderId="0" xfId="0"/>
    <x:xf numFmtId="0" fontId="28" fillId="13" borderId="23" xfId="0" applyAlignment="1">
      <x:alignment vertical="top" wrapText="1"/>
    </x:xf>
    <x:xf numFmtId="0" fontId="0" fillId="0" borderId="32" xfId="0"/>
    <x:xf numFmtId="0" fontId="0" fillId="28" borderId="0" xfId="0" applyNumberFormat="1" applyFont="1" applyFill="1" applyBorder="1"/>
    <x:xf numFmtId="0" fontId="19" fillId="28" borderId="0" xfId="0" applyNumberFormat="1" applyFont="1" applyFill="1" applyBorder="1"/>
    <x:xf numFmtId="0" fontId="19" fillId="28" borderId="19" xfId="0" applyNumberFormat="1" applyFont="1" applyFill="1" applyBorder="1"/>
    <x:xf numFmtId="0" fontId="19" fillId="28" borderId="21" xfId="0" applyNumberFormat="1" applyFont="1" applyFill="1" applyBorder="1"/>
    <x:xf numFmtId="0" fontId="19" fillId="28" borderId="19" xfId="0" applyNumberFormat="1" applyFont="1" applyFill="1" applyBorder="1" applyAlignment="1">
      <x:alignment horizontal="center"/>
    </x:xf>
    <x:xf numFmtId="0" fontId="19" fillId="28" borderId="21" xfId="0" applyNumberFormat="1" applyFont="1" applyFill="1" applyBorder="1" applyAlignment="1">
      <x:alignment horizontal="center"/>
    </x:xf>
    <x:xf numFmtId="0" fontId="19" fillId="28" borderId="19" xfId="0" applyNumberFormat="1" applyFont="1" applyFill="1" applyBorder="1" applyAlignment="1">
      <x:alignment horizontal="center" vertical="center"/>
    </x:xf>
    <x:xf numFmtId="0" fontId="19" fillId="28" borderId="21" xfId="0" applyNumberFormat="1" applyFont="1" applyFill="1" applyBorder="1" applyAlignment="1">
      <x:alignment horizontal="center" vertical="center"/>
    </x:xf>
    <x:xf numFmtId="0" fontId="0" fillId="29" borderId="0" xfId="0" applyNumberFormat="1" applyFont="1" applyFill="1" applyBorder="1"/>
    <x:xf numFmtId="0" fontId="19" fillId="29" borderId="0" xfId="0" applyNumberFormat="1" applyFont="1" applyFill="1" applyBorder="1"/>
    <x:xf numFmtId="0" fontId="19" fillId="29" borderId="19" xfId="0" applyNumberFormat="1" applyFont="1" applyFill="1" applyBorder="1"/>
    <x:xf numFmtId="0" fontId="19" fillId="29" borderId="20" xfId="0" applyNumberFormat="1" applyFont="1" applyFill="1" applyBorder="1"/>
    <x:xf numFmtId="0" fontId="19" fillId="29" borderId="21" xfId="0" applyNumberFormat="1" applyFont="1" applyFill="1" applyBorder="1"/>
    <x:xf numFmtId="0" fontId="19" fillId="29" borderId="19" xfId="0" applyNumberFormat="1" applyFont="1" applyFill="1" applyBorder="1" applyAlignment="1">
      <x:alignment horizontal="center"/>
    </x:xf>
    <x:xf numFmtId="0" fontId="19" fillId="29" borderId="20" xfId="0" applyNumberFormat="1" applyFont="1" applyFill="1" applyBorder="1" applyAlignment="1">
      <x:alignment horizontal="center"/>
    </x:xf>
    <x:xf numFmtId="0" fontId="19" fillId="29" borderId="21" xfId="0" applyNumberFormat="1" applyFont="1" applyFill="1" applyBorder="1" applyAlignment="1">
      <x:alignment horizontal="center"/>
    </x:xf>
    <x:xf numFmtId="0" fontId="19" fillId="29" borderId="19" xfId="0" applyNumberFormat="1" applyFont="1" applyFill="1" applyBorder="1" applyAlignment="1">
      <x:alignment horizontal="center" vertical="center"/>
    </x:xf>
    <x:xf numFmtId="0" fontId="19" fillId="29" borderId="20" xfId="0" applyNumberFormat="1" applyFont="1" applyFill="1" applyBorder="1" applyAlignment="1">
      <x:alignment horizontal="center" vertical="center"/>
    </x:xf>
    <x:xf numFmtId="0" fontId="19" fillId="29" borderId="21" xfId="0" applyNumberFormat="1" applyFont="1" applyFill="1" applyBorder="1" applyAlignment="1">
      <x:alignment horizontal="center" vertical="center"/>
    </x:xf>
    <x:xf numFmtId="0" fontId="0" fillId="30" borderId="0" xfId="0" applyNumberFormat="1" applyFont="1" applyFill="1" applyBorder="1"/>
    <x:xf numFmtId="0" fontId="19" fillId="30" borderId="0" xfId="0" applyNumberFormat="1" applyFont="1" applyFill="1" applyBorder="1"/>
    <x:xf numFmtId="0" fontId="19" fillId="30" borderId="19" xfId="0" applyNumberFormat="1" applyFont="1" applyFill="1" applyBorder="1"/>
    <x:xf numFmtId="0" fontId="19" fillId="30" borderId="20" xfId="0" applyNumberFormat="1" applyFont="1" applyFill="1" applyBorder="1"/>
    <x:xf numFmtId="0" fontId="19" fillId="30" borderId="21" xfId="0" applyNumberFormat="1" applyFont="1" applyFill="1" applyBorder="1"/>
    <x:xf numFmtId="0" fontId="19" fillId="30" borderId="19" xfId="0" applyNumberFormat="1" applyFont="1" applyFill="1" applyBorder="1" applyAlignment="1">
      <x:alignment horizontal="center"/>
    </x:xf>
    <x:xf numFmtId="0" fontId="19" fillId="30" borderId="20" xfId="0" applyNumberFormat="1" applyFont="1" applyFill="1" applyBorder="1" applyAlignment="1">
      <x:alignment horizontal="center"/>
    </x:xf>
    <x:xf numFmtId="0" fontId="19" fillId="30" borderId="21" xfId="0" applyNumberFormat="1" applyFont="1" applyFill="1" applyBorder="1" applyAlignment="1">
      <x:alignment horizontal="center"/>
    </x:xf>
    <x:xf numFmtId="0" fontId="19" fillId="30" borderId="19" xfId="0" applyNumberFormat="1" applyFont="1" applyFill="1" applyBorder="1" applyAlignment="1">
      <x:alignment horizontal="center" vertical="center"/>
    </x:xf>
    <x:xf numFmtId="0" fontId="19" fillId="30" borderId="20" xfId="0" applyNumberFormat="1" applyFont="1" applyFill="1" applyBorder="1" applyAlignment="1">
      <x:alignment horizontal="center" vertical="center"/>
    </x:xf>
    <x:xf numFmtId="0" fontId="19" fillId="30" borderId="21" xfId="0" applyNumberFormat="1" applyFont="1" applyFill="1" applyBorder="1" applyAlignment="1">
      <x:alignment horizontal="center" vertical="center"/>
    </x:xf>
    <x:xf numFmtId="0" fontId="0" fillId="31" borderId="0" xfId="0" applyNumberFormat="1" applyFont="1" applyFill="1" applyBorder="1"/>
    <x:xf numFmtId="0" fontId="19" fillId="31" borderId="0" xfId="0" applyNumberFormat="1" applyFont="1" applyFill="1" applyBorder="1"/>
    <x:xf numFmtId="0" fontId="19" fillId="31" borderId="19" xfId="0" applyNumberFormat="1" applyFont="1" applyFill="1" applyBorder="1"/>
    <x:xf numFmtId="0" fontId="19" fillId="31" borderId="20" xfId="0" applyNumberFormat="1" applyFont="1" applyFill="1" applyBorder="1"/>
    <x:xf numFmtId="0" fontId="19" fillId="31" borderId="21" xfId="0" applyNumberFormat="1" applyFont="1" applyFill="1" applyBorder="1"/>
    <x:xf numFmtId="0" fontId="19" fillId="31" borderId="19" xfId="0" applyNumberFormat="1" applyFont="1" applyFill="1" applyBorder="1" applyAlignment="1">
      <x:alignment horizontal="center"/>
    </x:xf>
    <x:xf numFmtId="0" fontId="19" fillId="31" borderId="20" xfId="0" applyNumberFormat="1" applyFont="1" applyFill="1" applyBorder="1" applyAlignment="1">
      <x:alignment horizontal="center"/>
    </x:xf>
    <x:xf numFmtId="0" fontId="19" fillId="31" borderId="21" xfId="0" applyNumberFormat="1" applyFont="1" applyFill="1" applyBorder="1" applyAlignment="1">
      <x:alignment horizontal="center"/>
    </x:xf>
    <x:xf numFmtId="0" fontId="19" fillId="31" borderId="19" xfId="0" applyNumberFormat="1" applyFont="1" applyFill="1" applyBorder="1" applyAlignment="1">
      <x:alignment horizontal="center" vertical="center"/>
    </x:xf>
    <x:xf numFmtId="0" fontId="19" fillId="31" borderId="20" xfId="0" applyNumberFormat="1" applyFont="1" applyFill="1" applyBorder="1" applyAlignment="1">
      <x:alignment horizontal="center" vertical="center"/>
    </x:xf>
    <x:xf numFmtId="0" fontId="19" fillId="31" borderId="21" xfId="0" applyNumberFormat="1" applyFont="1" applyFill="1" applyBorder="1" applyAlignment="1">
      <x:alignment horizontal="center" vertical="center"/>
    </x:xf>
    <x:xf numFmtId="0" fontId="5" fillId="28" borderId="0" xfId="0" applyNumberFormat="1" applyFont="1" applyFill="1" applyBorder="1"/>
    <x:xf numFmtId="0" fontId="5" fillId="28" borderId="29" xfId="0" applyNumberFormat="1" applyFont="1" applyFill="1" applyBorder="1"/>
    <x:xf numFmtId="0" fontId="5" fillId="28" borderId="29" xfId="0" applyNumberFormat="1" applyFont="1" applyFill="1" applyBorder="1" applyAlignment="1">
      <x:alignment wrapText="1"/>
    </x:xf>
    <x:xf numFmtId="0" fontId="5" fillId="28" borderId="29" xfId="0" applyNumberFormat="1" applyFont="1" applyFill="1" applyBorder="1" applyAlignment="1">
      <x:alignment horizontal="left" wrapText="1"/>
    </x:xf>
    <x:xf numFmtId="0" fontId="5" fillId="28" borderId="29" xfId="0" applyNumberFormat="1" applyFont="1" applyFill="1" applyBorder="1" applyAlignment="1">
      <x:alignment horizontal="left" vertical="center" wrapText="1"/>
    </x:xf>
    <x:xf numFmtId="0" fontId="0" fillId="32" borderId="0" xfId="0" applyNumberFormat="1" applyFont="1" applyFill="1" applyBorder="1"/>
    <x:xf numFmtId="0" fontId="29" fillId="32" borderId="0" xfId="0" applyNumberFormat="1" applyFont="1" applyFill="1" applyBorder="1"/>
    <x:xf numFmtId="0" fontId="29" fillId="32" borderId="23" xfId="0" applyNumberFormat="1" applyFont="1" applyFill="1" applyBorder="1"/>
    <x:xf numFmtId="0" fontId="29" fillId="32" borderId="23" xfId="0" applyNumberFormat="1" applyFont="1" applyFill="1" applyBorder="1" applyAlignment="1">
      <x:alignment vertical="top"/>
    </x:xf>
    <x:xf numFmtId="0" fontId="29" fillId="32" borderId="23" xfId="0" applyNumberFormat="1" applyFont="1" applyFill="1" applyBorder="1" applyAlignment="1">
      <x:alignment vertical="top" wrapText="1"/>
    </x:xf>
    <x:xf numFmtId="0" fontId="0" fillId="0" borderId="0" xfId="0" applyNumberFormat="1" applyFont="1" applyFill="1" applyBorder="1" applyAlignment="1">
      <x:alignment wrapText="1"/>
    </x:xf>
    <x:xf numFmtId="165" fontId="29" fillId="32" borderId="23" xfId="0" applyNumberFormat="1" applyFont="1" applyFill="1" applyBorder="1" applyAlignment="1">
      <x:alignment vertical="top"/>
    </x:xf>
    <x:xf numFmtId="165" fontId="0" fillId="0" borderId="0" xfId="0" applyNumberFormat="1" applyFont="1" applyFill="1" applyBorder="1"/>
    <x:xf numFmtId="200" fontId="29" fillId="32" borderId="23" xfId="0" applyNumberFormat="1" applyFont="1" applyFill="1" applyBorder="1" applyAlignment="1">
      <x:alignment vertical="top"/>
    </x:xf>
    <x:xf numFmtId="200" fontId="0" fillId="0" borderId="0" xfId="0" applyNumberFormat="1" applyFont="1" applyFill="1" applyBorder="1"/>
    <x:xf numFmtId="164" fontId="23" fillId="3" borderId="23" xfId="0" applyNumberFormat="1" applyFont="1" applyFill="1" applyBorder="1" applyAlignment="1">
      <x:alignment horizontal="center" vertical="center" wrapText="1"/>
    </x:xf>
    <x:xf numFmtId="201" fontId="25" fillId="14" borderId="23" xfId="0" applyNumberFormat="1" applyFont="1" applyFill="1" applyBorder="1" applyAlignment="1">
      <x:alignment horizontal="center" vertical="center" wrapText="1"/>
    </x:xf>
    <x:xf numFmtId="165" fontId="29" fillId="13" borderId="23" xfId="0" applyNumberFormat="1" applyFont="1" applyFill="1" applyBorder="1" applyAlignment="1">
      <x:alignment vertical="top"/>
    </x:xf>
  </x:cellXfs>
  <x:cellStyles count="1">
    <x:cellStyle name="Normal" xfId="0"/>
  </x:cellStyles>
  <x:dxfs count="36">
    <x:dxf>
      <x:font>
        <x:b/>
        <x:color rgb="FFB42318"/>
      </x:font>
      <x:fill>
        <x:patternFill>
          <x:bgColor rgb="FFFDE8E7"/>
        </x:patternFill>
      </x:fill>
    </x:dxf>
    <x:dxf>
      <x:font>
        <x:b/>
        <x:color rgb="FFB42318"/>
      </x:font>
      <x:fill>
        <x:patternFill>
          <x:bgColor rgb="FFFDE8E7"/>
        </x:patternFill>
      </x:fill>
    </x:dxf>
    <x:dxf>
      <x:font>
        <x:b/>
        <x:color rgb="FFB42318"/>
      </x:font>
      <x:fill>
        <x:patternFill>
          <x:bgColor rgb="FFFDE8E7"/>
        </x:patternFill>
      </x:fill>
    </x:dxf>
    <x:dxf>
      <x:font>
        <x:b/>
        <x:color rgb="FF8A5A00"/>
      </x:font>
      <x:fill>
        <x:patternFill>
          <x:bgColor rgb="FFFFF4D6"/>
        </x:patternFill>
      </x:fill>
    </x:dxf>
    <x:dxf>
      <x:font>
        <x:b/>
        <x:color rgb="FF206A3B"/>
      </x:font>
      <x:fill>
        <x:patternFill>
          <x:bgColor rgb="FFE6F4EA"/>
        </x:patternFill>
      </x:fill>
    </x:dxf>
    <x:dxf>
      <x:font>
        <x:b/>
        <x:color rgb="FF206A3B"/>
      </x:font>
      <x:fill>
        <x:patternFill>
          <x:bgColor rgb="FFE6F4EA"/>
        </x:patternFill>
      </x:fill>
    </x:dxf>
    <x:dxf>
      <x:font>
        <x:b/>
        <x:color rgb="FF8A5A00"/>
      </x:font>
      <x:fill>
        <x:patternFill>
          <x:bgColor rgb="FFFFF4D6"/>
        </x:patternFill>
      </x:fill>
    </x:dxf>
    <x:dxf>
      <x:font>
        <x:b/>
        <x:color rgb="FFB42318"/>
      </x:font>
      <x:fill>
        <x:patternFill>
          <x:bgColor rgb="FFFDE8E7"/>
        </x:patternFill>
      </x:fill>
    </x:dxf>
    <x:dxf>
      <x:font>
        <x:b/>
        <x:color rgb="FF206A3B"/>
      </x:font>
      <x:fill>
        <x:patternFill>
          <x:bgColor rgb="FFE6F4EA"/>
        </x:patternFill>
      </x:fill>
    </x:dxf>
    <x:dxf>
      <x:font>
        <x:b/>
        <x:color rgb="FF2563EB"/>
      </x:font>
      <x:fill>
        <x:patternFill>
          <x:bgColor rgb="FFE8F1FB"/>
        </x:patternFill>
      </x:fill>
    </x:dxf>
    <x:dxf>
      <x:font>
        <x:b/>
        <x:color rgb="FFB42318"/>
      </x:font>
      <x:fill>
        <x:patternFill>
          <x:bgColor rgb="FFFDE8E7"/>
        </x:patternFill>
      </x:fill>
    </x:dxf>
    <x:dxf>
      <x:font>
        <x:b/>
        <x:color rgb="FF8A5A00"/>
      </x:font>
      <x:fill>
        <x:patternFill>
          <x:bgColor rgb="FFFFF4D6"/>
        </x:patternFill>
      </x:fill>
    </x:dxf>
    <x:dxf>
      <x:font>
        <x:b/>
        <x:color rgb="FFB42318"/>
      </x:font>
      <x:fill>
        <x:patternFill>
          <x:bgColor rgb="FFFDE8E7"/>
        </x:patternFill>
      </x:fill>
    </x:dxf>
    <x:dxf>
      <x:font>
        <x:color rgb="FF206A3B"/>
      </x:font>
      <x:fill>
        <x:patternFill>
          <x:bgColor rgb="FFE6F4EA"/>
        </x:patternFill>
      </x:fill>
    </x:dxf>
    <x:dxf>
      <x:font>
        <x:b/>
        <x:color rgb="FFB42318"/>
      </x:font>
      <x:fill>
        <x:patternFill>
          <x:bgColor rgb="FFFDE8E7"/>
        </x:patternFill>
      </x:fill>
    </x:dxf>
    <x:dxf>
      <x:font>
        <x:b/>
        <x:color rgb="FF8A5A00"/>
      </x:font>
      <x:fill>
        <x:patternFill>
          <x:bgColor rgb="FFFFF4D6"/>
        </x:patternFill>
      </x:fill>
    </x:dxf>
    <x:dxf>
      <x:font>
        <x:b/>
        <x:color rgb="FFB42318"/>
      </x:font>
      <x:fill>
        <x:patternFill>
          <x:bgColor rgb="FFFDE8E7"/>
        </x:patternFill>
      </x:fill>
    </x:dxf>
    <x:dxf>
      <x:font>
        <x:b/>
        <x:color rgb="FFB42318"/>
      </x:font>
      <x:fill>
        <x:patternFill>
          <x:bgColor rgb="FFFDE8E7"/>
        </x:patternFill>
      </x:fill>
    </x:dxf>
    <x:dxf>
      <x:font>
        <x:b/>
        <x:color rgb="FF8A5A00"/>
      </x:font>
      <x:fill>
        <x:patternFill>
          <x:bgColor rgb="FFFFF4D6"/>
        </x:patternFill>
      </x:fill>
    </x:dxf>
    <x:dxf>
      <x:font>
        <x:b/>
        <x:color rgb="FF8A5A00"/>
      </x:font>
      <x:fill>
        <x:patternFill>
          <x:bgColor rgb="FFFFF4D6"/>
        </x:patternFill>
      </x:fill>
    </x:dxf>
    <x:dxf>
      <x:font>
        <x:b/>
        <x:color rgb="FF206A3B"/>
      </x:font>
      <x:fill>
        <x:patternFill>
          <x:bgColor rgb="FFE6F4EA"/>
        </x:patternFill>
      </x:fill>
    </x:dxf>
    <x:dxf>
      <x:font>
        <x:b/>
        <x:color rgb="FF206A3B"/>
      </x:font>
      <x:fill>
        <x:patternFill>
          <x:bgColor rgb="FFE6F4EA"/>
        </x:patternFill>
      </x:fill>
    </x:dxf>
    <x:dxf>
      <x:font>
        <x:b/>
        <x:color rgb="FFB42318"/>
      </x:font>
      <x:fill>
        <x:patternFill>
          <x:bgColor rgb="FFFDE8E7"/>
        </x:patternFill>
      </x:fill>
    </x:dxf>
    <x:dxf>
      <x:font>
        <x:b/>
        <x:color rgb="FFB42318"/>
      </x:font>
      <x:fill>
        <x:patternFill>
          <x:bgColor rgb="FFFDE8E7"/>
        </x:patternFill>
      </x:fill>
    </x:dxf>
    <x:dxf>
      <x:font>
        <x:b/>
        <x:color rgb="FF206A3B"/>
      </x:font>
      <x:fill>
        <x:patternFill>
          <x:bgColor rgb="FFE6F4EA"/>
        </x:patternFill>
      </x:fill>
    </x:dxf>
    <x:dxf>
      <x:font>
        <x:b/>
        <x:color rgb="FF667085"/>
      </x:font>
      <x:fill>
        <x:patternFill>
          <x:bgColor rgb="FFF3F5F7"/>
        </x:patternFill>
      </x:fill>
    </x:dxf>
    <x:dxf>
      <x:font>
        <x:b/>
        <x:color rgb="FF8A5A00"/>
      </x:font>
      <x:fill>
        <x:patternFill>
          <x:bgColor rgb="FFFFF4D6"/>
        </x:patternFill>
      </x:fill>
    </x:dxf>
    <x:dxf>
      <x:font>
        <x:b/>
        <x:color rgb="FF8A5A00"/>
      </x:font>
      <x:fill>
        <x:patternFill>
          <x:bgColor rgb="FFFFF4D6"/>
        </x:patternFill>
      </x:fill>
    </x:dxf>
    <x:dxf>
      <x:font>
        <x:b/>
        <x:color rgb="FFB42318"/>
      </x:font>
      <x:fill>
        <x:patternFill>
          <x:bgColor rgb="FFFDE8E7"/>
        </x:patternFill>
      </x:fill>
    </x:dxf>
    <x:dxf>
      <x:font>
        <x:b/>
        <x:color rgb="FF2563EB"/>
      </x:font>
      <x:fill>
        <x:patternFill>
          <x:bgColor rgb="FFE8F1FB"/>
        </x:patternFill>
      </x:fill>
    </x:dxf>
    <x:dxf>
      <x:font>
        <x:b/>
        <x:color rgb="FF8A5A00"/>
      </x:font>
      <x:fill>
        <x:patternFill>
          <x:bgColor rgb="FFFFF4D6"/>
        </x:patternFill>
      </x:fill>
    </x:dxf>
    <x:dxf>
      <x:font>
        <x:b/>
        <x:color rgb="FF206A3B"/>
      </x:font>
      <x:fill>
        <x:patternFill>
          <x:bgColor rgb="FFE6F4EA"/>
        </x:patternFill>
      </x:fill>
    </x:dxf>
    <x:dxf>
      <x:font>
        <x:b/>
        <x:color rgb="FF8A5A00"/>
      </x:font>
      <x:fill>
        <x:patternFill>
          <x:bgColor rgb="FFFFF4D6"/>
        </x:patternFill>
      </x:fill>
    </x:dxf>
    <x:dxf>
      <x:font>
        <x:b/>
        <x:color rgb="FF8A5A00"/>
      </x:font>
      <x:fill>
        <x:patternFill>
          <x:bgColor rgb="FFFFF4D6"/>
        </x:patternFill>
      </x:fill>
    </x:dxf>
    <x:dxf>
      <x:font>
        <x:b/>
        <x:color rgb="FF206A3B"/>
      </x:font>
      <x:fill>
        <x:patternFill>
          <x:bgColor rgb="FFE6F4EA"/>
        </x:patternFill>
      </x:fill>
    </x:dxf>
    <x:dxf>
      <x:font>
        <x:b/>
        <x:color rgb="FF206A3B"/>
      </x:font>
      <x:fill>
        <x:patternFill>
          <x:bgColor rgb="FFE6F4EA"/>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d7c6dd84c784aeb" /><Relationship Type="http://schemas.openxmlformats.org/officeDocument/2006/relationships/theme" Target="/xl/theme/theme1.xml" Id="Rf2b05c4bd7df464b" /><Relationship Type="http://schemas.openxmlformats.org/officeDocument/2006/relationships/sharedStrings" Target="/xl/sharedStrings.xml" Id="R7dbaef6e4dad4fce" /><Relationship Type="http://schemas.openxmlformats.org/officeDocument/2006/relationships/worksheet" Target="/xl/worksheets/sheet1.xml" Id="R89d7fe9f994f4ccc" /><Relationship Type="http://schemas.openxmlformats.org/officeDocument/2006/relationships/worksheet" Target="/xl/worksheets/sheet2.xml" Id="R0c8ed123063b41d7" /><Relationship Type="http://schemas.openxmlformats.org/officeDocument/2006/relationships/worksheet" Target="/xl/worksheets/sheet3.xml" Id="Rcf9b4583eaa54fc8" /><Relationship Type="http://schemas.openxmlformats.org/officeDocument/2006/relationships/worksheet" Target="/xl/worksheets/sheet4.xml" Id="Re13da91f192342a1" /><Relationship Type="http://schemas.openxmlformats.org/officeDocument/2006/relationships/worksheet" Target="/xl/worksheets/sheet5.xml" Id="Rc447554bd74a43d2" /><Relationship Type="http://schemas.openxmlformats.org/officeDocument/2006/relationships/worksheet" Target="/xl/worksheets/sheet6.xml" Id="R490bf08df6a5405c" /></Relationships>
</file>

<file path=xl/drawings/_rels/drawing1.xml.rels>&#65279;<?xml version="1.0" encoding="utf-8"?><Relationships xmlns="http://schemas.openxmlformats.org/package/2006/relationships"><Relationship Type="http://schemas.openxmlformats.org/officeDocument/2006/relationships/chart" Target="/xl/drawings/charts/chart1.xml" Id="R183607d3124744b8" /><Relationship Type="http://schemas.openxmlformats.org/officeDocument/2006/relationships/chart" Target="/xl/drawings/charts/chart2.xml" Id="Re47eb9e9a24541d4"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rPr sz="900"/>
              <a:t>Sources by Document Type</a:t>
            </a:r>
          </a:p>
        </c:rich>
      </c:tx>
      <c:overlay val="0"/>
      <c:txPr>
        <a:bodyPr xmlns:a="http://schemas.openxmlformats.org/drawingml/2006/main" anchorCtr="1"/>
        <a:lstStyle xmlns:a="http://schemas.openxmlformats.org/drawingml/2006/main"/>
        <a:p xmlns:a="http://schemas.openxmlformats.org/drawingml/2006/main">
          <a:pPr>
            <a:defRPr sz="900"/>
          </a:pPr>
        </a:p>
      </c:txPr>
    </c:title>
    <c:plotArea>
      <c:barChart>
        <c:barDir val="col"/>
        <c:grouping val="clustered"/>
        <c:varyColors val="0"/>
        <c:ser>
          <c:idx val="0"/>
          <c:order val="0"/>
          <c:tx>
            <c:v>COUNT</c:v>
          </c:tx>
          <c:spPr>
            <a:ln xmlns:a="http://schemas.openxmlformats.org/drawingml/2006/main">
              <a:prstDash val="solid"/>
            </a:ln>
          </c:spPr>
          <c:cat>
            <c:strRef>
              <c:f>'Dashboard'!$A$12:$A$22</c:f>
              <c:strCache>
                <c:ptCount val="0"/>
              </c:strCache>
            </c:strRef>
          </c:cat>
          <c:val>
            <c:numRef>
              <c:f>'Dashboard'!$B$12:$B$22</c:f>
              <c:numCache>
                <c:formatCode>0</c:formatCode>
                <c:ptCount val="0"/>
              </c:numCache>
            </c:numRef>
          </c:val>
        </c:ser>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lblOffset val="100"/>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0" sourceLinked="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rPr sz="900"/>
              <a:t>Selection Status</a:t>
            </a:r>
          </a:p>
        </c:rich>
      </c:tx>
      <c:overlay val="0"/>
      <c:txPr>
        <a:bodyPr xmlns:a="http://schemas.openxmlformats.org/drawingml/2006/main" anchorCtr="1"/>
        <a:lstStyle xmlns:a="http://schemas.openxmlformats.org/drawingml/2006/main"/>
        <a:p xmlns:a="http://schemas.openxmlformats.org/drawingml/2006/main">
          <a:pPr>
            <a:defRPr sz="900"/>
          </a:pPr>
        </a:p>
      </c:txPr>
    </c:title>
    <c:plotArea>
      <c:doughnutChart>
        <c:ser>
          <c:idx val="0"/>
          <c:order val="0"/>
          <c:tx>
            <c:v>COUNT</c:v>
          </c:tx>
          <c:spPr>
            <a:ln xmlns:a="http://schemas.openxmlformats.org/drawingml/2006/main">
              <a:prstDash val="solid"/>
            </a:ln>
          </c:spPr>
          <c:cat>
            <c:strRef>
              <c:f>'Dashboard'!$A$36:$A$38</c:f>
              <c:strCache>
                <c:ptCount val="0"/>
              </c:strCache>
            </c:strRef>
          </c:cat>
          <c:val>
            <c:numRef>
              <c:f>'Dashboard'!$B$36:$B$38</c:f>
              <c:numCache>
                <c:formatCode>General</c:formatCode>
                <c:ptCount val="0"/>
              </c:numCache>
            </c:numRef>
          </c:val>
        </c:ser>
        <c:firstSliceAng val="0"/>
        <c:holeSize val="10"/>
      </c:doughnutChart>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10</xdr:row>
      <xdr:rowOff>0</xdr:rowOff>
    </xdr:from>
    <xdr:to>
      <xdr:col>11</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83607d3124744b8"/>
        </a:graphicData>
      </a:graphic>
    </xdr:graphicFrame>
    <xdr:clientData/>
  </xdr:twoCellAnchor>
  <xdr:twoCellAnchor>
    <xdr:from>
      <xdr:col>3</xdr:col>
      <xdr:colOff>0</xdr:colOff>
      <xdr:row>26</xdr:row>
      <xdr:rowOff>0</xdr:rowOff>
    </xdr:from>
    <xdr:to>
      <xdr:col>11</xdr:col>
      <xdr:colOff>0</xdr:colOff>
      <xdr:row>40</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47eb9e9a24541d4"/>
        </a:graphicData>
      </a:graphic>
    </xdr:graphicFrame>
    <xdr:clientData/>
  </xdr:twoCellAnchor>
</xdr:wsDr>
</file>

<file path=xl/tables/table1.xml><?xml version="1.0" encoding="utf-8"?>
<x:table xmlns:x="http://schemas.openxmlformats.org/spreadsheetml/2006/main" id="1" name="SourceRegisterTable" displayName="SourceRegisterTable" ref="A2:AR89" headerRowCount="1" totalsRowCount="0" totalsRowShown="0">
  <x:tableColumns count="44">
    <x:tableColumn id="1" name="source_id"/>
    <x:tableColumn id="2" name="snapshot_id"/>
    <x:tableColumn id="3" name="source_title"/>
    <x:tableColumn id="4" name="official_url"/>
    <x:tableColumn id="5" name="retrieval_url"/>
    <x:tableColumn id="6" name="folder_code"/>
    <x:tableColumn id="7" name="file_format"/>
    <x:tableColumn id="8" name="stored_filename"/>
    <x:tableColumn id="9" name="snapshot_status"/>
    <x:tableColumn id="10" name="issuer"/>
    <x:tableColumn id="11" name="jurisdiction"/>
    <x:tableColumn id="12" name="authoritative_language"/>
    <x:tableColumn id="13" name="version"/>
    <x:tableColumn id="14" name="effective_date"/>
    <x:tableColumn id="15" name="source_family"/>
    <x:tableColumn id="16" name="document_type"/>
    <x:tableColumn id="17" name="requirement_role"/>
    <x:tableColumn id="18" name="inclusion_rationale"/>
    <x:tableColumn id="19" name="authority_quality"/>
    <x:tableColumn id="20" name="scope_relevance"/>
    <x:tableColumn id="21" name="version_currency"/>
    <x:tableColumn id="22" name="traceability"/>
    <x:tableColumn id="23" name="access_permission"/>
    <x:tableColumn id="24" name="automation_readiness"/>
    <x:tableColumn id="25" name="selection_status"/>
    <x:tableColumn id="26" name="download_status"/>
    <x:tableColumn id="27" name="last_attempt_at"/>
    <x:tableColumn id="28" name="last_success_at"/>
    <x:tableColumn id="29" name="content_change"/>
    <x:tableColumn id="30" name="current_origin"/>
    <x:tableColumn id="31" name="current_snapshot_date"/>
    <x:tableColumn id="32" name="manual_update_date"/>
    <x:tableColumn id="33" name="manual_updated_by"/>
    <x:tableColumn id="34" name="failure_stage"/>
    <x:tableColumn id="35" name="failure_reason"/>
    <x:tableColumn id="36" name="needs_human_action"/>
    <x:tableColumn id="37" name="content_hash"/>
    <x:tableColumn id="38" name="source_status"/>
    <x:tableColumn id="39" name="primary_source_id"/>
    <x:tableColumn id="40" name="notes"/>
    <x:tableColumn id="41" name="acquisition_channel"/>
    <x:tableColumn id="42" name="provenance_status"/>
    <x:tableColumn id="43" name="update_model"/>
    <x:tableColumn id="44" name="applicability_reference"/>
  </x:tableColumns>
  <x:tableStyleInfo name="TableStyleMedium2" showFirstColumn="0" showLastColumn="0" showRowStripes="1" showColumnStripes="0"/>
</x:table>
</file>

<file path=xl/tables/table2.xml><?xml version="1.0" encoding="utf-8"?>
<x:table xmlns:x="http://schemas.openxmlformats.org/spreadsheetml/2006/main" id="2" name="HumanOperationsTable" displayName="HumanOperationsTable" ref="A2:W4" headerRowCount="1" totalsRowCount="0" totalsRowShown="0">
  <x:tableColumns count="23">
    <x:tableColumn id="1" name="operation_id"/>
    <x:tableColumn id="2" name="operation_type"/>
    <x:tableColumn id="3" name="source_id"/>
    <x:tableColumn id="4" name="source_title"/>
    <x:tableColumn id="5" name="trigger"/>
    <x:tableColumn id="6" name="proposed_action"/>
    <x:tableColumn id="7" name="decision"/>
    <x:tableColumn id="8" name="operator"/>
    <x:tableColumn id="9" name="checked_at"/>
    <x:tableColumn id="10" name="operator_note"/>
    <x:tableColumn id="11" name="program_status"/>
    <x:tableColumn id="12" name="program_operated_at"/>
    <x:tableColumn id="13" name="program_note"/>
    <x:tableColumn id="14" name="official_url"/>
    <x:tableColumn id="15" name="issuer"/>
    <x:tableColumn id="16" name="jurisdiction"/>
    <x:tableColumn id="17" name="document_type"/>
    <x:tableColumn id="18" name="source_family"/>
    <x:tableColumn id="19" name="requirement_role"/>
    <x:tableColumn id="20" name="authoritative_language"/>
    <x:tableColumn id="21" name="file_format"/>
    <x:tableColumn id="22" name="created_at"/>
    <x:tableColumn id="23" name="payload_json"/>
  </x:tableColumns>
  <x:tableStyleInfo name="TableStyleMedium2" showFirstColumn="0" showLastColumn="0" showRowStripes="1" showColumnStripes="0"/>
</x:table>
</file>

<file path=xl/tables/table3.xml><?xml version="1.0" encoding="utf-8"?>
<x:table xmlns:x="http://schemas.openxmlformats.org/spreadsheetml/2006/main" id="3" name="QAInspectionLogTable" displayName="QAInspectionLogTable" ref="A2:O3" headerRowCount="1" totalsRowCount="0" totalsRowShown="0">
  <x:tableColumns count="15">
    <x:tableColumn id="1" name="qa_batch_id"/>
    <x:tableColumn id="2" name="inspection_at"/>
    <x:tableColumn id="3" name="operators"/>
    <x:tableColumn id="4" name="requested_count"/>
    <x:tableColumn id="5" name="checked_count"/>
    <x:tableColumn id="6" name="correct_count"/>
    <x:tableColumn id="7" name="incorrect_count"/>
    <x:tableColumn id="8" name="accuracy"/>
    <x:tableColumn id="9" name="source_ids"/>
    <x:tableColumn id="10" name="sample_method"/>
    <x:tableColumn id="11" name="detail_status"/>
    <x:tableColumn id="12" name="batch_status"/>
    <x:tableColumn id="13" name="notes"/>
    <x:tableColumn id="14" name="recorded_at"/>
    <x:tableColumn id="15" name="last_synced_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b71533c613aa459b" /></Relationships>
</file>

<file path=xl/worksheets/_rels/sheet4.xml.rels>&#65279;<?xml version="1.0" encoding="utf-8"?><Relationships xmlns="http://schemas.openxmlformats.org/package/2006/relationships"><Relationship Type="http://schemas.openxmlformats.org/officeDocument/2006/relationships/drawing" Target="/xl/drawings/drawing1.xml" Id="Rf244f669feef4ddd" /></Relationships>
</file>

<file path=xl/worksheets/_rels/sheet5.xml.rels>&#65279;<?xml version="1.0" encoding="utf-8"?><Relationships xmlns="http://schemas.openxmlformats.org/package/2006/relationships"><Relationship Type="http://schemas.openxmlformats.org/officeDocument/2006/relationships/table" Target="/xl/tables/table2.xml" Id="R6353878ce5704fb1" /></Relationships>
</file>

<file path=xl/worksheets/_rels/sheet6.xml.rels>&#65279;<?xml version="1.0" encoding="utf-8"?><Relationships xmlns="http://schemas.openxmlformats.org/package/2006/relationships"><Relationship Type="http://schemas.openxmlformats.org/officeDocument/2006/relationships/table" Target="/xl/tables/table3.xml" Id="R5b96521b9415478e"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8" style="36" customWidth="1"/>
    <x:col min="2" max="2" width="34" style="36" customWidth="1"/>
    <x:col min="3" max="3" width="20" style="36" customWidth="1"/>
    <x:col min="4" max="4" width="25" style="36" customWidth="1"/>
    <x:col min="5" max="5" width="38" style="36" customWidth="1"/>
    <x:col min="6" max="6" width="34" style="36" customWidth="1"/>
  </x:cols>
  <x:sheetData>
    <x:row r="1" s="36" customFormat="1" ht="34" customHeight="1">
      <x:c r="A1" s="4" t="inlineStr">
        <x:is>
          <x:t xml:space="preserve">Requirement Source Registry | Instructions</x:t>
        </x:is>
      </x:c>
    </x:row>
    <x:row r="2" s="36" customFormat="1" ht="38" customHeight="1">
      <x:c r="A2" s="8" t="str">
        <x:v>This workbook is the human-readable source register. Source family, document type and requirement role are independent classification dimensions. The team maintains identity, provenance, applicability and selection assessments; the updater maintains retrieval state, hashes and fallback signals. QA Inspection Log retains one row per completed inspection batch. INCLUDE is a source-quality screen, not final client applicability approval.</x:v>
      </x:c>
    </x:row>
    <x:row r="3">
      <x:c r="E3" s="14" t="inlineStr">
        <x:is>
          <x:t xml:space="preserve">Today helper</x:t>
        </x:is>
      </x:c>
      <x:c r="F3" s="388" t="n">
        <x:f>TODAY()</x:f>
        <x:v>46265</x:v>
      </x:c>
    </x:row>
    <x:row r="5" s="36" customFormat="1" ht="25" customHeight="1">
      <x:c r="A5" s="18" t="inlineStr">
        <x:is>
          <x:t xml:space="preserve">1. Workbook structure</x:t>
        </x:is>
      </x:c>
    </x:row>
    <x:row r="6" s="36" customFormat="1" ht="32" customHeight="1">
      <x:c r="A6" s="32" t="inlineStr">
        <x:is>
          <x:t xml:space="preserve">Sheet</x:t>
        </x:is>
      </x:c>
      <x:c r="B6" s="33" t="inlineStr">
        <x:is>
          <x:t xml:space="preserve">Purpose</x:t>
        </x:is>
      </x:c>
      <x:c r="C6" s="34" t="inlineStr">
        <x:is>
          <x:t xml:space="preserve">How to use it</x:t>
        </x:is>
      </x:c>
    </x:row>
    <x:row r="7" s="36" customFormat="1" ht="38" customHeight="1">
      <x:c r="A7" s="652" t="inlineStr">
        <x:is>
          <x:t xml:space="preserve">Instructions</x:t>
        </x:is>
      </x:c>
      <x:c r="B7" s="652" t="inlineStr">
        <x:is>
          <x:t xml:space="preserve">Sheet guide, field dictionary, source-selection criteria and operating rules</x:t>
        </x:is>
      </x:c>
      <x:c r="C7" s="652" t="inlineStr">
        <x:is>
          <x:t xml:space="preserve">Read first; this is the operating contract</x:t>
        </x:is>
      </x:c>
    </x:row>
    <x:row r="8" s="36" customFormat="1" ht="38" customHeight="1">
      <x:c r="A8" s="652" t="inlineStr">
        <x:is>
          <x:t xml:space="preserve">Categories</x:t>
        </x:is>
      </x:c>
      <x:c r="B8" s="652" t="inlineStr">
        <x:is>
          <x:t xml:space="preserve">Controlled codes, dropdown values, definitions and folder mappings</x:t>
        </x:is>
      </x:c>
      <x:c r="C8" s="652" t="inlineStr">
        <x:is>
          <x:t xml:space="preserve">Do not create alternative spellings in Source Register</x:t>
        </x:is>
      </x:c>
    </x:row>
    <x:row r="9" s="36" customFormat="1" ht="38" customHeight="1">
      <x:c r="A9" s="652" t="inlineStr">
        <x:is>
          <x:t xml:space="preserve">Source Register</x:t>
        </x:is>
      </x:c>
      <x:c r="B9" s="652" t="inlineStr">
        <x:is>
          <x:t xml:space="preserve">One source per row, with identity, classification, assessment and update state</x:t>
        </x:is>
      </x:c>
      <x:c r="C9" s="652" t="inlineStr">
        <x:is>
          <x:t xml:space="preserve">Program-owned register; use Human Operation Desktop for routine changes</x:t>
        </x:is>
      </x:c>
    </x:row>
    <x:row r="10" s="36" customFormat="1" ht="38" customHeight="1">
      <x:c r="A10" s="652" t="inlineStr">
        <x:is>
          <x:t xml:space="preserve">Human Operation Desktop</x:t>
        </x:is>
      </x:c>
      <x:c r="B10" s="652" t="inlineStr">
        <x:is>
          <x:t xml:space="preserve">Single human decision queue for reviews, new-source approvals and random QA</x:t>
        </x:is>
      </x:c>
      <x:c r="C10" s="652" t="inlineStr">
        <x:is>
          <x:t xml:space="preserve">Choose a decision, enter operator and note, save and run the processor</x:t>
        </x:is>
      </x:c>
    </x:row>
    <x:row r="11" s="36" customFormat="1" ht="38" customHeight="1">
      <x:c r="A11" s="652" t="str">
        <x:v>Dashboard / QA Inspection Log</x:v>
      </x:c>
      <x:c r="B11" s="652" t="str">
        <x:v>Live KPIs and controls, plus permanent batch-level QA history</x:v>
      </x:c>
      <x:c r="C11" s="652" t="str">
        <x:v>Use Dashboard for the latest status; use QA Inspection Log to review prior inspection rounds</x:v>
      </x:c>
    </x:row>
    <x:row r="12" s="36" customFormat="1" ht="25" customHeight="1">
      <x:c r="A12" s="18" t="inlineStr">
        <x:is>
          <x:t xml:space="preserve">2. Source Register field dictionary</x:t>
        </x:is>
      </x:c>
    </x:row>
    <x:row r="13" s="36" customFormat="1" ht="32" customHeight="1">
      <x:c r="A13" s="32" t="inlineStr">
        <x:is>
          <x:t xml:space="preserve">Group</x:t>
        </x:is>
      </x:c>
      <x:c r="B13" s="33" t="inlineStr">
        <x:is>
          <x:t xml:space="preserve">Field name</x:t>
        </x:is>
      </x:c>
      <x:c r="C13" s="33" t="inlineStr">
        <x:is>
          <x:t xml:space="preserve">Owner</x:t>
        </x:is>
      </x:c>
      <x:c r="D13" s="33" t="inlineStr">
        <x:is>
          <x:t xml:space="preserve">Requirement</x:t>
        </x:is>
      </x:c>
      <x:c r="E13" s="33" t="inlineStr">
        <x:is>
          <x:t xml:space="preserve">Meaning</x:t>
        </x:is>
      </x:c>
      <x:c r="F13" s="34" t="inlineStr">
        <x:is>
          <x:t xml:space="preserve">Key rule</x:t>
        </x:is>
      </x:c>
    </x:row>
    <x:row r="14" s="36" customFormat="1" ht="26.399999618530273" customHeight="1">
      <x:c r="A14" s="50" t="inlineStr">
        <x:is>
          <x:t xml:space="preserve">Identity &amp; File</x:t>
        </x:is>
      </x:c>
      <x:c r="B14" s="51" t="inlineStr">
        <x:is>
          <x:t xml:space="preserve">source_id</x:t>
        </x:is>
      </x:c>
      <x:c r="C14" s="51" t="inlineStr">
        <x:is>
          <x:t xml:space="preserve">Team</x:t>
        </x:is>
      </x:c>
      <x:c r="D14" s="51" t="inlineStr">
        <x:is>
          <x:t xml:space="preserve">Required</x:t>
        </x:is>
      </x:c>
      <x:c r="E14" s="51" t="inlineStr">
        <x:is>
          <x:t xml:space="preserve">Stable source primary key: two-letter source-family code plus three digits</x:t>
        </x:is>
      </x:c>
      <x:c r="F14" s="52" t="inlineStr">
        <x:is>
          <x:t xml:space="preserve">Example CS001; controlled batch renaming is allowed during the candidate stage</x:t>
        </x:is>
      </x:c>
    </x:row>
    <x:row r="15" s="36" customFormat="1" ht="15" customHeight="1">
      <x:c r="A15" s="50" t="inlineStr">
        <x:is>
          <x:t xml:space="preserve">Identity &amp; File</x:t>
        </x:is>
      </x:c>
      <x:c r="B15" s="51" t="inlineStr">
        <x:is>
          <x:t xml:space="preserve">snapshot_id</x:t>
        </x:is>
      </x:c>
      <x:c r="C15" s="51" t="inlineStr">
        <x:is>
          <x:t xml:space="preserve">Team / Program</x:t>
        </x:is>
      </x:c>
      <x:c r="D15" s="51" t="inlineStr">
        <x:is>
          <x:t xml:space="preserve">Required</x:t>
        </x:is>
      </x:c>
      <x:c r="E15" s="51" t="inlineStr">
        <x:is>
          <x:t xml:space="preserve">Identifier of the current valid file snapshot</x:t>
        </x:is>
      </x:c>
      <x:c r="F15" s="52" t="inlineStr">
        <x:is>
          <x:t xml:space="preserve">Example CS001-001; increment only when content actually changes</x:t>
        </x:is>
      </x:c>
    </x:row>
    <x:row r="16" s="36" customFormat="1" ht="15" customHeight="1">
      <x:c r="A16" s="50" t="inlineStr">
        <x:is>
          <x:t xml:space="preserve">Identity &amp; File</x:t>
        </x:is>
      </x:c>
      <x:c r="B16" s="51" t="inlineStr">
        <x:is>
          <x:t xml:space="preserve">source_title</x:t>
        </x:is>
      </x:c>
      <x:c r="C16" s="51" t="inlineStr">
        <x:is>
          <x:t xml:space="preserve">Team</x:t>
        </x:is>
      </x:c>
      <x:c r="D16" s="51" t="inlineStr">
        <x:is>
          <x:t xml:space="preserve">Required</x:t>
        </x:is>
      </x:c>
      <x:c r="E16" s="51" t="inlineStr">
        <x:is>
          <x:t xml:space="preserve">Official source title</x:t>
        </x:is>
      </x:c>
      <x:c r="F16" s="52" t="inlineStr">
        <x:is>
          <x:t xml:space="preserve">Prefer the title published by the issuing organisation</x:t>
        </x:is>
      </x:c>
    </x:row>
    <x:row r="17" s="36" customFormat="1" ht="26.399999618530273" customHeight="1">
      <x:c r="A17" s="50" t="inlineStr">
        <x:is>
          <x:t xml:space="preserve">Identity &amp; File</x:t>
        </x:is>
      </x:c>
      <x:c r="B17" s="51" t="inlineStr">
        <x:is>
          <x:t xml:space="preserve">official_url</x:t>
        </x:is>
      </x:c>
      <x:c r="C17" s="51" t="inlineStr">
        <x:is>
          <x:t xml:space="preserve">Team / Program</x:t>
        </x:is>
      </x:c>
      <x:c r="D17" s="51" t="inlineStr">
        <x:is>
          <x:t xml:space="preserve">Conditional</x:t>
        </x:is>
      </x:c>
      <x:c r="E17" s="51" t="inlineStr">
        <x:is>
          <x:t xml:space="preserve">Official publication page used to verify issuer and source identity</x:t>
        </x:is>
      </x:c>
      <x:c r="F17" s="52" t="inlineStr">
        <x:is>
          <x:t xml:space="preserve">Required when a public official page exists; private sources need equivalent identity and provenance evidence</x:t>
        </x:is>
      </x:c>
    </x:row>
    <x:row r="18" s="36" customFormat="1" ht="15" customHeight="1">
      <x:c r="A18" s="50" t="inlineStr">
        <x:is>
          <x:t xml:space="preserve">Identity &amp; File</x:t>
        </x:is>
      </x:c>
      <x:c r="B18" s="51" t="inlineStr">
        <x:is>
          <x:t xml:space="preserve">retrieval_url</x:t>
        </x:is>
      </x:c>
      <x:c r="C18" s="51" t="inlineStr">
        <x:is>
          <x:t xml:space="preserve">Team / Program</x:t>
        </x:is>
      </x:c>
      <x:c r="D18" s="51" t="inlineStr">
        <x:is>
          <x:t xml:space="preserve">Required before automation</x:t>
        </x:is>
      </x:c>
      <x:c r="E18" s="51" t="inlineStr">
        <x:is>
          <x:t xml:space="preserve">URL used by the updater to download PDF or retrieve HTML</x:t>
        </x:is>
      </x:c>
      <x:c r="F18" s="52" t="inlineStr">
        <x:is>
          <x:t xml:space="preserve">Do not replace a stable entry point with a temporary redirect URL</x:t>
        </x:is>
      </x:c>
    </x:row>
    <x:row r="19" s="36" customFormat="1" ht="26.399999618530273" customHeight="1">
      <x:c r="A19" s="50" t="inlineStr">
        <x:is>
          <x:t xml:space="preserve">Identity &amp; File</x:t>
        </x:is>
      </x:c>
      <x:c r="B19" s="51" t="inlineStr">
        <x:is>
          <x:t xml:space="preserve">folder_code</x:t>
        </x:is>
      </x:c>
      <x:c r="C19" s="51" t="inlineStr">
        <x:is>
          <x:t xml:space="preserve">Team</x:t>
        </x:is>
      </x:c>
      <x:c r="D19" s="51" t="inlineStr">
        <x:is>
          <x:t xml:space="preserve">Required</x:t>
        </x:is>
      </x:c>
      <x:c r="E19" s="51" t="inlineStr">
        <x:is>
          <x:t xml:space="preserve">Source-family folder under Source_Files</x:t>
        </x:is>
      </x:c>
      <x:c r="F19" s="52" t="inlineStr">
        <x:is>
          <x:t xml:space="preserve">Classify by who is responsible for the content, not by who supplied the copy</x:t>
        </x:is>
      </x:c>
    </x:row>
    <x:row r="20" s="36" customFormat="1" ht="26.399999618530273" customHeight="1">
      <x:c r="A20" s="50" t="inlineStr">
        <x:is>
          <x:t xml:space="preserve">Identity &amp; File</x:t>
        </x:is>
      </x:c>
      <x:c r="B20" s="51" t="inlineStr">
        <x:is>
          <x:t xml:space="preserve">file_format</x:t>
        </x:is>
      </x:c>
      <x:c r="C20" s="51" t="inlineStr">
        <x:is>
          <x:t xml:space="preserve">Team / Program</x:t>
        </x:is>
      </x:c>
      <x:c r="D20" s="51" t="inlineStr">
        <x:is>
          <x:t xml:space="preserve">Required</x:t>
        </x:is>
      </x:c>
      <x:c r="E20" s="51" t="inlineStr">
        <x:is>
          <x:t xml:space="preserve">Original format that is actually stored</x:t>
        </x:is>
      </x:c>
      <x:c r="F20" s="52" t="inlineStr">
        <x:is>
          <x:t xml:space="preserve">Use the original published format: pdf, html, xlsx or zip; do not convert one format into another canonical source</x:t>
        </x:is>
      </x:c>
    </x:row>
    <x:row r="21" s="36" customFormat="1" ht="15" customHeight="1">
      <x:c r="A21" s="50" t="inlineStr">
        <x:is>
          <x:t xml:space="preserve">Identity &amp; File</x:t>
        </x:is>
      </x:c>
      <x:c r="B21" s="51" t="inlineStr">
        <x:is>
          <x:t xml:space="preserve">stored_filename</x:t>
        </x:is>
      </x:c>
      <x:c r="C21" s="51" t="inlineStr">
        <x:is>
          <x:t xml:space="preserve">Team / Program</x:t>
        </x:is>
      </x:c>
      <x:c r="D21" s="51" t="inlineStr">
        <x:is>
          <x:t xml:space="preserve">Required</x:t>
        </x:is>
      </x:c>
      <x:c r="E21" s="51" t="inlineStr">
        <x:is>
          <x:t xml:space="preserve">Exact filename of the current valid file</x:t>
        </x:is>
      </x:c>
      <x:c r="F21" s="52" t="inlineStr">
        <x:is>
          <x:t xml:space="preserve">Must begin with snapshot_id followed by an underscore</x:t>
        </x:is>
      </x:c>
    </x:row>
    <x:row r="22" s="36" customFormat="1" ht="15" customHeight="1">
      <x:c r="A22" s="50" t="inlineStr">
        <x:is>
          <x:t xml:space="preserve">Identity &amp; File</x:t>
        </x:is>
      </x:c>
      <x:c r="B22" s="51" t="inlineStr">
        <x:is>
          <x:t xml:space="preserve">snapshot_status</x:t>
        </x:is>
      </x:c>
      <x:c r="C22" s="51" t="inlineStr">
        <x:is>
          <x:t xml:space="preserve">Team / Program</x:t>
        </x:is>
      </x:c>
      <x:c r="D22" s="51" t="inlineStr">
        <x:is>
          <x:t xml:space="preserve">Required</x:t>
        </x:is>
      </x:c>
      <x:c r="E22" s="51" t="inlineStr">
        <x:is>
          <x:t xml:space="preserve">Whether the current file exists in the mapped folder</x:t>
        </x:is>
      </x:c>
      <x:c r="F22" s="52" t="inlineStr">
        <x:is>
          <x:t xml:space="preserve">NOT_COLLECTED / STORED / MISSING</x:t>
        </x:is>
      </x:c>
    </x:row>
    <x:row r="23" s="36" customFormat="1" ht="26.399999618530273" customHeight="1">
      <x:c r="A23" s="50" t="inlineStr">
        <x:is>
          <x:t xml:space="preserve">Source Metadata</x:t>
        </x:is>
      </x:c>
      <x:c r="B23" s="51" t="inlineStr">
        <x:is>
          <x:t xml:space="preserve">issuer</x:t>
        </x:is>
      </x:c>
      <x:c r="C23" s="51" t="inlineStr">
        <x:is>
          <x:t xml:space="preserve">Team</x:t>
        </x:is>
      </x:c>
      <x:c r="D23" s="51" t="inlineStr">
        <x:is>
          <x:t xml:space="preserve">Required before INCLUDE</x:t>
        </x:is>
      </x:c>
      <x:c r="E23" s="51" t="inlineStr">
        <x:is>
          <x:t xml:space="preserve">Publisher, regulator, standards body, scheme owner or manufacturer</x:t>
        </x:is>
      </x:c>
      <x:c r="F23" s="52" t="inlineStr">
        <x:is>
          <x:t xml:space="preserve">Used to verify authority</x:t>
        </x:is>
      </x:c>
    </x:row>
    <x:row r="24" s="36" customFormat="1" ht="15" customHeight="1">
      <x:c r="A24" s="50" t="inlineStr">
        <x:is>
          <x:t xml:space="preserve">Source Metadata</x:t>
        </x:is>
      </x:c>
      <x:c r="B24" s="51" t="inlineStr">
        <x:is>
          <x:t xml:space="preserve">jurisdiction</x:t>
        </x:is>
      </x:c>
      <x:c r="C24" s="51" t="inlineStr">
        <x:is>
          <x:t xml:space="preserve">Team</x:t>
        </x:is>
      </x:c>
      <x:c r="D24" s="51" t="inlineStr">
        <x:is>
          <x:t xml:space="preserve">Conditional</x:t>
        </x:is>
      </x:c>
      <x:c r="E24" s="51" t="inlineStr">
        <x:is>
          <x:t xml:space="preserve">Geographic or institutional applicability</x:t>
        </x:is>
      </x:c>
      <x:c r="F24" s="52" t="inlineStr">
        <x:is>
          <x:t xml:space="preserve">Use the controlled list; explain unusual cases in notes</x:t>
        </x:is>
      </x:c>
    </x:row>
    <x:row r="25" s="36" customFormat="1" ht="15" customHeight="1">
      <x:c r="A25" s="50" t="inlineStr">
        <x:is>
          <x:t xml:space="preserve">Source Metadata</x:t>
        </x:is>
      </x:c>
      <x:c r="B25" s="51" t="inlineStr">
        <x:is>
          <x:t xml:space="preserve">authoritative_language</x:t>
        </x:is>
      </x:c>
      <x:c r="C25" s="51" t="inlineStr">
        <x:is>
          <x:t xml:space="preserve">Team</x:t>
        </x:is>
      </x:c>
      <x:c r="D25" s="51" t="inlineStr">
        <x:is>
          <x:t xml:space="preserve">Required before INCLUDE</x:t>
        </x:is>
      </x:c>
      <x:c r="E25" s="51" t="inlineStr">
        <x:is>
          <x:t xml:space="preserve">Language with authoritative effect</x:t>
        </x:is>
      </x:c>
      <x:c r="F25" s="52" t="inlineStr">
        <x:is>
          <x:t xml:space="preserve">Do not record only the language of a working translation</x:t>
        </x:is>
      </x:c>
    </x:row>
    <x:row r="26" s="36" customFormat="1" ht="26.399999618530273" customHeight="1">
      <x:c r="A26" s="50" t="inlineStr">
        <x:is>
          <x:t xml:space="preserve">Source Metadata</x:t>
        </x:is>
      </x:c>
      <x:c r="B26" s="51" t="inlineStr">
        <x:is>
          <x:t xml:space="preserve">version</x:t>
        </x:is>
      </x:c>
      <x:c r="C26" s="51" t="inlineStr">
        <x:is>
          <x:t xml:space="preserve">Team / Program</x:t>
        </x:is>
      </x:c>
      <x:c r="D26" s="51" t="inlineStr">
        <x:is>
          <x:t xml:space="preserve">Conditional</x:t>
        </x:is>
      </x:c>
      <x:c r="E26" s="51" t="inlineStr">
        <x:is>
          <x:t xml:space="preserve">Formal version or revision stated by the issuer</x:t>
        </x:is>
      </x:c>
      <x:c r="F26" s="52" t="inlineStr">
        <x:is>
          <x:t xml:space="preserve">Leave blank when the issuer provides no formal version; use update_model for rolling sources</x:t>
        </x:is>
      </x:c>
    </x:row>
    <x:row r="27" s="36" customFormat="1" ht="15" customHeight="1">
      <x:c r="A27" s="50" t="inlineStr">
        <x:is>
          <x:t xml:space="preserve">Source Metadata</x:t>
        </x:is>
      </x:c>
      <x:c r="B27" s="51" t="inlineStr">
        <x:is>
          <x:t xml:space="preserve">effective_date</x:t>
        </x:is>
      </x:c>
      <x:c r="C27" s="51" t="inlineStr">
        <x:is>
          <x:t xml:space="preserve">Team</x:t>
        </x:is>
      </x:c>
      <x:c r="D27" s="51" t="inlineStr">
        <x:is>
          <x:t xml:space="preserve">Conditional</x:t>
        </x:is>
      </x:c>
      <x:c r="E27" s="51" t="inlineStr">
        <x:is>
          <x:t xml:space="preserve">Date when the law, standard or scheme becomes effective</x:t>
        </x:is>
      </x:c>
      <x:c r="F27" s="52" t="inlineStr">
        <x:is>
          <x:t xml:space="preserve">Different from retrieval date</x:t>
        </x:is>
      </x:c>
    </x:row>
    <x:row r="28" s="36" customFormat="1" ht="26.399999618530273" customHeight="1">
      <x:c r="A28" s="50" t="inlineStr">
        <x:is>
          <x:t xml:space="preserve">Classification</x:t>
        </x:is>
      </x:c>
      <x:c r="B28" s="51" t="inlineStr">
        <x:is>
          <x:t xml:space="preserve">source_family</x:t>
        </x:is>
      </x:c>
      <x:c r="C28" s="51" t="inlineStr">
        <x:is>
          <x:t xml:space="preserve">Team</x:t>
        </x:is>
      </x:c>
      <x:c r="D28" s="51" t="inlineStr">
        <x:is>
          <x:t xml:space="preserve">Required</x:t>
        </x:is>
      </x:c>
      <x:c r="E28" s="51" t="inlineStr">
        <x:is>
          <x:t xml:space="preserve">Who is responsible for the source content</x:t>
        </x:is>
      </x:c>
      <x:c r="F28" s="52" t="inlineStr">
        <x:is>
          <x:t xml:space="preserve">Determines source_id prefix and default folder; acquisition channel is separate</x:t>
        </x:is>
      </x:c>
    </x:row>
    <x:row r="29" s="36" customFormat="1" ht="26.399999618530273" customHeight="1">
      <x:c r="A29" s="50" t="inlineStr">
        <x:is>
          <x:t xml:space="preserve">Classification</x:t>
        </x:is>
      </x:c>
      <x:c r="B29" s="51" t="inlineStr">
        <x:is>
          <x:t xml:space="preserve">document_type</x:t>
        </x:is>
      </x:c>
      <x:c r="C29" s="51" t="inlineStr">
        <x:is>
          <x:t xml:space="preserve">Team</x:t>
        </x:is>
      </x:c>
      <x:c r="D29" s="51" t="inlineStr">
        <x:is>
          <x:t xml:space="preserve">Required</x:t>
        </x:is>
      </x:c>
      <x:c r="E29" s="51" t="inlineStr">
        <x:is>
          <x:t xml:space="preserve">What the document is</x:t>
        </x:is>
      </x:c>
      <x:c r="F29" s="52" t="inlineStr">
        <x:is>
          <x:t xml:space="preserve">For example Regulation, Scheme standard or Equipment manual / OEM instruction</x:t>
        </x:is>
      </x:c>
    </x:row>
    <x:row r="30" s="36" customFormat="1" ht="26.399999618530273" customHeight="1">
      <x:c r="A30" s="50" t="inlineStr">
        <x:is>
          <x:t xml:space="preserve">Classification</x:t>
        </x:is>
      </x:c>
      <x:c r="B30" s="51" t="inlineStr">
        <x:is>
          <x:t xml:space="preserve">requirement_role</x:t>
        </x:is>
      </x:c>
      <x:c r="C30" s="51" t="inlineStr">
        <x:is>
          <x:t xml:space="preserve">Team</x:t>
        </x:is>
      </x:c>
      <x:c r="D30" s="51" t="inlineStr">
        <x:is>
          <x:t xml:space="preserve">Required</x:t>
        </x:is>
      </x:c>
      <x:c r="E30" s="51" t="inlineStr">
        <x:is>
          <x:t xml:space="preserve">How the source creates or supports Requirements</x:t>
        </x:is>
      </x:c>
      <x:c r="F30" s="52" t="inlineStr">
        <x:is>
          <x:t xml:space="preserve">Guidance, audit tools and evidence do not automatically become normative sources</x:t>
        </x:is>
      </x:c>
    </x:row>
    <x:row r="31" s="36" customFormat="1" ht="15" customHeight="1">
      <x:c r="A31" s="50" t="inlineStr">
        <x:is>
          <x:t xml:space="preserve">Selection Assessment</x:t>
        </x:is>
      </x:c>
      <x:c r="B31" s="51" t="inlineStr">
        <x:is>
          <x:t xml:space="preserve">inclusion_rationale</x:t>
        </x:is>
      </x:c>
      <x:c r="C31" s="51" t="inlineStr">
        <x:is>
          <x:t xml:space="preserve">Team</x:t>
        </x:is>
      </x:c>
      <x:c r="D31" s="51" t="inlineStr">
        <x:is>
          <x:t xml:space="preserve">Required</x:t>
        </x:is>
      </x:c>
      <x:c r="E31" s="51" t="inlineStr">
        <x:is>
          <x:t xml:space="preserve">Why the source belongs in the approved client scope</x:t>
        </x:is>
      </x:c>
      <x:c r="F31" s="52" t="inlineStr">
        <x:is>
          <x:t xml:space="preserve">Use one concise sentence covering authority, scope and intended use</x:t>
        </x:is>
      </x:c>
    </x:row>
    <x:row r="32" s="36" customFormat="1" ht="15" customHeight="1">
      <x:c r="A32" s="50" t="inlineStr">
        <x:is>
          <x:t xml:space="preserve">Selection Assessment</x:t>
        </x:is>
      </x:c>
      <x:c r="B32" s="51" t="inlineStr">
        <x:is>
          <x:t xml:space="preserve">authority_quality</x:t>
        </x:is>
      </x:c>
      <x:c r="C32" s="51" t="inlineStr">
        <x:is>
          <x:t xml:space="preserve">Team</x:t>
        </x:is>
      </x:c>
      <x:c r="D32" s="51" t="inlineStr">
        <x:is>
          <x:t xml:space="preserve">Required</x:t>
        </x:is>
      </x:c>
      <x:c r="E32" s="51" t="inlineStr">
        <x:is>
          <x:t xml:space="preserve">Authority and authenticity of the source</x:t>
        </x:is>
      </x:c>
      <x:c r="F32" s="52" t="inlineStr">
        <x:is>
          <x:t xml:space="preserve">LOW / MEDIUM / HIGH; see section 3</x:t>
        </x:is>
      </x:c>
    </x:row>
    <x:row r="33" s="36" customFormat="1" ht="15" customHeight="1">
      <x:c r="A33" s="50" t="inlineStr">
        <x:is>
          <x:t xml:space="preserve">Selection Assessment</x:t>
        </x:is>
      </x:c>
      <x:c r="B33" s="51" t="inlineStr">
        <x:is>
          <x:t xml:space="preserve">scope_relevance</x:t>
        </x:is>
      </x:c>
      <x:c r="C33" s="51" t="inlineStr">
        <x:is>
          <x:t xml:space="preserve">Team</x:t>
        </x:is>
      </x:c>
      <x:c r="D33" s="51" t="inlineStr">
        <x:is>
          <x:t xml:space="preserve">Required</x:t>
        </x:is>
      </x:c>
      <x:c r="E33" s="51" t="inlineStr">
        <x:is>
          <x:t xml:space="preserve">Relevance to the approved client scope</x:t>
        </x:is>
      </x:c>
      <x:c r="F33" s="52" t="inlineStr">
        <x:is>
          <x:t xml:space="preserve">LOW / MEDIUM / HIGH</x:t>
        </x:is>
      </x:c>
    </x:row>
    <x:row r="34" s="36" customFormat="1" ht="15" customHeight="1">
      <x:c r="A34" s="50" t="inlineStr">
        <x:is>
          <x:t xml:space="preserve">Selection Assessment</x:t>
        </x:is>
      </x:c>
      <x:c r="B34" s="51" t="inlineStr">
        <x:is>
          <x:t xml:space="preserve">version_currency</x:t>
        </x:is>
      </x:c>
      <x:c r="C34" s="51" t="inlineStr">
        <x:is>
          <x:t xml:space="preserve">Team</x:t>
        </x:is>
      </x:c>
      <x:c r="D34" s="51" t="inlineStr">
        <x:is>
          <x:t xml:space="preserve">Required</x:t>
        </x:is>
      </x:c>
      <x:c r="E34" s="51" t="inlineStr">
        <x:is>
          <x:t xml:space="preserve">Whether the version is current and applicable</x:t>
        </x:is>
      </x:c>
      <x:c r="F34" s="52" t="inlineStr">
        <x:is>
          <x:t xml:space="preserve">LOW / MEDIUM / HIGH</x:t>
        </x:is>
      </x:c>
    </x:row>
    <x:row r="35" s="36" customFormat="1" ht="26.399999618530273" customHeight="1">
      <x:c r="A35" s="50" t="inlineStr">
        <x:is>
          <x:t xml:space="preserve">Selection Assessment</x:t>
        </x:is>
      </x:c>
      <x:c r="B35" s="51" t="inlineStr">
        <x:is>
          <x:t xml:space="preserve">traceability</x:t>
        </x:is>
      </x:c>
      <x:c r="C35" s="51" t="inlineStr">
        <x:is>
          <x:t xml:space="preserve">Team</x:t>
        </x:is>
      </x:c>
      <x:c r="D35" s="51" t="inlineStr">
        <x:is>
          <x:t xml:space="preserve">Required</x:t>
        </x:is>
      </x:c>
      <x:c r="E35" s="51" t="inlineStr">
        <x:is>
          <x:t xml:space="preserve">Whether identity, version and provenance are reproducible</x:t>
        </x:is>
      </x:c>
      <x:c r="F35" s="52" t="inlineStr">
        <x:is>
          <x:t xml:space="preserve">An official URL or equivalent private-source provenance may support HIGH</x:t>
        </x:is>
      </x:c>
    </x:row>
    <x:row r="36" s="36" customFormat="1" ht="26.399999618530273" customHeight="1">
      <x:c r="A36" s="50" t="inlineStr">
        <x:is>
          <x:t xml:space="preserve">Selection Assessment</x:t>
        </x:is>
      </x:c>
      <x:c r="B36" s="51" t="inlineStr">
        <x:is>
          <x:t xml:space="preserve">access_permission</x:t>
        </x:is>
      </x:c>
      <x:c r="C36" s="51" t="inlineStr">
        <x:is>
          <x:t xml:space="preserve">Team</x:t>
        </x:is>
      </x:c>
      <x:c r="D36" s="51" t="inlineStr">
        <x:is>
          <x:t xml:space="preserve">Required</x:t>
        </x:is>
      </x:c>
      <x:c r="E36" s="51" t="inlineStr">
        <x:is>
          <x:t xml:space="preserve">Whether acquisition, internal storage and intended use are authorised</x:t>
        </x:is>
      </x:c>
      <x:c r="F36" s="52" t="inlineStr">
        <x:is>
          <x:t xml:space="preserve">External redistribution is a separate decision and must not be inferred</x:t>
        </x:is>
      </x:c>
    </x:row>
    <x:row r="37" s="36" customFormat="1" ht="15" customHeight="1">
      <x:c r="A37" s="50" t="inlineStr">
        <x:is>
          <x:t xml:space="preserve">Selection Assessment</x:t>
        </x:is>
      </x:c>
      <x:c r="B37" s="51" t="inlineStr">
        <x:is>
          <x:t xml:space="preserve">automation_readiness</x:t>
        </x:is>
      </x:c>
      <x:c r="C37" s="51" t="inlineStr">
        <x:is>
          <x:t xml:space="preserve">Team / Program</x:t>
        </x:is>
      </x:c>
      <x:c r="D37" s="51" t="inlineStr">
        <x:is>
          <x:t xml:space="preserve">Required</x:t>
        </x:is>
      </x:c>
      <x:c r="E37" s="51" t="inlineStr">
        <x:is>
          <x:t xml:space="preserve">Difficulty of automated retrieval, parsing and monitoring</x:t>
        </x:is>
      </x:c>
      <x:c r="F37" s="52" t="inlineStr">
        <x:is>
          <x:t xml:space="preserve">Affects automation effort but not authority</x:t>
        </x:is>
      </x:c>
    </x:row>
    <x:row r="38" s="36" customFormat="1" ht="26.399999618530273" customHeight="1">
      <x:c r="A38" s="50" t="inlineStr">
        <x:is>
          <x:t xml:space="preserve">Selection Assessment</x:t>
        </x:is>
      </x:c>
      <x:c r="B38" s="51" t="inlineStr">
        <x:is>
          <x:t xml:space="preserve">selection_status</x:t>
        </x:is>
      </x:c>
      <x:c r="C38" s="51" t="inlineStr">
        <x:is>
          <x:t xml:space="preserve">Formula</x:t>
        </x:is>
      </x:c>
      <x:c r="D38" s="51" t="inlineStr">
        <x:is>
          <x:t xml:space="preserve">Automatic</x:t>
        </x:is>
      </x:c>
      <x:c r="E38" s="51" t="inlineStr">
        <x:is>
          <x:t xml:space="preserve">INCLUDE / PENDING / EXCLUDE calculated from mandatory scores, provenance and conditional applicability gates</x:t>
        </x:is>
      </x:c>
      <x:c r="F38" s="52" t="inlineStr">
        <x:is>
          <x:t xml:space="preserve">Official-website sources need official_url; equipment sources need manufacturer ownership, inclusion rationale and applicability_reference</x:t>
        </x:is>
      </x:c>
    </x:row>
    <x:row r="39" s="36" customFormat="1" ht="26.399999618530273" customHeight="1">
      <x:c r="A39" s="50" t="inlineStr">
        <x:is>
          <x:t xml:space="preserve">Automated Update &amp; Manual Fallback</x:t>
        </x:is>
      </x:c>
      <x:c r="B39" s="51" t="inlineStr">
        <x:is>
          <x:t xml:space="preserve">download_status</x:t>
        </x:is>
      </x:c>
      <x:c r="C39" s="51" t="inlineStr">
        <x:is>
          <x:t xml:space="preserve">Program</x:t>
        </x:is>
      </x:c>
      <x:c r="D39" s="51" t="inlineStr">
        <x:is>
          <x:t xml:space="preserve">Required</x:t>
        </x:is>
      </x:c>
      <x:c r="E39" s="51" t="inlineStr">
        <x:is>
          <x:t xml:space="preserve">Final state of the latest automated retrieval</x:t>
        </x:is>
      </x:c>
      <x:c r="F39" s="52" t="inlineStr">
        <x:is>
          <x:t xml:space="preserve">NOT_RUN / RUNNING / SUCCESS / FAIL</x:t>
        </x:is>
      </x:c>
    </x:row>
    <x:row r="40" s="36" customFormat="1" ht="26.399999618530273" customHeight="1">
      <x:c r="A40" s="50" t="inlineStr">
        <x:is>
          <x:t xml:space="preserve">Automated Update &amp; Manual Fallback</x:t>
        </x:is>
      </x:c>
      <x:c r="B40" s="51" t="inlineStr">
        <x:is>
          <x:t xml:space="preserve">last_attempt_at</x:t>
        </x:is>
      </x:c>
      <x:c r="C40" s="51" t="inlineStr">
        <x:is>
          <x:t xml:space="preserve">Program</x:t>
        </x:is>
      </x:c>
      <x:c r="D40" s="51" t="inlineStr">
        <x:is>
          <x:t xml:space="preserve">Required after a run</x:t>
        </x:is>
      </x:c>
      <x:c r="E40" s="51" t="inlineStr">
        <x:is>
          <x:t xml:space="preserve">Timestamp of the latest automated attempt</x:t>
        </x:is>
      </x:c>
      <x:c r="F40" s="52" t="inlineStr">
        <x:is>
          <x:t xml:space="preserve">Europe/Oslo local time, yyyy-mm-dd hh:mm</x:t>
        </x:is>
      </x:c>
    </x:row>
    <x:row r="41" s="36" customFormat="1" ht="26.399999618530273" customHeight="1">
      <x:c r="A41" s="50" t="inlineStr">
        <x:is>
          <x:t xml:space="preserve">Automated Update &amp; Manual Fallback</x:t>
        </x:is>
      </x:c>
      <x:c r="B41" s="51" t="inlineStr">
        <x:is>
          <x:t xml:space="preserve">last_success_at</x:t>
        </x:is>
      </x:c>
      <x:c r="C41" s="51" t="inlineStr">
        <x:is>
          <x:t xml:space="preserve">Program</x:t>
        </x:is>
      </x:c>
      <x:c r="D41" s="51" t="inlineStr">
        <x:is>
          <x:t xml:space="preserve">Required after success</x:t>
        </x:is>
      </x:c>
      <x:c r="E41" s="51" t="inlineStr">
        <x:is>
          <x:t xml:space="preserve">Timestamp of the latest fully validated and safely stored retrieval</x:t>
        </x:is>
      </x:c>
      <x:c r="F41" s="52" t="inlineStr">
        <x:is>
          <x:t xml:space="preserve">HTTP 200 alone is not SUCCESS</x:t>
        </x:is>
      </x:c>
    </x:row>
    <x:row r="42" s="36" customFormat="1" ht="26.399999618530273" customHeight="1">
      <x:c r="A42" s="50" t="inlineStr">
        <x:is>
          <x:t xml:space="preserve">Automated Update &amp; Manual Fallback</x:t>
        </x:is>
      </x:c>
      <x:c r="B42" s="51" t="inlineStr">
        <x:is>
          <x:t xml:space="preserve">content_change</x:t>
        </x:is>
      </x:c>
      <x:c r="C42" s="51" t="inlineStr">
        <x:is>
          <x:t xml:space="preserve">Program</x:t>
        </x:is>
      </x:c>
      <x:c r="D42" s="51" t="inlineStr">
        <x:is>
          <x:t xml:space="preserve">Required after a run</x:t>
        </x:is>
      </x:c>
      <x:c r="E42" s="51" t="inlineStr">
        <x:is>
          <x:t xml:space="preserve">Whether retrieval is initial, unchanged or changed</x:t>
        </x:is>
      </x:c>
      <x:c r="F42" s="52" t="inlineStr">
        <x:is>
          <x:t xml:space="preserve">UNKNOWN / INITIAL / UNCHANGED / CHANGED</x:t>
        </x:is>
      </x:c>
    </x:row>
    <x:row r="43" s="36" customFormat="1" ht="26.399999618530273" customHeight="1">
      <x:c r="A43" s="50" t="inlineStr">
        <x:is>
          <x:t xml:space="preserve">Automated Update &amp; Manual Fallback</x:t>
        </x:is>
      </x:c>
      <x:c r="B43" s="51" t="inlineStr">
        <x:is>
          <x:t xml:space="preserve">current_origin</x:t>
        </x:is>
      </x:c>
      <x:c r="C43" s="51" t="inlineStr">
        <x:is>
          <x:t xml:space="preserve">Team / Program</x:t>
        </x:is>
      </x:c>
      <x:c r="D43" s="51" t="inlineStr">
        <x:is>
          <x:t xml:space="preserve">Required</x:t>
        </x:is>
      </x:c>
      <x:c r="E43" s="51" t="inlineStr">
        <x:is>
          <x:t xml:space="preserve">Whether the current snapshot came from automation or manual fallback</x:t>
        </x:is>
      </x:c>
      <x:c r="F43" s="52" t="inlineStr">
        <x:is>
          <x:t xml:space="preserve">NONE / AUTO / MANUAL</x:t>
        </x:is>
      </x:c>
    </x:row>
    <x:row r="44" s="36" customFormat="1" ht="26.399999618530273" customHeight="1">
      <x:c r="A44" s="50" t="inlineStr">
        <x:is>
          <x:t xml:space="preserve">Automated Update &amp; Manual Fallback</x:t>
        </x:is>
      </x:c>
      <x:c r="B44" s="51" t="inlineStr">
        <x:is>
          <x:t xml:space="preserve">current_snapshot_date</x:t>
        </x:is>
      </x:c>
      <x:c r="C44" s="51" t="inlineStr">
        <x:is>
          <x:t xml:space="preserve">Formula</x:t>
        </x:is>
      </x:c>
      <x:c r="D44" s="51" t="inlineStr">
        <x:is>
          <x:t xml:space="preserve">Automatic</x:t>
        </x:is>
      </x:c>
      <x:c r="E44" s="51" t="inlineStr">
        <x:is>
          <x:t xml:space="preserve">Date associated with the current valid snapshot</x:t>
        </x:is>
      </x:c>
      <x:c r="F44" s="52" t="inlineStr">
        <x:is>
          <x:t xml:space="preserve">AUTO uses last_success_at; MANUAL uses manual_update_date</x:t>
        </x:is>
      </x:c>
    </x:row>
    <x:row r="45" s="36" customFormat="1" ht="26.399999618530273" customHeight="1">
      <x:c r="A45" s="50" t="inlineStr">
        <x:is>
          <x:t xml:space="preserve">Automated Update &amp; Manual Fallback</x:t>
        </x:is>
      </x:c>
      <x:c r="B45" s="51" t="inlineStr">
        <x:is>
          <x:t xml:space="preserve">manual_update_date</x:t>
        </x:is>
      </x:c>
      <x:c r="C45" s="51" t="inlineStr">
        <x:is>
          <x:t xml:space="preserve">Human</x:t>
        </x:is>
      </x:c>
      <x:c r="D45" s="51" t="inlineStr">
        <x:is>
          <x:t xml:space="preserve">Required after manual fallback</x:t>
        </x:is>
      </x:c>
      <x:c r="E45" s="51" t="inlineStr">
        <x:is>
          <x:t xml:space="preserve">Fixed date when the manual file was placed in the folder</x:t>
        </x:is>
      </x:c>
      <x:c r="F45" s="52" t="inlineStr">
        <x:is>
          <x:t xml:space="preserve">Do not use =TODAY(); enter a fixed date</x:t>
        </x:is>
      </x:c>
    </x:row>
    <x:row r="46" s="36" customFormat="1" ht="26.399999618530273" customHeight="1">
      <x:c r="A46" s="50" t="inlineStr">
        <x:is>
          <x:t xml:space="preserve">Automated Update &amp; Manual Fallback</x:t>
        </x:is>
      </x:c>
      <x:c r="B46" s="51" t="inlineStr">
        <x:is>
          <x:t xml:space="preserve">manual_updated_by</x:t>
        </x:is>
      </x:c>
      <x:c r="C46" s="51" t="inlineStr">
        <x:is>
          <x:t xml:space="preserve">Human</x:t>
        </x:is>
      </x:c>
      <x:c r="D46" s="51" t="inlineStr">
        <x:is>
          <x:t xml:space="preserve">Required after manual fallback</x:t>
        </x:is>
      </x:c>
      <x:c r="E46" s="51" t="inlineStr">
        <x:is>
          <x:t xml:space="preserve">Person who completed the manual update</x:t>
        </x:is>
      </x:c>
      <x:c r="F46" s="52" t="inlineStr">
        <x:is>
          <x:t xml:space="preserve">Used for accountability</x:t>
        </x:is>
      </x:c>
    </x:row>
    <x:row r="47" s="36" customFormat="1" ht="26.399999618530273" customHeight="1">
      <x:c r="A47" s="50" t="inlineStr">
        <x:is>
          <x:t xml:space="preserve">Automated Update &amp; Manual Fallback</x:t>
        </x:is>
      </x:c>
      <x:c r="B47" s="51" t="inlineStr">
        <x:is>
          <x:t xml:space="preserve">failure_stage</x:t>
        </x:is>
      </x:c>
      <x:c r="C47" s="51" t="inlineStr">
        <x:is>
          <x:t xml:space="preserve">Program</x:t>
        </x:is>
      </x:c>
      <x:c r="D47" s="51" t="inlineStr">
        <x:is>
          <x:t xml:space="preserve">Required after failure</x:t>
        </x:is>
      </x:c>
      <x:c r="E47" s="51" t="inlineStr">
        <x:is>
          <x:t xml:space="preserve">Stage where automation failed</x:t>
        </x:is>
      </x:c>
      <x:c r="F47" s="52" t="inlineStr">
        <x:is>
          <x:t xml:space="preserve">Allows the team to select the right intervention</x:t>
        </x:is>
      </x:c>
    </x:row>
    <x:row r="48" s="36" customFormat="1" ht="26.399999618530273" customHeight="1">
      <x:c r="A48" s="50" t="inlineStr">
        <x:is>
          <x:t xml:space="preserve">Automated Update &amp; Manual Fallback</x:t>
        </x:is>
      </x:c>
      <x:c r="B48" s="51" t="inlineStr">
        <x:is>
          <x:t xml:space="preserve">failure_reason</x:t>
        </x:is>
      </x:c>
      <x:c r="C48" s="51" t="inlineStr">
        <x:is>
          <x:t xml:space="preserve">Program</x:t>
        </x:is>
      </x:c>
      <x:c r="D48" s="51" t="inlineStr">
        <x:is>
          <x:t xml:space="preserve">Required after failure</x:t>
        </x:is>
      </x:c>
      <x:c r="E48" s="51" t="inlineStr">
        <x:is>
          <x:t xml:space="preserve">Short, actionable explanation of the failure</x:t>
        </x:is>
      </x:c>
      <x:c r="F48" s="52" t="inlineStr">
        <x:is>
          <x:t xml:space="preserve">Do not write only Unknown error</x:t>
        </x:is>
      </x:c>
    </x:row>
    <x:row r="49" s="36" customFormat="1" ht="26.399999618530273" customHeight="1">
      <x:c r="A49" s="50" t="inlineStr">
        <x:is>
          <x:t xml:space="preserve">Automated Update &amp; Manual Fallback</x:t>
        </x:is>
      </x:c>
      <x:c r="B49" s="51" t="inlineStr">
        <x:is>
          <x:t xml:space="preserve">needs_human_action</x:t>
        </x:is>
      </x:c>
      <x:c r="C49" s="51" t="inlineStr">
        <x:is>
          <x:t xml:space="preserve">Formula</x:t>
        </x:is>
      </x:c>
      <x:c r="D49" s="51" t="inlineStr">
        <x:is>
          <x:t xml:space="preserve">Automatic</x:t>
        </x:is>
      </x:c>
      <x:c r="E49" s="51" t="inlineStr">
        <x:is>
          <x:t xml:space="preserve">Whether manual intervention or impact review is still required</x:t>
        </x:is>
      </x:c>
      <x:c r="F49" s="52" t="inlineStr">
        <x:is>
          <x:t xml:space="preserve">YES after unresolved FAIL or changed ROLLING content</x:t>
        </x:is>
      </x:c>
    </x:row>
    <x:row r="50" s="36" customFormat="1" ht="26.399999618530273" customHeight="1">
      <x:c r="A50" s="50" t="inlineStr">
        <x:is>
          <x:t xml:space="preserve">Automated Update &amp; Manual Fallback</x:t>
        </x:is>
      </x:c>
      <x:c r="B50" s="51" t="inlineStr">
        <x:is>
          <x:t xml:space="preserve">content_hash</x:t>
        </x:is>
      </x:c>
      <x:c r="C50" s="51" t="inlineStr">
        <x:is>
          <x:t xml:space="preserve">Program</x:t>
        </x:is>
      </x:c>
      <x:c r="D50" s="51" t="inlineStr">
        <x:is>
          <x:t xml:space="preserve">Required after success</x:t>
        </x:is>
      </x:c>
      <x:c r="E50" s="51" t="inlineStr">
        <x:is>
          <x:t xml:space="preserve">Hash of the current valid file</x:t>
        </x:is>
      </x:c>
      <x:c r="F50" s="52" t="inlineStr">
        <x:is>
          <x:t xml:space="preserve">Used to detect real content changes</x:t>
        </x:is>
      </x:c>
    </x:row>
    <x:row r="51" s="36" customFormat="1" ht="15" customHeight="1">
      <x:c r="A51" s="50" t="inlineStr">
        <x:is>
          <x:t xml:space="preserve">Relationships &amp; Notes</x:t>
        </x:is>
      </x:c>
      <x:c r="B51" s="51" t="inlineStr">
        <x:is>
          <x:t xml:space="preserve">source_status</x:t>
        </x:is>
      </x:c>
      <x:c r="C51" s="51" t="inlineStr">
        <x:is>
          <x:t xml:space="preserve">Team / Program</x:t>
        </x:is>
      </x:c>
      <x:c r="D51" s="51" t="inlineStr">
        <x:is>
          <x:t xml:space="preserve">Required</x:t>
        </x:is>
      </x:c>
      <x:c r="E51" s="51" t="inlineStr">
        <x:is>
          <x:t xml:space="preserve">Whether the source is currently valid</x:t>
        </x:is>
      </x:c>
      <x:c r="F51" s="52" t="inlineStr">
        <x:is>
          <x:t xml:space="preserve">CURRENT / SUPERSEDED / WITHDRAWN</x:t>
        </x:is>
      </x:c>
    </x:row>
    <x:row r="52" s="36" customFormat="1" ht="15" customHeight="1">
      <x:c r="A52" s="50" t="inlineStr">
        <x:is>
          <x:t xml:space="preserve">Relationships &amp; Notes</x:t>
        </x:is>
      </x:c>
      <x:c r="B52" s="51" t="inlineStr">
        <x:is>
          <x:t xml:space="preserve">primary_source_id</x:t>
        </x:is>
      </x:c>
      <x:c r="C52" s="51" t="inlineStr">
        <x:is>
          <x:t xml:space="preserve">Team</x:t>
        </x:is>
      </x:c>
      <x:c r="D52" s="51" t="inlineStr">
        <x:is>
          <x:t xml:space="preserve">Conditional</x:t>
        </x:is>
      </x:c>
      <x:c r="E52" s="51" t="inlineStr">
        <x:is>
          <x:t xml:space="preserve">Primary normative source linked to guidance or an audit tool</x:t>
        </x:is>
      </x:c>
      <x:c r="F52" s="52" t="inlineStr">
        <x:is>
          <x:t xml:space="preserve">Prevents supporting material from being treated as independent authority</x:t>
        </x:is>
      </x:c>
    </x:row>
    <x:row r="53" s="36" customFormat="1" ht="15" customHeight="1">
      <x:c r="A53" s="50" t="inlineStr">
        <x:is>
          <x:t xml:space="preserve">Relationships &amp; Notes</x:t>
        </x:is>
      </x:c>
      <x:c r="B53" s="51" t="inlineStr">
        <x:is>
          <x:t xml:space="preserve">notes</x:t>
        </x:is>
      </x:c>
      <x:c r="C53" s="51" t="inlineStr">
        <x:is>
          <x:t xml:space="preserve">Team / Program</x:t>
        </x:is>
      </x:c>
      <x:c r="D53" s="51" t="inlineStr">
        <x:is>
          <x:t xml:space="preserve">Optional</x:t>
        </x:is>
      </x:c>
      <x:c r="E53" s="51" t="inlineStr">
        <x:is>
          <x:t xml:space="preserve">Exceptions and concise supplementary context</x:t>
        </x:is>
      </x:c>
      <x:c r="F53" s="52" t="inlineStr">
        <x:is>
          <x:t xml:space="preserve">Do not repeat inclusion_rationale or failure_reason</x:t>
        </x:is>
      </x:c>
    </x:row>
    <x:row r="54" s="36" customFormat="1" ht="15" customHeight="1">
      <x:c r="A54" s="50" t="inlineStr">
        <x:is>
          <x:t xml:space="preserve">Provenance &amp; Applicability</x:t>
        </x:is>
      </x:c>
      <x:c r="B54" s="51" t="inlineStr">
        <x:is>
          <x:t xml:space="preserve">acquisition_channel</x:t>
        </x:is>
      </x:c>
      <x:c r="C54" s="51" t="inlineStr">
        <x:is>
          <x:t xml:space="preserve">Team / Program</x:t>
        </x:is>
      </x:c>
      <x:c r="D54" s="51" t="inlineStr">
        <x:is>
          <x:t xml:space="preserve">Required before INCLUDE</x:t>
        </x:is>
      </x:c>
      <x:c r="E54" s="51" t="inlineStr">
        <x:is>
          <x:t xml:space="preserve">How this copy was obtained</x:t>
        </x:is>
      </x:c>
      <x:c r="F54" s="52" t="inlineStr">
        <x:is>
          <x:t xml:space="preserve">The channel does not change source_family or issuer</x:t>
        </x:is>
      </x:c>
    </x:row>
    <x:row r="55" s="36" customFormat="1" ht="15" customHeight="1">
      <x:c r="A55" s="50" t="inlineStr">
        <x:is>
          <x:t xml:space="preserve">Provenance &amp; Applicability</x:t>
        </x:is>
      </x:c>
      <x:c r="B55" s="51" t="inlineStr">
        <x:is>
          <x:t xml:space="preserve">provenance_status</x:t>
        </x:is>
      </x:c>
      <x:c r="C55" s="51" t="inlineStr">
        <x:is>
          <x:t xml:space="preserve">Team</x:t>
        </x:is>
      </x:c>
      <x:c r="D55" s="51" t="inlineStr">
        <x:is>
          <x:t xml:space="preserve">Required before INCLUDE</x:t>
        </x:is>
      </x:c>
      <x:c r="E55" s="51" t="inlineStr">
        <x:is>
          <x:t xml:space="preserve">Authenticity and authorisation status of the current copy</x:t>
        </x:is>
      </x:c>
      <x:c r="F55" s="52" t="inlineStr">
        <x:is>
          <x:t xml:space="preserve">UNVERIFIED keeps the source PENDING</x:t>
        </x:is>
      </x:c>
    </x:row>
    <x:row r="56" s="36" customFormat="1" ht="15" customHeight="1">
      <x:c r="A56" s="50" t="inlineStr">
        <x:is>
          <x:t xml:space="preserve">Provenance &amp; Applicability</x:t>
        </x:is>
      </x:c>
      <x:c r="B56" s="51" t="inlineStr">
        <x:is>
          <x:t xml:space="preserve">update_model</x:t>
        </x:is>
      </x:c>
      <x:c r="C56" s="51" t="inlineStr">
        <x:is>
          <x:t xml:space="preserve">Team / Program</x:t>
        </x:is>
      </x:c>
      <x:c r="D56" s="51" t="inlineStr">
        <x:is>
          <x:t xml:space="preserve">Required</x:t>
        </x:is>
      </x:c>
      <x:c r="E56" s="51" t="inlineStr">
        <x:is>
          <x:t xml:space="preserve">Whether the issuer uses formal versions or maintains rolling content</x:t>
        </x:is>
      </x:c>
      <x:c r="F56" s="52" t="inlineStr">
        <x:is>
          <x:t xml:space="preserve">VERSIONED / ROLLING / UNKNOWN; never write Rolling in version</x:t>
        </x:is>
      </x:c>
    </x:row>
    <x:row r="57" s="36" customFormat="1" ht="26.399999618530273" customHeight="1">
      <x:c r="A57" s="53" t="inlineStr">
        <x:is>
          <x:t xml:space="preserve">Provenance &amp; Applicability</x:t>
        </x:is>
      </x:c>
      <x:c r="B57" s="54" t="inlineStr">
        <x:is>
          <x:t xml:space="preserve">applicability_reference</x:t>
        </x:is>
      </x:c>
      <x:c r="C57" s="54" t="inlineStr">
        <x:is>
          <x:t xml:space="preserve">Team</x:t>
        </x:is>
      </x:c>
      <x:c r="D57" s="54" t="inlineStr">
        <x:is>
          <x:t xml:space="preserve">Conditional</x:t>
        </x:is>
      </x:c>
      <x:c r="E57" s="54" t="inlineStr">
        <x:is>
          <x:t xml:space="preserve">Site, equipment model, asset, contract or certification scope to which the source applies</x:t>
        </x:is>
      </x:c>
      <x:c r="F57" s="55" t="inlineStr">
        <x:is>
          <x:t xml:space="preserve">Equipment manuals remain PENDING until the applicable equipment or asset is confirmed</x:t>
        </x:is>
      </x:c>
    </x:row>
    <x:row r="60" s="36" customFormat="1" ht="25" customHeight="1">
      <x:c r="A60" s="18" t="inlineStr">
        <x:is>
          <x:t xml:space="preserve">3. Source selection criteria: LOW / MEDIUM / HIGH anchors</x:t>
        </x:is>
      </x:c>
    </x:row>
    <x:row r="61" s="36" customFormat="1" ht="32" customHeight="1">
      <x:c r="A61" s="32" t="inlineStr">
        <x:is>
          <x:t xml:space="preserve">Criterion</x:t>
        </x:is>
      </x:c>
      <x:c r="B61" s="33" t="inlineStr">
        <x:is>
          <x:t xml:space="preserve">LOW</x:t>
        </x:is>
      </x:c>
      <x:c r="C61" s="33" t="inlineStr">
        <x:is>
          <x:t xml:space="preserve">MEDIUM</x:t>
        </x:is>
      </x:c>
      <x:c r="D61" s="33" t="inlineStr">
        <x:is>
          <x:t xml:space="preserve">HIGH</x:t>
        </x:is>
      </x:c>
      <x:c r="E61" s="33" t="inlineStr">
        <x:is>
          <x:t xml:space="preserve">Mandatory</x:t>
        </x:is>
      </x:c>
      <x:c r="F61" s="34" t="inlineStr">
        <x:is>
          <x:t xml:space="preserve">Decision effect</x:t>
        </x:is>
      </x:c>
    </x:row>
    <x:row r="62" s="36" customFormat="1" ht="26.399999618530273" customHeight="1">
      <x:c r="A62" s="50" t="inlineStr">
        <x:is>
          <x:t xml:space="preserve">authority_quality</x:t>
        </x:is>
      </x:c>
      <x:c r="B62" s="51" t="inlineStr">
        <x:is>
          <x:t xml:space="preserve">Unknown source, secondary retelling or unverifiable copy</x:t>
        </x:is>
      </x:c>
      <x:c r="C62" s="51" t="inlineStr">
        <x:is>
          <x:t xml:space="preserve">Credible copy exists, but the official source is not confirmed</x:t>
        </x:is>
      </x:c>
      <x:c r="D62" s="51" t="inlineStr">
        <x:is>
          <x:t xml:space="preserve">Official original or verified authorised copy</x:t>
        </x:is>
      </x:c>
      <x:c r="E62" s="51" t="inlineStr">
        <x:is>
          <x:t xml:space="preserve">Yes</x:t>
        </x:is>
      </x:c>
      <x:c r="F62" s="52" t="inlineStr">
        <x:is>
          <x:t xml:space="preserve">Any LOW produces EXCLUDE</x:t>
        </x:is>
      </x:c>
    </x:row>
    <x:row r="63" s="36" customFormat="1" ht="39.599998474121094" customHeight="1">
      <x:c r="A63" s="50" t="inlineStr">
        <x:is>
          <x:t xml:space="preserve">scope_relevance</x:t>
        </x:is>
      </x:c>
      <x:c r="B63" s="51" t="inlineStr">
        <x:is>
          <x:t xml:space="preserve">Outside the approved client scope</x:t>
        </x:is>
      </x:c>
      <x:c r="C63" s="51" t="inlineStr">
        <x:is>
          <x:t xml:space="preserve">Potentially relevant, but the scope decision is unresolved</x:t>
        </x:is>
      </x:c>
      <x:c r="D63" s="51" t="inlineStr">
        <x:is>
          <x:t xml:space="preserve">Clearly governs assets, activities, sites or certification within scope</x:t>
        </x:is>
      </x:c>
      <x:c r="E63" s="51" t="inlineStr">
        <x:is>
          <x:t xml:space="preserve">Yes</x:t>
        </x:is>
      </x:c>
      <x:c r="F63" s="52" t="inlineStr">
        <x:is>
          <x:t xml:space="preserve">Any MEDIUM produces PENDING</x:t>
        </x:is>
      </x:c>
    </x:row>
    <x:row r="64" s="36" customFormat="1" ht="39.599998474121094" customHeight="1">
      <x:c r="A64" s="50" t="inlineStr">
        <x:is>
          <x:t xml:space="preserve">version_currency</x:t>
        </x:is>
      </x:c>
      <x:c r="B64" s="51" t="inlineStr">
        <x:is>
          <x:t xml:space="preserve">Withdrawn, superseded or clearly incorrect version</x:t>
        </x:is>
      </x:c>
      <x:c r="C64" s="51" t="inlineStr">
        <x:is>
          <x:t xml:space="preserve">Version identified, but current applicability is not confirmed</x:t>
        </x:is>
      </x:c>
      <x:c r="D64" s="51" t="inlineStr">
        <x:is>
          <x:t xml:space="preserve">Current applicable version and effective status confirmed</x:t>
        </x:is>
      </x:c>
      <x:c r="E64" s="51" t="inlineStr">
        <x:is>
          <x:t xml:space="preserve">Yes</x:t>
        </x:is>
      </x:c>
      <x:c r="F64" s="52" t="inlineStr">
        <x:is>
          <x:t xml:space="preserve">All five mandatory criteria must be HIGH</x:t>
        </x:is>
      </x:c>
    </x:row>
    <x:row r="65" s="36" customFormat="1" ht="39.599998474121094" customHeight="1">
      <x:c r="A65" s="50" t="inlineStr">
        <x:is>
          <x:t xml:space="preserve">traceability</x:t>
        </x:is>
      </x:c>
      <x:c r="B65" s="51" t="inlineStr">
        <x:is>
          <x:t xml:space="preserve">Source cannot be reliably identified or reproduced</x:t>
        </x:is>
      </x:c>
      <x:c r="C65" s="51" t="inlineStr">
        <x:is>
          <x:t xml:space="preserve">One or more identity or provenance fields remain incomplete</x:t>
        </x:is>
      </x:c>
      <x:c r="D65" s="51" t="inlineStr">
        <x:is>
          <x:t xml:space="preserve">Official original or equivalent authorised provenance is reproducible</x:t>
        </x:is>
      </x:c>
      <x:c r="E65" s="51" t="inlineStr">
        <x:is>
          <x:t xml:space="preserve">Yes</x:t>
        </x:is>
      </x:c>
      <x:c r="F65" s="52" t="inlineStr">
        <x:is>
          <x:t xml:space="preserve">All five mandatory criteria must be HIGH</x:t>
        </x:is>
      </x:c>
    </x:row>
    <x:row r="66" s="36" customFormat="1" ht="39.599998474121094" customHeight="1">
      <x:c r="A66" s="50" t="inlineStr">
        <x:is>
          <x:t xml:space="preserve">access_permission</x:t>
        </x:is>
      </x:c>
      <x:c r="B66" s="51" t="inlineStr">
        <x:is>
          <x:t xml:space="preserve">Unauthorised, leaked or explicitly prohibited from storage</x:t>
        </x:is>
      </x:c>
      <x:c r="C66" s="51" t="inlineStr">
        <x:is>
          <x:t xml:space="preserve">Internal acquisition, storage or use permission requires confirmation</x:t>
        </x:is>
      </x:c>
      <x:c r="D66" s="51" t="inlineStr">
        <x:is>
          <x:t xml:space="preserve">Public official source or confirmed authorised internal use</x:t>
        </x:is>
      </x:c>
      <x:c r="E66" s="51" t="inlineStr">
        <x:is>
          <x:t xml:space="preserve">Yes</x:t>
        </x:is>
      </x:c>
      <x:c r="F66" s="52" t="inlineStr">
        <x:is>
          <x:t xml:space="preserve">Any LOW produces EXCLUDE</x:t>
        </x:is>
      </x:c>
    </x:row>
    <x:row r="67" s="36" customFormat="1" ht="39.599998474121094" customHeight="1">
      <x:c r="A67" s="53" t="inlineStr">
        <x:is>
          <x:t xml:space="preserve">automation_readiness</x:t>
        </x:is>
      </x:c>
      <x:c r="B67" s="54" t="inlineStr">
        <x:is>
          <x:t xml:space="preserve">Cannot be retrieved or parsed automatically</x:t>
        </x:is>
      </x:c>
      <x:c r="C67" s="54" t="inlineStr">
        <x:is>
          <x:t xml:space="preserve">Requires login, OCR, scripts or manual preprocessing</x:t>
        </x:is>
      </x:c>
      <x:c r="D67" s="54" t="inlineStr">
        <x:is>
          <x:t xml:space="preserve">Stable URL and directly downloadable original file or HTML</x:t>
        </x:is>
      </x:c>
      <x:c r="E67" s="54" t="inlineStr">
        <x:is>
          <x:t xml:space="preserve">No</x:t>
        </x:is>
      </x:c>
      <x:c r="F67" s="55" t="inlineStr">
        <x:is>
          <x:t xml:space="preserve">Only affects automation cost</x:t>
        </x:is>
      </x:c>
    </x:row>
    <x:row r="70" s="36" customFormat="1" ht="25" customHeight="1">
      <x:c r="A70" s="18" t="inlineStr">
        <x:is>
          <x:t xml:space="preserve">4. Automated retrieval, validation and manual fallback</x:t>
        </x:is>
      </x:c>
    </x:row>
    <x:row r="71" s="36" customFormat="1" ht="32" customHeight="1">
      <x:c r="A71" s="32" t="inlineStr">
        <x:is>
          <x:t xml:space="preserve">Step</x:t>
        </x:is>
      </x:c>
      <x:c r="B71" s="33" t="inlineStr">
        <x:is>
          <x:t xml:space="preserve">State</x:t>
        </x:is>
      </x:c>
      <x:c r="C71" s="34" t="inlineStr">
        <x:is>
          <x:t xml:space="preserve">Rule</x:t>
        </x:is>
      </x:c>
    </x:row>
    <x:row r="72" s="36" customFormat="1" ht="26.399999618530273" customHeight="1">
      <x:c r="A72" s="50" t="n">
        <x:v>1</x:v>
      </x:c>
      <x:c r="B72" s="51" t="inlineStr">
        <x:is>
          <x:t xml:space="preserve">RUNNING</x:t>
        </x:is>
      </x:c>
      <x:c r="C72" s="52" t="inlineStr">
        <x:is>
          <x:t xml:space="preserve">Download to a temporary location first; never overwrite the current valid file directly.</x:t>
        </x:is>
      </x:c>
    </x:row>
    <x:row r="73" s="36" customFormat="1" ht="39.599998474121094" customHeight="1">
      <x:c r="A73" s="50" t="n">
        <x:v>2</x:v>
      </x:c>
      <x:c r="B73" s="51" t="inlineStr">
        <x:is>
          <x:t xml:space="preserve">Stepwise validation</x:t>
        </x:is>
      </x:c>
      <x:c r="C73" s="52" t="inlineStr">
        <x:is>
          <x:t xml:space="preserve">Check connection and HTTP, download completion, extension and file signature, non-empty content, login or error pages, readability and safe storage.</x:t>
        </x:is>
      </x:c>
    </x:row>
    <x:row r="74" s="36" customFormat="1" ht="26.399999618530273" customHeight="1">
      <x:c r="A74" s="50" t="n">
        <x:v>3</x:v>
      </x:c>
      <x:c r="B74" s="51" t="inlineStr">
        <x:is>
          <x:t xml:space="preserve">FAIL</x:t>
        </x:is>
      </x:c>
      <x:c r="C74" s="52" t="inlineStr">
        <x:is>
          <x:t xml:space="preserve">Record last_attempt_at, failure_stage and failure_reason; preserve the current AUTO or MANUAL file.</x:t>
        </x:is>
      </x:c>
    </x:row>
    <x:row r="75" s="36" customFormat="1" ht="52.79999923706055" customHeight="1">
      <x:c r="A75" s="50" t="n">
        <x:v>4</x:v>
      </x:c>
      <x:c r="B75" s="51" t="inlineStr">
        <x:is>
          <x:t xml:space="preserve">Manual fallback</x:t>
        </x:is>
      </x:c>
      <x:c r="C75" s="52" t="inlineStr">
        <x:is>
          <x:t xml:space="preserve">Place the valid original-format file or saved HTML in the mapped folder and update snapshot_id, stored_filename, snapshot_status=STORED, current_origin=MANUAL, manual_update_date and manual_updated_by.</x:t>
        </x:is>
      </x:c>
    </x:row>
    <x:row r="76" s="36" customFormat="1" ht="39.599998474121094" customHeight="1">
      <x:c r="A76" s="50" t="n">
        <x:v>5</x:v>
      </x:c>
      <x:c r="B76" s="51" t="inlineStr">
        <x:is>
          <x:t xml:space="preserve">Manual completion</x:t>
        </x:is>
      </x:c>
      <x:c r="C76" s="52" t="inlineStr">
        <x:is>
          <x:t xml:space="preserve">manual_update_date stores a date only. A date on or after the latest attempt date changes needs_human_action to NO; the latest automated download_status remains FAIL.</x:t>
        </x:is>
      </x:c>
    </x:row>
    <x:row r="77" s="36" customFormat="1" ht="26.399999618530273" customHeight="1">
      <x:c r="A77" s="50" t="n">
        <x:v>6</x:v>
      </x:c>
      <x:c r="B77" s="51" t="inlineStr">
        <x:is>
          <x:t xml:space="preserve">SUCCESS + INITIAL</x:t>
        </x:is>
      </x:c>
      <x:c r="C77" s="52" t="inlineStr">
        <x:is>
          <x:t xml:space="preserve">The first validated collection stores the file without treating it as a later content update.</x:t>
        </x:is>
      </x:c>
    </x:row>
    <x:row r="78" s="36" customFormat="1" ht="26.399999618530273" customHeight="1">
      <x:c r="A78" s="50" t="n">
        <x:v>7</x:v>
      </x:c>
      <x:c r="B78" s="51" t="inlineStr">
        <x:is>
          <x:t xml:space="preserve">SUCCESS + UNCHANGED</x:t>
        </x:is>
      </x:c>
      <x:c r="C78" s="52" t="inlineStr">
        <x:is>
          <x:t xml:space="preserve">When the validated hash matches the current file, update last_success_at without replacing the file.</x:t>
        </x:is>
      </x:c>
    </x:row>
    <x:row r="79" s="36" customFormat="1" ht="26.399999618530273" customHeight="1">
      <x:c r="A79" s="50" t="n">
        <x:v>8</x:v>
      </x:c>
      <x:c r="B79" s="51" t="inlineStr">
        <x:is>
          <x:t xml:space="preserve">SUCCESS + CHANGED</x:t>
        </x:is>
      </x:c>
      <x:c r="C79" s="52" t="inlineStr">
        <x:is>
          <x:t xml:space="preserve">Archive the current file, increment snapshot_id and promote the validated automated file.</x:t>
        </x:is>
      </x:c>
    </x:row>
    <x:row r="80" s="36" customFormat="1" ht="26.399999618530273" customHeight="1">
      <x:c r="A80" s="50" t="n">
        <x:v>9</x:v>
      </x:c>
      <x:c r="B80" s="51" t="inlineStr">
        <x:is>
          <x:t xml:space="preserve">ROLLING impact review</x:t>
        </x:is>
      </x:c>
      <x:c r="C80" s="52" t="inlineStr">
        <x:is>
          <x:t xml:space="preserve">A changed rolling source sets needs_human_action to YES until a fixed manual review date is recorded.</x:t>
        </x:is>
      </x:c>
    </x:row>
    <x:row r="81" s="36" customFormat="1" ht="39.599998474121094" customHeight="1">
      <x:c r="A81" s="53" t="n">
        <x:v>10</x:v>
      </x:c>
      <x:c r="B81" s="54" t="inlineStr">
        <x:is>
          <x:t xml:space="preserve">Scheduled run</x:t>
        </x:is>
      </x:c>
      <x:c r="C81" s="55" t="inlineStr">
        <x:is>
          <x:t xml:space="preserve">By default, process only INCLUDE + CURRENT rows. Non-public channels also require stable authorised access and HIGH automation readiness.</x:t>
        </x:is>
      </x:c>
    </x:row>
    <x:row r="84" s="36" customFormat="1" ht="25" customHeight="1">
      <x:c r="A84" s="18" t="inlineStr">
        <x:is>
          <x:t xml:space="preserve">5. Identifier, date and manual-edit rules</x:t>
        </x:is>
      </x:c>
    </x:row>
    <x:row r="85" s="36" customFormat="1" ht="52.79999923706055" customHeight="1">
      <x:c r="A85" s="60" t="inlineStr">
        <x:is>
          <x:t xml:space="preserve">source_id</x:t>
        </x:is>
      </x:c>
      <x:c r="B85" s="61" t="inlineStr">
        <x:is>
          <x:t xml:space="preserve">Two source-family letters plus three digits, for example CS001. The prefix follows the content owner, not the acquisition channel.</x:t>
        </x:is>
      </x:c>
    </x:row>
    <x:row r="86" s="36" customFormat="1" ht="52.79999923706055" customHeight="1">
      <x:c r="A86" s="50" t="inlineStr">
        <x:is>
          <x:t xml:space="preserve">snapshot_id</x:t>
        </x:is>
      </x:c>
      <x:c r="B86" s="52" t="inlineStr">
        <x:is>
          <x:t xml:space="preserve">source_id plus a three-digit snapshot sequence, for example CS001-001. Increment only when content actually changes.</x:t>
        </x:is>
      </x:c>
    </x:row>
    <x:row r="87" s="36" customFormat="1" ht="66" customHeight="1">
      <x:c r="A87" s="50" t="inlineStr">
        <x:is>
          <x:t xml:space="preserve">Filename</x:t>
        </x:is>
      </x:c>
      <x:c r="B87" s="52" t="inlineStr">
        <x:is>
          <x:t xml:space="preserve">Begin with snapshot_id and an underscore, using the original extension, for example CS001-001_ASC_Farm_Standard_v1.0.1.pdf.</x:t>
        </x:is>
      </x:c>
    </x:row>
    <x:row r="88" s="36" customFormat="1" ht="66" customHeight="1">
      <x:c r="A88" s="50" t="inlineStr">
        <x:is>
          <x:t xml:space="preserve">Manual date</x:t>
        </x:is>
      </x:c>
      <x:c r="B88" s="52" t="inlineStr">
        <x:is>
          <x:t xml:space="preserve">Macro-free Excel cannot reliably create a fixed today value on click. Use Excel's current-date shortcut, or copy F3 and paste values. Never use =TODAY() for historical records.</x:t>
        </x:is>
      </x:c>
    </x:row>
    <x:row r="89" s="36" customFormat="1" ht="52.79999923706055" customHeight="1">
      <x:c r="A89" s="50" t="inlineStr">
        <x:is>
          <x:t xml:space="preserve">Manual changes</x:t>
        </x:is>
      </x:c>
      <x:c r="B89" s="52" t="inlineStr">
        <x:is>
          <x:t xml:space="preserve">Before changing identifiers, filenames, folders or workbook values, pause the updater. Run the consistency audit before resuming automation.</x:t>
        </x:is>
      </x:c>
    </x:row>
    <x:row r="90" s="36" customFormat="1" ht="52.79999923706055" customHeight="1">
      <x:c r="A90" s="50" t="inlineStr">
        <x:is>
          <x:t xml:space="preserve">Technical logs</x:t>
        </x:is>
      </x:c>
      <x:c r="B90" s="52" t="str">
        <x:v>Source Register stores current source state; QA Inspection Log stores batch-level inspection history; detailed updater logs remain under Programming/runtime/logs.</x:v>
      </x:c>
    </x:row>
    <x:row r="91" s="36" customFormat="1" ht="66" customHeight="1">
      <x:c r="A91" s="53" t="inlineStr">
        <x:is>
          <x:t xml:space="preserve">Changed content</x:t>
        </x:is>
      </x:c>
      <x:c r="B91" s="55" t="inlineStr">
        <x:is>
          <x:t xml:space="preserve">SUCCESS + CHANGED confirms technical retrieval and storage only. For ROLLING content, review downstream Requirement impact before clearing needs_human_action.</x:t>
        </x:is>
      </x:c>
    </x:row>
    <x:row r="93" s="36" customFormat="1" ht="26" customHeight="1">
      <x:c r="A93" s="658" t="inlineStr">
        <x:is>
          <x:t xml:space="preserve">6. Human Operation Desktop workflow</x:t>
        </x:is>
      </x:c>
    </x:row>
    <x:row r="94" s="36" customFormat="1" ht="36" customHeight="1">
      <x:c r="A94" s="464" t="inlineStr">
        <x:is>
          <x:t xml:space="preserve">Step</x:t>
        </x:is>
      </x:c>
      <x:c r="B94" s="464" t="inlineStr">
        <x:is>
          <x:t xml:space="preserve">Human action</x:t>
        </x:is>
      </x:c>
      <x:c r="C94" s="464" t="inlineStr">
        <x:is>
          <x:t xml:space="preserve">Decision</x:t>
        </x:is>
      </x:c>
      <x:c r="D94" s="464" t="inlineStr">
        <x:is>
          <x:t xml:space="preserve">Required entry</x:t>
        </x:is>
      </x:c>
      <x:c r="E94" s="464" t="inlineStr">
        <x:is>
          <x:t xml:space="preserve">Program result</x:t>
        </x:is>
      </x:c>
      <x:c r="F94" s="464" t="inlineStr">
        <x:is>
          <x:t xml:space="preserve">Audit rule</x:t>
        </x:is>
      </x:c>
    </x:row>
    <x:row r="95" s="36" customFormat="1" ht="44" customHeight="1">
      <x:c r="A95" s="469" t="n">
        <x:v>1</x:v>
      </x:c>
      <x:c r="B95" s="469" t="inlineStr">
        <x:is>
          <x:t xml:space="preserve">Open the visible queue and inspect the official URL, current source row and stored file.</x:t>
        </x:is>
      </x:c>
      <x:c r="C95" s="469" t="inlineStr">
        <x:is>
          <x:t xml:space="preserve">PENDING</x:t>
        </x:is>
      </x:c>
      <x:c r="D95" s="469" t="inlineStr">
        <x:is>
          <x:t xml:space="preserve">None</x:t>
        </x:is>
      </x:c>
      <x:c r="E95" s="469" t="inlineStr">
        <x:is>
          <x:t xml:space="preserve">No change</x:t>
        </x:is>
      </x:c>
      <x:c r="F95" s="469" t="inlineStr">
        <x:is>
          <x:t xml:space="preserve">The item stays visible</x:t>
        </x:is>
      </x:c>
    </x:row>
    <x:row r="96" s="36" customFormat="1" ht="44" customHeight="1">
      <x:c r="A96" s="469" t="n">
        <x:v>2</x:v>
      </x:c>
      <x:c r="B96" s="469" t="inlineStr">
        <x:is>
          <x:t xml:space="preserve">For an existing-source proposal, choose ACCEPT or REJECT.</x:t>
        </x:is>
      </x:c>
      <x:c r="C96" s="469" t="inlineStr">
        <x:is>
          <x:t xml:space="preserve">ACCEPT / REJECT</x:t>
        </x:is>
      </x:c>
      <x:c r="D96" s="469" t="inlineStr">
        <x:is>
          <x:t xml:space="preserve">operator; note required for REJECT</x:t>
        </x:is>
      </x:c>
      <x:c r="E96" s="469" t="inlineStr">
        <x:is>
          <x:t xml:space="preserve">Applies the proposed action or returns it for replanning</x:t>
        </x:is>
      </x:c>
      <x:c r="F96" s="469" t="inlineStr">
        <x:is>
          <x:t xml:space="preserve">No routine Source Register editing</x:t>
        </x:is>
      </x:c>
    </x:row>
    <x:row r="97" s="36" customFormat="1" ht="44" customHeight="1">
      <x:c r="A97" s="469" t="n">
        <x:v>3</x:v>
      </x:c>
      <x:c r="B97" s="469" t="inlineStr">
        <x:is>
          <x:t xml:space="preserve">For a new source found by the discovery agent, choose ACCEPT or REJECT.</x:t>
        </x:is>
      </x:c>
      <x:c r="C97" s="469" t="inlineStr">
        <x:is>
          <x:t xml:space="preserve">ACCEPT / REJECT</x:t>
        </x:is>
      </x:c>
      <x:c r="D97" s="469" t="inlineStr">
        <x:is>
          <x:t xml:space="preserve">operator; note required for REJECT</x:t>
        </x:is>
      </x:c>
      <x:c r="E97" s="469" t="inlineStr">
        <x:is>
          <x:t xml:space="preserve">Only ACCEPT creates a source_id and Source Register row</x:t>
        </x:is>
      </x:c>
      <x:c r="F97" s="469" t="inlineStr">
        <x:is>
          <x:t xml:space="preserve">New findings never bypass the human gate</x:t>
        </x:is>
      </x:c>
    </x:row>
    <x:row r="98" s="36" customFormat="1" ht="44" customHeight="1">
      <x:c r="A98" s="469" t="n">
        <x:v>4</x:v>
      </x:c>
      <x:c r="B98" s="469" t="inlineStr">
        <x:is>
          <x:t xml:space="preserve">For a random QA item, choose CORRECT or INCORRECT.</x:t>
        </x:is>
      </x:c>
      <x:c r="C98" s="469" t="inlineStr">
        <x:is>
          <x:t xml:space="preserve">CORRECT / INCORRECT</x:t>
        </x:is>
      </x:c>
      <x:c r="D98" s="469" t="inlineStr">
        <x:is>
          <x:t xml:space="preserve">operator; note required for INCORRECT</x:t>
        </x:is>
      </x:c>
      <x:c r="E98" s="469" t="inlineStr">
        <x:is>
          <x:t xml:space="preserve">Records the result; INCORRECT creates a follow-up review</x:t>
        </x:is>
      </x:c>
      <x:c r="F98" s="469" t="str">
        <x:v>Item history remains hidden in Human Operation Desktop; the completed batch is summarised in QA Inspection Log</x:v>
      </x:c>
    </x:row>
    <x:row r="99" s="36" customFormat="1" ht="44" customHeight="1">
      <x:c r="A99" s="469" t="n">
        <x:v>5</x:v>
      </x:c>
      <x:c r="B99" s="469" t="inlineStr">
        <x:is>
          <x:t xml:space="preserve">Enter checked_at if needed; otherwise the processor records the current time.</x:t>
        </x:is>
      </x:c>
      <x:c r="C99" s="469" t="inlineStr">
        <x:is>
          <x:t xml:space="preserve">Any completed decision</x:t>
        </x:is>
      </x:c>
      <x:c r="D99" s="469" t="inlineStr">
        <x:is>
          <x:t xml:space="preserve">operator and decision</x:t>
        </x:is>
      </x:c>
      <x:c r="E99" s="469" t="inlineStr">
        <x:is>
          <x:t xml:space="preserve">Records checked_at and program_operated_at</x:t>
        </x:is>
      </x:c>
      <x:c r="F99" s="469" t="inlineStr">
        <x:is>
          <x:t xml:space="preserve">Both human and program times are retained</x:t>
        </x:is>
      </x:c>
    </x:row>
    <x:row r="100" s="36" customFormat="1" ht="44" customHeight="1">
      <x:c r="A100" s="469" t="n">
        <x:v>6</x:v>
      </x:c>
      <x:c r="B100" s="469" t="inlineStr">
        <x:is>
          <x:t xml:space="preserve">Save and close Excel, then run 07_process_human_operations.command or the Leader.</x:t>
        </x:is>
      </x:c>
      <x:c r="C100" s="469" t="inlineStr">
        <x:is>
          <x:t xml:space="preserve">Submitted</x:t>
        </x:is>
      </x:c>
      <x:c r="D100" s="469" t="inlineStr">
        <x:is>
          <x:t xml:space="preserve">Workbook saved</x:t>
        </x:is>
      </x:c>
      <x:c r="E100" s="469" t="inlineStr">
        <x:is>
          <x:t xml:space="preserve">Reads decisions and updates the register</x:t>
        </x:is>
      </x:c>
      <x:c r="F100" s="469" t="inlineStr">
        <x:is>
          <x:t xml:space="preserve">Do not run while another person is editing</x:t>
        </x:is>
      </x:c>
    </x:row>
    <x:row r="101" s="36" customFormat="1" ht="44" customHeight="1">
      <x:c r="A101" s="469" t="n">
        <x:v>7</x:v>
      </x:c>
      <x:c r="B101" s="469" t="inlineStr">
        <x:is>
          <x:t xml:space="preserve">If the program reports WAITING_FOR_HUMAN or NEEDS_REPLAN, read program_note and revise the decision or proposal.</x:t>
        </x:is>
      </x:c>
      <x:c r="C101" s="469" t="inlineStr">
        <x:is>
          <x:t xml:space="preserve">PENDING</x:t>
        </x:is>
      </x:c>
      <x:c r="D101" s="469" t="inlineStr">
        <x:is>
          <x:t xml:space="preserve">Corrected input</x:t>
        </x:is>
      </x:c>
      <x:c r="E101" s="469" t="inlineStr">
        <x:is>
          <x:t xml:space="preserve">Keeps the item visible</x:t>
        </x:is>
      </x:c>
      <x:c r="F101" s="469" t="inlineStr">
        <x:is>
          <x:t xml:space="preserve">Failures are not hidden</x:t>
        </x:is>
      </x:c>
    </x:row>
    <x:row r="102" s="36" customFormat="1" ht="44" customHeight="1">
      <x:c r="A102" s="469" t="n">
        <x:v>8</x:v>
      </x:c>
      <x:c r="B102" s="469" t="inlineStr">
        <x:is>
          <x:t xml:space="preserve">After APPLIED or REJECTED, no deletion is needed.</x:t>
        </x:is>
      </x:c>
      <x:c r="C102" s="469" t="inlineStr">
        <x:is>
          <x:t xml:space="preserve">Completed</x:t>
        </x:is>
      </x:c>
      <x:c r="D102" s="469" t="inlineStr">
        <x:is>
          <x:t xml:space="preserve">None</x:t>
        </x:is>
      </x:c>
      <x:c r="E102" s="469" t="inlineStr">
        <x:is>
          <x:t xml:space="preserve">Hides the row automatically</x:t>
        </x:is>
      </x:c>
      <x:c r="F102" s="469" t="inlineStr">
        <x:is>
          <x:t xml:space="preserve">Unhide rows only when audit history is needed</x:t>
        </x:is>
      </x:c>
    </x:row>
  </x:sheetData>
  <x:mergeCells>
    <x:mergeCell ref="A2:F2"/>
    <x:mergeCell ref="A60:F60"/>
    <x:mergeCell ref="A93:F93"/>
    <x:mergeCell ref="A84:F84"/>
    <x:mergeCell ref="A1:F1"/>
    <x:mergeCell ref="A5:F5"/>
    <x:mergeCell ref="A70:F70"/>
    <x:mergeCell ref="A12:F1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4" style="36" customWidth="1"/>
    <x:col min="2" max="2" width="30" style="36" customWidth="1"/>
    <x:col min="3" max="3" width="62" style="36" customWidth="1"/>
    <x:col min="4" max="4" width="34" style="36" customWidth="1"/>
  </x:cols>
  <x:sheetData>
    <x:row r="1" s="36" customFormat="1" ht="34" customHeight="1">
      <x:c r="A1" s="4" t="inlineStr">
        <x:is>
          <x:t xml:space="preserve">Categories and Controlled Values</x:t>
        </x:is>
      </x:c>
    </x:row>
    <x:row r="2">
      <x:c r="A2" s="7" t="inlineStr">
        <x:is>
          <x:t xml:space="preserve">Maintain controlled values here. Before changing a code or option, synchronise the Instructions sheet, folder structure and updater configuration.</x:t>
        </x:is>
      </x:c>
    </x:row>
    <x:row r="4" s="36" customFormat="1" ht="25" customHeight="1">
      <x:c r="A4" s="18" t="inlineStr">
        <x:is>
          <x:t xml:space="preserve">Classification dimension | Source family and identifier prefix</x:t>
        </x:is>
      </x:c>
    </x:row>
    <x:row r="5" s="36" customFormat="1" ht="32" customHeight="1">
      <x:c r="A5" s="47" t="inlineStr">
        <x:is>
          <x:t xml:space="preserve">Code</x:t>
        </x:is>
      </x:c>
      <x:c r="B5" s="48" t="inlineStr">
        <x:is>
          <x:t xml:space="preserve">Option value</x:t>
        </x:is>
      </x:c>
      <x:c r="C5" s="48" t="inlineStr">
        <x:is>
          <x:t xml:space="preserve">Definition</x:t>
        </x:is>
      </x:c>
      <x:c r="D5" s="49" t="inlineStr">
        <x:is>
          <x:t xml:space="preserve">Folder code</x:t>
        </x:is>
      </x:c>
    </x:row>
    <x:row r="6">
      <x:c r="A6" s="50" t="inlineStr">
        <x:is>
          <x:t xml:space="preserve">PA</x:t>
        </x:is>
      </x:c>
      <x:c r="B6" s="51" t="inlineStr">
        <x:is>
          <x:t xml:space="preserve">Public authority</x:t>
        </x:is>
      </x:c>
      <x:c r="C6" s="51" t="inlineStr">
        <x:is>
          <x:t xml:space="preserve">Government, regulator or permitting authority</x:t>
        </x:is>
      </x:c>
      <x:c r="D6" s="52" t="inlineStr">
        <x:is>
          <x:t xml:space="preserve">A_Public_Authority</x:t>
        </x:is>
      </x:c>
    </x:row>
    <x:row r="7">
      <x:c r="A7" s="50" t="inlineStr">
        <x:is>
          <x:t xml:space="preserve">SB</x:t>
        </x:is>
      </x:c>
      <x:c r="B7" s="51" t="inlineStr">
        <x:is>
          <x:t xml:space="preserve">Standards body</x:t>
        </x:is>
      </x:c>
      <x:c r="C7" s="51" t="inlineStr">
        <x:is>
          <x:t xml:space="preserve">Standards organisation such as NS, EN or ISO</x:t>
        </x:is>
      </x:c>
      <x:c r="D7" s="52" t="inlineStr">
        <x:is>
          <x:t xml:space="preserve">B_Standards_Body</x:t>
        </x:is>
      </x:c>
    </x:row>
    <x:row r="8">
      <x:c r="A8" s="50" t="inlineStr">
        <x:is>
          <x:t xml:space="preserve">CS</x:t>
        </x:is>
      </x:c>
      <x:c r="B8" s="51" t="inlineStr">
        <x:is>
          <x:t xml:space="preserve">Certification scheme</x:t>
        </x:is>
      </x:c>
      <x:c r="C8" s="51" t="inlineStr">
        <x:is>
          <x:t xml:space="preserve">Certification scheme such as ASC or GLOBALG.A.P.</x:t>
        </x:is>
      </x:c>
      <x:c r="D8" s="52" t="inlineStr">
        <x:is>
          <x:t xml:space="preserve">C_Certification_Scheme</x:t>
        </x:is>
      </x:c>
    </x:row>
    <x:row r="9">
      <x:c r="A9" s="50" t="inlineStr">
        <x:is>
          <x:t xml:space="preserve">MS</x:t>
        </x:is>
      </x:c>
      <x:c r="B9" s="51" t="inlineStr">
        <x:is>
          <x:t xml:space="preserve">Manufacturer / supplier</x:t>
        </x:is>
      </x:c>
      <x:c r="C9" s="51" t="inlineStr">
        <x:is>
          <x:t xml:space="preserve">Equipment manufacturer or supplier</x:t>
        </x:is>
      </x:c>
      <x:c r="D9" s="52" t="inlineStr">
        <x:is>
          <x:t xml:space="preserve">D_Manufacturer_Supplier</x:t>
        </x:is>
      </x:c>
    </x:row>
    <x:row r="10">
      <x:c r="A10" s="50" t="inlineStr">
        <x:is>
          <x:t xml:space="preserve">PE</x:t>
        </x:is>
      </x:c>
      <x:c r="B10" s="51" t="inlineStr">
        <x:is>
          <x:t xml:space="preserve">Project / engineering</x:t>
        </x:is>
      </x:c>
      <x:c r="C10" s="51" t="inlineStr">
        <x:is>
          <x:t xml:space="preserve">Site, design or engineering source</x:t>
        </x:is>
      </x:c>
      <x:c r="D10" s="52" t="inlineStr">
        <x:is>
          <x:t xml:space="preserve">E_Project_Engineering</x:t>
        </x:is>
      </x:c>
    </x:row>
    <x:row r="11">
      <x:c r="A11" s="50" t="inlineStr">
        <x:is>
          <x:t xml:space="preserve">CI</x:t>
        </x:is>
      </x:c>
      <x:c r="B11" s="51" t="inlineStr">
        <x:is>
          <x:t xml:space="preserve">Client / internal</x:t>
        </x:is>
      </x:c>
      <x:c r="C11" s="51" t="inlineStr">
        <x:is>
          <x:t xml:space="preserve">Client, contract or internal rule</x:t>
        </x:is>
      </x:c>
      <x:c r="D11" s="52" t="inlineStr">
        <x:is>
          <x:t xml:space="preserve">F_Client_Internal</x:t>
        </x:is>
      </x:c>
    </x:row>
    <x:row r="12">
      <x:c r="A12" s="53" t="inlineStr">
        <x:is>
          <x:t xml:space="preserve">PC</x:t>
        </x:is>
      </x:c>
      <x:c r="B12" s="54" t="inlineStr">
        <x:is>
          <x:t xml:space="preserve">Pending classification</x:t>
        </x:is>
      </x:c>
      <x:c r="C12" s="54" t="inlineStr">
        <x:is>
          <x:t xml:space="preserve">Temporary category; cannot be directly included</x:t>
        </x:is>
      </x:c>
      <x:c r="D12" s="55" t="inlineStr">
        <x:is>
          <x:t xml:space="preserve">Z_Pending_Classification</x:t>
        </x:is>
      </x:c>
    </x:row>
    <x:row r="14" s="36" customFormat="1" ht="25" customHeight="1">
      <x:c r="A14" s="18" t="inlineStr">
        <x:is>
          <x:t xml:space="preserve">Classification dimension | Document type</x:t>
        </x:is>
      </x:c>
    </x:row>
    <x:row r="15" s="36" customFormat="1" ht="32" customHeight="1">
      <x:c r="A15" s="47" t="inlineStr">
        <x:is>
          <x:t xml:space="preserve">Code</x:t>
        </x:is>
      </x:c>
      <x:c r="B15" s="48" t="inlineStr">
        <x:is>
          <x:t xml:space="preserve">Option value</x:t>
        </x:is>
      </x:c>
      <x:c r="C15" s="48" t="inlineStr">
        <x:is>
          <x:t xml:space="preserve">Definition</x:t>
        </x:is>
      </x:c>
      <x:c r="D15" s="49" t="inlineStr">
        <x:is>
          <x:t xml:space="preserve">Notes</x:t>
        </x:is>
      </x:c>
    </x:row>
    <x:row r="16">
      <x:c r="A16" s="50" t="inlineStr">
        <x:is>
          <x:t xml:space="preserve">LAW</x:t>
        </x:is>
      </x:c>
      <x:c r="B16" s="51" t="inlineStr">
        <x:is>
          <x:t xml:space="preserve">Law</x:t>
        </x:is>
      </x:c>
      <x:c r="C16" s="51" t="inlineStr">
        <x:is>
          <x:t xml:space="preserve">Primary legislation</x:t>
        </x:is>
      </x:c>
      <x:c r="D16" s="52" t="str"/>
    </x:row>
    <x:row r="17">
      <x:c r="A17" s="50" t="inlineStr">
        <x:is>
          <x:t xml:space="preserve">REG</x:t>
        </x:is>
      </x:c>
      <x:c r="B17" s="51" t="inlineStr">
        <x:is>
          <x:t xml:space="preserve">Regulation</x:t>
        </x:is>
      </x:c>
      <x:c r="C17" s="51" t="inlineStr">
        <x:is>
          <x:t xml:space="preserve">Secondary legislation or regulation</x:t>
        </x:is>
      </x:c>
      <x:c r="D17" s="52" t="str"/>
    </x:row>
    <x:row r="18">
      <x:c r="A18" s="50" t="inlineStr">
        <x:is>
          <x:t xml:space="preserve">PER</x:t>
        </x:is>
      </x:c>
      <x:c r="B18" s="51" t="inlineStr">
        <x:is>
          <x:t xml:space="preserve">Permit / authority decision</x:t>
        </x:is>
      </x:c>
      <x:c r="C18" s="51" t="inlineStr">
        <x:is>
          <x:t xml:space="preserve">Permit or site-specific administrative decision</x:t>
        </x:is>
      </x:c>
      <x:c r="D18" s="52" t="str"/>
    </x:row>
    <x:row r="19">
      <x:c r="A19" s="50" t="inlineStr">
        <x:is>
          <x:t xml:space="preserve">STD</x:t>
        </x:is>
      </x:c>
      <x:c r="B19" s="51" t="inlineStr">
        <x:is>
          <x:t xml:space="preserve">Technical standard</x:t>
        </x:is>
      </x:c>
      <x:c r="C19" s="51" t="inlineStr">
        <x:is>
          <x:t xml:space="preserve">NS, EN, ISO or industry technical standard</x:t>
        </x:is>
      </x:c>
      <x:c r="D19" s="52" t="str"/>
    </x:row>
    <x:row r="20">
      <x:c r="A20" s="50" t="inlineStr">
        <x:is>
          <x:t xml:space="preserve">SCH</x:t>
        </x:is>
      </x:c>
      <x:c r="B20" s="51" t="inlineStr">
        <x:is>
          <x:t xml:space="preserve">Scheme standard</x:t>
        </x:is>
      </x:c>
      <x:c r="C20" s="51" t="inlineStr">
        <x:is>
          <x:t xml:space="preserve">Primary certification scheme standard</x:t>
        </x:is>
      </x:c>
      <x:c r="D20" s="52" t="str"/>
    </x:row>
    <x:row r="21">
      <x:c r="A21" s="50" t="inlineStr">
        <x:is>
          <x:t xml:space="preserve">INT</x:t>
        </x:is>
      </x:c>
      <x:c r="B21" s="51" t="inlineStr">
        <x:is>
          <x:t xml:space="preserve">Interpretation document</x:t>
        </x:is>
      </x:c>
      <x:c r="C21" s="51" t="inlineStr">
        <x:is>
          <x:t xml:space="preserve">Interpretation manual or guidance</x:t>
        </x:is>
      </x:c>
      <x:c r="D21" s="52" t="str"/>
    </x:row>
    <x:row r="22">
      <x:c r="A22" s="50" t="inlineStr">
        <x:is>
          <x:t xml:space="preserve">AUD</x:t>
        </x:is>
      </x:c>
      <x:c r="B22" s="51" t="inlineStr">
        <x:is>
          <x:t xml:space="preserve">Audit / assessment document</x:t>
        </x:is>
      </x:c>
      <x:c r="C22" s="51" t="inlineStr">
        <x:is>
          <x:t xml:space="preserve">Audit manual, checklist or assessment tool</x:t>
        </x:is>
      </x:c>
      <x:c r="D22" s="52" t="str"/>
    </x:row>
    <x:row r="23">
      <x:c r="A23" s="50" t="inlineStr">
        <x:is>
          <x:t xml:space="preserve">MAN</x:t>
        </x:is>
      </x:c>
      <x:c r="B23" s="51" t="inlineStr">
        <x:is>
          <x:t xml:space="preserve">Equipment manual / OEM instruction</x:t>
        </x:is>
      </x:c>
      <x:c r="C23" s="51" t="inlineStr">
        <x:is>
          <x:t xml:space="preserve">Manufacturer installation, operation, maintenance or safety instruction</x:t>
        </x:is>
      </x:c>
      <x:c r="D23" s="52" t="str"/>
    </x:row>
    <x:row r="24">
      <x:c r="A24" s="50" t="inlineStr">
        <x:is>
          <x:t xml:space="preserve">ENG</x:t>
        </x:is>
      </x:c>
      <x:c r="B24" s="51" t="inlineStr">
        <x:is>
          <x:t xml:space="preserve">Design / engineering document</x:t>
        </x:is>
      </x:c>
      <x:c r="C24" s="51" t="inlineStr">
        <x:is>
          <x:t xml:space="preserve">Design basis, analysis or engineering report</x:t>
        </x:is>
      </x:c>
      <x:c r="D24" s="52" t="str"/>
    </x:row>
    <x:row r="25">
      <x:c r="A25" s="50" t="inlineStr">
        <x:is>
          <x:t xml:space="preserve">CON</x:t>
        </x:is>
      </x:c>
      <x:c r="B25" s="51" t="inlineStr">
        <x:is>
          <x:t xml:space="preserve">Internal policy / contract</x:t>
        </x:is>
      </x:c>
      <x:c r="C25" s="51" t="inlineStr">
        <x:is>
          <x:t xml:space="preserve">Client, contract or internal normative document</x:t>
        </x:is>
      </x:c>
      <x:c r="D25" s="52" t="str"/>
    </x:row>
    <x:row r="26">
      <x:c r="A26" s="53" t="inlineStr">
        <x:is>
          <x:t xml:space="preserve">OTH</x:t>
        </x:is>
      </x:c>
      <x:c r="B26" s="54" t="inlineStr">
        <x:is>
          <x:t xml:space="preserve">Other</x:t>
        </x:is>
      </x:c>
      <x:c r="C26" s="54" t="inlineStr">
        <x:is>
          <x:t xml:space="preserve">Use only when no controlled document type applies</x:t>
        </x:is>
      </x:c>
      <x:c r="D26" s="55" t="str"/>
    </x:row>
    <x:row r="28" s="36" customFormat="1" ht="25" customHeight="1">
      <x:c r="A28" s="18" t="inlineStr">
        <x:is>
          <x:t xml:space="preserve">Classification dimension | Requirement role</x:t>
        </x:is>
      </x:c>
    </x:row>
    <x:row r="29" s="36" customFormat="1" ht="32" customHeight="1">
      <x:c r="A29" s="47" t="inlineStr">
        <x:is>
          <x:t xml:space="preserve">Code</x:t>
        </x:is>
      </x:c>
      <x:c r="B29" s="48" t="inlineStr">
        <x:is>
          <x:t xml:space="preserve">Option value</x:t>
        </x:is>
      </x:c>
      <x:c r="C29" s="48" t="inlineStr">
        <x:is>
          <x:t xml:space="preserve">Definition</x:t>
        </x:is>
      </x:c>
      <x:c r="D29" s="49" t="inlineStr">
        <x:is>
          <x:t xml:space="preserve">Notes</x:t>
        </x:is>
      </x:c>
    </x:row>
    <x:row r="30">
      <x:c r="A30" s="50" t="inlineStr">
        <x:is>
          <x:t xml:space="preserve">PN</x:t>
        </x:is>
      </x:c>
      <x:c r="B30" s="51" t="inlineStr">
        <x:is>
          <x:t xml:space="preserve">Primary normative</x:t>
        </x:is>
      </x:c>
      <x:c r="C30" s="51" t="inlineStr">
        <x:is>
          <x:t xml:space="preserve">Directly creates requirements within the approved scope</x:t>
        </x:is>
      </x:c>
      <x:c r="D30" s="52" t="str"/>
    </x:row>
    <x:row r="31">
      <x:c r="A31" s="50" t="inlineStr">
        <x:is>
          <x:t xml:space="preserve">RN</x:t>
        </x:is>
      </x:c>
      <x:c r="B31" s="51" t="inlineStr">
        <x:is>
          <x:t xml:space="preserve">Referenced normative</x:t>
        </x:is>
      </x:c>
      <x:c r="C31" s="51" t="inlineStr">
        <x:is>
          <x:t xml:space="preserve">Applies through citation by law, contract or a primary source</x:t>
        </x:is>
      </x:c>
      <x:c r="D31" s="52" t="str"/>
    </x:row>
    <x:row r="32">
      <x:c r="A32" s="50" t="inlineStr">
        <x:is>
          <x:t xml:space="preserve">AN</x:t>
        </x:is>
      </x:c>
      <x:c r="B32" s="51" t="inlineStr">
        <x:is>
          <x:t xml:space="preserve">Asset-specific normative</x:t>
        </x:is>
      </x:c>
      <x:c r="C32" s="51" t="inlineStr">
        <x:is>
          <x:t xml:space="preserve">Creates requirements only for confirmed applicable equipment, model, asset or configuration</x:t>
        </x:is>
      </x:c>
      <x:c r="D32" s="52" t="str"/>
    </x:row>
    <x:row r="33">
      <x:c r="A33" s="50" t="inlineStr">
        <x:is>
          <x:t xml:space="preserve">GI</x:t>
        </x:is>
      </x:c>
      <x:c r="B33" s="51" t="inlineStr">
        <x:is>
          <x:t xml:space="preserve">Guidance / interpretation</x:t>
        </x:is>
      </x:c>
      <x:c r="C33" s="51" t="inlineStr">
        <x:is>
          <x:t xml:space="preserve">Helps interpretation but does not independently create requirements</x:t>
        </x:is>
      </x:c>
      <x:c r="D33" s="52" t="str"/>
    </x:row>
    <x:row r="34">
      <x:c r="A34" s="50" t="inlineStr">
        <x:is>
          <x:t xml:space="preserve">AT</x:t>
        </x:is>
      </x:c>
      <x:c r="B34" s="51" t="inlineStr">
        <x:is>
          <x:t xml:space="preserve">Audit / assessment tool</x:t>
        </x:is>
      </x:c>
      <x:c r="C34" s="51" t="inlineStr">
        <x:is>
          <x:t xml:space="preserve">Supports verification and should link to a primary source</x:t>
        </x:is>
      </x:c>
      <x:c r="D34" s="52" t="str"/>
    </x:row>
    <x:row r="35">
      <x:c r="A35" s="50" t="inlineStr">
        <x:is>
          <x:t xml:space="preserve">CE</x:t>
        </x:is>
      </x:c>
      <x:c r="B35" s="51" t="inlineStr">
        <x:is>
          <x:t xml:space="preserve">Context / evidence</x:t>
        </x:is>
      </x:c>
      <x:c r="C35" s="51" t="inlineStr">
        <x:is>
          <x:t xml:space="preserve">Provides facts or proof; only normative statements may become requirements</x:t>
        </x:is>
      </x:c>
      <x:c r="D35" s="52" t="str"/>
    </x:row>
    <x:row r="36">
      <x:c r="A36" s="53" t="inlineStr">
        <x:is>
          <x:t xml:space="preserve">DW</x:t>
        </x:is>
      </x:c>
      <x:c r="B36" s="54" t="inlineStr">
        <x:is>
          <x:t xml:space="preserve">Draft working material</x:t>
        </x:is>
      </x:c>
      <x:c r="C36" s="54" t="inlineStr">
        <x:is>
          <x:t xml:space="preserve">Working material that cannot be treated as formal authority</x:t>
        </x:is>
      </x:c>
      <x:c r="D36" s="55" t="str"/>
    </x:row>
    <x:row r="38" s="36" customFormat="1" ht="25" customHeight="1">
      <x:c r="A38" s="18" t="inlineStr">
        <x:is>
          <x:t xml:space="preserve">Authoritative language</x:t>
        </x:is>
      </x:c>
    </x:row>
    <x:row r="39" s="36" customFormat="1" ht="32" customHeight="1">
      <x:c r="A39" s="47" t="inlineStr">
        <x:is>
          <x:t xml:space="preserve">Code</x:t>
        </x:is>
      </x:c>
      <x:c r="B39" s="48" t="inlineStr">
        <x:is>
          <x:t xml:space="preserve">Option value</x:t>
        </x:is>
      </x:c>
      <x:c r="C39" s="48" t="inlineStr">
        <x:is>
          <x:t xml:space="preserve">Definition</x:t>
        </x:is>
      </x:c>
      <x:c r="D39" s="49" t="inlineStr">
        <x:is>
          <x:t xml:space="preserve">Notes</x:t>
        </x:is>
      </x:c>
    </x:row>
    <x:row r="40">
      <x:c r="A40" s="50" t="inlineStr">
        <x:is>
          <x:t xml:space="preserve">EN</x:t>
        </x:is>
      </x:c>
      <x:c r="B40" s="51" t="inlineStr">
        <x:is>
          <x:t xml:space="preserve">English</x:t>
        </x:is>
      </x:c>
      <x:c r="C40" s="51" t="inlineStr">
        <x:is>
          <x:t xml:space="preserve">English is authoritative</x:t>
        </x:is>
      </x:c>
      <x:c r="D40" s="52" t="str"/>
    </x:row>
    <x:row r="41">
      <x:c r="A41" s="50" t="inlineStr">
        <x:is>
          <x:t xml:space="preserve">NO</x:t>
        </x:is>
      </x:c>
      <x:c r="B41" s="51" t="inlineStr">
        <x:is>
          <x:t xml:space="preserve">Norwegian</x:t>
        </x:is>
      </x:c>
      <x:c r="C41" s="51" t="inlineStr">
        <x:is>
          <x:t xml:space="preserve">Norwegian is authoritative</x:t>
        </x:is>
      </x:c>
      <x:c r="D41" s="52" t="str"/>
    </x:row>
    <x:row r="42">
      <x:c r="A42" s="53" t="inlineStr">
        <x:is>
          <x:t xml:space="preserve">OT</x:t>
        </x:is>
      </x:c>
      <x:c r="B42" s="54" t="inlineStr">
        <x:is>
          <x:t xml:space="preserve">Other</x:t>
        </x:is>
      </x:c>
      <x:c r="C42" s="54" t="inlineStr">
        <x:is>
          <x:t xml:space="preserve">Another language is authoritative; specify details in notes</x:t>
        </x:is>
      </x:c>
      <x:c r="D42" s="55" t="str"/>
    </x:row>
    <x:row r="44" s="36" customFormat="1" ht="25" customHeight="1">
      <x:c r="A44" s="18" t="inlineStr">
        <x:is>
          <x:t xml:space="preserve">Jurisdiction</x:t>
        </x:is>
      </x:c>
    </x:row>
    <x:row r="45" s="36" customFormat="1" ht="32" customHeight="1">
      <x:c r="A45" s="47" t="inlineStr">
        <x:is>
          <x:t xml:space="preserve">Code</x:t>
        </x:is>
      </x:c>
      <x:c r="B45" s="48" t="inlineStr">
        <x:is>
          <x:t xml:space="preserve">Option value</x:t>
        </x:is>
      </x:c>
      <x:c r="C45" s="48" t="inlineStr">
        <x:is>
          <x:t xml:space="preserve">Definition</x:t>
        </x:is>
      </x:c>
      <x:c r="D45" s="49" t="inlineStr">
        <x:is>
          <x:t xml:space="preserve">Notes</x:t>
        </x:is>
      </x:c>
    </x:row>
    <x:row r="46">
      <x:c r="A46" s="50" t="inlineStr">
        <x:is>
          <x:t xml:space="preserve">NO</x:t>
        </x:is>
      </x:c>
      <x:c r="B46" s="51" t="inlineStr">
        <x:is>
          <x:t xml:space="preserve">Norway</x:t>
        </x:is>
      </x:c>
      <x:c r="C46" s="51" t="inlineStr">
        <x:is>
          <x:t xml:space="preserve">Norwegian jurisdiction</x:t>
        </x:is>
      </x:c>
      <x:c r="D46" s="52" t="str"/>
    </x:row>
    <x:row r="47">
      <x:c r="A47" s="50" t="inlineStr">
        <x:is>
          <x:t xml:space="preserve">EU</x:t>
        </x:is>
      </x:c>
      <x:c r="B47" s="51" t="inlineStr">
        <x:is>
          <x:t xml:space="preserve">EU / EEA</x:t>
        </x:is>
      </x:c>
      <x:c r="C47" s="51" t="inlineStr">
        <x:is>
          <x:t xml:space="preserve">European Union or European Economic Area</x:t>
        </x:is>
      </x:c>
      <x:c r="D47" s="52" t="str"/>
    </x:row>
    <x:row r="48">
      <x:c r="A48" s="50" t="inlineStr">
        <x:is>
          <x:t xml:space="preserve">INT</x:t>
        </x:is>
      </x:c>
      <x:c r="B48" s="51" t="inlineStr">
        <x:is>
          <x:t xml:space="preserve">International</x:t>
        </x:is>
      </x:c>
      <x:c r="C48" s="51" t="inlineStr">
        <x:is>
          <x:t xml:space="preserve">International or scheme-wide scope</x:t>
        </x:is>
      </x:c>
      <x:c r="D48" s="52" t="str"/>
    </x:row>
    <x:row r="49">
      <x:c r="A49" s="50" t="inlineStr">
        <x:is>
          <x:t xml:space="preserve">MULTI</x:t>
        </x:is>
      </x:c>
      <x:c r="B49" s="51" t="inlineStr">
        <x:is>
          <x:t xml:space="preserve">Multi-jurisdiction</x:t>
        </x:is>
      </x:c>
      <x:c r="C49" s="51" t="inlineStr">
        <x:is>
          <x:t xml:space="preserve">Applies across more than one defined jurisdiction</x:t>
        </x:is>
      </x:c>
      <x:c r="D49" s="52" t="str"/>
    </x:row>
    <x:row r="50">
      <x:c r="A50" s="50" t="inlineStr">
        <x:is>
          <x:t xml:space="preserve">SITE</x:t>
        </x:is>
      </x:c>
      <x:c r="B50" s="51" t="inlineStr">
        <x:is>
          <x:t xml:space="preserve">Site-specific</x:t>
        </x:is>
      </x:c>
      <x:c r="C50" s="51" t="inlineStr">
        <x:is>
          <x:t xml:space="preserve">Applies to one site, permit or location</x:t>
        </x:is>
      </x:c>
      <x:c r="D50" s="52" t="str"/>
    </x:row>
    <x:row r="51">
      <x:c r="A51" s="53" t="inlineStr">
        <x:is>
          <x:t xml:space="preserve">OTH</x:t>
        </x:is>
      </x:c>
      <x:c r="B51" s="54" t="inlineStr">
        <x:is>
          <x:t xml:space="preserve">Other</x:t>
        </x:is>
      </x:c>
      <x:c r="C51" s="54" t="inlineStr">
        <x:is>
          <x:t xml:space="preserve">Another jurisdiction; specify details in notes</x:t>
        </x:is>
      </x:c>
      <x:c r="D51" s="55" t="str"/>
    </x:row>
    <x:row r="53" s="36" customFormat="1" ht="25" customHeight="1">
      <x:c r="A53" s="18" t="inlineStr">
        <x:is>
          <x:t xml:space="preserve">File format</x:t>
        </x:is>
      </x:c>
    </x:row>
    <x:row r="54" s="36" customFormat="1" ht="32" customHeight="1">
      <x:c r="A54" s="47" t="inlineStr">
        <x:is>
          <x:t xml:space="preserve">Code</x:t>
        </x:is>
      </x:c>
      <x:c r="B54" s="48" t="inlineStr">
        <x:is>
          <x:t xml:space="preserve">Option value</x:t>
        </x:is>
      </x:c>
      <x:c r="C54" s="48" t="inlineStr">
        <x:is>
          <x:t xml:space="preserve">Definition</x:t>
        </x:is>
      </x:c>
      <x:c r="D54" s="49" t="inlineStr">
        <x:is>
          <x:t xml:space="preserve">Notes</x:t>
        </x:is>
      </x:c>
    </x:row>
    <x:row r="55">
      <x:c r="A55" s="50" t="inlineStr">
        <x:is>
          <x:t xml:space="preserve">PDF</x:t>
        </x:is>
      </x:c>
      <x:c r="B55" s="51" t="inlineStr">
        <x:is>
          <x:t xml:space="preserve">pdf</x:t>
        </x:is>
      </x:c>
      <x:c r="C55" s="51" t="inlineStr">
        <x:is>
          <x:t xml:space="preserve">Original PDF file</x:t>
        </x:is>
      </x:c>
      <x:c r="D55" s="52" t="str"/>
    </x:row>
    <x:row r="56">
      <x:c r="A56" s="50" t="inlineStr">
        <x:is>
          <x:t xml:space="preserve">HTML</x:t>
        </x:is>
      </x:c>
      <x:c r="B56" s="51" t="inlineStr">
        <x:is>
          <x:t xml:space="preserve">html</x:t>
        </x:is>
      </x:c>
      <x:c r="C56" s="51" t="inlineStr">
        <x:is>
          <x:t xml:space="preserve">Original HTML page or document</x:t>
        </x:is>
      </x:c>
      <x:c r="D56" s="52" t="str"/>
    </x:row>
    <x:row r="57">
      <x:c r="A57" s="50" t="inlineStr">
        <x:is>
          <x:t xml:space="preserve">XLSX</x:t>
        </x:is>
      </x:c>
      <x:c r="B57" s="51" t="inlineStr">
        <x:is>
          <x:t xml:space="preserve">xlsx</x:t>
        </x:is>
      </x:c>
      <x:c r="C57" s="51" t="inlineStr">
        <x:is>
          <x:t xml:space="preserve">Original Excel workbook</x:t>
        </x:is>
      </x:c>
      <x:c r="D57" s="52" t="str"/>
    </x:row>
    <x:row r="58">
      <x:c r="A58" s="53" t="inlineStr">
        <x:is>
          <x:t xml:space="preserve">ZIP</x:t>
        </x:is>
      </x:c>
      <x:c r="B58" s="54" t="inlineStr">
        <x:is>
          <x:t xml:space="preserve">zip</x:t>
        </x:is>
      </x:c>
      <x:c r="C58" s="54" t="inlineStr">
        <x:is>
          <x:t xml:space="preserve">Original ZIP package; extraction requires an explicit rule</x:t>
        </x:is>
      </x:c>
      <x:c r="D58" s="55" t="str"/>
    </x:row>
    <x:row r="60" s="36" customFormat="1" ht="25" customHeight="1">
      <x:c r="A60" s="18" t="inlineStr">
        <x:is>
          <x:t xml:space="preserve">Assessment score</x:t>
        </x:is>
      </x:c>
    </x:row>
    <x:row r="61" s="36" customFormat="1" ht="32" customHeight="1">
      <x:c r="A61" s="47" t="inlineStr">
        <x:is>
          <x:t xml:space="preserve">Code</x:t>
        </x:is>
      </x:c>
      <x:c r="B61" s="48" t="inlineStr">
        <x:is>
          <x:t xml:space="preserve">Option value</x:t>
        </x:is>
      </x:c>
      <x:c r="C61" s="48" t="inlineStr">
        <x:is>
          <x:t xml:space="preserve">Definition</x:t>
        </x:is>
      </x:c>
      <x:c r="D61" s="49" t="inlineStr">
        <x:is>
          <x:t xml:space="preserve">Notes</x:t>
        </x:is>
      </x:c>
    </x:row>
    <x:row r="62">
      <x:c r="A62" s="50" t="inlineStr">
        <x:is>
          <x:t xml:space="preserve">L</x:t>
        </x:is>
      </x:c>
      <x:c r="B62" s="51" t="inlineStr">
        <x:is>
          <x:t xml:space="preserve">LOW</x:t>
        </x:is>
      </x:c>
      <x:c r="C62" s="51" t="inlineStr">
        <x:is>
          <x:t xml:space="preserve">Does not meet the criterion or evidence is materially insufficient</x:t>
        </x:is>
      </x:c>
      <x:c r="D62" s="52" t="str"/>
    </x:row>
    <x:row r="63">
      <x:c r="A63" s="50" t="inlineStr">
        <x:is>
          <x:t xml:space="preserve">M</x:t>
        </x:is>
      </x:c>
      <x:c r="B63" s="51" t="inlineStr">
        <x:is>
          <x:t xml:space="preserve">MEDIUM</x:t>
        </x:is>
      </x:c>
      <x:c r="C63" s="51" t="inlineStr">
        <x:is>
          <x:t xml:space="preserve">May meet the criterion but requires confirmation</x:t>
        </x:is>
      </x:c>
      <x:c r="D63" s="52" t="str"/>
    </x:row>
    <x:row r="64">
      <x:c r="A64" s="53" t="inlineStr">
        <x:is>
          <x:t xml:space="preserve">H</x:t>
        </x:is>
      </x:c>
      <x:c r="B64" s="54" t="inlineStr">
        <x:is>
          <x:t xml:space="preserve">HIGH</x:t>
        </x:is>
      </x:c>
      <x:c r="C64" s="54" t="inlineStr">
        <x:is>
          <x:t xml:space="preserve">Verified and supported by sufficient evidence</x:t>
        </x:is>
      </x:c>
      <x:c r="D64" s="55" t="str"/>
    </x:row>
    <x:row r="66" s="36" customFormat="1" ht="25" customHeight="1">
      <x:c r="A66" s="18" t="inlineStr">
        <x:is>
          <x:t xml:space="preserve">Selection status</x:t>
        </x:is>
      </x:c>
    </x:row>
    <x:row r="67" s="36" customFormat="1" ht="32" customHeight="1">
      <x:c r="A67" s="47" t="inlineStr">
        <x:is>
          <x:t xml:space="preserve">Code</x:t>
        </x:is>
      </x:c>
      <x:c r="B67" s="48" t="inlineStr">
        <x:is>
          <x:t xml:space="preserve">Option value</x:t>
        </x:is>
      </x:c>
      <x:c r="C67" s="48" t="inlineStr">
        <x:is>
          <x:t xml:space="preserve">Definition</x:t>
        </x:is>
      </x:c>
      <x:c r="D67" s="49" t="inlineStr">
        <x:is>
          <x:t xml:space="preserve">Notes</x:t>
        </x:is>
      </x:c>
    </x:row>
    <x:row r="68">
      <x:c r="A68" s="50" t="inlineStr">
        <x:is>
          <x:t xml:space="preserve">P</x:t>
        </x:is>
      </x:c>
      <x:c r="B68" s="51" t="inlineStr">
        <x:is>
          <x:t xml:space="preserve">PENDING</x:t>
        </x:is>
      </x:c>
      <x:c r="C68" s="51" t="inlineStr">
        <x:is>
          <x:t xml:space="preserve">At least one mandatory criterion is MEDIUM or incomplete</x:t>
        </x:is>
      </x:c>
      <x:c r="D68" s="52" t="str"/>
    </x:row>
    <x:row r="69">
      <x:c r="A69" s="50" t="inlineStr">
        <x:is>
          <x:t xml:space="preserve">I</x:t>
        </x:is>
      </x:c>
      <x:c r="B69" s="51" t="inlineStr">
        <x:is>
          <x:t xml:space="preserve">INCLUDE</x:t>
        </x:is>
      </x:c>
      <x:c r="C69" s="51" t="inlineStr">
        <x:is>
          <x:t xml:space="preserve">All five mandatory criteria are HIGH</x:t>
        </x:is>
      </x:c>
      <x:c r="D69" s="52" t="str"/>
    </x:row>
    <x:row r="70">
      <x:c r="A70" s="53" t="inlineStr">
        <x:is>
          <x:t xml:space="preserve">E</x:t>
        </x:is>
      </x:c>
      <x:c r="B70" s="54" t="inlineStr">
        <x:is>
          <x:t xml:space="preserve">EXCLUDE</x:t>
        </x:is>
      </x:c>
      <x:c r="C70" s="54" t="inlineStr">
        <x:is>
          <x:t xml:space="preserve">At least one mandatory criterion is LOW</x:t>
        </x:is>
      </x:c>
      <x:c r="D70" s="55" t="str"/>
    </x:row>
    <x:row r="72" s="36" customFormat="1" ht="25" customHeight="1">
      <x:c r="A72" s="18" t="inlineStr">
        <x:is>
          <x:t xml:space="preserve">Snapshot status</x:t>
        </x:is>
      </x:c>
    </x:row>
    <x:row r="73" s="36" customFormat="1" ht="32" customHeight="1">
      <x:c r="A73" s="47" t="inlineStr">
        <x:is>
          <x:t xml:space="preserve">Code</x:t>
        </x:is>
      </x:c>
      <x:c r="B73" s="48" t="inlineStr">
        <x:is>
          <x:t xml:space="preserve">Option value</x:t>
        </x:is>
      </x:c>
      <x:c r="C73" s="48" t="inlineStr">
        <x:is>
          <x:t xml:space="preserve">Definition</x:t>
        </x:is>
      </x:c>
      <x:c r="D73" s="49" t="inlineStr">
        <x:is>
          <x:t xml:space="preserve">Notes</x:t>
        </x:is>
      </x:c>
    </x:row>
    <x:row r="74">
      <x:c r="A74" s="50" t="inlineStr">
        <x:is>
          <x:t xml:space="preserve">NC</x:t>
        </x:is>
      </x:c>
      <x:c r="B74" s="51" t="inlineStr">
        <x:is>
          <x:t xml:space="preserve">NOT_COLLECTED</x:t>
        </x:is>
      </x:c>
      <x:c r="C74" s="51" t="inlineStr">
        <x:is>
          <x:t xml:space="preserve">No current file has been collected</x:t>
        </x:is>
      </x:c>
      <x:c r="D74" s="52" t="str"/>
    </x:row>
    <x:row r="75">
      <x:c r="A75" s="50" t="inlineStr">
        <x:is>
          <x:t xml:space="preserve">ST</x:t>
        </x:is>
      </x:c>
      <x:c r="B75" s="51" t="inlineStr">
        <x:is>
          <x:t xml:space="preserve">STORED</x:t>
        </x:is>
      </x:c>
      <x:c r="C75" s="51" t="inlineStr">
        <x:is>
          <x:t xml:space="preserve">Current file is stored and locatable</x:t>
        </x:is>
      </x:c>
      <x:c r="D75" s="52" t="str"/>
    </x:row>
    <x:row r="76">
      <x:c r="A76" s="53" t="inlineStr">
        <x:is>
          <x:t xml:space="preserve">MI</x:t>
        </x:is>
      </x:c>
      <x:c r="B76" s="54" t="inlineStr">
        <x:is>
          <x:t xml:space="preserve">MISSING</x:t>
        </x:is>
      </x:c>
      <x:c r="C76" s="54" t="inlineStr">
        <x:is>
          <x:t xml:space="preserve">A registry record exists but the file is missing</x:t>
        </x:is>
      </x:c>
      <x:c r="D76" s="55" t="str"/>
    </x:row>
    <x:row r="78" s="36" customFormat="1" ht="25" customHeight="1">
      <x:c r="A78" s="18" t="inlineStr">
        <x:is>
          <x:t xml:space="preserve">Download status</x:t>
        </x:is>
      </x:c>
    </x:row>
    <x:row r="79" s="36" customFormat="1" ht="32" customHeight="1">
      <x:c r="A79" s="47" t="inlineStr">
        <x:is>
          <x:t xml:space="preserve">Code</x:t>
        </x:is>
      </x:c>
      <x:c r="B79" s="48" t="inlineStr">
        <x:is>
          <x:t xml:space="preserve">Option value</x:t>
        </x:is>
      </x:c>
      <x:c r="C79" s="48" t="inlineStr">
        <x:is>
          <x:t xml:space="preserve">Definition</x:t>
        </x:is>
      </x:c>
      <x:c r="D79" s="49" t="inlineStr">
        <x:is>
          <x:t xml:space="preserve">Notes</x:t>
        </x:is>
      </x:c>
    </x:row>
    <x:row r="80">
      <x:c r="A80" s="50" t="inlineStr">
        <x:is>
          <x:t xml:space="preserve">NR</x:t>
        </x:is>
      </x:c>
      <x:c r="B80" s="51" t="inlineStr">
        <x:is>
          <x:t xml:space="preserve">NOT_RUN</x:t>
        </x:is>
      </x:c>
      <x:c r="C80" s="51" t="inlineStr">
        <x:is>
          <x:t xml:space="preserve">Automated retrieval has not run</x:t>
        </x:is>
      </x:c>
      <x:c r="D80" s="52" t="str"/>
    </x:row>
    <x:row r="81">
      <x:c r="A81" s="50" t="inlineStr">
        <x:is>
          <x:t xml:space="preserve">RU</x:t>
        </x:is>
      </x:c>
      <x:c r="B81" s="51" t="inlineStr">
        <x:is>
          <x:t xml:space="preserve">RUNNING</x:t>
        </x:is>
      </x:c>
      <x:c r="C81" s="51" t="inlineStr">
        <x:is>
          <x:t xml:space="preserve">Automated retrieval is in progress</x:t>
        </x:is>
      </x:c>
      <x:c r="D81" s="52" t="str"/>
    </x:row>
    <x:row r="82">
      <x:c r="A82" s="50" t="inlineStr">
        <x:is>
          <x:t xml:space="preserve">SU</x:t>
        </x:is>
      </x:c>
      <x:c r="B82" s="51" t="inlineStr">
        <x:is>
          <x:t xml:space="preserve">SUCCESS</x:t>
        </x:is>
      </x:c>
      <x:c r="C82" s="51" t="inlineStr">
        <x:is>
          <x:t xml:space="preserve">Download, validation and safe storage succeeded</x:t>
        </x:is>
      </x:c>
      <x:c r="D82" s="52" t="str"/>
    </x:row>
    <x:row r="83">
      <x:c r="A83" s="53" t="inlineStr">
        <x:is>
          <x:t xml:space="preserve">FA</x:t>
        </x:is>
      </x:c>
      <x:c r="B83" s="54" t="inlineStr">
        <x:is>
          <x:t xml:space="preserve">FAIL</x:t>
        </x:is>
      </x:c>
      <x:c r="C83" s="54" t="inlineStr">
        <x:is>
          <x:t xml:space="preserve">At least one stage failed and requires a recorded reason</x:t>
        </x:is>
      </x:c>
      <x:c r="D83" s="55" t="str"/>
    </x:row>
    <x:row r="85" s="36" customFormat="1" ht="25" customHeight="1">
      <x:c r="A85" s="18" t="inlineStr">
        <x:is>
          <x:t xml:space="preserve">Content change</x:t>
        </x:is>
      </x:c>
    </x:row>
    <x:row r="86" s="36" customFormat="1" ht="32" customHeight="1">
      <x:c r="A86" s="47" t="inlineStr">
        <x:is>
          <x:t xml:space="preserve">Code</x:t>
        </x:is>
      </x:c>
      <x:c r="B86" s="48" t="inlineStr">
        <x:is>
          <x:t xml:space="preserve">Option value</x:t>
        </x:is>
      </x:c>
      <x:c r="C86" s="48" t="inlineStr">
        <x:is>
          <x:t xml:space="preserve">Definition</x:t>
        </x:is>
      </x:c>
      <x:c r="D86" s="49" t="inlineStr">
        <x:is>
          <x:t xml:space="preserve">Notes</x:t>
        </x:is>
      </x:c>
    </x:row>
    <x:row r="87">
      <x:c r="A87" s="50" t="inlineStr">
        <x:is>
          <x:t xml:space="preserve">UK</x:t>
        </x:is>
      </x:c>
      <x:c r="B87" s="51" t="inlineStr">
        <x:is>
          <x:t xml:space="preserve">UNKNOWN</x:t>
        </x:is>
      </x:c>
      <x:c r="C87" s="51" t="inlineStr">
        <x:is>
          <x:t xml:space="preserve">Content has not been compared</x:t>
        </x:is>
      </x:c>
      <x:c r="D87" s="52" t="str"/>
    </x:row>
    <x:row r="88">
      <x:c r="A88" s="50" t="inlineStr">
        <x:is>
          <x:t xml:space="preserve">IN</x:t>
        </x:is>
      </x:c>
      <x:c r="B88" s="51" t="inlineStr">
        <x:is>
          <x:t xml:space="preserve">INITIAL</x:t>
        </x:is>
      </x:c>
      <x:c r="C88" s="51" t="inlineStr">
        <x:is>
          <x:t xml:space="preserve">First validated collection; no earlier snapshot exists</x:t>
        </x:is>
      </x:c>
      <x:c r="D88" s="52" t="str"/>
    </x:row>
    <x:row r="89">
      <x:c r="A89" s="50" t="inlineStr">
        <x:is>
          <x:t xml:space="preserve">UN</x:t>
        </x:is>
      </x:c>
      <x:c r="B89" s="51" t="inlineStr">
        <x:is>
          <x:t xml:space="preserve">UNCHANGED</x:t>
        </x:is>
      </x:c>
      <x:c r="C89" s="51" t="inlineStr">
        <x:is>
          <x:t xml:space="preserve">Hash matches the current valid file</x:t>
        </x:is>
      </x:c>
      <x:c r="D89" s="52" t="str"/>
    </x:row>
    <x:row r="90">
      <x:c r="A90" s="53" t="inlineStr">
        <x:is>
          <x:t xml:space="preserve">CH</x:t>
        </x:is>
      </x:c>
      <x:c r="B90" s="54" t="inlineStr">
        <x:is>
          <x:t xml:space="preserve">CHANGED</x:t>
        </x:is>
      </x:c>
      <x:c r="C90" s="54" t="inlineStr">
        <x:is>
          <x:t xml:space="preserve">Hash differs and creates a new snapshot</x:t>
        </x:is>
      </x:c>
      <x:c r="D90" s="55" t="str"/>
    </x:row>
    <x:row r="92" s="36" customFormat="1" ht="25" customHeight="1">
      <x:c r="A92" s="18" t="inlineStr">
        <x:is>
          <x:t xml:space="preserve">Current origin</x:t>
        </x:is>
      </x:c>
    </x:row>
    <x:row r="93" s="36" customFormat="1" ht="32" customHeight="1">
      <x:c r="A93" s="47" t="inlineStr">
        <x:is>
          <x:t xml:space="preserve">Code</x:t>
        </x:is>
      </x:c>
      <x:c r="B93" s="48" t="inlineStr">
        <x:is>
          <x:t xml:space="preserve">Option value</x:t>
        </x:is>
      </x:c>
      <x:c r="C93" s="48" t="inlineStr">
        <x:is>
          <x:t xml:space="preserve">Definition</x:t>
        </x:is>
      </x:c>
      <x:c r="D93" s="49" t="inlineStr">
        <x:is>
          <x:t xml:space="preserve">Notes</x:t>
        </x:is>
      </x:c>
    </x:row>
    <x:row r="94">
      <x:c r="A94" s="50" t="inlineStr">
        <x:is>
          <x:t xml:space="preserve">NO</x:t>
        </x:is>
      </x:c>
      <x:c r="B94" s="51" t="inlineStr">
        <x:is>
          <x:t xml:space="preserve">NONE</x:t>
        </x:is>
      </x:c>
      <x:c r="C94" s="51" t="inlineStr">
        <x:is>
          <x:t xml:space="preserve">No valid file exists</x:t>
        </x:is>
      </x:c>
      <x:c r="D94" s="52" t="str"/>
    </x:row>
    <x:row r="95">
      <x:c r="A95" s="50" t="inlineStr">
        <x:is>
          <x:t xml:space="preserve">AU</x:t>
        </x:is>
      </x:c>
      <x:c r="B95" s="51" t="inlineStr">
        <x:is>
          <x:t xml:space="preserve">AUTO</x:t>
        </x:is>
      </x:c>
      <x:c r="C95" s="51" t="inlineStr">
        <x:is>
          <x:t xml:space="preserve">Current file came from successful automated retrieval</x:t>
        </x:is>
      </x:c>
      <x:c r="D95" s="52" t="str"/>
    </x:row>
    <x:row r="96">
      <x:c r="A96" s="53" t="inlineStr">
        <x:is>
          <x:t xml:space="preserve">MA</x:t>
        </x:is>
      </x:c>
      <x:c r="B96" s="54" t="inlineStr">
        <x:is>
          <x:t xml:space="preserve">MANUAL</x:t>
        </x:is>
      </x:c>
      <x:c r="C96" s="54" t="inlineStr">
        <x:is>
          <x:t xml:space="preserve">Current file came from manual fallback</x:t>
        </x:is>
      </x:c>
      <x:c r="D96" s="55" t="str"/>
    </x:row>
    <x:row r="98" s="36" customFormat="1" ht="25" customHeight="1">
      <x:c r="A98" s="18" t="inlineStr">
        <x:is>
          <x:t xml:space="preserve">Failure stage</x:t>
        </x:is>
      </x:c>
    </x:row>
    <x:row r="99" s="36" customFormat="1" ht="32" customHeight="1">
      <x:c r="A99" s="47" t="inlineStr">
        <x:is>
          <x:t xml:space="preserve">Code</x:t>
        </x:is>
      </x:c>
      <x:c r="B99" s="48" t="inlineStr">
        <x:is>
          <x:t xml:space="preserve">Option value</x:t>
        </x:is>
      </x:c>
      <x:c r="C99" s="48" t="inlineStr">
        <x:is>
          <x:t xml:space="preserve">Definition</x:t>
        </x:is>
      </x:c>
      <x:c r="D99" s="49" t="inlineStr">
        <x:is>
          <x:t xml:space="preserve">Notes</x:t>
        </x:is>
      </x:c>
    </x:row>
    <x:row r="100">
      <x:c r="A100" s="50" t="inlineStr">
        <x:is>
          <x:t xml:space="preserve">NON</x:t>
        </x:is>
      </x:c>
      <x:c r="B100" s="51" t="inlineStr">
        <x:is>
          <x:t xml:space="preserve">NONE</x:t>
        </x:is>
      </x:c>
      <x:c r="C100" s="51" t="inlineStr">
        <x:is>
          <x:t xml:space="preserve">No failure</x:t>
        </x:is>
      </x:c>
      <x:c r="D100" s="52" t="str"/>
    </x:row>
    <x:row r="101">
      <x:c r="A101" s="50" t="inlineStr">
        <x:is>
          <x:t xml:space="preserve">CFG</x:t>
        </x:is>
      </x:c>
      <x:c r="B101" s="51" t="inlineStr">
        <x:is>
          <x:t xml:space="preserve">CONFIG</x:t>
        </x:is>
      </x:c>
      <x:c r="C101" s="51" t="inlineStr">
        <x:is>
          <x:t xml:space="preserve">Required field, URL, format or folder configuration is invalid</x:t>
        </x:is>
      </x:c>
      <x:c r="D101" s="52" t="str"/>
    </x:row>
    <x:row r="102">
      <x:c r="A102" s="50" t="inlineStr">
        <x:is>
          <x:t xml:space="preserve">CON</x:t>
        </x:is>
      </x:c>
      <x:c r="B102" s="51" t="inlineStr">
        <x:is>
          <x:t xml:space="preserve">CONNECTION</x:t>
        </x:is>
      </x:c>
      <x:c r="C102" s="51" t="inlineStr">
        <x:is>
          <x:t xml:space="preserve">DNS, network or connection failure</x:t>
        </x:is>
      </x:c>
      <x:c r="D102" s="52" t="str"/>
    </x:row>
    <x:row r="103">
      <x:c r="A103" s="50" t="inlineStr">
        <x:is>
          <x:t xml:space="preserve">HTT</x:t>
        </x:is>
      </x:c>
      <x:c r="B103" s="51" t="inlineStr">
        <x:is>
          <x:t xml:space="preserve">HTTP</x:t>
        </x:is>
      </x:c>
      <x:c r="C103" s="51" t="inlineStr">
        <x:is>
          <x:t xml:space="preserve">HTTP status, redirect or permission failure</x:t>
        </x:is>
      </x:c>
      <x:c r="D103" s="52" t="str"/>
    </x:row>
    <x:row r="104">
      <x:c r="A104" s="50" t="inlineStr">
        <x:is>
          <x:t xml:space="preserve">DOW</x:t>
        </x:is>
      </x:c>
      <x:c r="B104" s="51" t="inlineStr">
        <x:is>
          <x:t xml:space="preserve">DOWNLOAD</x:t>
        </x:is>
      </x:c>
      <x:c r="C104" s="51" t="inlineStr">
        <x:is>
          <x:t xml:space="preserve">Interrupted, timed-out or incomplete download</x:t>
        </x:is>
      </x:c>
      <x:c r="D104" s="52" t="str"/>
    </x:row>
    <x:row r="105">
      <x:c r="A105" s="50" t="inlineStr">
        <x:is>
          <x:t xml:space="preserve">FOR</x:t>
        </x:is>
      </x:c>
      <x:c r="B105" s="51" t="inlineStr">
        <x:is>
          <x:t xml:space="preserve">FORMAT</x:t>
        </x:is>
      </x:c>
      <x:c r="C105" s="51" t="inlineStr">
        <x:is>
          <x:t xml:space="preserve">Extension, MIME type or file signature mismatch</x:t>
        </x:is>
      </x:c>
      <x:c r="D105" s="52" t="str"/>
    </x:row>
    <x:row r="106">
      <x:c r="A106" s="50" t="inlineStr">
        <x:is>
          <x:t xml:space="preserve">CNT</x:t>
        </x:is>
      </x:c>
      <x:c r="B106" s="51" t="inlineStr">
        <x:is>
          <x:t xml:space="preserve">CONTENT</x:t>
        </x:is>
      </x:c>
      <x:c r="C106" s="51" t="inlineStr">
        <x:is>
          <x:t xml:space="preserve">Empty file, error page, login page or unreadable content</x:t>
        </x:is>
      </x:c>
      <x:c r="D106" s="52" t="str"/>
    </x:row>
    <x:row r="107">
      <x:c r="A107" s="50" t="inlineStr">
        <x:is>
          <x:t xml:space="preserve">STO</x:t>
        </x:is>
      </x:c>
      <x:c r="B107" s="51" t="inlineStr">
        <x:is>
          <x:t xml:space="preserve">STORAGE</x:t>
        </x:is>
      </x:c>
      <x:c r="C107" s="51" t="inlineStr">
        <x:is>
          <x:t xml:space="preserve">Write, rename or archive failure</x:t>
        </x:is>
      </x:c>
      <x:c r="D107" s="52" t="str"/>
    </x:row>
    <x:row r="108">
      <x:c r="A108" s="53" t="inlineStr">
        <x:is>
          <x:t xml:space="preserve">UNK</x:t>
        </x:is>
      </x:c>
      <x:c r="B108" s="54" t="inlineStr">
        <x:is>
          <x:t xml:space="preserve">UNKNOWN</x:t>
        </x:is>
      </x:c>
      <x:c r="C108" s="54" t="inlineStr">
        <x:is>
          <x:t xml:space="preserve">Failure stage not yet identified</x:t>
        </x:is>
      </x:c>
      <x:c r="D108" s="55" t="str"/>
    </x:row>
    <x:row r="110" s="36" customFormat="1" ht="25" customHeight="1">
      <x:c r="A110" s="18" t="inlineStr">
        <x:is>
          <x:t xml:space="preserve">Source status</x:t>
        </x:is>
      </x:c>
    </x:row>
    <x:row r="111" s="36" customFormat="1" ht="32" customHeight="1">
      <x:c r="A111" s="47" t="inlineStr">
        <x:is>
          <x:t xml:space="preserve">Code</x:t>
        </x:is>
      </x:c>
      <x:c r="B111" s="48" t="inlineStr">
        <x:is>
          <x:t xml:space="preserve">Option value</x:t>
        </x:is>
      </x:c>
      <x:c r="C111" s="48" t="inlineStr">
        <x:is>
          <x:t xml:space="preserve">Definition</x:t>
        </x:is>
      </x:c>
      <x:c r="D111" s="49" t="inlineStr">
        <x:is>
          <x:t xml:space="preserve">Notes</x:t>
        </x:is>
      </x:c>
    </x:row>
    <x:row r="112">
      <x:c r="A112" s="50" t="inlineStr">
        <x:is>
          <x:t xml:space="preserve">CU</x:t>
        </x:is>
      </x:c>
      <x:c r="B112" s="51" t="inlineStr">
        <x:is>
          <x:t xml:space="preserve">CURRENT</x:t>
        </x:is>
      </x:c>
      <x:c r="C112" s="51" t="inlineStr">
        <x:is>
          <x:t xml:space="preserve">Currently valid source</x:t>
        </x:is>
      </x:c>
      <x:c r="D112" s="52" t="str"/>
    </x:row>
    <x:row r="113">
      <x:c r="A113" s="50" t="inlineStr">
        <x:is>
          <x:t xml:space="preserve">SU</x:t>
        </x:is>
      </x:c>
      <x:c r="B113" s="51" t="inlineStr">
        <x:is>
          <x:t xml:space="preserve">SUPERSEDED</x:t>
        </x:is>
      </x:c>
      <x:c r="C113" s="51" t="inlineStr">
        <x:is>
          <x:t xml:space="preserve">Replaced by a later source or version</x:t>
        </x:is>
      </x:c>
      <x:c r="D113" s="52" t="str"/>
    </x:row>
    <x:row r="114">
      <x:c r="A114" s="53" t="inlineStr">
        <x:is>
          <x:t xml:space="preserve">WI</x:t>
        </x:is>
      </x:c>
      <x:c r="B114" s="54" t="inlineStr">
        <x:is>
          <x:t xml:space="preserve">WITHDRAWN</x:t>
        </x:is>
      </x:c>
      <x:c r="C114" s="54" t="inlineStr">
        <x:is>
          <x:t xml:space="preserve">Withdrawn by the issuer or no longer applicable</x:t>
        </x:is>
      </x:c>
      <x:c r="D114" s="55" t="str"/>
    </x:row>
    <x:row r="116" s="36" customFormat="1" ht="25" customHeight="1">
      <x:c r="A116" s="18" t="inlineStr">
        <x:is>
          <x:t xml:space="preserve">Acquisition channel</x:t>
        </x:is>
      </x:c>
    </x:row>
    <x:row r="117" s="36" customFormat="1" ht="32" customHeight="1">
      <x:c r="A117" s="47" t="inlineStr">
        <x:is>
          <x:t xml:space="preserve">Code</x:t>
        </x:is>
      </x:c>
      <x:c r="B117" s="48" t="inlineStr">
        <x:is>
          <x:t xml:space="preserve">Option value</x:t>
        </x:is>
      </x:c>
      <x:c r="C117" s="48" t="inlineStr">
        <x:is>
          <x:t xml:space="preserve">Definition</x:t>
        </x:is>
      </x:c>
      <x:c r="D117" s="49" t="inlineStr">
        <x:is>
          <x:t xml:space="preserve">Notes</x:t>
        </x:is>
      </x:c>
    </x:row>
    <x:row r="118">
      <x:c r="A118" s="50" t="inlineStr">
        <x:is>
          <x:t xml:space="preserve">OW</x:t>
        </x:is>
      </x:c>
      <x:c r="B118" s="51" t="inlineStr">
        <x:is>
          <x:t xml:space="preserve">OFFICIAL_WEBSITE</x:t>
        </x:is>
      </x:c>
      <x:c r="C118" s="51" t="inlineStr">
        <x:is>
          <x:t xml:space="preserve">Retrieved from an official public issuer or scheme website</x:t>
        </x:is>
      </x:c>
      <x:c r="D118" s="52" t="str"/>
    </x:row>
    <x:row r="119">
      <x:c r="A119" s="50" t="inlineStr">
        <x:is>
          <x:t xml:space="preserve">CL</x:t>
        </x:is>
      </x:c>
      <x:c r="B119" s="51" t="inlineStr">
        <x:is>
          <x:t xml:space="preserve">CLIENT_OR_SITE</x:t>
        </x:is>
      </x:c>
      <x:c r="C119" s="51" t="inlineStr">
        <x:is>
          <x:t xml:space="preserve">Provided through a client or site-controlled channel</x:t>
        </x:is>
      </x:c>
      <x:c r="D119" s="52" t="str"/>
    </x:row>
    <x:row r="120">
      <x:c r="A120" s="50" t="inlineStr">
        <x:is>
          <x:t xml:space="preserve">SI</x:t>
        </x:is>
      </x:c>
      <x:c r="B120" s="51" t="inlineStr">
        <x:is>
          <x:t xml:space="preserve">SUPPLIER_OR_INTEGRATOR</x:t>
        </x:is>
      </x:c>
      <x:c r="C120" s="51" t="inlineStr">
        <x:is>
          <x:t xml:space="preserve">Provided by a supplier, OEM representative or system integrator</x:t>
        </x:is>
      </x:c>
      <x:c r="D120" s="52" t="str"/>
    </x:row>
    <x:row r="121">
      <x:c r="A121" s="50" t="inlineStr">
        <x:is>
          <x:t xml:space="preserve">IR</x:t>
        </x:is>
      </x:c>
      <x:c r="B121" s="51" t="inlineStr">
        <x:is>
          <x:t xml:space="preserve">INTERNAL_REPOSITORY</x:t>
        </x:is>
      </x:c>
      <x:c r="C121" s="51" t="inlineStr">
        <x:is>
          <x:t xml:space="preserve">Obtained from an authorised controlled internal repository</x:t>
        </x:is>
      </x:c>
      <x:c r="D121" s="52" t="str"/>
    </x:row>
    <x:row r="122">
      <x:c r="A122" s="53" t="inlineStr">
        <x:is>
          <x:t xml:space="preserve">OT</x:t>
        </x:is>
      </x:c>
      <x:c r="B122" s="54" t="inlineStr">
        <x:is>
          <x:t xml:space="preserve">OTHER</x:t>
        </x:is>
      </x:c>
      <x:c r="C122" s="54" t="inlineStr">
        <x:is>
          <x:t xml:space="preserve">Another documented acquisition route</x:t>
        </x:is>
      </x:c>
      <x:c r="D122" s="55" t="str"/>
    </x:row>
    <x:row r="124" s="36" customFormat="1" ht="25" customHeight="1">
      <x:c r="A124" s="18" t="inlineStr">
        <x:is>
          <x:t xml:space="preserve">Provenance status</x:t>
        </x:is>
      </x:c>
    </x:row>
    <x:row r="125" s="36" customFormat="1" ht="32" customHeight="1">
      <x:c r="A125" s="47" t="inlineStr">
        <x:is>
          <x:t xml:space="preserve">Code</x:t>
        </x:is>
      </x:c>
      <x:c r="B125" s="48" t="inlineStr">
        <x:is>
          <x:t xml:space="preserve">Option value</x:t>
        </x:is>
      </x:c>
      <x:c r="C125" s="48" t="inlineStr">
        <x:is>
          <x:t xml:space="preserve">Definition</x:t>
        </x:is>
      </x:c>
      <x:c r="D125" s="49" t="inlineStr">
        <x:is>
          <x:t xml:space="preserve">Notes</x:t>
        </x:is>
      </x:c>
    </x:row>
    <x:row r="126">
      <x:c r="A126" s="50" t="inlineStr">
        <x:is>
          <x:t xml:space="preserve">OO</x:t>
        </x:is>
      </x:c>
      <x:c r="B126" s="51" t="inlineStr">
        <x:is>
          <x:t xml:space="preserve">OFFICIAL_ORIGINAL</x:t>
        </x:is>
      </x:c>
      <x:c r="C126" s="51" t="inlineStr">
        <x:is>
          <x:t xml:space="preserve">Direct official original or issuer-controlled copy</x:t>
        </x:is>
      </x:c>
      <x:c r="D126" s="52" t="str"/>
    </x:row>
    <x:row r="127">
      <x:c r="A127" s="50" t="inlineStr">
        <x:is>
          <x:t xml:space="preserve">AC</x:t>
        </x:is>
      </x:c>
      <x:c r="B127" s="51" t="inlineStr">
        <x:is>
          <x:t xml:space="preserve">AUTHORISED_COPY</x:t>
        </x:is>
      </x:c>
      <x:c r="C127" s="51" t="inlineStr">
        <x:is>
          <x:t xml:space="preserve">Copy confirmed by the issuer or an authorised responsible party</x:t>
        </x:is>
      </x:c>
      <x:c r="D127" s="52" t="str"/>
    </x:row>
    <x:row r="128">
      <x:c r="A128" s="50" t="inlineStr">
        <x:is>
          <x:t xml:space="preserve">CC</x:t>
        </x:is>
      </x:c>
      <x:c r="B128" s="51" t="inlineStr">
        <x:is>
          <x:t xml:space="preserve">CLIENT_PROVIDED_COPY</x:t>
        </x:is>
      </x:c>
      <x:c r="C128" s="51" t="inlineStr">
        <x:is>
          <x:t xml:space="preserve">Client-provided copy with provenance recorded but authority still assessed separately</x:t>
        </x:is>
      </x:c>
      <x:c r="D128" s="52" t="str"/>
    </x:row>
    <x:row r="129">
      <x:c r="A129" s="53" t="inlineStr">
        <x:is>
          <x:t xml:space="preserve">UV</x:t>
        </x:is>
      </x:c>
      <x:c r="B129" s="54" t="inlineStr">
        <x:is>
          <x:t xml:space="preserve">UNVERIFIED</x:t>
        </x:is>
      </x:c>
      <x:c r="C129" s="54" t="inlineStr">
        <x:is>
          <x:t xml:space="preserve">Authenticity, completeness or authorisation has not been confirmed</x:t>
        </x:is>
      </x:c>
      <x:c r="D129" s="55" t="str"/>
    </x:row>
    <x:row r="131" s="36" customFormat="1" ht="25" customHeight="1">
      <x:c r="A131" s="18" t="inlineStr">
        <x:is>
          <x:t xml:space="preserve">Update model</x:t>
        </x:is>
      </x:c>
    </x:row>
    <x:row r="132" s="36" customFormat="1" ht="32" customHeight="1">
      <x:c r="A132" s="47" t="inlineStr">
        <x:is>
          <x:t xml:space="preserve">Code</x:t>
        </x:is>
      </x:c>
      <x:c r="B132" s="48" t="inlineStr">
        <x:is>
          <x:t xml:space="preserve">Option value</x:t>
        </x:is>
      </x:c>
      <x:c r="C132" s="48" t="inlineStr">
        <x:is>
          <x:t xml:space="preserve">Definition</x:t>
        </x:is>
      </x:c>
      <x:c r="D132" s="49" t="inlineStr">
        <x:is>
          <x:t xml:space="preserve">Notes</x:t>
        </x:is>
      </x:c>
    </x:row>
    <x:row r="133">
      <x:c r="A133" s="50" t="inlineStr">
        <x:is>
          <x:t xml:space="preserve">VE</x:t>
        </x:is>
      </x:c>
      <x:c r="B133" s="51" t="inlineStr">
        <x:is>
          <x:t xml:space="preserve">VERSIONED</x:t>
        </x:is>
      </x:c>
      <x:c r="C133" s="51" t="inlineStr">
        <x:is>
          <x:t xml:space="preserve">Issuer publishes identifiable versions or revisions</x:t>
        </x:is>
      </x:c>
      <x:c r="D133" s="52" t="str"/>
    </x:row>
    <x:row r="134">
      <x:c r="A134" s="50" t="inlineStr">
        <x:is>
          <x:t xml:space="preserve">RO</x:t>
        </x:is>
      </x:c>
      <x:c r="B134" s="51" t="inlineStr">
        <x:is>
          <x:t xml:space="preserve">ROLLING</x:t>
        </x:is>
      </x:c>
      <x:c r="C134" s="51" t="inlineStr">
        <x:is>
          <x:t xml:space="preserve">Issuer maintains content without a formal version number</x:t>
        </x:is>
      </x:c>
      <x:c r="D134" s="52" t="str"/>
    </x:row>
    <x:row r="135">
      <x:c r="A135" s="53" t="inlineStr">
        <x:is>
          <x:t xml:space="preserve">UN</x:t>
        </x:is>
      </x:c>
      <x:c r="B135" s="54" t="inlineStr">
        <x:is>
          <x:t xml:space="preserve">UNKNOWN</x:t>
        </x:is>
      </x:c>
      <x:c r="C135" s="54" t="inlineStr">
        <x:is>
          <x:t xml:space="preserve">Update pattern has not been confirmed</x:t>
        </x:is>
      </x:c>
      <x:c r="D135" s="55" t="str"/>
    </x:row>
  </x:sheetData>
  <x:mergeCells>
    <x:mergeCell ref="A116:D116"/>
    <x:mergeCell ref="A53:D53"/>
    <x:mergeCell ref="A131:D131"/>
    <x:mergeCell ref="A4:D4"/>
    <x:mergeCell ref="A38:D38"/>
    <x:mergeCell ref="A72:D72"/>
    <x:mergeCell ref="A28:D28"/>
    <x:mergeCell ref="A44:D44"/>
    <x:mergeCell ref="A92:D92"/>
    <x:mergeCell ref="A60:D60"/>
    <x:mergeCell ref="A98:D98"/>
    <x:mergeCell ref="A1:D1"/>
    <x:mergeCell ref="A110:D110"/>
    <x:mergeCell ref="A78:D78"/>
    <x:mergeCell ref="A124:D124"/>
    <x:mergeCell ref="A66:D66"/>
    <x:mergeCell ref="A2:D2"/>
    <x:mergeCell ref="A85:D85"/>
    <x:mergeCell ref="A14:D14"/>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2" style="36" customWidth="1"/>
    <x:col min="2" max="2" width="15" style="36" customWidth="1"/>
    <x:col min="3" max="3" width="34" style="36" customWidth="1"/>
    <x:col min="4" max="4" width="30" style="36" customWidth="1"/>
    <x:col min="5" max="5" width="32" style="36" customWidth="1"/>
    <x:col min="6" max="6" width="28" style="36" customWidth="1"/>
    <x:col min="7" max="7" width="12" style="36" customWidth="1"/>
    <x:col min="8" max="8" width="48" style="36" customWidth="1"/>
    <x:col min="9" max="9" width="17" style="36" customWidth="1"/>
    <x:col min="10" max="10" width="28" style="36" customWidth="1"/>
    <x:col min="11" max="11" width="18" style="36" customWidth="1"/>
    <x:col min="12" max="12" width="20" style="36" customWidth="1"/>
    <x:col min="13" max="13" width="16" style="36" customWidth="1"/>
    <x:col min="14" max="14" width="15" style="36" customWidth="1"/>
    <x:col min="15" max="15" width="22" style="36" customWidth="1"/>
    <x:col min="16" max="16" width="25" style="36" customWidth="1"/>
    <x:col min="17" max="17" width="24" style="36" customWidth="1"/>
    <x:col min="18" max="18" width="55" style="36" customWidth="1"/>
    <x:col min="19" max="19" width="18" style="36" customWidth="1"/>
    <x:col min="20" max="20" width="18" style="36" customWidth="1"/>
    <x:col min="21" max="21" width="18" style="36" customWidth="1"/>
    <x:col min="22" max="22" width="16" style="36" customWidth="1"/>
    <x:col min="23" max="23" width="19" style="36" customWidth="1"/>
    <x:col min="24" max="24" width="21" style="36" customWidth="1"/>
    <x:col min="25" max="25" width="17" style="36" customWidth="1"/>
    <x:col min="26" max="26" width="18" style="36" customWidth="1"/>
    <x:col min="27" max="27" width="19" style="36" customWidth="1"/>
    <x:col min="28" max="28" width="19" style="36" customWidth="1"/>
    <x:col min="29" max="29" width="18" style="36" customWidth="1"/>
    <x:col min="30" max="30" width="17" style="36" customWidth="1"/>
    <x:col min="31" max="31" width="21" style="36" customWidth="1"/>
    <x:col min="32" max="32" width="20" style="36" customWidth="1"/>
    <x:col min="33" max="33" width="22" style="36" customWidth="1"/>
    <x:col min="34" max="34" width="18" style="36" customWidth="1"/>
    <x:col min="35" max="35" width="42" style="36" customWidth="1"/>
    <x:col min="36" max="36" width="21" style="36" customWidth="1"/>
    <x:col min="37" max="37" width="30" style="36" customWidth="1"/>
    <x:col min="38" max="38" width="18" style="36" customWidth="1"/>
    <x:col min="39" max="39" width="20" style="36" customWidth="1"/>
    <x:col min="40" max="40" width="46" style="36" customWidth="1"/>
    <x:col min="41" max="41" width="24" style="36" customWidth="1"/>
    <x:col min="42" max="42" width="23" style="36" customWidth="1"/>
    <x:col min="43" max="43" width="18" style="36" customWidth="1"/>
    <x:col min="44" max="44" width="40" style="36" customWidth="1"/>
  </x:cols>
  <x:sheetData>
    <x:row r="1" s="36" customFormat="1" ht="26" customHeight="1">
      <x:c r="A1" s="389" t="inlineStr">
        <x:is>
          <x:t xml:space="preserve">IDENTITY &amp; FILE</x:t>
        </x:is>
      </x:c>
      <x:c r="B1" s="390" t="n"/>
      <x:c r="C1" s="390" t="n"/>
      <x:c r="D1" s="390" t="n"/>
      <x:c r="E1" s="390" t="n"/>
      <x:c r="F1" s="390" t="n"/>
      <x:c r="G1" s="390" t="n"/>
      <x:c r="H1" s="390" t="n"/>
      <x:c r="I1" s="391" t="n"/>
      <x:c r="J1" s="392" t="inlineStr">
        <x:is>
          <x:t xml:space="preserve">SOURCE METADATA</x:t>
        </x:is>
      </x:c>
      <x:c r="K1" s="390" t="n"/>
      <x:c r="L1" s="390" t="n"/>
      <x:c r="M1" s="390" t="n"/>
      <x:c r="N1" s="391" t="n"/>
      <x:c r="O1" s="393" t="inlineStr">
        <x:is>
          <x:t xml:space="preserve">CLASSIFICATION</x:t>
        </x:is>
      </x:c>
      <x:c r="P1" s="390" t="n"/>
      <x:c r="Q1" s="391" t="n"/>
      <x:c r="R1" s="394" t="inlineStr">
        <x:is>
          <x:t xml:space="preserve">SELECTION ASSESSMENT</x:t>
        </x:is>
      </x:c>
      <x:c r="S1" s="390" t="n"/>
      <x:c r="T1" s="390" t="n"/>
      <x:c r="U1" s="390" t="n"/>
      <x:c r="V1" s="390" t="n"/>
      <x:c r="W1" s="390" t="n"/>
      <x:c r="X1" s="390" t="n"/>
      <x:c r="Y1" s="391" t="n"/>
      <x:c r="Z1" s="395" t="inlineStr">
        <x:is>
          <x:t xml:space="preserve">AUTOMATED UPDATE &amp; MANUAL FALLBACK</x:t>
        </x:is>
      </x:c>
      <x:c r="AA1" s="390" t="n"/>
      <x:c r="AB1" s="390" t="n"/>
      <x:c r="AC1" s="390" t="n"/>
      <x:c r="AD1" s="390" t="n"/>
      <x:c r="AE1" s="390" t="n"/>
      <x:c r="AF1" s="390" t="n"/>
      <x:c r="AG1" s="390" t="n"/>
      <x:c r="AH1" s="390" t="n"/>
      <x:c r="AI1" s="390" t="n"/>
      <x:c r="AJ1" s="390" t="n"/>
      <x:c r="AK1" s="391" t="n"/>
      <x:c r="AL1" s="396" t="inlineStr">
        <x:is>
          <x:t xml:space="preserve">RELATIONSHIPS &amp; NOTES</x:t>
        </x:is>
      </x:c>
      <x:c r="AM1" s="390" t="n"/>
      <x:c r="AN1" s="391" t="n"/>
      <x:c r="AO1" s="389" t="inlineStr">
        <x:is>
          <x:t xml:space="preserve">PROVENANCE &amp; APPLICABILITY</x:t>
        </x:is>
      </x:c>
      <x:c r="AP1" s="390" t="n"/>
      <x:c r="AQ1" s="390" t="n"/>
      <x:c r="AR1" s="391" t="n"/>
    </x:row>
    <x:row r="2" s="36" customFormat="1" ht="32" customHeight="1">
      <x:c r="A2" s="29" t="inlineStr">
        <x:is>
          <x:t xml:space="preserve">source_id</x:t>
        </x:is>
      </x:c>
      <x:c r="B2" s="30" t="inlineStr">
        <x:is>
          <x:t xml:space="preserve">snapshot_id</x:t>
        </x:is>
      </x:c>
      <x:c r="C2" s="30" t="inlineStr">
        <x:is>
          <x:t xml:space="preserve">source_title</x:t>
        </x:is>
      </x:c>
      <x:c r="D2" s="30" t="inlineStr">
        <x:is>
          <x:t xml:space="preserve">official_url</x:t>
        </x:is>
      </x:c>
      <x:c r="E2" s="30" t="inlineStr">
        <x:is>
          <x:t xml:space="preserve">retrieval_url</x:t>
        </x:is>
      </x:c>
      <x:c r="F2" s="30" t="inlineStr">
        <x:is>
          <x:t xml:space="preserve">folder_code</x:t>
        </x:is>
      </x:c>
      <x:c r="G2" s="30" t="inlineStr">
        <x:is>
          <x:t xml:space="preserve">file_format</x:t>
        </x:is>
      </x:c>
      <x:c r="H2" s="30" t="inlineStr">
        <x:is>
          <x:t xml:space="preserve">stored_filename</x:t>
        </x:is>
      </x:c>
      <x:c r="I2" s="30" t="inlineStr">
        <x:is>
          <x:t xml:space="preserve">snapshot_status</x:t>
        </x:is>
      </x:c>
      <x:c r="J2" s="30" t="inlineStr">
        <x:is>
          <x:t xml:space="preserve">issuer</x:t>
        </x:is>
      </x:c>
      <x:c r="K2" s="30" t="inlineStr">
        <x:is>
          <x:t xml:space="preserve">jurisdiction</x:t>
        </x:is>
      </x:c>
      <x:c r="L2" s="30" t="inlineStr">
        <x:is>
          <x:t xml:space="preserve">authoritative_language</x:t>
        </x:is>
      </x:c>
      <x:c r="M2" s="30" t="inlineStr">
        <x:is>
          <x:t xml:space="preserve">version</x:t>
        </x:is>
      </x:c>
      <x:c r="N2" s="30" t="inlineStr">
        <x:is>
          <x:t xml:space="preserve">effective_date</x:t>
        </x:is>
      </x:c>
      <x:c r="O2" s="30" t="inlineStr">
        <x:is>
          <x:t xml:space="preserve">source_family</x:t>
        </x:is>
      </x:c>
      <x:c r="P2" s="30" t="inlineStr">
        <x:is>
          <x:t xml:space="preserve">document_type</x:t>
        </x:is>
      </x:c>
      <x:c r="Q2" s="30" t="inlineStr">
        <x:is>
          <x:t xml:space="preserve">requirement_role</x:t>
        </x:is>
      </x:c>
      <x:c r="R2" s="30" t="inlineStr">
        <x:is>
          <x:t xml:space="preserve">inclusion_rationale</x:t>
        </x:is>
      </x:c>
      <x:c r="S2" s="30" t="inlineStr">
        <x:is>
          <x:t xml:space="preserve">authority_quality</x:t>
        </x:is>
      </x:c>
      <x:c r="T2" s="30" t="inlineStr">
        <x:is>
          <x:t xml:space="preserve">scope_relevance</x:t>
        </x:is>
      </x:c>
      <x:c r="U2" s="30" t="inlineStr">
        <x:is>
          <x:t xml:space="preserve">version_currency</x:t>
        </x:is>
      </x:c>
      <x:c r="V2" s="30" t="inlineStr">
        <x:is>
          <x:t xml:space="preserve">traceability</x:t>
        </x:is>
      </x:c>
      <x:c r="W2" s="30" t="inlineStr">
        <x:is>
          <x:t xml:space="preserve">access_permission</x:t>
        </x:is>
      </x:c>
      <x:c r="X2" s="30" t="inlineStr">
        <x:is>
          <x:t xml:space="preserve">automation_readiness</x:t>
        </x:is>
      </x:c>
      <x:c r="Y2" s="30" t="inlineStr">
        <x:is>
          <x:t xml:space="preserve">selection_status</x:t>
        </x:is>
      </x:c>
      <x:c r="Z2" s="30" t="inlineStr">
        <x:is>
          <x:t xml:space="preserve">download_status</x:t>
        </x:is>
      </x:c>
      <x:c r="AA2" s="30" t="inlineStr">
        <x:is>
          <x:t xml:space="preserve">last_attempt_at</x:t>
        </x:is>
      </x:c>
      <x:c r="AB2" s="30" t="inlineStr">
        <x:is>
          <x:t xml:space="preserve">last_success_at</x:t>
        </x:is>
      </x:c>
      <x:c r="AC2" s="30" t="inlineStr">
        <x:is>
          <x:t xml:space="preserve">content_change</x:t>
        </x:is>
      </x:c>
      <x:c r="AD2" s="30" t="inlineStr">
        <x:is>
          <x:t xml:space="preserve">current_origin</x:t>
        </x:is>
      </x:c>
      <x:c r="AE2" s="30" t="inlineStr">
        <x:is>
          <x:t xml:space="preserve">current_snapshot_date</x:t>
        </x:is>
      </x:c>
      <x:c r="AF2" s="30" t="inlineStr">
        <x:is>
          <x:t xml:space="preserve">manual_update_date</x:t>
        </x:is>
      </x:c>
      <x:c r="AG2" s="30" t="inlineStr">
        <x:is>
          <x:t xml:space="preserve">manual_updated_by</x:t>
        </x:is>
      </x:c>
      <x:c r="AH2" s="30" t="inlineStr">
        <x:is>
          <x:t xml:space="preserve">failure_stage</x:t>
        </x:is>
      </x:c>
      <x:c r="AI2" s="30" t="inlineStr">
        <x:is>
          <x:t xml:space="preserve">failure_reason</x:t>
        </x:is>
      </x:c>
      <x:c r="AJ2" s="30" t="inlineStr">
        <x:is>
          <x:t xml:space="preserve">needs_human_action</x:t>
        </x:is>
      </x:c>
      <x:c r="AK2" s="30" t="inlineStr">
        <x:is>
          <x:t xml:space="preserve">content_hash</x:t>
        </x:is>
      </x:c>
      <x:c r="AL2" s="30" t="inlineStr">
        <x:is>
          <x:t xml:space="preserve">source_status</x:t>
        </x:is>
      </x:c>
      <x:c r="AM2" s="30" t="inlineStr">
        <x:is>
          <x:t xml:space="preserve">primary_source_id</x:t>
        </x:is>
      </x:c>
      <x:c r="AN2" s="30" t="inlineStr">
        <x:is>
          <x:t xml:space="preserve">notes</x:t>
        </x:is>
      </x:c>
      <x:c r="AO2" s="30" t="inlineStr">
        <x:is>
          <x:t xml:space="preserve">acquisition_channel</x:t>
        </x:is>
      </x:c>
      <x:c r="AP2" s="30" t="inlineStr">
        <x:is>
          <x:t xml:space="preserve">provenance_status</x:t>
        </x:is>
      </x:c>
      <x:c r="AQ2" s="30" t="inlineStr">
        <x:is>
          <x:t xml:space="preserve">update_model</x:t>
        </x:is>
      </x:c>
      <x:c r="AR2" s="31" t="inlineStr">
        <x:is>
          <x:t xml:space="preserve">applicability_reference</x:t>
        </x:is>
      </x:c>
    </x:row>
    <x:row r="3" s="36" customFormat="1" ht="42" customHeight="1">
      <x:c r="A3" t="inlineStr">
        <x:is>
          <x:t xml:space="preserve">PA001</x:t>
        </x:is>
      </x:c>
      <x:c r="B3" t="inlineStr">
        <x:is>
          <x:t xml:space="preserve">PA001-001</x:t>
        </x:is>
      </x:c>
      <x:c r="C3" s="42" t="inlineStr">
        <x:is>
          <x:t xml:space="preserve">Act relating to aquaculture (Aquaculture Act)</x:t>
        </x:is>
      </x:c>
      <x:c r="D3" s="669" t="inlineStr">
        <x:is>
          <x:t xml:space="preserve">https://lovdata.no/dokument/NL/lov/2005-06-17-79</x:t>
        </x:is>
      </x:c>
      <x:c r="E3" s="669" t="inlineStr">
        <x:is>
          <x:t xml:space="preserve">https://lovdata.no/dokument/NL/lov/2005-06-17-79</x:t>
        </x:is>
      </x:c>
      <x:c r="F3" t="inlineStr">
        <x:is>
          <x:t xml:space="preserve">A_Public_Authority</x:t>
        </x:is>
      </x:c>
      <x:c r="G3" t="inlineStr">
        <x:is>
          <x:t xml:space="preserve">html</x:t>
        </x:is>
      </x:c>
      <x:c r="H3" t="inlineStr">
        <x:is>
          <x:t xml:space="preserve">PA001-001_Act_relating_to_aquaculture_Aquaculture_Act.html</x:t>
        </x:is>
      </x:c>
      <x:c r="I3" t="inlineStr">
        <x:is>
          <x:t xml:space="preserve">STORED</x:t>
        </x:is>
      </x:c>
      <x:c r="J3" t="inlineStr">
        <x:is>
          <x:t xml:space="preserve">Norwegian Ministry of Trade, Industry and Fisheries</x:t>
        </x:is>
      </x:c>
      <x:c r="K3" t="inlineStr">
        <x:is>
          <x:t xml:space="preserve">Norway</x:t>
        </x:is>
      </x:c>
      <x:c r="L3" t="inlineStr">
        <x:is>
          <x:t xml:space="preserve">Norwegian</x:t>
        </x:is>
      </x:c>
      <x:c r="N3" s="397" t="n"/>
      <x:c r="O3" t="inlineStr">
        <x:is>
          <x:t xml:space="preserve">Public authority</x:t>
        </x:is>
      </x:c>
      <x:c r="P3" t="inlineStr">
        <x:is>
          <x:t xml:space="preserve">Law</x:t>
        </x:is>
      </x:c>
      <x:c r="Q3" t="inlineStr">
        <x:is>
          <x:t xml:space="preserve">Primary normative</x:t>
        </x:is>
      </x:c>
      <x:c r="R3" s="42" t="inlineStr">
        <x:is>
          <x:t xml:space="preserve">Official law issued by Norwegian Ministry of Trade, Industry and Fisheries; included because it may impose binding requirements on an in-scope aquaculture asset, activity, permit or certification.</x:t>
        </x:is>
      </x:c>
      <x:c r="S3" t="inlineStr">
        <x:is>
          <x:t xml:space="preserve">HIGH</x:t>
        </x:is>
      </x:c>
      <x:c r="T3" t="inlineStr">
        <x:is>
          <x:t xml:space="preserve">HIGH</x:t>
        </x:is>
      </x:c>
      <x:c r="U3" t="inlineStr">
        <x:is>
          <x:t xml:space="preserve">HIGH</x:t>
        </x:is>
      </x:c>
      <x:c r="V3" t="inlineStr">
        <x:is>
          <x:t xml:space="preserve">HIGH</x:t>
        </x:is>
      </x:c>
      <x:c r="W3" t="inlineStr">
        <x:is>
          <x:t xml:space="preserve">HIGH</x:t>
        </x:is>
      </x:c>
      <x:c r="X3" t="inlineStr">
        <x:is>
          <x:t xml:space="preserve">HIGH</x:t>
        </x:is>
      </x:c>
      <x:c r="Y3" t="str">
        <x:f>IF(A3="","",IF(OR(J3="",AO3="",AP3="",AP3="UNVERIFIED",AND(AO3="OFFICIAL_WEBSITE",D3=""),AND(OR(P3="Equipment manual / OEM instruction",Q3="Asset-specific normative"),OR(O3&lt;&gt;"Manufacturer / supplier",AR3="",R3=""))),"PENDING",IF(COUNTIF(S3:W3,"LOW")&gt;0,"EXCLUDE",IF(COUNTIF(S3:W3,"MEDIUM")&gt;0,"PENDING",IF(COUNTIF(S3:W3,"HIGH")=5,"INCLUDE","PENDING")))))</x:f>
        <x:v>INCLUDE</x:v>
      </x:c>
      <x:c r="Z3" t="inlineStr">
        <x:is>
          <x:t xml:space="preserve">SUCCESS</x:t>
        </x:is>
      </x:c>
      <x:c r="AA3" s="398" t="n">
        <x:v>46262.53069444445</x:v>
      </x:c>
      <x:c r="AB3" s="398" t="n">
        <x:v>46262.53069444445</x:v>
      </x:c>
      <x:c r="AC3" s="398" t="inlineStr">
        <x:is>
          <x:t xml:space="preserve">INITIAL</x:t>
        </x:is>
      </x:c>
      <x:c r="AD3" s="398" t="inlineStr">
        <x:is>
          <x:t xml:space="preserve">AUTO</x:t>
        </x:is>
      </x:c>
      <x:c r="AE3" s="398" t="n">
        <x:f>IF(A3="","",IF(AD3="AUTO",AB3,IF(AD3="MANUAL",AF3,"")))</x:f>
        <x:v>46262.53069444445</x:v>
      </x:c>
      <x:c r="AF3" s="397" t="n"/>
      <x:c r="AH3" t="inlineStr">
        <x:is>
          <x:t xml:space="preserve">NONE</x:t>
        </x:is>
      </x:c>
      <x:c r="AI3" s="42" t="str"/>
      <x:c r="AJ3" t="str">
        <x:f>IF(OR(AL3&lt;&gt;"CURRENT",Y3="EXCLUDE"),"NO",IF(A3="","",IF(Z3="FAIL",IF(AND(AF3&lt;&gt;"",AF3&gt;=INT(AA3),I3="STORED",AD3="MANUAL",AG3&lt;&gt;""),"NO","YES"),IF(AND(AQ3="ROLLING",AC3="CHANGED"),IF(AND(AF3&lt;&gt;"",AF3&gt;=INT(IF(AB3&lt;&gt;"",AB3,AA3)),AG3&lt;&gt;""),"NO","YES"),"NO"))))</x:f>
        <x:v>NO</x:v>
      </x:c>
      <x:c r="AK3" t="inlineStr">
        <x:is>
          <x:t xml:space="preserve">8c9f2d952806c8dabc44294d197d55654284d98ff63683cae18633b9ab76a967</x:t>
        </x:is>
      </x:c>
      <x:c r="AL3" t="inlineStr">
        <x:is>
          <x:t xml:space="preserve">CURRENT</x:t>
        </x:is>
      </x:c>
      <x:c r="AN3" s="42" t="inlineStr">
        <x:is>
          <x:t xml:space="preserve">Project-mentioned candidate. Client scope and applicability are not yet approved.</x:t>
        </x:is>
      </x:c>
      <x:c r="AO3" t="inlineStr">
        <x:is>
          <x:t xml:space="preserve">OFFICIAL_WEBSITE</x:t>
        </x:is>
      </x:c>
      <x:c r="AP3" t="inlineStr">
        <x:is>
          <x:t xml:space="preserve">OFFICIAL_ORIGINAL</x:t>
        </x:is>
      </x:c>
      <x:c r="AQ3" t="inlineStr">
        <x:is>
          <x:t xml:space="preserve">ROLLING</x:t>
        </x:is>
      </x:c>
      <x:c r="AR3" s="42" t="str"/>
    </x:row>
    <x:row r="4" s="36" customFormat="1" ht="42" customHeight="1">
      <x:c r="A4" t="inlineStr">
        <x:is>
          <x:t xml:space="preserve">PA002</x:t>
        </x:is>
      </x:c>
      <x:c r="B4" t="inlineStr">
        <x:is>
          <x:t xml:space="preserve">PA002-001</x:t>
        </x:is>
      </x:c>
      <x:c r="C4" s="42" t="inlineStr">
        <x:is>
          <x:t xml:space="preserve">Regulation on production areas for sea-based salmon, trout and rainbow trout aquaculture</x:t>
        </x:is>
      </x:c>
      <x:c r="D4" s="669" t="inlineStr">
        <x:is>
          <x:t xml:space="preserve">https://lovdata.no/dokument/SF/forskrift/2017-01-16-61</x:t>
        </x:is>
      </x:c>
      <x:c r="E4" s="669" t="inlineStr">
        <x:is>
          <x:t xml:space="preserve">https://lovdata.no/dokument/SF/forskrift/2017-01-16-61</x:t>
        </x:is>
      </x:c>
      <x:c r="F4" t="inlineStr">
        <x:is>
          <x:t xml:space="preserve">A_Public_Authority</x:t>
        </x:is>
      </x:c>
      <x:c r="G4" t="inlineStr">
        <x:is>
          <x:t xml:space="preserve">html</x:t>
        </x:is>
      </x:c>
      <x:c r="H4" t="inlineStr">
        <x:is>
          <x:t xml:space="preserve">PA002-001_Regulation_on_production_areas_for_sea-based_salmon_trout_and_rainbow_trout_aquaculture.html</x:t>
        </x:is>
      </x:c>
      <x:c r="I4" t="inlineStr">
        <x:is>
          <x:t xml:space="preserve">STORED</x:t>
        </x:is>
      </x:c>
      <x:c r="J4" t="inlineStr">
        <x:is>
          <x:t xml:space="preserve">Norwegian Ministry of Trade, Industry and Fisheries</x:t>
        </x:is>
      </x:c>
      <x:c r="K4" t="inlineStr">
        <x:is>
          <x:t xml:space="preserve">Norway</x:t>
        </x:is>
      </x:c>
      <x:c r="L4" t="inlineStr">
        <x:is>
          <x:t xml:space="preserve">Norwegian</x:t>
        </x:is>
      </x:c>
      <x:c r="N4" s="397" t="n"/>
      <x:c r="O4" t="inlineStr">
        <x:is>
          <x:t xml:space="preserve">Public authority</x:t>
        </x:is>
      </x:c>
      <x:c r="P4" t="inlineStr">
        <x:is>
          <x:t xml:space="preserve">Regulation</x:t>
        </x:is>
      </x:c>
      <x:c r="Q4" t="inlineStr">
        <x:is>
          <x:t xml:space="preserve">Primary normative</x:t>
        </x:is>
      </x:c>
      <x:c r="R4" s="42" t="inlineStr">
        <x:is>
          <x:t xml:space="preserve">Official regulation issued by Norwegian Ministry of Trade, Industry and Fisheries; included because it may impose binding requirements on an in-scope aquaculture asset, activity, permit or certification.</x:t>
        </x:is>
      </x:c>
      <x:c r="S4" t="inlineStr">
        <x:is>
          <x:t xml:space="preserve">HIGH</x:t>
        </x:is>
      </x:c>
      <x:c r="T4" t="inlineStr">
        <x:is>
          <x:t xml:space="preserve">HIGH</x:t>
        </x:is>
      </x:c>
      <x:c r="U4" t="inlineStr">
        <x:is>
          <x:t xml:space="preserve">HIGH</x:t>
        </x:is>
      </x:c>
      <x:c r="V4" t="inlineStr">
        <x:is>
          <x:t xml:space="preserve">HIGH</x:t>
        </x:is>
      </x:c>
      <x:c r="W4" t="inlineStr">
        <x:is>
          <x:t xml:space="preserve">HIGH</x:t>
        </x:is>
      </x:c>
      <x:c r="X4" t="inlineStr">
        <x:is>
          <x:t xml:space="preserve">HIGH</x:t>
        </x:is>
      </x:c>
      <x:c r="Y4" t="str">
        <x:f>IF(A4="","",IF(OR(J4="",AO4="",AP4="",AP4="UNVERIFIED",AND(AO4="OFFICIAL_WEBSITE",D4=""),AND(OR(P4="Equipment manual / OEM instruction",Q4="Asset-specific normative"),OR(O4&lt;&gt;"Manufacturer / supplier",AR4="",R4=""))),"PENDING",IF(COUNTIF(S4:W4,"LOW")&gt;0,"EXCLUDE",IF(COUNTIF(S4:W4,"MEDIUM")&gt;0,"PENDING",IF(COUNTIF(S4:W4,"HIGH")=5,"INCLUDE","PENDING")))))</x:f>
        <x:v>INCLUDE</x:v>
      </x:c>
      <x:c r="Z4" t="inlineStr">
        <x:is>
          <x:t xml:space="preserve">SUCCESS</x:t>
        </x:is>
      </x:c>
      <x:c r="AA4" s="398" t="n">
        <x:v>46262.53069444445</x:v>
      </x:c>
      <x:c r="AB4" s="398" t="n">
        <x:v>46262.53069444445</x:v>
      </x:c>
      <x:c r="AC4" s="398" t="inlineStr">
        <x:is>
          <x:t xml:space="preserve">INITIAL</x:t>
        </x:is>
      </x:c>
      <x:c r="AD4" s="398" t="inlineStr">
        <x:is>
          <x:t xml:space="preserve">AUTO</x:t>
        </x:is>
      </x:c>
      <x:c r="AE4" s="398" t="n">
        <x:f>IF(A4="","",IF(AD4="AUTO",AB4,IF(AD4="MANUAL",AF4,"")))</x:f>
        <x:v>46262.53069444445</x:v>
      </x:c>
      <x:c r="AF4" s="397" t="n"/>
      <x:c r="AH4" t="inlineStr">
        <x:is>
          <x:t xml:space="preserve">NONE</x:t>
        </x:is>
      </x:c>
      <x:c r="AI4" s="42" t="str"/>
      <x:c r="AJ4" t="str">
        <x:f>IF(OR(AL4&lt;&gt;"CURRENT",Y4="EXCLUDE"),"NO",IF(A4="","",IF(Z4="FAIL",IF(AND(AF4&lt;&gt;"",AF4&gt;=INT(AA4),I4="STORED",AD4="MANUAL",AG4&lt;&gt;""),"NO","YES"),IF(AND(AQ4="ROLLING",AC4="CHANGED"),IF(AND(AF4&lt;&gt;"",AF4&gt;=INT(IF(AB4&lt;&gt;"",AB4,AA4)),AG4&lt;&gt;""),"NO","YES"),"NO"))))</x:f>
        <x:v>NO</x:v>
      </x:c>
      <x:c r="AK4" t="inlineStr">
        <x:is>
          <x:t xml:space="preserve">19a632a343fe10fa8262a0ed8df8daa6d3e96e34ff686704da4c28e3671b2833</x:t>
        </x:is>
      </x:c>
      <x:c r="AL4" t="inlineStr">
        <x:is>
          <x:t xml:space="preserve">CURRENT</x:t>
        </x:is>
      </x:c>
      <x:c r="AN4" s="42" t="inlineStr">
        <x:is>
          <x:t xml:space="preserve">Project-mentioned candidate. Conditional on species, production area and sea-based operation.</x:t>
        </x:is>
      </x:c>
      <x:c r="AO4" t="inlineStr">
        <x:is>
          <x:t xml:space="preserve">OFFICIAL_WEBSITE</x:t>
        </x:is>
      </x:c>
      <x:c r="AP4" t="inlineStr">
        <x:is>
          <x:t xml:space="preserve">OFFICIAL_ORIGINAL</x:t>
        </x:is>
      </x:c>
      <x:c r="AQ4" t="inlineStr">
        <x:is>
          <x:t xml:space="preserve">ROLLING</x:t>
        </x:is>
      </x:c>
      <x:c r="AR4" s="42" t="str"/>
    </x:row>
    <x:row r="5" s="36" customFormat="1" ht="42" customHeight="1">
      <x:c r="A5" t="inlineStr">
        <x:is>
          <x:t xml:space="preserve">PA003</x:t>
        </x:is>
      </x:c>
      <x:c r="B5" t="inlineStr">
        <x:is>
          <x:t xml:space="preserve">PA003-001</x:t>
        </x:is>
      </x:c>
      <x:c r="C5" s="42" t="inlineStr">
        <x:is>
          <x:t xml:space="preserve">Regulation on the operation of aquaculture facilities (Aquaculture Operations Regulations)</x:t>
        </x:is>
      </x:c>
      <x:c r="D5" s="669" t="inlineStr">
        <x:is>
          <x:t xml:space="preserve">https://lovdata.no/dokument/SF/forskrift/2008-06-17-822</x:t>
        </x:is>
      </x:c>
      <x:c r="E5" s="669" t="inlineStr">
        <x:is>
          <x:t xml:space="preserve">https://lovdata.no/dokument/SF/forskrift/2008-06-17-822</x:t>
        </x:is>
      </x:c>
      <x:c r="F5" t="inlineStr">
        <x:is>
          <x:t xml:space="preserve">A_Public_Authority</x:t>
        </x:is>
      </x:c>
      <x:c r="G5" t="inlineStr">
        <x:is>
          <x:t xml:space="preserve">html</x:t>
        </x:is>
      </x:c>
      <x:c r="H5" t="inlineStr">
        <x:is>
          <x:t xml:space="preserve">PA003-001_Regulation_on_the_operation_of_aquaculture_facilities_Aquaculture_Operations_Regulations.html</x:t>
        </x:is>
      </x:c>
      <x:c r="I5" t="inlineStr">
        <x:is>
          <x:t xml:space="preserve">STORED</x:t>
        </x:is>
      </x:c>
      <x:c r="J5" t="inlineStr">
        <x:is>
          <x:t xml:space="preserve">Norwegian Government</x:t>
        </x:is>
      </x:c>
      <x:c r="K5" t="inlineStr">
        <x:is>
          <x:t xml:space="preserve">Norway</x:t>
        </x:is>
      </x:c>
      <x:c r="L5" t="inlineStr">
        <x:is>
          <x:t xml:space="preserve">Norwegian</x:t>
        </x:is>
      </x:c>
      <x:c r="N5" s="397" t="n"/>
      <x:c r="O5" t="inlineStr">
        <x:is>
          <x:t xml:space="preserve">Public authority</x:t>
        </x:is>
      </x:c>
      <x:c r="P5" t="inlineStr">
        <x:is>
          <x:t xml:space="preserve">Regulation</x:t>
        </x:is>
      </x:c>
      <x:c r="Q5" t="inlineStr">
        <x:is>
          <x:t xml:space="preserve">Primary normative</x:t>
        </x:is>
      </x:c>
      <x:c r="R5" s="42" t="inlineStr">
        <x:is>
          <x:t xml:space="preserve">Official regulation issued by Norwegian Government; included because it may impose binding requirements on an in-scope aquaculture asset, activity, permit or certification.</x:t>
        </x:is>
      </x:c>
      <x:c r="S5" t="inlineStr">
        <x:is>
          <x:t xml:space="preserve">HIGH</x:t>
        </x:is>
      </x:c>
      <x:c r="T5" t="inlineStr">
        <x:is>
          <x:t xml:space="preserve">HIGH</x:t>
        </x:is>
      </x:c>
      <x:c r="U5" t="inlineStr">
        <x:is>
          <x:t xml:space="preserve">HIGH</x:t>
        </x:is>
      </x:c>
      <x:c r="V5" t="inlineStr">
        <x:is>
          <x:t xml:space="preserve">HIGH</x:t>
        </x:is>
      </x:c>
      <x:c r="W5" t="inlineStr">
        <x:is>
          <x:t xml:space="preserve">HIGH</x:t>
        </x:is>
      </x:c>
      <x:c r="X5" t="inlineStr">
        <x:is>
          <x:t xml:space="preserve">HIGH</x:t>
        </x:is>
      </x:c>
      <x:c r="Y5" t="str">
        <x:f>IF(A5="","",IF(OR(J5="",AO5="",AP5="",AP5="UNVERIFIED",AND(AO5="OFFICIAL_WEBSITE",D5=""),AND(OR(P5="Equipment manual / OEM instruction",Q5="Asset-specific normative"),OR(O5&lt;&gt;"Manufacturer / supplier",AR5="",R5=""))),"PENDING",IF(COUNTIF(S5:W5,"LOW")&gt;0,"EXCLUDE",IF(COUNTIF(S5:W5,"MEDIUM")&gt;0,"PENDING",IF(COUNTIF(S5:W5,"HIGH")=5,"INCLUDE","PENDING")))))</x:f>
        <x:v>INCLUDE</x:v>
      </x:c>
      <x:c r="Z5" t="inlineStr">
        <x:is>
          <x:t xml:space="preserve">SUCCESS</x:t>
        </x:is>
      </x:c>
      <x:c r="AA5" s="398" t="n">
        <x:v>46262.53069444445</x:v>
      </x:c>
      <x:c r="AB5" s="398" t="n">
        <x:v>46262.53070601852</x:v>
      </x:c>
      <x:c r="AC5" s="398" t="inlineStr">
        <x:is>
          <x:t xml:space="preserve">INITIAL</x:t>
        </x:is>
      </x:c>
      <x:c r="AD5" s="398" t="inlineStr">
        <x:is>
          <x:t xml:space="preserve">AUTO</x:t>
        </x:is>
      </x:c>
      <x:c r="AE5" s="398" t="n">
        <x:f>IF(A5="","",IF(AD5="AUTO",AB5,IF(AD5="MANUAL",AF5,"")))</x:f>
        <x:v>46262.53070601852</x:v>
      </x:c>
      <x:c r="AF5" s="397" t="n"/>
      <x:c r="AH5" t="inlineStr">
        <x:is>
          <x:t xml:space="preserve">NONE</x:t>
        </x:is>
      </x:c>
      <x:c r="AI5" s="42" t="str"/>
      <x:c r="AJ5" t="str">
        <x:f>IF(OR(AL5&lt;&gt;"CURRENT",Y5="EXCLUDE"),"NO",IF(A5="","",IF(Z5="FAIL",IF(AND(AF5&lt;&gt;"",AF5&gt;=INT(AA5),I5="STORED",AD5="MANUAL",AG5&lt;&gt;""),"NO","YES"),IF(AND(AQ5="ROLLING",AC5="CHANGED"),IF(AND(AF5&lt;&gt;"",AF5&gt;=INT(IF(AB5&lt;&gt;"",AB5,AA5)),AG5&lt;&gt;""),"NO","YES"),"NO"))))</x:f>
        <x:v>NO</x:v>
      </x:c>
      <x:c r="AK5" t="inlineStr">
        <x:is>
          <x:t xml:space="preserve">81650171c1177e709d49dfe6b19673e4d07f5425b3bbb5cbf8fef92e3421bbea</x:t>
        </x:is>
      </x:c>
      <x:c r="AL5" t="inlineStr">
        <x:is>
          <x:t xml:space="preserve">CURRENT</x:t>
        </x:is>
      </x:c>
      <x:c r="AN5" s="42" t="inlineStr">
        <x:is>
          <x:t xml:space="preserve">Project-mentioned candidate. Central operational source; scope confirmation is still required.</x:t>
        </x:is>
      </x:c>
      <x:c r="AO5" t="inlineStr">
        <x:is>
          <x:t xml:space="preserve">OFFICIAL_WEBSITE</x:t>
        </x:is>
      </x:c>
      <x:c r="AP5" t="inlineStr">
        <x:is>
          <x:t xml:space="preserve">OFFICIAL_ORIGINAL</x:t>
        </x:is>
      </x:c>
      <x:c r="AQ5" t="inlineStr">
        <x:is>
          <x:t xml:space="preserve">ROLLING</x:t>
        </x:is>
      </x:c>
      <x:c r="AR5" s="42" t="str"/>
    </x:row>
    <x:row r="6" s="36" customFormat="1" ht="42" customHeight="1">
      <x:c r="A6" t="inlineStr">
        <x:is>
          <x:t xml:space="preserve">PA004</x:t>
        </x:is>
      </x:c>
      <x:c r="B6" t="inlineStr">
        <x:is>
          <x:t xml:space="preserve">PA004-001</x:t>
        </x:is>
      </x:c>
      <x:c r="C6" s="42" t="inlineStr">
        <x:is>
          <x:t xml:space="preserve">NYTEK23 - Regulation on technical standards for aquaculture facilities for fish in sea, lakes and watercourses</x:t>
        </x:is>
      </x:c>
      <x:c r="D6" s="669" t="inlineStr">
        <x:is>
          <x:t xml:space="preserve">https://lovdata.no/dokument/SF/forskrift/2022-08-22-1484</x:t>
        </x:is>
      </x:c>
      <x:c r="E6" s="669" t="inlineStr">
        <x:is>
          <x:t xml:space="preserve">https://lovdata.no/dokument/SF/forskrift/2022-08-22-1484</x:t>
        </x:is>
      </x:c>
      <x:c r="F6" t="inlineStr">
        <x:is>
          <x:t xml:space="preserve">A_Public_Authority</x:t>
        </x:is>
      </x:c>
      <x:c r="G6" t="inlineStr">
        <x:is>
          <x:t xml:space="preserve">html</x:t>
        </x:is>
      </x:c>
      <x:c r="H6" t="inlineStr">
        <x:is>
          <x:t xml:space="preserve">PA004-001_NYTEK23_-_Regulation_on_technical_standards_for_aquaculture_facilities_for_fish_in_sea_lakes_and_watercourses.html</x:t>
        </x:is>
      </x:c>
      <x:c r="I6" t="inlineStr">
        <x:is>
          <x:t xml:space="preserve">STORED</x:t>
        </x:is>
      </x:c>
      <x:c r="J6" t="inlineStr">
        <x:is>
          <x:t xml:space="preserve">Norwegian Ministry of Trade, Industry and Fisheries</x:t>
        </x:is>
      </x:c>
      <x:c r="K6" t="inlineStr">
        <x:is>
          <x:t xml:space="preserve">Norway</x:t>
        </x:is>
      </x:c>
      <x:c r="L6" t="inlineStr">
        <x:is>
          <x:t xml:space="preserve">Norwegian</x:t>
        </x:is>
      </x:c>
      <x:c r="N6" s="397" t="n"/>
      <x:c r="O6" t="inlineStr">
        <x:is>
          <x:t xml:space="preserve">Public authority</x:t>
        </x:is>
      </x:c>
      <x:c r="P6" t="inlineStr">
        <x:is>
          <x:t xml:space="preserve">Regulation</x:t>
        </x:is>
      </x:c>
      <x:c r="Q6" t="inlineStr">
        <x:is>
          <x:t xml:space="preserve">Primary normative</x:t>
        </x:is>
      </x:c>
      <x:c r="R6" s="42" t="inlineStr">
        <x:is>
          <x:t xml:space="preserve">Official regulation issued by Norwegian Ministry of Trade, Industry and Fisheries; included because it may impose binding requirements on an in-scope aquaculture asset, activity, permit or certification.</x:t>
        </x:is>
      </x:c>
      <x:c r="S6" t="inlineStr">
        <x:is>
          <x:t xml:space="preserve">HIGH</x:t>
        </x:is>
      </x:c>
      <x:c r="T6" t="inlineStr">
        <x:is>
          <x:t xml:space="preserve">HIGH</x:t>
        </x:is>
      </x:c>
      <x:c r="U6" t="inlineStr">
        <x:is>
          <x:t xml:space="preserve">HIGH</x:t>
        </x:is>
      </x:c>
      <x:c r="V6" t="inlineStr">
        <x:is>
          <x:t xml:space="preserve">HIGH</x:t>
        </x:is>
      </x:c>
      <x:c r="W6" t="inlineStr">
        <x:is>
          <x:t xml:space="preserve">HIGH</x:t>
        </x:is>
      </x:c>
      <x:c r="X6" t="inlineStr">
        <x:is>
          <x:t xml:space="preserve">HIGH</x:t>
        </x:is>
      </x:c>
      <x:c r="Y6" t="str">
        <x:f>IF(A6="","",IF(OR(J6="",AO6="",AP6="",AP6="UNVERIFIED",AND(AO6="OFFICIAL_WEBSITE",D6=""),AND(OR(P6="Equipment manual / OEM instruction",Q6="Asset-specific normative"),OR(O6&lt;&gt;"Manufacturer / supplier",AR6="",R6=""))),"PENDING",IF(COUNTIF(S6:W6,"LOW")&gt;0,"EXCLUDE",IF(COUNTIF(S6:W6,"MEDIUM")&gt;0,"PENDING",IF(COUNTIF(S6:W6,"HIGH")=5,"INCLUDE","PENDING")))))</x:f>
        <x:v>INCLUDE</x:v>
      </x:c>
      <x:c r="Z6" t="inlineStr">
        <x:is>
          <x:t xml:space="preserve">SUCCESS</x:t>
        </x:is>
      </x:c>
      <x:c r="AA6" s="398" t="n">
        <x:v>46262.53070601852</x:v>
      </x:c>
      <x:c r="AB6" s="398" t="n">
        <x:v>46262.53070601852</x:v>
      </x:c>
      <x:c r="AC6" s="398" t="inlineStr">
        <x:is>
          <x:t xml:space="preserve">INITIAL</x:t>
        </x:is>
      </x:c>
      <x:c r="AD6" s="398" t="inlineStr">
        <x:is>
          <x:t xml:space="preserve">AUTO</x:t>
        </x:is>
      </x:c>
      <x:c r="AE6" s="398" t="n">
        <x:f>IF(A6="","",IF(AD6="AUTO",AB6,IF(AD6="MANUAL",AF6,"")))</x:f>
        <x:v>46262.53070601852</x:v>
      </x:c>
      <x:c r="AF6" s="397" t="n"/>
      <x:c r="AH6" t="inlineStr">
        <x:is>
          <x:t xml:space="preserve">NONE</x:t>
        </x:is>
      </x:c>
      <x:c r="AI6" s="42" t="str"/>
      <x:c r="AJ6" t="str">
        <x:f>IF(OR(AL6&lt;&gt;"CURRENT",Y6="EXCLUDE"),"NO",IF(A6="","",IF(Z6="FAIL",IF(AND(AF6&lt;&gt;"",AF6&gt;=INT(AA6),I6="STORED",AD6="MANUAL",AG6&lt;&gt;""),"NO","YES"),IF(AND(AQ6="ROLLING",AC6="CHANGED"),IF(AND(AF6&lt;&gt;"",AF6&gt;=INT(IF(AB6&lt;&gt;"",AB6,AA6)),AG6&lt;&gt;""),"NO","YES"),"NO"))))</x:f>
        <x:v>NO</x:v>
      </x:c>
      <x:c r="AK6" t="inlineStr">
        <x:is>
          <x:t xml:space="preserve">a20988ddfe78bcf3d4ab87695f50f2c0f57f542fe77f2b1a66f94a81a993ce17</x:t>
        </x:is>
      </x:c>
      <x:c r="AL6" t="inlineStr">
        <x:is>
          <x:t xml:space="preserve">CURRENT</x:t>
        </x:is>
      </x:c>
      <x:c r="AN6" s="42" t="inlineStr">
        <x:is>
          <x:t xml:space="preserve">Project-mentioned candidate. Applies to relevant water-based fish facilities.</x:t>
        </x:is>
      </x:c>
      <x:c r="AO6" t="inlineStr">
        <x:is>
          <x:t xml:space="preserve">OFFICIAL_WEBSITE</x:t>
        </x:is>
      </x:c>
      <x:c r="AP6" t="inlineStr">
        <x:is>
          <x:t xml:space="preserve">OFFICIAL_ORIGINAL</x:t>
        </x:is>
      </x:c>
      <x:c r="AQ6" t="inlineStr">
        <x:is>
          <x:t xml:space="preserve">ROLLING</x:t>
        </x:is>
      </x:c>
      <x:c r="AR6" s="42" t="str"/>
    </x:row>
    <x:row r="7" s="36" customFormat="1" ht="42" customHeight="1">
      <x:c r="A7" t="inlineStr">
        <x:is>
          <x:t xml:space="preserve">PA005</x:t>
        </x:is>
      </x:c>
      <x:c r="B7" t="inlineStr">
        <x:is>
          <x:t xml:space="preserve">PA005-001</x:t>
        </x:is>
      </x:c>
      <x:c r="C7" s="42" t="inlineStr">
        <x:is>
          <x:t xml:space="preserve">Animal Welfare Act</x:t>
        </x:is>
      </x:c>
      <x:c r="D7" s="669" t="inlineStr">
        <x:is>
          <x:t xml:space="preserve">https://lovdata.no/dokument/NL/lov/2009-06-19-97</x:t>
        </x:is>
      </x:c>
      <x:c r="E7" s="669" t="inlineStr">
        <x:is>
          <x:t xml:space="preserve">https://lovdata.no/dokument/NL/lov/2009-06-19-97</x:t>
        </x:is>
      </x:c>
      <x:c r="F7" t="inlineStr">
        <x:is>
          <x:t xml:space="preserve">A_Public_Authority</x:t>
        </x:is>
      </x:c>
      <x:c r="G7" t="inlineStr">
        <x:is>
          <x:t xml:space="preserve">html</x:t>
        </x:is>
      </x:c>
      <x:c r="H7" t="inlineStr">
        <x:is>
          <x:t xml:space="preserve">PA005-001_Animal_Welfare_Act.html</x:t>
        </x:is>
      </x:c>
      <x:c r="I7" t="inlineStr">
        <x:is>
          <x:t xml:space="preserve">STORED</x:t>
        </x:is>
      </x:c>
      <x:c r="J7" t="inlineStr">
        <x:is>
          <x:t xml:space="preserve">Norwegian Ministry of Agriculture and Food</x:t>
        </x:is>
      </x:c>
      <x:c r="K7" t="inlineStr">
        <x:is>
          <x:t xml:space="preserve">Norway</x:t>
        </x:is>
      </x:c>
      <x:c r="L7" t="inlineStr">
        <x:is>
          <x:t xml:space="preserve">Norwegian</x:t>
        </x:is>
      </x:c>
      <x:c r="N7" s="397" t="n"/>
      <x:c r="O7" t="inlineStr">
        <x:is>
          <x:t xml:space="preserve">Public authority</x:t>
        </x:is>
      </x:c>
      <x:c r="P7" t="inlineStr">
        <x:is>
          <x:t xml:space="preserve">Law</x:t>
        </x:is>
      </x:c>
      <x:c r="Q7" t="inlineStr">
        <x:is>
          <x:t xml:space="preserve">Primary normative</x:t>
        </x:is>
      </x:c>
      <x:c r="R7" s="42" t="inlineStr">
        <x:is>
          <x:t xml:space="preserve">Official law issued by Norwegian Ministry of Agriculture and Food; included because it may impose binding requirements on an in-scope aquaculture asset, activity, permit or certification.</x:t>
        </x:is>
      </x:c>
      <x:c r="S7" t="inlineStr">
        <x:is>
          <x:t xml:space="preserve">HIGH</x:t>
        </x:is>
      </x:c>
      <x:c r="T7" t="inlineStr">
        <x:is>
          <x:t xml:space="preserve">HIGH</x:t>
        </x:is>
      </x:c>
      <x:c r="U7" t="inlineStr">
        <x:is>
          <x:t xml:space="preserve">HIGH</x:t>
        </x:is>
      </x:c>
      <x:c r="V7" t="inlineStr">
        <x:is>
          <x:t xml:space="preserve">HIGH</x:t>
        </x:is>
      </x:c>
      <x:c r="W7" t="inlineStr">
        <x:is>
          <x:t xml:space="preserve">HIGH</x:t>
        </x:is>
      </x:c>
      <x:c r="X7" t="inlineStr">
        <x:is>
          <x:t xml:space="preserve">HIGH</x:t>
        </x:is>
      </x:c>
      <x:c r="Y7" t="str">
        <x:f>IF(A7="","",IF(OR(J7="",AO7="",AP7="",AP7="UNVERIFIED",AND(AO7="OFFICIAL_WEBSITE",D7=""),AND(OR(P7="Equipment manual / OEM instruction",Q7="Asset-specific normative"),OR(O7&lt;&gt;"Manufacturer / supplier",AR7="",R7=""))),"PENDING",IF(COUNTIF(S7:W7,"LOW")&gt;0,"EXCLUDE",IF(COUNTIF(S7:W7,"MEDIUM")&gt;0,"PENDING",IF(COUNTIF(S7:W7,"HIGH")=5,"INCLUDE","PENDING")))))</x:f>
        <x:v>INCLUDE</x:v>
      </x:c>
      <x:c r="Z7" t="inlineStr">
        <x:is>
          <x:t xml:space="preserve">SUCCESS</x:t>
        </x:is>
      </x:c>
      <x:c r="AA7" s="398" t="n">
        <x:v>46262.53070601852</x:v>
      </x:c>
      <x:c r="AB7" s="398" t="n">
        <x:v>46262.53070601852</x:v>
      </x:c>
      <x:c r="AC7" s="398" t="inlineStr">
        <x:is>
          <x:t xml:space="preserve">INITIAL</x:t>
        </x:is>
      </x:c>
      <x:c r="AD7" s="398" t="inlineStr">
        <x:is>
          <x:t xml:space="preserve">AUTO</x:t>
        </x:is>
      </x:c>
      <x:c r="AE7" s="398" t="n">
        <x:f>IF(A7="","",IF(AD7="AUTO",AB7,IF(AD7="MANUAL",AF7,"")))</x:f>
        <x:v>46262.53070601852</x:v>
      </x:c>
      <x:c r="AF7" s="397" t="n"/>
      <x:c r="AH7" t="inlineStr">
        <x:is>
          <x:t xml:space="preserve">NONE</x:t>
        </x:is>
      </x:c>
      <x:c r="AI7" s="42" t="str"/>
      <x:c r="AJ7" t="str">
        <x:f>IF(OR(AL7&lt;&gt;"CURRENT",Y7="EXCLUDE"),"NO",IF(A7="","",IF(Z7="FAIL",IF(AND(AF7&lt;&gt;"",AF7&gt;=INT(AA7),I7="STORED",AD7="MANUAL",AG7&lt;&gt;""),"NO","YES"),IF(AND(AQ7="ROLLING",AC7="CHANGED"),IF(AND(AF7&lt;&gt;"",AF7&gt;=INT(IF(AB7&lt;&gt;"",AB7,AA7)),AG7&lt;&gt;""),"NO","YES"),"NO"))))</x:f>
        <x:v>NO</x:v>
      </x:c>
      <x:c r="AK7" t="inlineStr">
        <x:is>
          <x:t xml:space="preserve">121dce4cf5263302d47a467a612b437ffb1a6c660fb7454b6698101f16ea3808</x:t>
        </x:is>
      </x:c>
      <x:c r="AL7" t="inlineStr">
        <x:is>
          <x:t xml:space="preserve">CURRENT</x:t>
        </x:is>
      </x:c>
      <x:c r="AN7" s="42" t="inlineStr">
        <x:is>
          <x:t xml:space="preserve">Project-mentioned candidate covering fish and other aquatic animals.</x:t>
        </x:is>
      </x:c>
      <x:c r="AO7" t="inlineStr">
        <x:is>
          <x:t xml:space="preserve">OFFICIAL_WEBSITE</x:t>
        </x:is>
      </x:c>
      <x:c r="AP7" t="inlineStr">
        <x:is>
          <x:t xml:space="preserve">OFFICIAL_ORIGINAL</x:t>
        </x:is>
      </x:c>
      <x:c r="AQ7" t="inlineStr">
        <x:is>
          <x:t xml:space="preserve">ROLLING</x:t>
        </x:is>
      </x:c>
      <x:c r="AR7" s="42" t="str"/>
    </x:row>
    <x:row r="8" s="36" customFormat="1" ht="42" customHeight="1">
      <x:c r="A8" t="inlineStr">
        <x:is>
          <x:t xml:space="preserve">PA006</x:t>
        </x:is>
      </x:c>
      <x:c r="B8" t="inlineStr">
        <x:is>
          <x:t xml:space="preserve">PA006-001</x:t>
        </x:is>
      </x:c>
      <x:c r="C8" s="42" t="inlineStr">
        <x:is>
          <x:t xml:space="preserve">Organic Production and Labelling Regulations</x:t>
        </x:is>
      </x:c>
      <x:c r="D8" s="669" t="inlineStr">
        <x:is>
          <x:t xml:space="preserve">https://lovdata.no/dokument/SF/forskrift/2022-06-11-1171</x:t>
        </x:is>
      </x:c>
      <x:c r="E8" s="669" t="inlineStr">
        <x:is>
          <x:t xml:space="preserve">https://lovdata.no/dokument/SF/forskrift/2022-06-11-1171</x:t>
        </x:is>
      </x:c>
      <x:c r="F8" t="inlineStr">
        <x:is>
          <x:t xml:space="preserve">A_Public_Authority</x:t>
        </x:is>
      </x:c>
      <x:c r="G8" t="inlineStr">
        <x:is>
          <x:t xml:space="preserve">html</x:t>
        </x:is>
      </x:c>
      <x:c r="H8" t="inlineStr">
        <x:is>
          <x:t xml:space="preserve">PA006-001_Organic_Production_and_Labelling_Regulations.html</x:t>
        </x:is>
      </x:c>
      <x:c r="I8" t="inlineStr">
        <x:is>
          <x:t xml:space="preserve">STORED</x:t>
        </x:is>
      </x:c>
      <x:c r="J8" t="inlineStr">
        <x:is>
          <x:t xml:space="preserve">Norwegian Government</x:t>
        </x:is>
      </x:c>
      <x:c r="K8" t="inlineStr">
        <x:is>
          <x:t xml:space="preserve">Norway</x:t>
        </x:is>
      </x:c>
      <x:c r="L8" t="inlineStr">
        <x:is>
          <x:t xml:space="preserve">Norwegian</x:t>
        </x:is>
      </x:c>
      <x:c r="N8" s="397" t="n"/>
      <x:c r="O8" t="inlineStr">
        <x:is>
          <x:t xml:space="preserve">Public authority</x:t>
        </x:is>
      </x:c>
      <x:c r="P8" t="inlineStr">
        <x:is>
          <x:t xml:space="preserve">Regulation</x:t>
        </x:is>
      </x:c>
      <x:c r="Q8" t="inlineStr">
        <x:is>
          <x:t xml:space="preserve">Primary normative</x:t>
        </x:is>
      </x:c>
      <x:c r="R8" s="42" t="inlineStr">
        <x:is>
          <x:t xml:space="preserve">Official regulation issued by Norwegian Government; included because it may impose binding requirements on an in-scope aquaculture asset, activity, permit or certification.</x:t>
        </x:is>
      </x:c>
      <x:c r="S8" t="inlineStr">
        <x:is>
          <x:t xml:space="preserve">HIGH</x:t>
        </x:is>
      </x:c>
      <x:c r="T8" t="inlineStr">
        <x:is>
          <x:t xml:space="preserve">MEDIUM</x:t>
        </x:is>
      </x:c>
      <x:c r="U8" t="inlineStr">
        <x:is>
          <x:t xml:space="preserve">HIGH</x:t>
        </x:is>
      </x:c>
      <x:c r="V8" t="inlineStr">
        <x:is>
          <x:t xml:space="preserve">HIGH</x:t>
        </x:is>
      </x:c>
      <x:c r="W8" t="inlineStr">
        <x:is>
          <x:t xml:space="preserve">HIGH</x:t>
        </x:is>
      </x:c>
      <x:c r="X8" t="inlineStr">
        <x:is>
          <x:t xml:space="preserve">HIGH</x:t>
        </x:is>
      </x:c>
      <x:c r="Y8" t="str">
        <x:f>IF(A8="","",IF(OR(J8="",AO8="",AP8="",AP8="UNVERIFIED",AND(AO8="OFFICIAL_WEBSITE",D8=""),AND(OR(P8="Equipment manual / OEM instruction",Q8="Asset-specific normative"),OR(O8&lt;&gt;"Manufacturer / supplier",AR8="",R8=""))),"PENDING",IF(COUNTIF(S8:W8,"LOW")&gt;0,"EXCLUDE",IF(COUNTIF(S8:W8,"MEDIUM")&gt;0,"PENDING",IF(COUNTIF(S8:W8,"HIGH")=5,"INCLUDE","PENDING")))))</x:f>
        <x:v>PENDING</x:v>
      </x:c>
      <x:c r="Z8" t="inlineStr">
        <x:is>
          <x:t xml:space="preserve">SUCCESS</x:t>
        </x:is>
      </x:c>
      <x:c r="AA8" s="398" t="n">
        <x:v>46262.53070601852</x:v>
      </x:c>
      <x:c r="AB8" s="398" t="n">
        <x:v>46262.53081018518</x:v>
      </x:c>
      <x:c r="AC8" s="398" t="inlineStr">
        <x:is>
          <x:t xml:space="preserve">INITIAL</x:t>
        </x:is>
      </x:c>
      <x:c r="AD8" s="398" t="inlineStr">
        <x:is>
          <x:t xml:space="preserve">AUTO</x:t>
        </x:is>
      </x:c>
      <x:c r="AE8" s="398" t="n">
        <x:f>IF(A8="","",IF(AD8="AUTO",AB8,IF(AD8="MANUAL",AF8,"")))</x:f>
        <x:v>46262.53081018518</x:v>
      </x:c>
      <x:c r="AF8" s="397" t="n"/>
      <x:c r="AH8" t="inlineStr">
        <x:is>
          <x:t xml:space="preserve">NONE</x:t>
        </x:is>
      </x:c>
      <x:c r="AI8" s="42" t="str"/>
      <x:c r="AJ8" t="str">
        <x:f>IF(OR(AL8&lt;&gt;"CURRENT",Y8="EXCLUDE"),"NO",IF(A8="","",IF(Z8="FAIL",IF(AND(AF8&lt;&gt;"",AF8&gt;=INT(AA8),I8="STORED",AD8="MANUAL",AG8&lt;&gt;""),"NO","YES"),IF(AND(AQ8="ROLLING",AC8="CHANGED"),IF(AND(AF8&lt;&gt;"",AF8&gt;=INT(IF(AB8&lt;&gt;"",AB8,AA8)),AG8&lt;&gt;""),"NO","YES"),"NO"))))</x:f>
        <x:v>NO</x:v>
      </x:c>
      <x:c r="AK8" t="inlineStr">
        <x:is>
          <x:t xml:space="preserve">18009ae503b2261b56c5c11ddde0a8a7400915f2d1b93894f3ea66085b7ec642</x:t>
        </x:is>
      </x:c>
      <x:c r="AL8" t="inlineStr">
        <x:is>
          <x:t xml:space="preserve">CURRENT</x:t>
        </x:is>
      </x:c>
      <x:c r="AN8" s="42" t="inlineStr">
        <x:is>
          <x:t xml:space="preserve">Project-mentioned candidate. Include only for organic production or labelling scope.</x:t>
        </x:is>
      </x:c>
      <x:c r="AO8" t="inlineStr">
        <x:is>
          <x:t xml:space="preserve">OFFICIAL_WEBSITE</x:t>
        </x:is>
      </x:c>
      <x:c r="AP8" t="inlineStr">
        <x:is>
          <x:t xml:space="preserve">OFFICIAL_ORIGINAL</x:t>
        </x:is>
      </x:c>
      <x:c r="AQ8" t="inlineStr">
        <x:is>
          <x:t xml:space="preserve">ROLLING</x:t>
        </x:is>
      </x:c>
      <x:c r="AR8" s="42" t="str"/>
    </x:row>
    <x:row r="9" s="36" customFormat="1" ht="42" customHeight="1">
      <x:c r="A9" t="inlineStr">
        <x:is>
          <x:t xml:space="preserve">PA007</x:t>
        </x:is>
      </x:c>
      <x:c r="B9" t="inlineStr">
        <x:is>
          <x:t xml:space="preserve">PA007-001</x:t>
        </x:is>
      </x:c>
      <x:c r="C9" s="42" t="inlineStr">
        <x:is>
          <x:t xml:space="preserve">Pollution Control Act</x:t>
        </x:is>
      </x:c>
      <x:c r="D9" s="669" t="inlineStr">
        <x:is>
          <x:t xml:space="preserve">https://lovdata.no/dokument/NL/lov/1981-03-13-6</x:t>
        </x:is>
      </x:c>
      <x:c r="E9" s="669" t="inlineStr">
        <x:is>
          <x:t xml:space="preserve">https://lovdata.no/dokument/NL/lov/1981-03-13-6</x:t>
        </x:is>
      </x:c>
      <x:c r="F9" t="inlineStr">
        <x:is>
          <x:t xml:space="preserve">A_Public_Authority</x:t>
        </x:is>
      </x:c>
      <x:c r="G9" t="inlineStr">
        <x:is>
          <x:t xml:space="preserve">html</x:t>
        </x:is>
      </x:c>
      <x:c r="H9" t="inlineStr">
        <x:is>
          <x:t xml:space="preserve">PA007-001_Pollution_Control_Act.html</x:t>
        </x:is>
      </x:c>
      <x:c r="I9" t="inlineStr">
        <x:is>
          <x:t xml:space="preserve">STORED</x:t>
        </x:is>
      </x:c>
      <x:c r="J9" t="inlineStr">
        <x:is>
          <x:t xml:space="preserve">Norwegian Ministry of Climate and Environment</x:t>
        </x:is>
      </x:c>
      <x:c r="K9" t="inlineStr">
        <x:is>
          <x:t xml:space="preserve">Norway</x:t>
        </x:is>
      </x:c>
      <x:c r="L9" t="inlineStr">
        <x:is>
          <x:t xml:space="preserve">Norwegian</x:t>
        </x:is>
      </x:c>
      <x:c r="N9" s="397" t="n"/>
      <x:c r="O9" t="inlineStr">
        <x:is>
          <x:t xml:space="preserve">Public authority</x:t>
        </x:is>
      </x:c>
      <x:c r="P9" t="inlineStr">
        <x:is>
          <x:t xml:space="preserve">Law</x:t>
        </x:is>
      </x:c>
      <x:c r="Q9" t="inlineStr">
        <x:is>
          <x:t xml:space="preserve">Primary normative</x:t>
        </x:is>
      </x:c>
      <x:c r="R9" s="42" t="inlineStr">
        <x:is>
          <x:t xml:space="preserve">Official law issued by Norwegian Ministry of Climate and Environment; included because it may impose binding requirements on an in-scope aquaculture asset, activity, permit or certification.</x:t>
        </x:is>
      </x:c>
      <x:c r="S9" t="inlineStr">
        <x:is>
          <x:t xml:space="preserve">HIGH</x:t>
        </x:is>
      </x:c>
      <x:c r="T9" t="inlineStr">
        <x:is>
          <x:t xml:space="preserve">HIGH</x:t>
        </x:is>
      </x:c>
      <x:c r="U9" t="inlineStr">
        <x:is>
          <x:t xml:space="preserve">HIGH</x:t>
        </x:is>
      </x:c>
      <x:c r="V9" t="inlineStr">
        <x:is>
          <x:t xml:space="preserve">HIGH</x:t>
        </x:is>
      </x:c>
      <x:c r="W9" t="inlineStr">
        <x:is>
          <x:t xml:space="preserve">HIGH</x:t>
        </x:is>
      </x:c>
      <x:c r="X9" t="inlineStr">
        <x:is>
          <x:t xml:space="preserve">HIGH</x:t>
        </x:is>
      </x:c>
      <x:c r="Y9" t="str">
        <x:f>IF(A9="","",IF(OR(J9="",AO9="",AP9="",AP9="UNVERIFIED",AND(AO9="OFFICIAL_WEBSITE",D9=""),AND(OR(P9="Equipment manual / OEM instruction",Q9="Asset-specific normative"),OR(O9&lt;&gt;"Manufacturer / supplier",AR9="",R9=""))),"PENDING",IF(COUNTIF(S9:W9,"LOW")&gt;0,"EXCLUDE",IF(COUNTIF(S9:W9,"MEDIUM")&gt;0,"PENDING",IF(COUNTIF(S9:W9,"HIGH")=5,"INCLUDE","PENDING")))))</x:f>
        <x:v>INCLUDE</x:v>
      </x:c>
      <x:c r="Z9" t="inlineStr">
        <x:is>
          <x:t xml:space="preserve">SUCCESS</x:t>
        </x:is>
      </x:c>
      <x:c r="AA9" s="398" t="n">
        <x:v>46262.53081018518</x:v>
      </x:c>
      <x:c r="AB9" s="398" t="n">
        <x:v>46262.53081018518</x:v>
      </x:c>
      <x:c r="AC9" s="398" t="inlineStr">
        <x:is>
          <x:t xml:space="preserve">INITIAL</x:t>
        </x:is>
      </x:c>
      <x:c r="AD9" s="398" t="inlineStr">
        <x:is>
          <x:t xml:space="preserve">AUTO</x:t>
        </x:is>
      </x:c>
      <x:c r="AE9" s="398" t="n">
        <x:f>IF(A9="","",IF(AD9="AUTO",AB9,IF(AD9="MANUAL",AF9,"")))</x:f>
        <x:v>46262.53081018518</x:v>
      </x:c>
      <x:c r="AF9" s="397" t="n"/>
      <x:c r="AH9" t="inlineStr">
        <x:is>
          <x:t xml:space="preserve">NONE</x:t>
        </x:is>
      </x:c>
      <x:c r="AI9" s="42" t="str"/>
      <x:c r="AJ9" t="str">
        <x:f>IF(OR(AL9&lt;&gt;"CURRENT",Y9="EXCLUDE"),"NO",IF(A9="","",IF(Z9="FAIL",IF(AND(AF9&lt;&gt;"",AF9&gt;=INT(AA9),I9="STORED",AD9="MANUAL",AG9&lt;&gt;""),"NO","YES"),IF(AND(AQ9="ROLLING",AC9="CHANGED"),IF(AND(AF9&lt;&gt;"",AF9&gt;=INT(IF(AB9&lt;&gt;"",AB9,AA9)),AG9&lt;&gt;""),"NO","YES"),"NO"))))</x:f>
        <x:v>NO</x:v>
      </x:c>
      <x:c r="AK9" t="inlineStr">
        <x:is>
          <x:t xml:space="preserve">6dbac9891bf38811447ed04c583140063ff23e0e1494e59f5ca0aa485b1e5901</x:t>
        </x:is>
      </x:c>
      <x:c r="AL9" t="inlineStr">
        <x:is>
          <x:t xml:space="preserve">CURRENT</x:t>
        </x:is>
      </x:c>
      <x:c r="AN9" s="42" t="inlineStr">
        <x:is>
          <x:t xml:space="preserve">Project-mentioned candidate for emissions, waste and pollution permits.</x:t>
        </x:is>
      </x:c>
      <x:c r="AO9" t="inlineStr">
        <x:is>
          <x:t xml:space="preserve">OFFICIAL_WEBSITE</x:t>
        </x:is>
      </x:c>
      <x:c r="AP9" t="inlineStr">
        <x:is>
          <x:t xml:space="preserve">OFFICIAL_ORIGINAL</x:t>
        </x:is>
      </x:c>
      <x:c r="AQ9" t="inlineStr">
        <x:is>
          <x:t xml:space="preserve">ROLLING</x:t>
        </x:is>
      </x:c>
      <x:c r="AR9" s="42" t="str"/>
    </x:row>
    <x:row r="10" s="36" customFormat="1" ht="42" customHeight="1">
      <x:c r="A10" t="inlineStr">
        <x:is>
          <x:t xml:space="preserve">PA008</x:t>
        </x:is>
      </x:c>
      <x:c r="B10" t="inlineStr">
        <x:is>
          <x:t xml:space="preserve">PA008-001</x:t>
        </x:is>
      </x:c>
      <x:c r="C10" s="42" t="inlineStr">
        <x:is>
          <x:t xml:space="preserve">Water Framework Regulations</x:t>
        </x:is>
      </x:c>
      <x:c r="D10" s="669" t="inlineStr">
        <x:is>
          <x:t xml:space="preserve">https://lovdata.no/dokument/SF/forskrift/2006-12-15-1446</x:t>
        </x:is>
      </x:c>
      <x:c r="E10" s="669" t="inlineStr">
        <x:is>
          <x:t xml:space="preserve">https://lovdata.no/dokument/SF/forskrift/2006-12-15-1446</x:t>
        </x:is>
      </x:c>
      <x:c r="F10" t="inlineStr">
        <x:is>
          <x:t xml:space="preserve">A_Public_Authority</x:t>
        </x:is>
      </x:c>
      <x:c r="G10" t="inlineStr">
        <x:is>
          <x:t xml:space="preserve">html</x:t>
        </x:is>
      </x:c>
      <x:c r="H10" t="inlineStr">
        <x:is>
          <x:t xml:space="preserve">PA008-001_Water_Framework_Regulations.html</x:t>
        </x:is>
      </x:c>
      <x:c r="I10" t="inlineStr">
        <x:is>
          <x:t xml:space="preserve">STORED</x:t>
        </x:is>
      </x:c>
      <x:c r="J10" t="inlineStr">
        <x:is>
          <x:t xml:space="preserve">Norwegian Government</x:t>
        </x:is>
      </x:c>
      <x:c r="K10" t="inlineStr">
        <x:is>
          <x:t xml:space="preserve">Norway</x:t>
        </x:is>
      </x:c>
      <x:c r="L10" t="inlineStr">
        <x:is>
          <x:t xml:space="preserve">Norwegian</x:t>
        </x:is>
      </x:c>
      <x:c r="N10" s="397" t="n"/>
      <x:c r="O10" t="inlineStr">
        <x:is>
          <x:t xml:space="preserve">Public authority</x:t>
        </x:is>
      </x:c>
      <x:c r="P10" t="inlineStr">
        <x:is>
          <x:t xml:space="preserve">Regulation</x:t>
        </x:is>
      </x:c>
      <x:c r="Q10" t="inlineStr">
        <x:is>
          <x:t xml:space="preserve">Referenced normative</x:t>
        </x:is>
      </x:c>
      <x:c r="R10" s="42" t="inlineStr">
        <x:is>
          <x:t xml:space="preserve">Official referenced source from Norwegian Government; included because an applicable law, permit or certification scheme may make its provisions binding within the approved scope.</x:t>
        </x:is>
      </x:c>
      <x:c r="S10" t="inlineStr">
        <x:is>
          <x:t xml:space="preserve">HIGH</x:t>
        </x:is>
      </x:c>
      <x:c r="T10" t="inlineStr">
        <x:is>
          <x:t xml:space="preserve">MEDIUM</x:t>
        </x:is>
      </x:c>
      <x:c r="U10" t="inlineStr">
        <x:is>
          <x:t xml:space="preserve">HIGH</x:t>
        </x:is>
      </x:c>
      <x:c r="V10" t="inlineStr">
        <x:is>
          <x:t xml:space="preserve">HIGH</x:t>
        </x:is>
      </x:c>
      <x:c r="W10" t="inlineStr">
        <x:is>
          <x:t xml:space="preserve">HIGH</x:t>
        </x:is>
      </x:c>
      <x:c r="X10" t="inlineStr">
        <x:is>
          <x:t xml:space="preserve">HIGH</x:t>
        </x:is>
      </x:c>
      <x:c r="Y10" t="str">
        <x:f>IF(A10="","",IF(OR(J10="",AO10="",AP10="",AP10="UNVERIFIED",AND(AO10="OFFICIAL_WEBSITE",D10=""),AND(OR(P10="Equipment manual / OEM instruction",Q10="Asset-specific normative"),OR(O10&lt;&gt;"Manufacturer / supplier",AR10="",R10=""))),"PENDING",IF(COUNTIF(S10:W10,"LOW")&gt;0,"EXCLUDE",IF(COUNTIF(S10:W10,"MEDIUM")&gt;0,"PENDING",IF(COUNTIF(S10:W10,"HIGH")=5,"INCLUDE","PENDING")))))</x:f>
        <x:v>PENDING</x:v>
      </x:c>
      <x:c r="Z10" t="inlineStr">
        <x:is>
          <x:t xml:space="preserve">SUCCESS</x:t>
        </x:is>
      </x:c>
      <x:c r="AA10" s="398" t="n">
        <x:v>46262.53081018518</x:v>
      </x:c>
      <x:c r="AB10" s="398" t="n">
        <x:v>46262.53081018518</x:v>
      </x:c>
      <x:c r="AC10" s="398" t="inlineStr">
        <x:is>
          <x:t xml:space="preserve">INITIAL</x:t>
        </x:is>
      </x:c>
      <x:c r="AD10" s="398" t="inlineStr">
        <x:is>
          <x:t xml:space="preserve">AUTO</x:t>
        </x:is>
      </x:c>
      <x:c r="AE10" s="398" t="n">
        <x:f>IF(A10="","",IF(AD10="AUTO",AB10,IF(AD10="MANUAL",AF10,"")))</x:f>
        <x:v>46262.53081018518</x:v>
      </x:c>
      <x:c r="AF10" s="397" t="n"/>
      <x:c r="AH10" t="inlineStr">
        <x:is>
          <x:t xml:space="preserve">NONE</x:t>
        </x:is>
      </x:c>
      <x:c r="AI10" s="42" t="str"/>
      <x:c r="AJ10" t="str">
        <x:f>IF(OR(AL10&lt;&gt;"CURRENT",Y10="EXCLUDE"),"NO",IF(A10="","",IF(Z10="FAIL",IF(AND(AF10&lt;&gt;"",AF10&gt;=INT(AA10),I10="STORED",AD10="MANUAL",AG10&lt;&gt;""),"NO","YES"),IF(AND(AQ10="ROLLING",AC10="CHANGED"),IF(AND(AF10&lt;&gt;"",AF10&gt;=INT(IF(AB10&lt;&gt;"",AB10,AA10)),AG10&lt;&gt;""),"NO","YES"),"NO"))))</x:f>
        <x:v>NO</x:v>
      </x:c>
      <x:c r="AK10" t="inlineStr">
        <x:is>
          <x:t xml:space="preserve">bc9d9f926fe9f5ba2ee6df81938c45b7f4a20579ab7f7a149a5e9d1432169da2</x:t>
        </x:is>
      </x:c>
      <x:c r="AL10" t="inlineStr">
        <x:is>
          <x:t xml:space="preserve">CURRENT</x:t>
        </x:is>
      </x:c>
      <x:c r="AN10" s="42" t="inlineStr">
        <x:is>
          <x:t xml:space="preserve">Project-mentioned candidate. Relevance depends on recipient and water-body assessment.</x:t>
        </x:is>
      </x:c>
      <x:c r="AO10" t="inlineStr">
        <x:is>
          <x:t xml:space="preserve">OFFICIAL_WEBSITE</x:t>
        </x:is>
      </x:c>
      <x:c r="AP10" t="inlineStr">
        <x:is>
          <x:t xml:space="preserve">OFFICIAL_ORIGINAL</x:t>
        </x:is>
      </x:c>
      <x:c r="AQ10" t="inlineStr">
        <x:is>
          <x:t xml:space="preserve">ROLLING</x:t>
        </x:is>
      </x:c>
      <x:c r="AR10" s="42" t="str"/>
    </x:row>
    <x:row r="11" s="36" customFormat="1" ht="42" customHeight="1">
      <x:c r="A11" t="inlineStr">
        <x:is>
          <x:t xml:space="preserve">PA009</x:t>
        </x:is>
      </x:c>
      <x:c r="B11" t="inlineStr">
        <x:is>
          <x:t xml:space="preserve">PA009-001</x:t>
        </x:is>
      </x:c>
      <x:c r="C11" s="42" t="inlineStr">
        <x:is>
          <x:t xml:space="preserve">Product Control Act</x:t>
        </x:is>
      </x:c>
      <x:c r="D11" s="669" t="inlineStr">
        <x:is>
          <x:t xml:space="preserve">https://lovdata.no/dokument/NL/lov/1976-06-11-79</x:t>
        </x:is>
      </x:c>
      <x:c r="E11" s="669" t="inlineStr">
        <x:is>
          <x:t xml:space="preserve">https://lovdata.no/dokument/NL/lov/1976-06-11-79</x:t>
        </x:is>
      </x:c>
      <x:c r="F11" t="inlineStr">
        <x:is>
          <x:t xml:space="preserve">A_Public_Authority</x:t>
        </x:is>
      </x:c>
      <x:c r="G11" t="inlineStr">
        <x:is>
          <x:t xml:space="preserve">html</x:t>
        </x:is>
      </x:c>
      <x:c r="H11" t="inlineStr">
        <x:is>
          <x:t xml:space="preserve">PA009-001_Product_Control_Act.html</x:t>
        </x:is>
      </x:c>
      <x:c r="I11" t="inlineStr">
        <x:is>
          <x:t xml:space="preserve">STORED</x:t>
        </x:is>
      </x:c>
      <x:c r="J11" t="inlineStr">
        <x:is>
          <x:t xml:space="preserve">Norwegian Ministry of Climate and Environment</x:t>
        </x:is>
      </x:c>
      <x:c r="K11" t="inlineStr">
        <x:is>
          <x:t xml:space="preserve">Norway</x:t>
        </x:is>
      </x:c>
      <x:c r="L11" t="inlineStr">
        <x:is>
          <x:t xml:space="preserve">Norwegian</x:t>
        </x:is>
      </x:c>
      <x:c r="N11" s="397" t="n"/>
      <x:c r="O11" t="inlineStr">
        <x:is>
          <x:t xml:space="preserve">Public authority</x:t>
        </x:is>
      </x:c>
      <x:c r="P11" t="inlineStr">
        <x:is>
          <x:t xml:space="preserve">Law</x:t>
        </x:is>
      </x:c>
      <x:c r="Q11" t="inlineStr">
        <x:is>
          <x:t xml:space="preserve">Primary normative</x:t>
        </x:is>
      </x:c>
      <x:c r="R11" s="42" t="inlineStr">
        <x:is>
          <x:t xml:space="preserve">Official law issued by Norwegian Ministry of Climate and Environment; included because it may impose binding requirements on an in-scope aquaculture asset, activity, permit or certification.</x:t>
        </x:is>
      </x:c>
      <x:c r="S11" t="inlineStr">
        <x:is>
          <x:t xml:space="preserve">HIGH</x:t>
        </x:is>
      </x:c>
      <x:c r="T11" t="inlineStr">
        <x:is>
          <x:t xml:space="preserve">HIGH</x:t>
        </x:is>
      </x:c>
      <x:c r="U11" t="inlineStr">
        <x:is>
          <x:t xml:space="preserve">HIGH</x:t>
        </x:is>
      </x:c>
      <x:c r="V11" t="inlineStr">
        <x:is>
          <x:t xml:space="preserve">HIGH</x:t>
        </x:is>
      </x:c>
      <x:c r="W11" t="inlineStr">
        <x:is>
          <x:t xml:space="preserve">HIGH</x:t>
        </x:is>
      </x:c>
      <x:c r="X11" t="inlineStr">
        <x:is>
          <x:t xml:space="preserve">HIGH</x:t>
        </x:is>
      </x:c>
      <x:c r="Y11" t="str">
        <x:f>IF(A11="","",IF(OR(J11="",AO11="",AP11="",AP11="UNVERIFIED",AND(AO11="OFFICIAL_WEBSITE",D11=""),AND(OR(P11="Equipment manual / OEM instruction",Q11="Asset-specific normative"),OR(O11&lt;&gt;"Manufacturer / supplier",AR11="",R11=""))),"PENDING",IF(COUNTIF(S11:W11,"LOW")&gt;0,"EXCLUDE",IF(COUNTIF(S11:W11,"MEDIUM")&gt;0,"PENDING",IF(COUNTIF(S11:W11,"HIGH")=5,"INCLUDE","PENDING")))))</x:f>
        <x:v>INCLUDE</x:v>
      </x:c>
      <x:c r="Z11" t="inlineStr">
        <x:is>
          <x:t xml:space="preserve">SUCCESS</x:t>
        </x:is>
      </x:c>
      <x:c r="AA11" s="398" t="n">
        <x:v>46262.53082175926</x:v>
      </x:c>
      <x:c r="AB11" s="398" t="n">
        <x:v>46262.53082175926</x:v>
      </x:c>
      <x:c r="AC11" s="398" t="inlineStr">
        <x:is>
          <x:t xml:space="preserve">INITIAL</x:t>
        </x:is>
      </x:c>
      <x:c r="AD11" s="398" t="inlineStr">
        <x:is>
          <x:t xml:space="preserve">AUTO</x:t>
        </x:is>
      </x:c>
      <x:c r="AE11" s="398" t="n">
        <x:f>IF(A11="","",IF(AD11="AUTO",AB11,IF(AD11="MANUAL",AF11,"")))</x:f>
        <x:v>46262.53082175926</x:v>
      </x:c>
      <x:c r="AF11" s="397" t="n"/>
      <x:c r="AH11" t="inlineStr">
        <x:is>
          <x:t xml:space="preserve">NONE</x:t>
        </x:is>
      </x:c>
      <x:c r="AI11" s="42" t="str"/>
      <x:c r="AJ11" t="str">
        <x:f>IF(OR(AL11&lt;&gt;"CURRENT",Y11="EXCLUDE"),"NO",IF(A11="","",IF(Z11="FAIL",IF(AND(AF11&lt;&gt;"",AF11&gt;=INT(AA11),I11="STORED",AD11="MANUAL",AG11&lt;&gt;""),"NO","YES"),IF(AND(AQ11="ROLLING",AC11="CHANGED"),IF(AND(AF11&lt;&gt;"",AF11&gt;=INT(IF(AB11&lt;&gt;"",AB11,AA11)),AG11&lt;&gt;""),"NO","YES"),"NO"))))</x:f>
        <x:v>NO</x:v>
      </x:c>
      <x:c r="AK11" t="inlineStr">
        <x:is>
          <x:t xml:space="preserve">3805399145febb193e5e92fe37c364f9d2e0c87c260acc495f284639e92641a2</x:t>
        </x:is>
      </x:c>
      <x:c r="AL11" t="inlineStr">
        <x:is>
          <x:t xml:space="preserve">CURRENT</x:t>
        </x:is>
      </x:c>
      <x:c r="AN11" s="42" t="inlineStr">
        <x:is>
          <x:t xml:space="preserve">Project-mentioned candidate, including substitution duties for harmful products.</x:t>
        </x:is>
      </x:c>
      <x:c r="AO11" t="inlineStr">
        <x:is>
          <x:t xml:space="preserve">OFFICIAL_WEBSITE</x:t>
        </x:is>
      </x:c>
      <x:c r="AP11" t="inlineStr">
        <x:is>
          <x:t xml:space="preserve">OFFICIAL_ORIGINAL</x:t>
        </x:is>
      </x:c>
      <x:c r="AQ11" t="inlineStr">
        <x:is>
          <x:t xml:space="preserve">ROLLING</x:t>
        </x:is>
      </x:c>
      <x:c r="AR11" s="42" t="str"/>
    </x:row>
    <x:row r="12" s="36" customFormat="1" ht="42" customHeight="1">
      <x:c r="A12" t="inlineStr">
        <x:is>
          <x:t xml:space="preserve">PA010</x:t>
        </x:is>
      </x:c>
      <x:c r="B12" t="inlineStr">
        <x:is>
          <x:t xml:space="preserve">PA010-001</x:t>
        </x:is>
      </x:c>
      <x:c r="C12" s="42" t="inlineStr">
        <x:is>
          <x:t xml:space="preserve">Regulation (EU) 2016/429 on transmissible animal diseases (Animal Health Law)</x:t>
        </x:is>
      </x:c>
      <x:c r="D12" s="669" t="inlineStr">
        <x:is>
          <x:t xml:space="preserve">https://eur-lex.europa.eu/legal-content/EN/TXT/?uri=CELEX:32016R0429</x:t>
        </x:is>
      </x:c>
      <x:c r="E12" s="669" t="inlineStr">
        <x:is>
          <x:t xml:space="preserve">https://publications.europa.eu/resource/oj/JOL_2016_084_R_0001.ENG</x:t>
        </x:is>
      </x:c>
      <x:c r="F12" t="inlineStr">
        <x:is>
          <x:t xml:space="preserve">A_Public_Authority</x:t>
        </x:is>
      </x:c>
      <x:c r="G12" t="inlineStr">
        <x:is>
          <x:t xml:space="preserve">html</x:t>
        </x:is>
      </x:c>
      <x:c r="H12" t="inlineStr">
        <x:is>
          <x:t xml:space="preserve">PA010-001_Regulation_EU_2016_429_on_transmissible_animal_diseases_Animal_Health_Law.html</x:t>
        </x:is>
      </x:c>
      <x:c r="I12" t="inlineStr">
        <x:is>
          <x:t xml:space="preserve">STORED</x:t>
        </x:is>
      </x:c>
      <x:c r="J12" t="inlineStr">
        <x:is>
          <x:t xml:space="preserve">European Parliament and Council of the European Union</x:t>
        </x:is>
      </x:c>
      <x:c r="K12" t="inlineStr">
        <x:is>
          <x:t xml:space="preserve">EU / EEA</x:t>
        </x:is>
      </x:c>
      <x:c r="L12" t="inlineStr">
        <x:is>
          <x:t xml:space="preserve">English</x:t>
        </x:is>
      </x:c>
      <x:c r="N12" s="397" t="n"/>
      <x:c r="O12" t="inlineStr">
        <x:is>
          <x:t xml:space="preserve">Public authority</x:t>
        </x:is>
      </x:c>
      <x:c r="P12" t="inlineStr">
        <x:is>
          <x:t xml:space="preserve">Regulation</x:t>
        </x:is>
      </x:c>
      <x:c r="Q12" t="inlineStr">
        <x:is>
          <x:t xml:space="preserve">Referenced normative</x:t>
        </x:is>
      </x:c>
      <x:c r="R12" s="42" t="inlineStr">
        <x:is>
          <x:t xml:space="preserve">Official referenced source from European Parliament and Council of the European Union; included because an applicable law, permit or certification scheme may make its provisions binding within the approved scope.</x:t>
        </x:is>
      </x:c>
      <x:c r="S12" t="inlineStr">
        <x:is>
          <x:t xml:space="preserve">HIGH</x:t>
        </x:is>
      </x:c>
      <x:c r="T12" t="inlineStr">
        <x:is>
          <x:t xml:space="preserve">MEDIUM</x:t>
        </x:is>
      </x:c>
      <x:c r="U12" t="inlineStr">
        <x:is>
          <x:t xml:space="preserve">HIGH</x:t>
        </x:is>
      </x:c>
      <x:c r="V12" t="inlineStr">
        <x:is>
          <x:t xml:space="preserve">HIGH</x:t>
        </x:is>
      </x:c>
      <x:c r="W12" t="inlineStr">
        <x:is>
          <x:t xml:space="preserve">HIGH</x:t>
        </x:is>
      </x:c>
      <x:c r="X12" t="inlineStr">
        <x:is>
          <x:t xml:space="preserve">HIGH</x:t>
        </x:is>
      </x:c>
      <x:c r="Y12" t="str">
        <x:f>IF(A12="","",IF(OR(J12="",AO12="",AP12="",AP12="UNVERIFIED",AND(AO12="OFFICIAL_WEBSITE",D12=""),AND(OR(P12="Equipment manual / OEM instruction",Q12="Asset-specific normative"),OR(O12&lt;&gt;"Manufacturer / supplier",AR12="",R12=""))),"PENDING",IF(COUNTIF(S12:W12,"LOW")&gt;0,"EXCLUDE",IF(COUNTIF(S12:W12,"MEDIUM")&gt;0,"PENDING",IF(COUNTIF(S12:W12,"HIGH")=5,"INCLUDE","PENDING")))))</x:f>
        <x:v>PENDING</x:v>
      </x:c>
      <x:c r="Z12" t="inlineStr">
        <x:is>
          <x:t xml:space="preserve">SUCCESS</x:t>
        </x:is>
      </x:c>
      <x:c r="AA12" s="398" t="n">
        <x:v>46265.4465625</x:v>
      </x:c>
      <x:c r="AB12" s="398" t="n">
        <x:v>46265.44657407407</x:v>
      </x:c>
      <x:c r="AC12" s="398" t="inlineStr">
        <x:is>
          <x:t xml:space="preserve">INITIAL</x:t>
        </x:is>
      </x:c>
      <x:c r="AD12" s="398" t="inlineStr">
        <x:is>
          <x:t xml:space="preserve">AUTO</x:t>
        </x:is>
      </x:c>
      <x:c r="AE12" s="398" t="n">
        <x:f>IF(A12="","",IF(AD12="AUTO",AB12,IF(AD12="MANUAL",AF12,"")))</x:f>
        <x:v>46265.44657407407</x:v>
      </x:c>
      <x:c r="AF12" s="397" t="n">
        <x:v>46265</x:v>
      </x:c>
      <x:c r="AG12" t="inlineStr">
        <x:is>
          <x:t xml:space="preserve">Jay</x:t>
        </x:is>
      </x:c>
      <x:c r="AH12" t="inlineStr">
        <x:is>
          <x:t xml:space="preserve">NONE</x:t>
        </x:is>
      </x:c>
      <x:c r="AI12" s="42" t="inlineStr">
        <x:is>
          <x:t xml:space="preserve"/>
        </x:is>
      </x:c>
      <x:c r="AJ12" t="str">
        <x:f>IF(OR(AL12&lt;&gt;"CURRENT",Y12="EXCLUDE"),"NO",IF(A12="","",IF(Z12="FAIL",IF(AND(AF12&lt;&gt;"",AF12&gt;=INT(AA12),I12="STORED",AD12="MANUAL",AG12&lt;&gt;""),"NO","YES"),IF(AND(AQ12="ROLLING",AC12="CHANGED"),IF(AND(AF12&lt;&gt;"",AF12&gt;=INT(IF(AB12&lt;&gt;"",AB12,AA12)),AG12&lt;&gt;""),"NO","YES"),"NO"))))</x:f>
        <x:v>NO</x:v>
      </x:c>
      <x:c r="AK12" t="inlineStr">
        <x:is>
          <x:t xml:space="preserve">3ac51613dbdfb998b2d2c68e2df564b8a19c7d398d34d52f0228e6c10c30f8ed</x:t>
        </x:is>
      </x:c>
      <x:c r="AL12" t="inlineStr">
        <x:is>
          <x:t xml:space="preserve">CURRENT</x:t>
        </x:is>
      </x:c>
      <x:c r="AN12" s="42" t="inlineStr">
        <x:is>
          <x:t xml:space="preserve">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x:t>
        </x:is>
      </x:c>
      <x:c r="AO12" t="inlineStr">
        <x:is>
          <x:t xml:space="preserve">OFFICIAL_WEBSITE</x:t>
        </x:is>
      </x:c>
      <x:c r="AP12" t="inlineStr">
        <x:is>
          <x:t xml:space="preserve">OFFICIAL_ORIGINAL</x:t>
        </x:is>
      </x:c>
      <x:c r="AQ12" t="inlineStr">
        <x:is>
          <x:t xml:space="preserve">ROLLING</x:t>
        </x:is>
      </x:c>
      <x:c r="AR12" s="42" t="str"/>
    </x:row>
    <x:row r="13" s="36" customFormat="1" ht="42" customHeight="1">
      <x:c r="A13" t="inlineStr">
        <x:is>
          <x:t xml:space="preserve">PA011</x:t>
        </x:is>
      </x:c>
      <x:c r="B13" t="inlineStr">
        <x:is>
          <x:t xml:space="preserve">PA011-001</x:t>
        </x:is>
      </x:c>
      <x:c r="C13" s="42" t="inlineStr">
        <x:is>
          <x:t xml:space="preserve">Working Environment Act</x:t>
        </x:is>
      </x:c>
      <x:c r="D13" s="669" t="inlineStr">
        <x:is>
          <x:t xml:space="preserve">https://lovdata.no/dokument/NL/lov/2005-06-17-62</x:t>
        </x:is>
      </x:c>
      <x:c r="E13" s="669" t="inlineStr">
        <x:is>
          <x:t xml:space="preserve">https://lovdata.no/dokument/NL/lov/2005-06-17-62</x:t>
        </x:is>
      </x:c>
      <x:c r="F13" t="inlineStr">
        <x:is>
          <x:t xml:space="preserve">A_Public_Authority</x:t>
        </x:is>
      </x:c>
      <x:c r="G13" t="inlineStr">
        <x:is>
          <x:t xml:space="preserve">html</x:t>
        </x:is>
      </x:c>
      <x:c r="H13" t="inlineStr">
        <x:is>
          <x:t xml:space="preserve">PA011-001_Working_Environment_Act.html</x:t>
        </x:is>
      </x:c>
      <x:c r="I13" t="inlineStr">
        <x:is>
          <x:t xml:space="preserve">STORED</x:t>
        </x:is>
      </x:c>
      <x:c r="J13" t="inlineStr">
        <x:is>
          <x:t xml:space="preserve">Norwegian Ministry of Labour and Social Inclusion</x:t>
        </x:is>
      </x:c>
      <x:c r="K13" t="inlineStr">
        <x:is>
          <x:t xml:space="preserve">Norway</x:t>
        </x:is>
      </x:c>
      <x:c r="L13" t="inlineStr">
        <x:is>
          <x:t xml:space="preserve">Norwegian</x:t>
        </x:is>
      </x:c>
      <x:c r="N13" s="397" t="n"/>
      <x:c r="O13" t="inlineStr">
        <x:is>
          <x:t xml:space="preserve">Public authority</x:t>
        </x:is>
      </x:c>
      <x:c r="P13" t="inlineStr">
        <x:is>
          <x:t xml:space="preserve">Law</x:t>
        </x:is>
      </x:c>
      <x:c r="Q13" t="inlineStr">
        <x:is>
          <x:t xml:space="preserve">Primary normative</x:t>
        </x:is>
      </x:c>
      <x:c r="R13" s="42" t="inlineStr">
        <x:is>
          <x:t xml:space="preserve">Official law issued by Norwegian Ministry of Labour and Social Inclusion; included because it may impose binding requirements on an in-scope aquaculture asset, activity, permit or certification.</x:t>
        </x:is>
      </x:c>
      <x:c r="S13" t="inlineStr">
        <x:is>
          <x:t xml:space="preserve">HIGH</x:t>
        </x:is>
      </x:c>
      <x:c r="T13" t="inlineStr">
        <x:is>
          <x:t xml:space="preserve">HIGH</x:t>
        </x:is>
      </x:c>
      <x:c r="U13" t="inlineStr">
        <x:is>
          <x:t xml:space="preserve">HIGH</x:t>
        </x:is>
      </x:c>
      <x:c r="V13" t="inlineStr">
        <x:is>
          <x:t xml:space="preserve">HIGH</x:t>
        </x:is>
      </x:c>
      <x:c r="W13" t="inlineStr">
        <x:is>
          <x:t xml:space="preserve">HIGH</x:t>
        </x:is>
      </x:c>
      <x:c r="X13" t="inlineStr">
        <x:is>
          <x:t xml:space="preserve">HIGH</x:t>
        </x:is>
      </x:c>
      <x:c r="Y13" t="str">
        <x:f>IF(A13="","",IF(OR(J13="",AO13="",AP13="",AP13="UNVERIFIED",AND(AO13="OFFICIAL_WEBSITE",D13=""),AND(OR(P13="Equipment manual / OEM instruction",Q13="Asset-specific normative"),OR(O13&lt;&gt;"Manufacturer / supplier",AR13="",R13=""))),"PENDING",IF(COUNTIF(S13:W13,"LOW")&gt;0,"EXCLUDE",IF(COUNTIF(S13:W13,"MEDIUM")&gt;0,"PENDING",IF(COUNTIF(S13:W13,"HIGH")=5,"INCLUDE","PENDING")))))</x:f>
        <x:v>INCLUDE</x:v>
      </x:c>
      <x:c r="Z13" t="inlineStr">
        <x:is>
          <x:t xml:space="preserve">SUCCESS</x:t>
        </x:is>
      </x:c>
      <x:c r="AA13" s="398" t="n">
        <x:v>46262.53082175926</x:v>
      </x:c>
      <x:c r="AB13" s="398" t="n">
        <x:v>46262.53082175926</x:v>
      </x:c>
      <x:c r="AC13" s="398" t="inlineStr">
        <x:is>
          <x:t xml:space="preserve">INITIAL</x:t>
        </x:is>
      </x:c>
      <x:c r="AD13" s="398" t="inlineStr">
        <x:is>
          <x:t xml:space="preserve">AUTO</x:t>
        </x:is>
      </x:c>
      <x:c r="AE13" s="398" t="n">
        <x:f>IF(A13="","",IF(AD13="AUTO",AB13,IF(AD13="MANUAL",AF13,"")))</x:f>
        <x:v>46262.53082175926</x:v>
      </x:c>
      <x:c r="AF13" s="397" t="n"/>
      <x:c r="AH13" t="inlineStr">
        <x:is>
          <x:t xml:space="preserve">NONE</x:t>
        </x:is>
      </x:c>
      <x:c r="AI13" s="42" t="str"/>
      <x:c r="AJ13" t="str">
        <x:f>IF(OR(AL13&lt;&gt;"CURRENT",Y13="EXCLUDE"),"NO",IF(A13="","",IF(Z13="FAIL",IF(AND(AF13&lt;&gt;"",AF13&gt;=INT(AA13),I13="STORED",AD13="MANUAL",AG13&lt;&gt;""),"NO","YES"),IF(AND(AQ13="ROLLING",AC13="CHANGED"),IF(AND(AF13&lt;&gt;"",AF13&gt;=INT(IF(AB13&lt;&gt;"",AB13,AA13)),AG13&lt;&gt;""),"NO","YES"),"NO"))))</x:f>
        <x:v>NO</x:v>
      </x:c>
      <x:c r="AK13" t="inlineStr">
        <x:is>
          <x:t xml:space="preserve">96cec52793e643ff1daf51254216f36e1ac4b2216e80dea9f09161708d0a9170</x:t>
        </x:is>
      </x:c>
      <x:c r="AL13" t="inlineStr">
        <x:is>
          <x:t xml:space="preserve">CURRENT</x:t>
        </x:is>
      </x:c>
      <x:c r="AN13" s="42" t="inlineStr">
        <x:is>
          <x:t xml:space="preserve">Project-mentioned candidate for worker health, safety and training.</x:t>
        </x:is>
      </x:c>
      <x:c r="AO13" t="inlineStr">
        <x:is>
          <x:t xml:space="preserve">OFFICIAL_WEBSITE</x:t>
        </x:is>
      </x:c>
      <x:c r="AP13" t="inlineStr">
        <x:is>
          <x:t xml:space="preserve">OFFICIAL_ORIGINAL</x:t>
        </x:is>
      </x:c>
      <x:c r="AQ13" t="inlineStr">
        <x:is>
          <x:t xml:space="preserve">ROLLING</x:t>
        </x:is>
      </x:c>
      <x:c r="AR13" s="42" t="str"/>
    </x:row>
    <x:row r="14" s="36" customFormat="1" ht="42" customHeight="1">
      <x:c r="A14" t="inlineStr">
        <x:is>
          <x:t xml:space="preserve">PA012</x:t>
        </x:is>
      </x:c>
      <x:c r="B14" t="inlineStr">
        <x:is>
          <x:t xml:space="preserve">PA012-001</x:t>
        </x:is>
      </x:c>
      <x:c r="C14" s="42" t="inlineStr">
        <x:is>
          <x:t xml:space="preserve">Regulations concerning the performance of work, psychosocial working environment, use of work equipment and related technical requirements</x:t>
        </x:is>
      </x:c>
      <x:c r="D14" s="669" t="inlineStr">
        <x:is>
          <x:t xml:space="preserve">https://lovdata.no/dokument/SF/forskrift/2011-12-06-1357</x:t>
        </x:is>
      </x:c>
      <x:c r="E14" s="669" t="inlineStr">
        <x:is>
          <x:t xml:space="preserve">https://lovdata.no/dokument/SF/forskrift/2011-12-06-1357</x:t>
        </x:is>
      </x:c>
      <x:c r="F14" t="inlineStr">
        <x:is>
          <x:t xml:space="preserve">A_Public_Authority</x:t>
        </x:is>
      </x:c>
      <x:c r="G14" t="inlineStr">
        <x:is>
          <x:t xml:space="preserve">html</x:t>
        </x:is>
      </x:c>
      <x:c r="H14" t="inlineStr">
        <x:is>
          <x:t xml:space="preserve">PA012-001_Regulations_concerning_the_performance_of_work_psychosocial_working_environment_use_of_work_equipment_and_related_techni.html</x:t>
        </x:is>
      </x:c>
      <x:c r="I14" t="inlineStr">
        <x:is>
          <x:t xml:space="preserve">STORED</x:t>
        </x:is>
      </x:c>
      <x:c r="J14" t="inlineStr">
        <x:is>
          <x:t xml:space="preserve">Norwegian Ministry of Labour and Social Inclusion</x:t>
        </x:is>
      </x:c>
      <x:c r="K14" t="inlineStr">
        <x:is>
          <x:t xml:space="preserve">Norway</x:t>
        </x:is>
      </x:c>
      <x:c r="L14" t="inlineStr">
        <x:is>
          <x:t xml:space="preserve">Norwegian</x:t>
        </x:is>
      </x:c>
      <x:c r="N14" s="397" t="n"/>
      <x:c r="O14" t="inlineStr">
        <x:is>
          <x:t xml:space="preserve">Public authority</x:t>
        </x:is>
      </x:c>
      <x:c r="P14" t="inlineStr">
        <x:is>
          <x:t xml:space="preserve">Regulation</x:t>
        </x:is>
      </x:c>
      <x:c r="Q14" t="inlineStr">
        <x:is>
          <x:t xml:space="preserve">Primary normative</x:t>
        </x:is>
      </x:c>
      <x:c r="R14" s="42" t="inlineStr">
        <x:is>
          <x:t xml:space="preserve">Official regulation issued by Norwegian Ministry of Labour and Social Inclusion; included because it may impose binding requirements on an in-scope aquaculture asset, activity, permit or certification.</x:t>
        </x:is>
      </x:c>
      <x:c r="S14" t="inlineStr">
        <x:is>
          <x:t xml:space="preserve">HIGH</x:t>
        </x:is>
      </x:c>
      <x:c r="T14" t="inlineStr">
        <x:is>
          <x:t xml:space="preserve">HIGH</x:t>
        </x:is>
      </x:c>
      <x:c r="U14" t="inlineStr">
        <x:is>
          <x:t xml:space="preserve">HIGH</x:t>
        </x:is>
      </x:c>
      <x:c r="V14" t="inlineStr">
        <x:is>
          <x:t xml:space="preserve">HIGH</x:t>
        </x:is>
      </x:c>
      <x:c r="W14" t="inlineStr">
        <x:is>
          <x:t xml:space="preserve">HIGH</x:t>
        </x:is>
      </x:c>
      <x:c r="X14" t="inlineStr">
        <x:is>
          <x:t xml:space="preserve">HIGH</x:t>
        </x:is>
      </x:c>
      <x:c r="Y14" t="str">
        <x:f>IF(A14="","",IF(OR(J14="",AO14="",AP14="",AP14="UNVERIFIED",AND(AO14="OFFICIAL_WEBSITE",D14=""),AND(OR(P14="Equipment manual / OEM instruction",Q14="Asset-specific normative"),OR(O14&lt;&gt;"Manufacturer / supplier",AR14="",R14=""))),"PENDING",IF(COUNTIF(S14:W14,"LOW")&gt;0,"EXCLUDE",IF(COUNTIF(S14:W14,"MEDIUM")&gt;0,"PENDING",IF(COUNTIF(S14:W14,"HIGH")=5,"INCLUDE","PENDING")))))</x:f>
        <x:v>INCLUDE</x:v>
      </x:c>
      <x:c r="Z14" t="inlineStr">
        <x:is>
          <x:t xml:space="preserve">SUCCESS</x:t>
        </x:is>
      </x:c>
      <x:c r="AA14" s="398" t="n">
        <x:v>46262.53083333333</x:v>
      </x:c>
      <x:c r="AB14" s="398" t="n">
        <x:v>46262.53083333333</x:v>
      </x:c>
      <x:c r="AC14" s="398" t="inlineStr">
        <x:is>
          <x:t xml:space="preserve">INITIAL</x:t>
        </x:is>
      </x:c>
      <x:c r="AD14" s="398" t="inlineStr">
        <x:is>
          <x:t xml:space="preserve">AUTO</x:t>
        </x:is>
      </x:c>
      <x:c r="AE14" s="398" t="n">
        <x:f>IF(A14="","",IF(AD14="AUTO",AB14,IF(AD14="MANUAL",AF14,"")))</x:f>
        <x:v>46262.53083333333</x:v>
      </x:c>
      <x:c r="AF14" s="397" t="n"/>
      <x:c r="AH14" t="inlineStr">
        <x:is>
          <x:t xml:space="preserve">NONE</x:t>
        </x:is>
      </x:c>
      <x:c r="AI14" s="42" t="str"/>
      <x:c r="AJ14" t="str">
        <x:f>IF(OR(AL14&lt;&gt;"CURRENT",Y14="EXCLUDE"),"NO",IF(A14="","",IF(Z14="FAIL",IF(AND(AF14&lt;&gt;"",AF14&gt;=INT(AA14),I14="STORED",AD14="MANUAL",AG14&lt;&gt;""),"NO","YES"),IF(AND(AQ14="ROLLING",AC14="CHANGED"),IF(AND(AF14&lt;&gt;"",AF14&gt;=INT(IF(AB14&lt;&gt;"",AB14,AA14)),AG14&lt;&gt;""),"NO","YES"),"NO"))))</x:f>
        <x:v>NO</x:v>
      </x:c>
      <x:c r="AK14" t="inlineStr">
        <x:is>
          <x:t xml:space="preserve">15cc7d1de65ea3277121031dd0c7e4d7b44ea7950fdfbd38df7d402255860e68</x:t>
        </x:is>
      </x:c>
      <x:c r="AL14" t="inlineStr">
        <x:is>
          <x:t xml:space="preserve">CURRENT</x:t>
        </x:is>
      </x:c>
      <x:c r="AN14" s="42" t="inlineStr">
        <x:is>
          <x:t xml:space="preserve">Project-mentioned candidate. Applicability depends on work activities and equipment.</x:t>
        </x:is>
      </x:c>
      <x:c r="AO14" t="inlineStr">
        <x:is>
          <x:t xml:space="preserve">OFFICIAL_WEBSITE</x:t>
        </x:is>
      </x:c>
      <x:c r="AP14" t="inlineStr">
        <x:is>
          <x:t xml:space="preserve">OFFICIAL_ORIGINAL</x:t>
        </x:is>
      </x:c>
      <x:c r="AQ14" t="inlineStr">
        <x:is>
          <x:t xml:space="preserve">ROLLING</x:t>
        </x:is>
      </x:c>
      <x:c r="AR14" s="42" t="str"/>
    </x:row>
    <x:row r="15" s="36" customFormat="1" ht="42" customHeight="1">
      <x:c r="A15" t="inlineStr">
        <x:is>
          <x:t xml:space="preserve">PA013</x:t>
        </x:is>
      </x:c>
      <x:c r="B15" t="inlineStr">
        <x:is>
          <x:t xml:space="preserve">PA013-001</x:t>
        </x:is>
      </x:c>
      <x:c r="C15" s="42" t="inlineStr">
        <x:is>
          <x:t xml:space="preserve">Food Act</x:t>
        </x:is>
      </x:c>
      <x:c r="D15" s="669" t="inlineStr">
        <x:is>
          <x:t xml:space="preserve">https://lovdata.no/dokument/NL/lov/2003-12-19-124</x:t>
        </x:is>
      </x:c>
      <x:c r="E15" s="669" t="inlineStr">
        <x:is>
          <x:t xml:space="preserve">https://lovdata.no/dokument/NL/lov/2003-12-19-124</x:t>
        </x:is>
      </x:c>
      <x:c r="F15" t="inlineStr">
        <x:is>
          <x:t xml:space="preserve">A_Public_Authority</x:t>
        </x:is>
      </x:c>
      <x:c r="G15" t="inlineStr">
        <x:is>
          <x:t xml:space="preserve">html</x:t>
        </x:is>
      </x:c>
      <x:c r="H15" t="inlineStr">
        <x:is>
          <x:t xml:space="preserve">PA013-001_Food_Act.html</x:t>
        </x:is>
      </x:c>
      <x:c r="I15" t="inlineStr">
        <x:is>
          <x:t xml:space="preserve">STORED</x:t>
        </x:is>
      </x:c>
      <x:c r="J15" t="inlineStr">
        <x:is>
          <x:t xml:space="preserve">Norwegian Government</x:t>
        </x:is>
      </x:c>
      <x:c r="K15" t="inlineStr">
        <x:is>
          <x:t xml:space="preserve">Norway</x:t>
        </x:is>
      </x:c>
      <x:c r="L15" t="inlineStr">
        <x:is>
          <x:t xml:space="preserve">Norwegian</x:t>
        </x:is>
      </x:c>
      <x:c r="N15" s="397" t="n"/>
      <x:c r="O15" t="inlineStr">
        <x:is>
          <x:t xml:space="preserve">Public authority</x:t>
        </x:is>
      </x:c>
      <x:c r="P15" t="inlineStr">
        <x:is>
          <x:t xml:space="preserve">Law</x:t>
        </x:is>
      </x:c>
      <x:c r="Q15" t="inlineStr">
        <x:is>
          <x:t xml:space="preserve">Primary normative</x:t>
        </x:is>
      </x:c>
      <x:c r="R15" s="42" t="inlineStr">
        <x:is>
          <x:t xml:space="preserve">Official law issued by Norwegian Government; included because it may impose binding requirements on an in-scope aquaculture asset, activity, permit or certification.</x:t>
        </x:is>
      </x:c>
      <x:c r="S15" t="inlineStr">
        <x:is>
          <x:t xml:space="preserve">HIGH</x:t>
        </x:is>
      </x:c>
      <x:c r="T15" t="inlineStr">
        <x:is>
          <x:t xml:space="preserve">HIGH</x:t>
        </x:is>
      </x:c>
      <x:c r="U15" t="inlineStr">
        <x:is>
          <x:t xml:space="preserve">HIGH</x:t>
        </x:is>
      </x:c>
      <x:c r="V15" t="inlineStr">
        <x:is>
          <x:t xml:space="preserve">HIGH</x:t>
        </x:is>
      </x:c>
      <x:c r="W15" t="inlineStr">
        <x:is>
          <x:t xml:space="preserve">HIGH</x:t>
        </x:is>
      </x:c>
      <x:c r="X15" t="inlineStr">
        <x:is>
          <x:t xml:space="preserve">HIGH</x:t>
        </x:is>
      </x:c>
      <x:c r="Y15" t="str">
        <x:f>IF(A15="","",IF(OR(J15="",AO15="",AP15="",AP15="UNVERIFIED",AND(AO15="OFFICIAL_WEBSITE",D15=""),AND(OR(P15="Equipment manual / OEM instruction",Q15="Asset-specific normative"),OR(O15&lt;&gt;"Manufacturer / supplier",AR15="",R15=""))),"PENDING",IF(COUNTIF(S15:W15,"LOW")&gt;0,"EXCLUDE",IF(COUNTIF(S15:W15,"MEDIUM")&gt;0,"PENDING",IF(COUNTIF(S15:W15,"HIGH")=5,"INCLUDE","PENDING")))))</x:f>
        <x:v>INCLUDE</x:v>
      </x:c>
      <x:c r="Z15" t="inlineStr">
        <x:is>
          <x:t xml:space="preserve">SUCCESS</x:t>
        </x:is>
      </x:c>
      <x:c r="AA15" s="398" t="n">
        <x:v>46262.53083333333</x:v>
      </x:c>
      <x:c r="AB15" s="398" t="n">
        <x:v>46262.53083333333</x:v>
      </x:c>
      <x:c r="AC15" s="398" t="inlineStr">
        <x:is>
          <x:t xml:space="preserve">INITIAL</x:t>
        </x:is>
      </x:c>
      <x:c r="AD15" s="398" t="inlineStr">
        <x:is>
          <x:t xml:space="preserve">AUTO</x:t>
        </x:is>
      </x:c>
      <x:c r="AE15" s="398" t="n">
        <x:f>IF(A15="","",IF(AD15="AUTO",AB15,IF(AD15="MANUAL",AF15,"")))</x:f>
        <x:v>46262.53083333333</x:v>
      </x:c>
      <x:c r="AF15" s="397" t="n"/>
      <x:c r="AH15" t="inlineStr">
        <x:is>
          <x:t xml:space="preserve">NONE</x:t>
        </x:is>
      </x:c>
      <x:c r="AI15" s="42" t="str"/>
      <x:c r="AJ15" t="str">
        <x:f>IF(OR(AL15&lt;&gt;"CURRENT",Y15="EXCLUDE"),"NO",IF(A15="","",IF(Z15="FAIL",IF(AND(AF15&lt;&gt;"",AF15&gt;=INT(AA15),I15="STORED",AD15="MANUAL",AG15&lt;&gt;""),"NO","YES"),IF(AND(AQ15="ROLLING",AC15="CHANGED"),IF(AND(AF15&lt;&gt;"",AF15&gt;=INT(IF(AB15&lt;&gt;"",AB15,AA15)),AG15&lt;&gt;""),"NO","YES"),"NO"))))</x:f>
        <x:v>NO</x:v>
      </x:c>
      <x:c r="AK15" t="inlineStr">
        <x:is>
          <x:t xml:space="preserve">fffe78cee31f4f34218728d0e8d8919b5fe5ccae40e8f41a067757370372d8db</x:t>
        </x:is>
      </x:c>
      <x:c r="AL15" t="inlineStr">
        <x:is>
          <x:t xml:space="preserve">CURRENT</x:t>
        </x:is>
      </x:c>
      <x:c r="AN15" s="42" t="inlineStr">
        <x:is>
          <x:t xml:space="preserve">Official expansion from Fiskeridirektoratet risk-management sources; scope confirmation required.</x:t>
        </x:is>
      </x:c>
      <x:c r="AO15" t="inlineStr">
        <x:is>
          <x:t xml:space="preserve">OFFICIAL_WEBSITE</x:t>
        </x:is>
      </x:c>
      <x:c r="AP15" t="inlineStr">
        <x:is>
          <x:t xml:space="preserve">OFFICIAL_ORIGINAL</x:t>
        </x:is>
      </x:c>
      <x:c r="AQ15" t="inlineStr">
        <x:is>
          <x:t xml:space="preserve">ROLLING</x:t>
        </x:is>
      </x:c>
      <x:c r="AR15" s="42" t="str"/>
    </x:row>
    <x:row r="16" s="36" customFormat="1" ht="42" customHeight="1">
      <x:c r="A16" t="inlineStr">
        <x:is>
          <x:t xml:space="preserve">PA014</x:t>
        </x:is>
      </x:c>
      <x:c r="B16" t="inlineStr">
        <x:is>
          <x:t xml:space="preserve">PA014-001</x:t>
        </x:is>
      </x:c>
      <x:c r="C16" s="42" t="inlineStr">
        <x:is>
          <x:t xml:space="preserve">Animal Health Personnel Act</x:t>
        </x:is>
      </x:c>
      <x:c r="D16" s="669" t="inlineStr">
        <x:is>
          <x:t xml:space="preserve">https://lovdata.no/dokument/NL/lov/2001-06-15-75</x:t>
        </x:is>
      </x:c>
      <x:c r="E16" s="669" t="inlineStr">
        <x:is>
          <x:t xml:space="preserve">https://lovdata.no/dokument/NL/lov/2001-06-15-75</x:t>
        </x:is>
      </x:c>
      <x:c r="F16" t="inlineStr">
        <x:is>
          <x:t xml:space="preserve">A_Public_Authority</x:t>
        </x:is>
      </x:c>
      <x:c r="G16" t="inlineStr">
        <x:is>
          <x:t xml:space="preserve">html</x:t>
        </x:is>
      </x:c>
      <x:c r="H16" t="inlineStr">
        <x:is>
          <x:t xml:space="preserve">PA014-001_Animal_Health_Personnel_Act.html</x:t>
        </x:is>
      </x:c>
      <x:c r="I16" t="inlineStr">
        <x:is>
          <x:t xml:space="preserve">STORED</x:t>
        </x:is>
      </x:c>
      <x:c r="J16" t="inlineStr">
        <x:is>
          <x:t xml:space="preserve">Norwegian Ministry of Agriculture and Food</x:t>
        </x:is>
      </x:c>
      <x:c r="K16" t="inlineStr">
        <x:is>
          <x:t xml:space="preserve">Norway</x:t>
        </x:is>
      </x:c>
      <x:c r="L16" t="inlineStr">
        <x:is>
          <x:t xml:space="preserve">Norwegian</x:t>
        </x:is>
      </x:c>
      <x:c r="N16" s="397" t="n"/>
      <x:c r="O16" t="inlineStr">
        <x:is>
          <x:t xml:space="preserve">Public authority</x:t>
        </x:is>
      </x:c>
      <x:c r="P16" t="inlineStr">
        <x:is>
          <x:t xml:space="preserve">Law</x:t>
        </x:is>
      </x:c>
      <x:c r="Q16" t="inlineStr">
        <x:is>
          <x:t xml:space="preserve">Primary normative</x:t>
        </x:is>
      </x:c>
      <x:c r="R16" s="42" t="inlineStr">
        <x:is>
          <x:t xml:space="preserve">Official law issued by Norwegian Ministry of Agriculture and Food; included because it may impose binding requirements on an in-scope aquaculture asset, activity, permit or certification.</x:t>
        </x:is>
      </x:c>
      <x:c r="S16" t="inlineStr">
        <x:is>
          <x:t xml:space="preserve">HIGH</x:t>
        </x:is>
      </x:c>
      <x:c r="T16" t="inlineStr">
        <x:is>
          <x:t xml:space="preserve">MEDIUM</x:t>
        </x:is>
      </x:c>
      <x:c r="U16" t="inlineStr">
        <x:is>
          <x:t xml:space="preserve">HIGH</x:t>
        </x:is>
      </x:c>
      <x:c r="V16" t="inlineStr">
        <x:is>
          <x:t xml:space="preserve">HIGH</x:t>
        </x:is>
      </x:c>
      <x:c r="W16" t="inlineStr">
        <x:is>
          <x:t xml:space="preserve">HIGH</x:t>
        </x:is>
      </x:c>
      <x:c r="X16" t="inlineStr">
        <x:is>
          <x:t xml:space="preserve">HIGH</x:t>
        </x:is>
      </x:c>
      <x:c r="Y16" t="str">
        <x:f>IF(A16="","",IF(OR(J16="",AO16="",AP16="",AP16="UNVERIFIED",AND(AO16="OFFICIAL_WEBSITE",D16=""),AND(OR(P16="Equipment manual / OEM instruction",Q16="Asset-specific normative"),OR(O16&lt;&gt;"Manufacturer / supplier",AR16="",R16=""))),"PENDING",IF(COUNTIF(S16:W16,"LOW")&gt;0,"EXCLUDE",IF(COUNTIF(S16:W16,"MEDIUM")&gt;0,"PENDING",IF(COUNTIF(S16:W16,"HIGH")=5,"INCLUDE","PENDING")))))</x:f>
        <x:v>PENDING</x:v>
      </x:c>
      <x:c r="Z16" t="inlineStr">
        <x:is>
          <x:t xml:space="preserve">SUCCESS</x:t>
        </x:is>
      </x:c>
      <x:c r="AA16" s="398" t="n">
        <x:v>46262.53083333333</x:v>
      </x:c>
      <x:c r="AB16" s="398" t="n">
        <x:v>46262.53084490741</x:v>
      </x:c>
      <x:c r="AC16" s="398" t="inlineStr">
        <x:is>
          <x:t xml:space="preserve">INITIAL</x:t>
        </x:is>
      </x:c>
      <x:c r="AD16" s="398" t="inlineStr">
        <x:is>
          <x:t xml:space="preserve">AUTO</x:t>
        </x:is>
      </x:c>
      <x:c r="AE16" s="398" t="n">
        <x:f>IF(A16="","",IF(AD16="AUTO",AB16,IF(AD16="MANUAL",AF16,"")))</x:f>
        <x:v>46262.53084490741</x:v>
      </x:c>
      <x:c r="AF16" s="397" t="n"/>
      <x:c r="AH16" t="inlineStr">
        <x:is>
          <x:t xml:space="preserve">NONE</x:t>
        </x:is>
      </x:c>
      <x:c r="AI16" s="42" t="str"/>
      <x:c r="AJ16" t="str">
        <x:f>IF(OR(AL16&lt;&gt;"CURRENT",Y16="EXCLUDE"),"NO",IF(A16="","",IF(Z16="FAIL",IF(AND(AF16&lt;&gt;"",AF16&gt;=INT(AA16),I16="STORED",AD16="MANUAL",AG16&lt;&gt;""),"NO","YES"),IF(AND(AQ16="ROLLING",AC16="CHANGED"),IF(AND(AF16&lt;&gt;"",AF16&gt;=INT(IF(AB16&lt;&gt;"",AB16,AA16)),AG16&lt;&gt;""),"NO","YES"),"NO"))))</x:f>
        <x:v>NO</x:v>
      </x:c>
      <x:c r="AK16" t="inlineStr">
        <x:is>
          <x:t xml:space="preserve">d1f92d2c418243c85675fe93401a76b489b88306833b3478073fa844aa83b30b</x:t>
        </x:is>
      </x:c>
      <x:c r="AL16" t="inlineStr">
        <x:is>
          <x:t xml:space="preserve">CURRENT</x:t>
        </x:is>
      </x:c>
      <x:c r="AN16" s="42" t="inlineStr">
        <x:is>
          <x:t xml:space="preserve">Official expansion. Relevant where veterinarians or aquatic animal health personnel perform regulated tasks.</x:t>
        </x:is>
      </x:c>
      <x:c r="AO16" t="inlineStr">
        <x:is>
          <x:t xml:space="preserve">OFFICIAL_WEBSITE</x:t>
        </x:is>
      </x:c>
      <x:c r="AP16" t="inlineStr">
        <x:is>
          <x:t xml:space="preserve">OFFICIAL_ORIGINAL</x:t>
        </x:is>
      </x:c>
      <x:c r="AQ16" t="inlineStr">
        <x:is>
          <x:t xml:space="preserve">ROLLING</x:t>
        </x:is>
      </x:c>
      <x:c r="AR16" s="42" t="str"/>
    </x:row>
    <x:row r="17" s="36" customFormat="1" ht="42" customHeight="1">
      <x:c r="A17" t="inlineStr">
        <x:is>
          <x:t xml:space="preserve">PA015</x:t>
        </x:is>
      </x:c>
      <x:c r="B17" t="inlineStr">
        <x:is>
          <x:t xml:space="preserve">PA015-001</x:t>
        </x:is>
      </x:c>
      <x:c r="C17" s="42" t="inlineStr">
        <x:is>
          <x:t xml:space="preserve">Regulation on control of salmon lice in aquaculture facilities</x:t>
        </x:is>
      </x:c>
      <x:c r="D17" s="669" t="inlineStr">
        <x:is>
          <x:t xml:space="preserve">https://lovdata.no/dokument/SF/forskrift/2012-12-05-1140</x:t>
        </x:is>
      </x:c>
      <x:c r="E17" s="669" t="inlineStr">
        <x:is>
          <x:t xml:space="preserve">https://lovdata.no/dokument/SF/forskrift/2012-12-05-1140</x:t>
        </x:is>
      </x:c>
      <x:c r="F17" t="inlineStr">
        <x:is>
          <x:t xml:space="preserve">A_Public_Authority</x:t>
        </x:is>
      </x:c>
      <x:c r="G17" t="inlineStr">
        <x:is>
          <x:t xml:space="preserve">html</x:t>
        </x:is>
      </x:c>
      <x:c r="H17" t="inlineStr">
        <x:is>
          <x:t xml:space="preserve">PA015-001_Regulation_on_control_of_salmon_lice_in_aquaculture_facilities.html</x:t>
        </x:is>
      </x:c>
      <x:c r="I17" t="inlineStr">
        <x:is>
          <x:t xml:space="preserve">STORED</x:t>
        </x:is>
      </x:c>
      <x:c r="J17" t="inlineStr">
        <x:is>
          <x:t xml:space="preserve">Norwegian Ministry of Trade, Industry and Fisheries</x:t>
        </x:is>
      </x:c>
      <x:c r="K17" t="inlineStr">
        <x:is>
          <x:t xml:space="preserve">Norway</x:t>
        </x:is>
      </x:c>
      <x:c r="L17" t="inlineStr">
        <x:is>
          <x:t xml:space="preserve">Norwegian</x:t>
        </x:is>
      </x:c>
      <x:c r="N17" s="397" t="n"/>
      <x:c r="O17" t="inlineStr">
        <x:is>
          <x:t xml:space="preserve">Public authority</x:t>
        </x:is>
      </x:c>
      <x:c r="P17" t="inlineStr">
        <x:is>
          <x:t xml:space="preserve">Regulation</x:t>
        </x:is>
      </x:c>
      <x:c r="Q17" t="inlineStr">
        <x:is>
          <x:t xml:space="preserve">Primary normative</x:t>
        </x:is>
      </x:c>
      <x:c r="R17" s="42" t="inlineStr">
        <x:is>
          <x:t xml:space="preserve">Official regulation issued by Norwegian Ministry of Trade, Industry and Fisheries; included because it may impose binding requirements on an in-scope aquaculture asset, activity, permit or certification.</x:t>
        </x:is>
      </x:c>
      <x:c r="S17" t="inlineStr">
        <x:is>
          <x:t xml:space="preserve">HIGH</x:t>
        </x:is>
      </x:c>
      <x:c r="T17" t="inlineStr">
        <x:is>
          <x:t xml:space="preserve">HIGH</x:t>
        </x:is>
      </x:c>
      <x:c r="U17" t="inlineStr">
        <x:is>
          <x:t xml:space="preserve">HIGH</x:t>
        </x:is>
      </x:c>
      <x:c r="V17" t="inlineStr">
        <x:is>
          <x:t xml:space="preserve">HIGH</x:t>
        </x:is>
      </x:c>
      <x:c r="W17" t="inlineStr">
        <x:is>
          <x:t xml:space="preserve">HIGH</x:t>
        </x:is>
      </x:c>
      <x:c r="X17" t="inlineStr">
        <x:is>
          <x:t xml:space="preserve">HIGH</x:t>
        </x:is>
      </x:c>
      <x:c r="Y17" t="str">
        <x:f>IF(A17="","",IF(OR(J17="",AO17="",AP17="",AP17="UNVERIFIED",AND(AO17="OFFICIAL_WEBSITE",D17=""),AND(OR(P17="Equipment manual / OEM instruction",Q17="Asset-specific normative"),OR(O17&lt;&gt;"Manufacturer / supplier",AR17="",R17=""))),"PENDING",IF(COUNTIF(S17:W17,"LOW")&gt;0,"EXCLUDE",IF(COUNTIF(S17:W17,"MEDIUM")&gt;0,"PENDING",IF(COUNTIF(S17:W17,"HIGH")=5,"INCLUDE","PENDING")))))</x:f>
        <x:v>INCLUDE</x:v>
      </x:c>
      <x:c r="Z17" t="inlineStr">
        <x:is>
          <x:t xml:space="preserve">SUCCESS</x:t>
        </x:is>
      </x:c>
      <x:c r="AA17" s="398" t="n">
        <x:v>46262.53084490741</x:v>
      </x:c>
      <x:c r="AB17" s="398" t="n">
        <x:v>46262.53084490741</x:v>
      </x:c>
      <x:c r="AC17" s="398" t="inlineStr">
        <x:is>
          <x:t xml:space="preserve">INITIAL</x:t>
        </x:is>
      </x:c>
      <x:c r="AD17" s="398" t="inlineStr">
        <x:is>
          <x:t xml:space="preserve">AUTO</x:t>
        </x:is>
      </x:c>
      <x:c r="AE17" s="398" t="n">
        <x:f>IF(A17="","",IF(AD17="AUTO",AB17,IF(AD17="MANUAL",AF17,"")))</x:f>
        <x:v>46262.53084490741</x:v>
      </x:c>
      <x:c r="AF17" s="397" t="n"/>
      <x:c r="AH17" t="inlineStr">
        <x:is>
          <x:t xml:space="preserve">NONE</x:t>
        </x:is>
      </x:c>
      <x:c r="AI17" s="42" t="str"/>
      <x:c r="AJ17" t="str">
        <x:f>IF(OR(AL17&lt;&gt;"CURRENT",Y17="EXCLUDE"),"NO",IF(A17="","",IF(Z17="FAIL",IF(AND(AF17&lt;&gt;"",AF17&gt;=INT(AA17),I17="STORED",AD17="MANUAL",AG17&lt;&gt;""),"NO","YES"),IF(AND(AQ17="ROLLING",AC17="CHANGED"),IF(AND(AF17&lt;&gt;"",AF17&gt;=INT(IF(AB17&lt;&gt;"",AB17,AA17)),AG17&lt;&gt;""),"NO","YES"),"NO"))))</x:f>
        <x:v>NO</x:v>
      </x:c>
      <x:c r="AK17" t="inlineStr">
        <x:is>
          <x:t xml:space="preserve">9334a78a021971411e5c8826a2bb16aab1db707d778f6249c9a36b0afc90a4a1</x:t>
        </x:is>
      </x:c>
      <x:c r="AL17" t="inlineStr">
        <x:is>
          <x:t xml:space="preserve">CURRENT</x:t>
        </x:is>
      </x:c>
      <x:c r="AN17" s="42" t="inlineStr">
        <x:is>
          <x:t xml:space="preserve">Official expansion from Fiskeridirektoratet risk-management sources; species and operation scope must be confirmed.</x:t>
        </x:is>
      </x:c>
      <x:c r="AO17" t="inlineStr">
        <x:is>
          <x:t xml:space="preserve">OFFICIAL_WEBSITE</x:t>
        </x:is>
      </x:c>
      <x:c r="AP17" t="inlineStr">
        <x:is>
          <x:t xml:space="preserve">OFFICIAL_ORIGINAL</x:t>
        </x:is>
      </x:c>
      <x:c r="AQ17" t="inlineStr">
        <x:is>
          <x:t xml:space="preserve">ROLLING</x:t>
        </x:is>
      </x:c>
      <x:c r="AR17" s="42" t="str"/>
    </x:row>
    <x:row r="18" s="36" customFormat="1" ht="42" customHeight="1">
      <x:c r="A18" t="inlineStr">
        <x:is>
          <x:t xml:space="preserve">PA016</x:t>
        </x:is>
      </x:c>
      <x:c r="B18" t="inlineStr">
        <x:is>
          <x:t xml:space="preserve">PA016-001</x:t>
        </x:is>
      </x:c>
      <x:c r="C18" s="42" t="inlineStr">
        <x:is>
          <x:t xml:space="preserve">Regulation on internal control to comply with aquaculture legislation (IK-Aquaculture)</x:t>
        </x:is>
      </x:c>
      <x:c r="D18" s="669" t="inlineStr">
        <x:is>
          <x:t xml:space="preserve">https://lovdata.no/dokument/SF/forskrift/2004-03-19-537</x:t>
        </x:is>
      </x:c>
      <x:c r="E18" s="669" t="inlineStr">
        <x:is>
          <x:t xml:space="preserve">https://lovdata.no/dokument/SF/forskrift/2004-03-19-537</x:t>
        </x:is>
      </x:c>
      <x:c r="F18" t="inlineStr">
        <x:is>
          <x:t xml:space="preserve">A_Public_Authority</x:t>
        </x:is>
      </x:c>
      <x:c r="G18" t="inlineStr">
        <x:is>
          <x:t xml:space="preserve">html</x:t>
        </x:is>
      </x:c>
      <x:c r="H18" t="inlineStr">
        <x:is>
          <x:t xml:space="preserve">PA016-001_Regulation_on_internal_control_to_comply_with_aquaculture_legislation_IK-Aquaculture.html</x:t>
        </x:is>
      </x:c>
      <x:c r="I18" t="inlineStr">
        <x:is>
          <x:t xml:space="preserve">STORED</x:t>
        </x:is>
      </x:c>
      <x:c r="J18" t="inlineStr">
        <x:is>
          <x:t xml:space="preserve">Norwegian Government</x:t>
        </x:is>
      </x:c>
      <x:c r="K18" t="inlineStr">
        <x:is>
          <x:t xml:space="preserve">Norway</x:t>
        </x:is>
      </x:c>
      <x:c r="L18" t="inlineStr">
        <x:is>
          <x:t xml:space="preserve">Norwegian</x:t>
        </x:is>
      </x:c>
      <x:c r="N18" s="397" t="n"/>
      <x:c r="O18" t="inlineStr">
        <x:is>
          <x:t xml:space="preserve">Public authority</x:t>
        </x:is>
      </x:c>
      <x:c r="P18" t="inlineStr">
        <x:is>
          <x:t xml:space="preserve">Regulation</x:t>
        </x:is>
      </x:c>
      <x:c r="Q18" t="inlineStr">
        <x:is>
          <x:t xml:space="preserve">Primary normative</x:t>
        </x:is>
      </x:c>
      <x:c r="R18" s="42" t="inlineStr">
        <x:is>
          <x:t xml:space="preserve">Official regulation issued by Norwegian Government; included because it may impose binding requirements on an in-scope aquaculture asset, activity, permit or certification.</x:t>
        </x:is>
      </x:c>
      <x:c r="S18" t="inlineStr">
        <x:is>
          <x:t xml:space="preserve">HIGH</x:t>
        </x:is>
      </x:c>
      <x:c r="T18" t="inlineStr">
        <x:is>
          <x:t xml:space="preserve">HIGH</x:t>
        </x:is>
      </x:c>
      <x:c r="U18" t="inlineStr">
        <x:is>
          <x:t xml:space="preserve">HIGH</x:t>
        </x:is>
      </x:c>
      <x:c r="V18" t="inlineStr">
        <x:is>
          <x:t xml:space="preserve">HIGH</x:t>
        </x:is>
      </x:c>
      <x:c r="W18" t="inlineStr">
        <x:is>
          <x:t xml:space="preserve">HIGH</x:t>
        </x:is>
      </x:c>
      <x:c r="X18" t="inlineStr">
        <x:is>
          <x:t xml:space="preserve">HIGH</x:t>
        </x:is>
      </x:c>
      <x:c r="Y18" t="str">
        <x:f>IF(A18="","",IF(OR(J18="",AO18="",AP18="",AP18="UNVERIFIED",AND(AO18="OFFICIAL_WEBSITE",D18=""),AND(OR(P18="Equipment manual / OEM instruction",Q18="Asset-specific normative"),OR(O18&lt;&gt;"Manufacturer / supplier",AR18="",R18=""))),"PENDING",IF(COUNTIF(S18:W18,"LOW")&gt;0,"EXCLUDE",IF(COUNTIF(S18:W18,"MEDIUM")&gt;0,"PENDING",IF(COUNTIF(S18:W18,"HIGH")=5,"INCLUDE","PENDING")))))</x:f>
        <x:v>INCLUDE</x:v>
      </x:c>
      <x:c r="Z18" t="inlineStr">
        <x:is>
          <x:t xml:space="preserve">SUCCESS</x:t>
        </x:is>
      </x:c>
      <x:c r="AA18" s="398" t="n">
        <x:v>46262.53084490741</x:v>
      </x:c>
      <x:c r="AB18" s="398" t="n">
        <x:v>46262.53085648148</x:v>
      </x:c>
      <x:c r="AC18" s="398" t="inlineStr">
        <x:is>
          <x:t xml:space="preserve">INITIAL</x:t>
        </x:is>
      </x:c>
      <x:c r="AD18" s="398" t="inlineStr">
        <x:is>
          <x:t xml:space="preserve">AUTO</x:t>
        </x:is>
      </x:c>
      <x:c r="AE18" s="398" t="n">
        <x:f>IF(A18="","",IF(AD18="AUTO",AB18,IF(AD18="MANUAL",AF18,"")))</x:f>
        <x:v>46262.53085648148</x:v>
      </x:c>
      <x:c r="AF18" s="397" t="n"/>
      <x:c r="AH18" t="inlineStr">
        <x:is>
          <x:t xml:space="preserve">NONE</x:t>
        </x:is>
      </x:c>
      <x:c r="AI18" s="42" t="str"/>
      <x:c r="AJ18" t="str">
        <x:f>IF(OR(AL18&lt;&gt;"CURRENT",Y18="EXCLUDE"),"NO",IF(A18="","",IF(Z18="FAIL",IF(AND(AF18&lt;&gt;"",AF18&gt;=INT(AA18),I18="STORED",AD18="MANUAL",AG18&lt;&gt;""),"NO","YES"),IF(AND(AQ18="ROLLING",AC18="CHANGED"),IF(AND(AF18&lt;&gt;"",AF18&gt;=INT(IF(AB18&lt;&gt;"",AB18,AA18)),AG18&lt;&gt;""),"NO","YES"),"NO"))))</x:f>
        <x:v>NO</x:v>
      </x:c>
      <x:c r="AK18" t="inlineStr">
        <x:is>
          <x:t xml:space="preserve">a8a24e5e32dfc061868654b4e1fa2c6925b6333aa34a41c952cc66de9710977b</x:t>
        </x:is>
      </x:c>
      <x:c r="AL18" t="inlineStr">
        <x:is>
          <x:t xml:space="preserve">CURRENT</x:t>
        </x:is>
      </x:c>
      <x:c r="AN18" s="42" t="inlineStr">
        <x:is>
          <x:t xml:space="preserve">Official expansion. Core management-system candidate for Norwegian aquaculture operations.</x:t>
        </x:is>
      </x:c>
      <x:c r="AO18" t="inlineStr">
        <x:is>
          <x:t xml:space="preserve">OFFICIAL_WEBSITE</x:t>
        </x:is>
      </x:c>
      <x:c r="AP18" t="inlineStr">
        <x:is>
          <x:t xml:space="preserve">OFFICIAL_ORIGINAL</x:t>
        </x:is>
      </x:c>
      <x:c r="AQ18" t="inlineStr">
        <x:is>
          <x:t xml:space="preserve">ROLLING</x:t>
        </x:is>
      </x:c>
      <x:c r="AR18" s="42" t="str"/>
    </x:row>
    <x:row r="19" s="36" customFormat="1" ht="42" customHeight="1">
      <x:c r="A19" t="inlineStr">
        <x:is>
          <x:t xml:space="preserve">PA017</x:t>
        </x:is>
      </x:c>
      <x:c r="B19" t="inlineStr">
        <x:is>
          <x:t xml:space="preserve">PA017-001</x:t>
        </x:is>
      </x:c>
      <x:c r="C19" s="42" t="inlineStr">
        <x:is>
          <x:t xml:space="preserve">Internal Control Regulations</x:t>
        </x:is>
      </x:c>
      <x:c r="D19" s="669" t="inlineStr">
        <x:is>
          <x:t xml:space="preserve">https://lovdata.no/dokument/SF/forskrift/1996-12-06-1127</x:t>
        </x:is>
      </x:c>
      <x:c r="E19" s="669" t="inlineStr">
        <x:is>
          <x:t xml:space="preserve">https://lovdata.no/dokument/SF/forskrift/1996-12-06-1127</x:t>
        </x:is>
      </x:c>
      <x:c r="F19" t="inlineStr">
        <x:is>
          <x:t xml:space="preserve">A_Public_Authority</x:t>
        </x:is>
      </x:c>
      <x:c r="G19" t="inlineStr">
        <x:is>
          <x:t xml:space="preserve">html</x:t>
        </x:is>
      </x:c>
      <x:c r="H19" t="inlineStr">
        <x:is>
          <x:t xml:space="preserve">PA017-001_Internal_Control_Regulations.html</x:t>
        </x:is>
      </x:c>
      <x:c r="I19" t="inlineStr">
        <x:is>
          <x:t xml:space="preserve">STORED</x:t>
        </x:is>
      </x:c>
      <x:c r="J19" t="inlineStr">
        <x:is>
          <x:t xml:space="preserve">Norwegian Government</x:t>
        </x:is>
      </x:c>
      <x:c r="K19" t="inlineStr">
        <x:is>
          <x:t xml:space="preserve">Norway</x:t>
        </x:is>
      </x:c>
      <x:c r="L19" t="inlineStr">
        <x:is>
          <x:t xml:space="preserve">Norwegian</x:t>
        </x:is>
      </x:c>
      <x:c r="N19" s="397" t="n"/>
      <x:c r="O19" t="inlineStr">
        <x:is>
          <x:t xml:space="preserve">Public authority</x:t>
        </x:is>
      </x:c>
      <x:c r="P19" t="inlineStr">
        <x:is>
          <x:t xml:space="preserve">Regulation</x:t>
        </x:is>
      </x:c>
      <x:c r="Q19" t="inlineStr">
        <x:is>
          <x:t xml:space="preserve">Primary normative</x:t>
        </x:is>
      </x:c>
      <x:c r="R19" s="42" t="inlineStr">
        <x:is>
          <x:t xml:space="preserve">Official regulation issued by Norwegian Government; included because it may impose binding requirements on an in-scope aquaculture asset, activity, permit or certification.</x:t>
        </x:is>
      </x:c>
      <x:c r="S19" t="inlineStr">
        <x:is>
          <x:t xml:space="preserve">HIGH</x:t>
        </x:is>
      </x:c>
      <x:c r="T19" t="inlineStr">
        <x:is>
          <x:t xml:space="preserve">HIGH</x:t>
        </x:is>
      </x:c>
      <x:c r="U19" t="inlineStr">
        <x:is>
          <x:t xml:space="preserve">HIGH</x:t>
        </x:is>
      </x:c>
      <x:c r="V19" t="inlineStr">
        <x:is>
          <x:t xml:space="preserve">HIGH</x:t>
        </x:is>
      </x:c>
      <x:c r="W19" t="inlineStr">
        <x:is>
          <x:t xml:space="preserve">HIGH</x:t>
        </x:is>
      </x:c>
      <x:c r="X19" t="inlineStr">
        <x:is>
          <x:t xml:space="preserve">HIGH</x:t>
        </x:is>
      </x:c>
      <x:c r="Y19" t="str">
        <x:f>IF(A19="","",IF(OR(J19="",AO19="",AP19="",AP19="UNVERIFIED",AND(AO19="OFFICIAL_WEBSITE",D19=""),AND(OR(P19="Equipment manual / OEM instruction",Q19="Asset-specific normative"),OR(O19&lt;&gt;"Manufacturer / supplier",AR19="",R19=""))),"PENDING",IF(COUNTIF(S19:W19,"LOW")&gt;0,"EXCLUDE",IF(COUNTIF(S19:W19,"MEDIUM")&gt;0,"PENDING",IF(COUNTIF(S19:W19,"HIGH")=5,"INCLUDE","PENDING")))))</x:f>
        <x:v>INCLUDE</x:v>
      </x:c>
      <x:c r="Z19" t="inlineStr">
        <x:is>
          <x:t xml:space="preserve">SUCCESS</x:t>
        </x:is>
      </x:c>
      <x:c r="AA19" s="398" t="n">
        <x:v>46262.53085648148</x:v>
      </x:c>
      <x:c r="AB19" s="398" t="n">
        <x:v>46262.53085648148</x:v>
      </x:c>
      <x:c r="AC19" s="398" t="inlineStr">
        <x:is>
          <x:t xml:space="preserve">INITIAL</x:t>
        </x:is>
      </x:c>
      <x:c r="AD19" s="398" t="inlineStr">
        <x:is>
          <x:t xml:space="preserve">AUTO</x:t>
        </x:is>
      </x:c>
      <x:c r="AE19" s="398" t="n">
        <x:f>IF(A19="","",IF(AD19="AUTO",AB19,IF(AD19="MANUAL",AF19,"")))</x:f>
        <x:v>46262.53085648148</x:v>
      </x:c>
      <x:c r="AF19" s="397" t="n"/>
      <x:c r="AH19" t="inlineStr">
        <x:is>
          <x:t xml:space="preserve">NONE</x:t>
        </x:is>
      </x:c>
      <x:c r="AI19" s="42" t="str"/>
      <x:c r="AJ19" t="str">
        <x:f>IF(OR(AL19&lt;&gt;"CURRENT",Y19="EXCLUDE"),"NO",IF(A19="","",IF(Z19="FAIL",IF(AND(AF19&lt;&gt;"",AF19&gt;=INT(AA19),I19="STORED",AD19="MANUAL",AG19&lt;&gt;""),"NO","YES"),IF(AND(AQ19="ROLLING",AC19="CHANGED"),IF(AND(AF19&lt;&gt;"",AF19&gt;=INT(IF(AB19&lt;&gt;"",AB19,AA19)),AG19&lt;&gt;""),"NO","YES"),"NO"))))</x:f>
        <x:v>NO</x:v>
      </x:c>
      <x:c r="AK19" t="inlineStr">
        <x:is>
          <x:t xml:space="preserve">7f640e3626fbd2d3aa9e6f8f0fad328170f26e4a73a9f59fd20ffe74f400b546</x:t>
        </x:is>
      </x:c>
      <x:c r="AL19" t="inlineStr">
        <x:is>
          <x:t xml:space="preserve">CURRENT</x:t>
        </x:is>
      </x:c>
      <x:c r="AN19" s="42" t="inlineStr">
        <x:is>
          <x:t xml:space="preserve">Official expansion. Cross-sector HSE internal-control source; overlap with IK-Aquaculture requires later mapping.</x:t>
        </x:is>
      </x:c>
      <x:c r="AO19" t="inlineStr">
        <x:is>
          <x:t xml:space="preserve">OFFICIAL_WEBSITE</x:t>
        </x:is>
      </x:c>
      <x:c r="AP19" t="inlineStr">
        <x:is>
          <x:t xml:space="preserve">OFFICIAL_ORIGINAL</x:t>
        </x:is>
      </x:c>
      <x:c r="AQ19" t="inlineStr">
        <x:is>
          <x:t xml:space="preserve">ROLLING</x:t>
        </x:is>
      </x:c>
      <x:c r="AR19" s="42" t="str"/>
    </x:row>
    <x:row r="20" s="36" customFormat="1" ht="42" customHeight="1">
      <x:c r="A20" t="inlineStr">
        <x:is>
          <x:t xml:space="preserve">PA018</x:t>
        </x:is>
      </x:c>
      <x:c r="B20" t="inlineStr">
        <x:is>
          <x:t xml:space="preserve">PA018-001</x:t>
        </x:is>
      </x:c>
      <x:c r="C20" s="42" t="inlineStr">
        <x:is>
          <x:t xml:space="preserve">Ship Safety and Security Act</x:t>
        </x:is>
      </x:c>
      <x:c r="D20" s="669" t="inlineStr">
        <x:is>
          <x:t xml:space="preserve">https://lovdata.no/dokument/NL/lov/2007-02-16-9</x:t>
        </x:is>
      </x:c>
      <x:c r="E20" s="669" t="inlineStr">
        <x:is>
          <x:t xml:space="preserve">https://lovdata.no/dokument/NL/lov/2007-02-16-9</x:t>
        </x:is>
      </x:c>
      <x:c r="F20" t="inlineStr">
        <x:is>
          <x:t xml:space="preserve">A_Public_Authority</x:t>
        </x:is>
      </x:c>
      <x:c r="G20" t="inlineStr">
        <x:is>
          <x:t xml:space="preserve">html</x:t>
        </x:is>
      </x:c>
      <x:c r="H20" t="inlineStr">
        <x:is>
          <x:t xml:space="preserve">PA018-001_Ship_Safety_and_Security_Act.html</x:t>
        </x:is>
      </x:c>
      <x:c r="I20" t="inlineStr">
        <x:is>
          <x:t xml:space="preserve">STORED</x:t>
        </x:is>
      </x:c>
      <x:c r="J20" t="inlineStr">
        <x:is>
          <x:t xml:space="preserve">Norwegian Government</x:t>
        </x:is>
      </x:c>
      <x:c r="K20" t="inlineStr">
        <x:is>
          <x:t xml:space="preserve">Norway</x:t>
        </x:is>
      </x:c>
      <x:c r="L20" t="inlineStr">
        <x:is>
          <x:t xml:space="preserve">Norwegian</x:t>
        </x:is>
      </x:c>
      <x:c r="N20" s="397" t="n"/>
      <x:c r="O20" t="inlineStr">
        <x:is>
          <x:t xml:space="preserve">Public authority</x:t>
        </x:is>
      </x:c>
      <x:c r="P20" t="inlineStr">
        <x:is>
          <x:t xml:space="preserve">Law</x:t>
        </x:is>
      </x:c>
      <x:c r="Q20" t="inlineStr">
        <x:is>
          <x:t xml:space="preserve">Primary normative</x:t>
        </x:is>
      </x:c>
      <x:c r="R20" s="42" t="inlineStr">
        <x:is>
          <x:t xml:space="preserve">Official law issued by Norwegian Government; included because it may impose binding requirements on an in-scope aquaculture asset, activity, permit or certification.</x:t>
        </x:is>
      </x:c>
      <x:c r="S20" t="inlineStr">
        <x:is>
          <x:t xml:space="preserve">HIGH</x:t>
        </x:is>
      </x:c>
      <x:c r="T20" t="inlineStr">
        <x:is>
          <x:t xml:space="preserve">MEDIUM</x:t>
        </x:is>
      </x:c>
      <x:c r="U20" t="inlineStr">
        <x:is>
          <x:t xml:space="preserve">HIGH</x:t>
        </x:is>
      </x:c>
      <x:c r="V20" t="inlineStr">
        <x:is>
          <x:t xml:space="preserve">HIGH</x:t>
        </x:is>
      </x:c>
      <x:c r="W20" t="inlineStr">
        <x:is>
          <x:t xml:space="preserve">HIGH</x:t>
        </x:is>
      </x:c>
      <x:c r="X20" t="inlineStr">
        <x:is>
          <x:t xml:space="preserve">HIGH</x:t>
        </x:is>
      </x:c>
      <x:c r="Y20" t="str">
        <x:f>IF(A20="","",IF(OR(J20="",AO20="",AP20="",AP20="UNVERIFIED",AND(AO20="OFFICIAL_WEBSITE",D20=""),AND(OR(P20="Equipment manual / OEM instruction",Q20="Asset-specific normative"),OR(O20&lt;&gt;"Manufacturer / supplier",AR20="",R20=""))),"PENDING",IF(COUNTIF(S20:W20,"LOW")&gt;0,"EXCLUDE",IF(COUNTIF(S20:W20,"MEDIUM")&gt;0,"PENDING",IF(COUNTIF(S20:W20,"HIGH")=5,"INCLUDE","PENDING")))))</x:f>
        <x:v>PENDING</x:v>
      </x:c>
      <x:c r="Z20" t="inlineStr">
        <x:is>
          <x:t xml:space="preserve">SUCCESS</x:t>
        </x:is>
      </x:c>
      <x:c r="AA20" s="398" t="n">
        <x:v>46262.53085648148</x:v>
      </x:c>
      <x:c r="AB20" s="398" t="n">
        <x:v>46262.53086805555</x:v>
      </x:c>
      <x:c r="AC20" s="398" t="inlineStr">
        <x:is>
          <x:t xml:space="preserve">INITIAL</x:t>
        </x:is>
      </x:c>
      <x:c r="AD20" s="398" t="inlineStr">
        <x:is>
          <x:t xml:space="preserve">AUTO</x:t>
        </x:is>
      </x:c>
      <x:c r="AE20" s="398" t="n">
        <x:f>IF(A20="","",IF(AD20="AUTO",AB20,IF(AD20="MANUAL",AF20,"")))</x:f>
        <x:v>46262.53086805555</x:v>
      </x:c>
      <x:c r="AF20" s="397" t="n"/>
      <x:c r="AH20" t="inlineStr">
        <x:is>
          <x:t xml:space="preserve">NONE</x:t>
        </x:is>
      </x:c>
      <x:c r="AI20" s="42" t="str"/>
      <x:c r="AJ20" t="str">
        <x:f>IF(OR(AL20&lt;&gt;"CURRENT",Y20="EXCLUDE"),"NO",IF(A20="","",IF(Z20="FAIL",IF(AND(AF20&lt;&gt;"",AF20&gt;=INT(AA20),I20="STORED",AD20="MANUAL",AG20&lt;&gt;""),"NO","YES"),IF(AND(AQ20="ROLLING",AC20="CHANGED"),IF(AND(AF20&lt;&gt;"",AF20&gt;=INT(IF(AB20&lt;&gt;"",AB20,AA20)),AG20&lt;&gt;""),"NO","YES"),"NO"))))</x:f>
        <x:v>NO</x:v>
      </x:c>
      <x:c r="AK20" t="inlineStr">
        <x:is>
          <x:t xml:space="preserve">535ce0ef3c8d36ecc15baf5c64f069fdb5f62dd72579d24e1c6157acc8cdf009</x:t>
        </x:is>
      </x:c>
      <x:c r="AL20" t="inlineStr">
        <x:is>
          <x:t xml:space="preserve">CURRENT</x:t>
        </x:is>
      </x:c>
      <x:c r="AN20" s="42" t="inlineStr">
        <x:is>
          <x:t xml:space="preserve">Official expansion. Conditional on vessels and maritime operations within client scope.</x:t>
        </x:is>
      </x:c>
      <x:c r="AO20" t="inlineStr">
        <x:is>
          <x:t xml:space="preserve">OFFICIAL_WEBSITE</x:t>
        </x:is>
      </x:c>
      <x:c r="AP20" t="inlineStr">
        <x:is>
          <x:t xml:space="preserve">OFFICIAL_ORIGINAL</x:t>
        </x:is>
      </x:c>
      <x:c r="AQ20" t="inlineStr">
        <x:is>
          <x:t xml:space="preserve">ROLLING</x:t>
        </x:is>
      </x:c>
      <x:c r="AR20" s="42" t="str"/>
    </x:row>
    <x:row r="21" s="36" customFormat="1" ht="42" customHeight="1">
      <x:c r="A21" t="inlineStr">
        <x:is>
          <x:t xml:space="preserve">PA019</x:t>
        </x:is>
      </x:c>
      <x:c r="B21" t="inlineStr">
        <x:is>
          <x:t xml:space="preserve">PA019-001</x:t>
        </x:is>
      </x:c>
      <x:c r="C21" s="42" t="inlineStr">
        <x:is>
          <x:t xml:space="preserve">Regulation on transport of aquaculture animals</x:t>
        </x:is>
      </x:c>
      <x:c r="D21" s="669" t="inlineStr">
        <x:is>
          <x:t xml:space="preserve">https://lovdata.no/dokument/SF/forskrift/2008-06-17-820</x:t>
        </x:is>
      </x:c>
      <x:c r="E21" s="669" t="inlineStr">
        <x:is>
          <x:t xml:space="preserve">https://lovdata.no/dokument/SF/forskrift/2008-06-17-820</x:t>
        </x:is>
      </x:c>
      <x:c r="F21" t="inlineStr">
        <x:is>
          <x:t xml:space="preserve">A_Public_Authority</x:t>
        </x:is>
      </x:c>
      <x:c r="G21" t="inlineStr">
        <x:is>
          <x:t xml:space="preserve">html</x:t>
        </x:is>
      </x:c>
      <x:c r="H21" t="inlineStr">
        <x:is>
          <x:t xml:space="preserve">PA019-001_Regulation_on_transport_of_aquaculture_animals.html</x:t>
        </x:is>
      </x:c>
      <x:c r="I21" t="inlineStr">
        <x:is>
          <x:t xml:space="preserve">STORED</x:t>
        </x:is>
      </x:c>
      <x:c r="J21" t="inlineStr">
        <x:is>
          <x:t xml:space="preserve">Norwegian Government</x:t>
        </x:is>
      </x:c>
      <x:c r="K21" t="inlineStr">
        <x:is>
          <x:t xml:space="preserve">Norway</x:t>
        </x:is>
      </x:c>
      <x:c r="L21" t="inlineStr">
        <x:is>
          <x:t xml:space="preserve">Norwegian</x:t>
        </x:is>
      </x:c>
      <x:c r="N21" s="397" t="n"/>
      <x:c r="O21" t="inlineStr">
        <x:is>
          <x:t xml:space="preserve">Public authority</x:t>
        </x:is>
      </x:c>
      <x:c r="P21" t="inlineStr">
        <x:is>
          <x:t xml:space="preserve">Regulation</x:t>
        </x:is>
      </x:c>
      <x:c r="Q21" t="inlineStr">
        <x:is>
          <x:t xml:space="preserve">Primary normative</x:t>
        </x:is>
      </x:c>
      <x:c r="R21" s="42" t="inlineStr">
        <x:is>
          <x:t xml:space="preserve">Official regulation issued by Norwegian Government; included because it may impose binding requirements on an in-scope aquaculture asset, activity, permit or certification.</x:t>
        </x:is>
      </x:c>
      <x:c r="S21" t="inlineStr">
        <x:is>
          <x:t xml:space="preserve">HIGH</x:t>
        </x:is>
      </x:c>
      <x:c r="T21" t="inlineStr">
        <x:is>
          <x:t xml:space="preserve">MEDIUM</x:t>
        </x:is>
      </x:c>
      <x:c r="U21" t="inlineStr">
        <x:is>
          <x:t xml:space="preserve">HIGH</x:t>
        </x:is>
      </x:c>
      <x:c r="V21" t="inlineStr">
        <x:is>
          <x:t xml:space="preserve">HIGH</x:t>
        </x:is>
      </x:c>
      <x:c r="W21" t="inlineStr">
        <x:is>
          <x:t xml:space="preserve">HIGH</x:t>
        </x:is>
      </x:c>
      <x:c r="X21" t="inlineStr">
        <x:is>
          <x:t xml:space="preserve">HIGH</x:t>
        </x:is>
      </x:c>
      <x:c r="Y21" t="str">
        <x:f>IF(A21="","",IF(OR(J21="",AO21="",AP21="",AP21="UNVERIFIED",AND(AO21="OFFICIAL_WEBSITE",D21=""),AND(OR(P21="Equipment manual / OEM instruction",Q21="Asset-specific normative"),OR(O21&lt;&gt;"Manufacturer / supplier",AR21="",R21=""))),"PENDING",IF(COUNTIF(S21:W21,"LOW")&gt;0,"EXCLUDE",IF(COUNTIF(S21:W21,"MEDIUM")&gt;0,"PENDING",IF(COUNTIF(S21:W21,"HIGH")=5,"INCLUDE","PENDING")))))</x:f>
        <x:v>PENDING</x:v>
      </x:c>
      <x:c r="Z21" t="inlineStr">
        <x:is>
          <x:t xml:space="preserve">SUCCESS</x:t>
        </x:is>
      </x:c>
      <x:c r="AA21" s="398" t="n">
        <x:v>46262.53086805555</x:v>
      </x:c>
      <x:c r="AB21" s="398" t="n">
        <x:v>46262.53086805555</x:v>
      </x:c>
      <x:c r="AC21" s="398" t="inlineStr">
        <x:is>
          <x:t xml:space="preserve">INITIAL</x:t>
        </x:is>
      </x:c>
      <x:c r="AD21" s="398" t="inlineStr">
        <x:is>
          <x:t xml:space="preserve">AUTO</x:t>
        </x:is>
      </x:c>
      <x:c r="AE21" s="398" t="n">
        <x:f>IF(A21="","",IF(AD21="AUTO",AB21,IF(AD21="MANUAL",AF21,"")))</x:f>
        <x:v>46262.53086805555</x:v>
      </x:c>
      <x:c r="AF21" s="397" t="n"/>
      <x:c r="AH21" t="inlineStr">
        <x:is>
          <x:t xml:space="preserve">NONE</x:t>
        </x:is>
      </x:c>
      <x:c r="AI21" s="42" t="str"/>
      <x:c r="AJ21" t="str">
        <x:f>IF(OR(AL21&lt;&gt;"CURRENT",Y21="EXCLUDE"),"NO",IF(A21="","",IF(Z21="FAIL",IF(AND(AF21&lt;&gt;"",AF21&gt;=INT(AA21),I21="STORED",AD21="MANUAL",AG21&lt;&gt;""),"NO","YES"),IF(AND(AQ21="ROLLING",AC21="CHANGED"),IF(AND(AF21&lt;&gt;"",AF21&gt;=INT(IF(AB21&lt;&gt;"",AB21,AA21)),AG21&lt;&gt;""),"NO","YES"),"NO"))))</x:f>
        <x:v>NO</x:v>
      </x:c>
      <x:c r="AK21" t="inlineStr">
        <x:is>
          <x:t xml:space="preserve">c3a1a1d71bad6255d833abf37550f8ef1d79c996a82468a85fccbb7a474e6ded</x:t>
        </x:is>
      </x:c>
      <x:c r="AL21" t="inlineStr">
        <x:is>
          <x:t xml:space="preserve">CURRENT</x:t>
        </x:is>
      </x:c>
      <x:c r="AN21" s="42" t="inlineStr">
        <x:is>
          <x:t xml:space="preserve">Official expansion from Mattilsynet. Conditional on live-animal transport activities.</x:t>
        </x:is>
      </x:c>
      <x:c r="AO21" t="inlineStr">
        <x:is>
          <x:t xml:space="preserve">OFFICIAL_WEBSITE</x:t>
        </x:is>
      </x:c>
      <x:c r="AP21" t="inlineStr">
        <x:is>
          <x:t xml:space="preserve">OFFICIAL_ORIGINAL</x:t>
        </x:is>
      </x:c>
      <x:c r="AQ21" t="inlineStr">
        <x:is>
          <x:t xml:space="preserve">ROLLING</x:t>
        </x:is>
      </x:c>
      <x:c r="AR21" s="42" t="str"/>
    </x:row>
    <x:row r="22" s="36" customFormat="1" ht="42" customHeight="1">
      <x:c r="A22" t="inlineStr">
        <x:is>
          <x:t xml:space="preserve">PA020</x:t>
        </x:is>
      </x:c>
      <x:c r="B22" t="inlineStr">
        <x:is>
          <x:t xml:space="preserve">PA020-001</x:t>
        </x:is>
      </x:c>
      <x:c r="C22" s="42" t="inlineStr">
        <x:is>
          <x:t xml:space="preserve">Regulation on slaughterhouses and processing facilities for aquaculture animals</x:t>
        </x:is>
      </x:c>
      <x:c r="D22" s="669" t="inlineStr">
        <x:is>
          <x:t xml:space="preserve">https://lovdata.no/dokument/SF/forskrift/2006-10-30-1250</x:t>
        </x:is>
      </x:c>
      <x:c r="E22" s="669" t="inlineStr">
        <x:is>
          <x:t xml:space="preserve">https://lovdata.no/dokument/SF/forskrift/2006-10-30-1250</x:t>
        </x:is>
      </x:c>
      <x:c r="F22" t="inlineStr">
        <x:is>
          <x:t xml:space="preserve">A_Public_Authority</x:t>
        </x:is>
      </x:c>
      <x:c r="G22" t="inlineStr">
        <x:is>
          <x:t xml:space="preserve">html</x:t>
        </x:is>
      </x:c>
      <x:c r="H22" t="inlineStr">
        <x:is>
          <x:t xml:space="preserve">PA020-001_Regulation_on_slaughterhouses_and_processing_facilities_for_aquaculture_animals.html</x:t>
        </x:is>
      </x:c>
      <x:c r="I22" t="inlineStr">
        <x:is>
          <x:t xml:space="preserve">STORED</x:t>
        </x:is>
      </x:c>
      <x:c r="J22" t="inlineStr">
        <x:is>
          <x:t xml:space="preserve">Norwegian Ministry of Trade, Industry and Fisheries</x:t>
        </x:is>
      </x:c>
      <x:c r="K22" t="inlineStr">
        <x:is>
          <x:t xml:space="preserve">Norway</x:t>
        </x:is>
      </x:c>
      <x:c r="L22" t="inlineStr">
        <x:is>
          <x:t xml:space="preserve">Norwegian</x:t>
        </x:is>
      </x:c>
      <x:c r="N22" s="397" t="n"/>
      <x:c r="O22" t="inlineStr">
        <x:is>
          <x:t xml:space="preserve">Public authority</x:t>
        </x:is>
      </x:c>
      <x:c r="P22" t="inlineStr">
        <x:is>
          <x:t xml:space="preserve">Regulation</x:t>
        </x:is>
      </x:c>
      <x:c r="Q22" t="inlineStr">
        <x:is>
          <x:t xml:space="preserve">Primary normative</x:t>
        </x:is>
      </x:c>
      <x:c r="R22" s="42" t="inlineStr">
        <x:is>
          <x:t xml:space="preserve">Official regulation issued by Norwegian Ministry of Trade, Industry and Fisheries; included because it may impose binding requirements on an in-scope aquaculture asset, activity, permit or certification.</x:t>
        </x:is>
      </x:c>
      <x:c r="S22" t="inlineStr">
        <x:is>
          <x:t xml:space="preserve">HIGH</x:t>
        </x:is>
      </x:c>
      <x:c r="T22" t="inlineStr">
        <x:is>
          <x:t xml:space="preserve">MEDIUM</x:t>
        </x:is>
      </x:c>
      <x:c r="U22" t="inlineStr">
        <x:is>
          <x:t xml:space="preserve">HIGH</x:t>
        </x:is>
      </x:c>
      <x:c r="V22" t="inlineStr">
        <x:is>
          <x:t xml:space="preserve">HIGH</x:t>
        </x:is>
      </x:c>
      <x:c r="W22" t="inlineStr">
        <x:is>
          <x:t xml:space="preserve">HIGH</x:t>
        </x:is>
      </x:c>
      <x:c r="X22" t="inlineStr">
        <x:is>
          <x:t xml:space="preserve">HIGH</x:t>
        </x:is>
      </x:c>
      <x:c r="Y22" t="str">
        <x:f>IF(A22="","",IF(OR(J22="",AO22="",AP22="",AP22="UNVERIFIED",AND(AO22="OFFICIAL_WEBSITE",D22=""),AND(OR(P22="Equipment manual / OEM instruction",Q22="Asset-specific normative"),OR(O22&lt;&gt;"Manufacturer / supplier",AR22="",R22=""))),"PENDING",IF(COUNTIF(S22:W22,"LOW")&gt;0,"EXCLUDE",IF(COUNTIF(S22:W22,"MEDIUM")&gt;0,"PENDING",IF(COUNTIF(S22:W22,"HIGH")=5,"INCLUDE","PENDING")))))</x:f>
        <x:v>PENDING</x:v>
      </x:c>
      <x:c r="Z22" t="inlineStr">
        <x:is>
          <x:t xml:space="preserve">SUCCESS</x:t>
        </x:is>
      </x:c>
      <x:c r="AA22" s="398" t="n">
        <x:v>46262.53086805555</x:v>
      </x:c>
      <x:c r="AB22" s="398" t="n">
        <x:v>46262.53086805555</x:v>
      </x:c>
      <x:c r="AC22" s="398" t="inlineStr">
        <x:is>
          <x:t xml:space="preserve">INITIAL</x:t>
        </x:is>
      </x:c>
      <x:c r="AD22" s="398" t="inlineStr">
        <x:is>
          <x:t xml:space="preserve">AUTO</x:t>
        </x:is>
      </x:c>
      <x:c r="AE22" s="398" t="n">
        <x:f>IF(A22="","",IF(AD22="AUTO",AB22,IF(AD22="MANUAL",AF22,"")))</x:f>
        <x:v>46262.53086805555</x:v>
      </x:c>
      <x:c r="AF22" s="397" t="n"/>
      <x:c r="AH22" t="inlineStr">
        <x:is>
          <x:t xml:space="preserve">NONE</x:t>
        </x:is>
      </x:c>
      <x:c r="AI22" s="42" t="str"/>
      <x:c r="AJ22" t="str">
        <x:f>IF(OR(AL22&lt;&gt;"CURRENT",Y22="EXCLUDE"),"NO",IF(A22="","",IF(Z22="FAIL",IF(AND(AF22&lt;&gt;"",AF22&gt;=INT(AA22),I22="STORED",AD22="MANUAL",AG22&lt;&gt;""),"NO","YES"),IF(AND(AQ22="ROLLING",AC22="CHANGED"),IF(AND(AF22&lt;&gt;"",AF22&gt;=INT(IF(AB22&lt;&gt;"",AB22,AA22)),AG22&lt;&gt;""),"NO","YES"),"NO"))))</x:f>
        <x:v>NO</x:v>
      </x:c>
      <x:c r="AK22" t="inlineStr">
        <x:is>
          <x:t xml:space="preserve">660825e1fb0f6b15f9e8501319e334d7b67de1790c34645715f5b184d3d397cc</x:t>
        </x:is>
      </x:c>
      <x:c r="AL22" t="inlineStr">
        <x:is>
          <x:t xml:space="preserve">CURRENT</x:t>
        </x:is>
      </x:c>
      <x:c r="AN22" s="42" t="inlineStr">
        <x:is>
          <x:t xml:space="preserve">Official expansion from Mattilsynet. Include only when slaughter or processing is in scope.</x:t>
        </x:is>
      </x:c>
      <x:c r="AO22" t="inlineStr">
        <x:is>
          <x:t xml:space="preserve">OFFICIAL_WEBSITE</x:t>
        </x:is>
      </x:c>
      <x:c r="AP22" t="inlineStr">
        <x:is>
          <x:t xml:space="preserve">OFFICIAL_ORIGINAL</x:t>
        </x:is>
      </x:c>
      <x:c r="AQ22" t="inlineStr">
        <x:is>
          <x:t xml:space="preserve">ROLLING</x:t>
        </x:is>
      </x:c>
      <x:c r="AR22" s="42" t="str"/>
    </x:row>
    <x:row r="23" s="36" customFormat="1" ht="42" customHeight="1">
      <x:c r="A23" t="inlineStr">
        <x:is>
          <x:t xml:space="preserve">PA021</x:t>
        </x:is>
      </x:c>
      <x:c r="B23" t="inlineStr">
        <x:is>
          <x:t xml:space="preserve">PA021-001</x:t>
        </x:is>
      </x:c>
      <x:c r="C23" s="42" t="inlineStr">
        <x:is>
          <x:t xml:space="preserve">Regulation on permits for aquaculture of salmon, trout and rainbow trout (Salmon Allocation Regulations)</x:t>
        </x:is>
      </x:c>
      <x:c r="D23" s="669" t="inlineStr">
        <x:is>
          <x:t xml:space="preserve">https://lovdata.no/dokument/SF/forskrift/2022-11-07-1929</x:t>
        </x:is>
      </x:c>
      <x:c r="E23" s="669" t="inlineStr">
        <x:is>
          <x:t xml:space="preserve">https://lovdata.no/dokument/SF/forskrift/2022-11-07-1929</x:t>
        </x:is>
      </x:c>
      <x:c r="F23" t="inlineStr">
        <x:is>
          <x:t xml:space="preserve">A_Public_Authority</x:t>
        </x:is>
      </x:c>
      <x:c r="G23" t="inlineStr">
        <x:is>
          <x:t xml:space="preserve">html</x:t>
        </x:is>
      </x:c>
      <x:c r="H23" t="inlineStr">
        <x:is>
          <x:t xml:space="preserve">PA021-001_Regulation_on_permits_for_aquaculture_of_salmon_trout_and_rainbow_trout_Salmon_Allocation_Regulations.html</x:t>
        </x:is>
      </x:c>
      <x:c r="I23" t="inlineStr">
        <x:is>
          <x:t xml:space="preserve">STORED</x:t>
        </x:is>
      </x:c>
      <x:c r="J23" t="inlineStr">
        <x:is>
          <x:t xml:space="preserve">Norwegian Ministry of Trade, Industry and Fisheries</x:t>
        </x:is>
      </x:c>
      <x:c r="K23" t="inlineStr">
        <x:is>
          <x:t xml:space="preserve">Norway</x:t>
        </x:is>
      </x:c>
      <x:c r="L23" t="inlineStr">
        <x:is>
          <x:t xml:space="preserve">Norwegian</x:t>
        </x:is>
      </x:c>
      <x:c r="N23" s="397" t="n"/>
      <x:c r="O23" t="inlineStr">
        <x:is>
          <x:t xml:space="preserve">Public authority</x:t>
        </x:is>
      </x:c>
      <x:c r="P23" t="inlineStr">
        <x:is>
          <x:t xml:space="preserve">Regulation</x:t>
        </x:is>
      </x:c>
      <x:c r="Q23" t="inlineStr">
        <x:is>
          <x:t xml:space="preserve">Primary normative</x:t>
        </x:is>
      </x:c>
      <x:c r="R23" s="42" t="inlineStr">
        <x:is>
          <x:t xml:space="preserve">Official regulation issued by Norwegian Ministry of Trade, Industry and Fisheries; included because it may impose binding requirements on an in-scope aquaculture asset, activity, permit or certification.</x:t>
        </x:is>
      </x:c>
      <x:c r="S23" t="inlineStr">
        <x:is>
          <x:t xml:space="preserve">HIGH</x:t>
        </x:is>
      </x:c>
      <x:c r="T23" t="inlineStr">
        <x:is>
          <x:t xml:space="preserve">MEDIUM</x:t>
        </x:is>
      </x:c>
      <x:c r="U23" t="inlineStr">
        <x:is>
          <x:t xml:space="preserve">HIGH</x:t>
        </x:is>
      </x:c>
      <x:c r="V23" t="inlineStr">
        <x:is>
          <x:t xml:space="preserve">HIGH</x:t>
        </x:is>
      </x:c>
      <x:c r="W23" t="inlineStr">
        <x:is>
          <x:t xml:space="preserve">HIGH</x:t>
        </x:is>
      </x:c>
      <x:c r="X23" t="inlineStr">
        <x:is>
          <x:t xml:space="preserve">HIGH</x:t>
        </x:is>
      </x:c>
      <x:c r="Y23" t="str">
        <x:f>IF(A23="","",IF(OR(J23="",AO23="",AP23="",AP23="UNVERIFIED",AND(AO23="OFFICIAL_WEBSITE",D23=""),AND(OR(P23="Equipment manual / OEM instruction",Q23="Asset-specific normative"),OR(O23&lt;&gt;"Manufacturer / supplier",AR23="",R23=""))),"PENDING",IF(COUNTIF(S23:W23,"LOW")&gt;0,"EXCLUDE",IF(COUNTIF(S23:W23,"MEDIUM")&gt;0,"PENDING",IF(COUNTIF(S23:W23,"HIGH")=5,"INCLUDE","PENDING")))))</x:f>
        <x:v>PENDING</x:v>
      </x:c>
      <x:c r="Z23" t="inlineStr">
        <x:is>
          <x:t xml:space="preserve">SUCCESS</x:t>
        </x:is>
      </x:c>
      <x:c r="AA23" s="398" t="n">
        <x:v>46262.53087962963</x:v>
      </x:c>
      <x:c r="AB23" s="398" t="n">
        <x:v>46262.53087962963</x:v>
      </x:c>
      <x:c r="AC23" s="398" t="inlineStr">
        <x:is>
          <x:t xml:space="preserve">INITIAL</x:t>
        </x:is>
      </x:c>
      <x:c r="AD23" s="398" t="inlineStr">
        <x:is>
          <x:t xml:space="preserve">AUTO</x:t>
        </x:is>
      </x:c>
      <x:c r="AE23" s="398" t="n">
        <x:f>IF(A23="","",IF(AD23="AUTO",AB23,IF(AD23="MANUAL",AF23,"")))</x:f>
        <x:v>46262.53087962963</x:v>
      </x:c>
      <x:c r="AF23" s="397" t="n"/>
      <x:c r="AH23" t="inlineStr">
        <x:is>
          <x:t xml:space="preserve">NONE</x:t>
        </x:is>
      </x:c>
      <x:c r="AI23" s="42" t="str"/>
      <x:c r="AJ23" t="str">
        <x:f>IF(OR(AL23&lt;&gt;"CURRENT",Y23="EXCLUDE"),"NO",IF(A23="","",IF(Z23="FAIL",IF(AND(AF23&lt;&gt;"",AF23&gt;=INT(AA23),I23="STORED",AD23="MANUAL",AG23&lt;&gt;""),"NO","YES"),IF(AND(AQ23="ROLLING",AC23="CHANGED"),IF(AND(AF23&lt;&gt;"",AF23&gt;=INT(IF(AB23&lt;&gt;"",AB23,AA23)),AG23&lt;&gt;""),"NO","YES"),"NO"))))</x:f>
        <x:v>NO</x:v>
      </x:c>
      <x:c r="AK23" t="inlineStr">
        <x:is>
          <x:t xml:space="preserve">7ad31127a98909210f86c2df281141adc3218206d348c07c01be4a00c540964d</x:t>
        </x:is>
      </x:c>
      <x:c r="AL23" t="inlineStr">
        <x:is>
          <x:t xml:space="preserve">CURRENT</x:t>
        </x:is>
      </x:c>
      <x:c r="AN23" s="42" t="inlineStr">
        <x:is>
          <x:t xml:space="preserve">Official expansion from Fiskeridirektoratet's aquaculture regulation index; conditional on species and permit type.</x:t>
        </x:is>
      </x:c>
      <x:c r="AO23" t="inlineStr">
        <x:is>
          <x:t xml:space="preserve">OFFICIAL_WEBSITE</x:t>
        </x:is>
      </x:c>
      <x:c r="AP23" t="inlineStr">
        <x:is>
          <x:t xml:space="preserve">OFFICIAL_ORIGINAL</x:t>
        </x:is>
      </x:c>
      <x:c r="AQ23" t="inlineStr">
        <x:is>
          <x:t xml:space="preserve">ROLLING</x:t>
        </x:is>
      </x:c>
      <x:c r="AR23" s="42" t="str"/>
    </x:row>
    <x:row r="24" s="36" customFormat="1" ht="42" customHeight="1">
      <x:c r="A24" t="inlineStr">
        <x:is>
          <x:t xml:space="preserve">PA022</x:t>
        </x:is>
      </x:c>
      <x:c r="B24" t="inlineStr">
        <x:is>
          <x:t xml:space="preserve">PA022-001</x:t>
        </x:is>
      </x:c>
      <x:c r="C24" s="42" t="inlineStr">
        <x:is>
          <x:t xml:space="preserve">Regulation on technical standards for land-based aquaculture facilities for fish</x:t>
        </x:is>
      </x:c>
      <x:c r="D24" s="669" t="inlineStr">
        <x:is>
          <x:t xml:space="preserve">https://lovdata.no/dokument/SF/forskrift/2017-06-19-941</x:t>
        </x:is>
      </x:c>
      <x:c r="E24" s="669" t="inlineStr">
        <x:is>
          <x:t xml:space="preserve">https://lovdata.no/dokument/SF/forskrift/2017-06-19-941</x:t>
        </x:is>
      </x:c>
      <x:c r="F24" t="inlineStr">
        <x:is>
          <x:t xml:space="preserve">A_Public_Authority</x:t>
        </x:is>
      </x:c>
      <x:c r="G24" t="inlineStr">
        <x:is>
          <x:t xml:space="preserve">html</x:t>
        </x:is>
      </x:c>
      <x:c r="H24" t="inlineStr">
        <x:is>
          <x:t xml:space="preserve">PA022-001_Regulation_on_technical_standards_for_land-based_aquaculture_facilities_for_fish.html</x:t>
        </x:is>
      </x:c>
      <x:c r="I24" t="inlineStr">
        <x:is>
          <x:t xml:space="preserve">STORED</x:t>
        </x:is>
      </x:c>
      <x:c r="J24" t="inlineStr">
        <x:is>
          <x:t xml:space="preserve">Norwegian Ministry of Trade, Industry and Fisheries</x:t>
        </x:is>
      </x:c>
      <x:c r="K24" t="inlineStr">
        <x:is>
          <x:t xml:space="preserve">Norway</x:t>
        </x:is>
      </x:c>
      <x:c r="L24" t="inlineStr">
        <x:is>
          <x:t xml:space="preserve">Norwegian</x:t>
        </x:is>
      </x:c>
      <x:c r="N24" s="397" t="n"/>
      <x:c r="O24" t="inlineStr">
        <x:is>
          <x:t xml:space="preserve">Public authority</x:t>
        </x:is>
      </x:c>
      <x:c r="P24" t="inlineStr">
        <x:is>
          <x:t xml:space="preserve">Regulation</x:t>
        </x:is>
      </x:c>
      <x:c r="Q24" t="inlineStr">
        <x:is>
          <x:t xml:space="preserve">Primary normative</x:t>
        </x:is>
      </x:c>
      <x:c r="R24" s="42" t="inlineStr">
        <x:is>
          <x:t xml:space="preserve">Official regulation issued by Norwegian Ministry of Trade, Industry and Fisheries; included because it may impose binding requirements on an in-scope aquaculture asset, activity, permit or certification.</x:t>
        </x:is>
      </x:c>
      <x:c r="S24" t="inlineStr">
        <x:is>
          <x:t xml:space="preserve">HIGH</x:t>
        </x:is>
      </x:c>
      <x:c r="T24" t="inlineStr">
        <x:is>
          <x:t xml:space="preserve">MEDIUM</x:t>
        </x:is>
      </x:c>
      <x:c r="U24" t="inlineStr">
        <x:is>
          <x:t xml:space="preserve">HIGH</x:t>
        </x:is>
      </x:c>
      <x:c r="V24" t="inlineStr">
        <x:is>
          <x:t xml:space="preserve">HIGH</x:t>
        </x:is>
      </x:c>
      <x:c r="W24" t="inlineStr">
        <x:is>
          <x:t xml:space="preserve">HIGH</x:t>
        </x:is>
      </x:c>
      <x:c r="X24" t="inlineStr">
        <x:is>
          <x:t xml:space="preserve">HIGH</x:t>
        </x:is>
      </x:c>
      <x:c r="Y24" t="str">
        <x:f>IF(A24="","",IF(OR(J24="",AO24="",AP24="",AP24="UNVERIFIED",AND(AO24="OFFICIAL_WEBSITE",D24=""),AND(OR(P24="Equipment manual / OEM instruction",Q24="Asset-specific normative"),OR(O24&lt;&gt;"Manufacturer / supplier",AR24="",R24=""))),"PENDING",IF(COUNTIF(S24:W24,"LOW")&gt;0,"EXCLUDE",IF(COUNTIF(S24:W24,"MEDIUM")&gt;0,"PENDING",IF(COUNTIF(S24:W24,"HIGH")=5,"INCLUDE","PENDING")))))</x:f>
        <x:v>PENDING</x:v>
      </x:c>
      <x:c r="Z24" t="inlineStr">
        <x:is>
          <x:t xml:space="preserve">SUCCESS</x:t>
        </x:is>
      </x:c>
      <x:c r="AA24" s="398" t="n">
        <x:v>46262.53087962963</x:v>
      </x:c>
      <x:c r="AB24" s="398" t="n">
        <x:v>46262.53087962963</x:v>
      </x:c>
      <x:c r="AC24" s="398" t="inlineStr">
        <x:is>
          <x:t xml:space="preserve">INITIAL</x:t>
        </x:is>
      </x:c>
      <x:c r="AD24" s="398" t="inlineStr">
        <x:is>
          <x:t xml:space="preserve">AUTO</x:t>
        </x:is>
      </x:c>
      <x:c r="AE24" s="398" t="n">
        <x:f>IF(A24="","",IF(AD24="AUTO",AB24,IF(AD24="MANUAL",AF24,"")))</x:f>
        <x:v>46262.53087962963</x:v>
      </x:c>
      <x:c r="AF24" s="397" t="n"/>
      <x:c r="AH24" t="inlineStr">
        <x:is>
          <x:t xml:space="preserve">NONE</x:t>
        </x:is>
      </x:c>
      <x:c r="AI24" s="42" t="str"/>
      <x:c r="AJ24" t="str">
        <x:f>IF(OR(AL24&lt;&gt;"CURRENT",Y24="EXCLUDE"),"NO",IF(A24="","",IF(Z24="FAIL",IF(AND(AF24&lt;&gt;"",AF24&gt;=INT(AA24),I24="STORED",AD24="MANUAL",AG24&lt;&gt;""),"NO","YES"),IF(AND(AQ24="ROLLING",AC24="CHANGED"),IF(AND(AF24&lt;&gt;"",AF24&gt;=INT(IF(AB24&lt;&gt;"",AB24,AA24)),AG24&lt;&gt;""),"NO","YES"),"NO"))))</x:f>
        <x:v>NO</x:v>
      </x:c>
      <x:c r="AK24" t="inlineStr">
        <x:is>
          <x:t xml:space="preserve">2ab1905061a870af1b05ec9e1c8536e90157d00d70217305629365e4986c1918</x:t>
        </x:is>
      </x:c>
      <x:c r="AL24" t="inlineStr">
        <x:is>
          <x:t xml:space="preserve">CURRENT</x:t>
        </x:is>
      </x:c>
      <x:c r="AN24" s="42" t="inlineStr">
        <x:is>
          <x:t xml:space="preserve">Official expansion. Include only for land-based facilities.</x:t>
        </x:is>
      </x:c>
      <x:c r="AO24" t="inlineStr">
        <x:is>
          <x:t xml:space="preserve">OFFICIAL_WEBSITE</x:t>
        </x:is>
      </x:c>
      <x:c r="AP24" t="inlineStr">
        <x:is>
          <x:t xml:space="preserve">OFFICIAL_ORIGINAL</x:t>
        </x:is>
      </x:c>
      <x:c r="AQ24" t="inlineStr">
        <x:is>
          <x:t xml:space="preserve">ROLLING</x:t>
        </x:is>
      </x:c>
      <x:c r="AR24" s="42" t="str"/>
    </x:row>
    <x:row r="25" s="36" customFormat="1" ht="42" customHeight="1">
      <x:c r="A25" t="inlineStr">
        <x:is>
          <x:t xml:space="preserve">PA023</x:t>
        </x:is>
      </x:c>
      <x:c r="B25" t="inlineStr">
        <x:is>
          <x:t xml:space="preserve">PA023-001</x:t>
        </x:is>
      </x:c>
      <x:c r="C25" s="42" t="inlineStr">
        <x:is>
          <x:t xml:space="preserve">Nature Diversity Act</x:t>
        </x:is>
      </x:c>
      <x:c r="D25" s="669" t="inlineStr">
        <x:is>
          <x:t xml:space="preserve">https://lovdata.no/dokument/NL/lov/2009-06-19-100</x:t>
        </x:is>
      </x:c>
      <x:c r="E25" s="669" t="inlineStr">
        <x:is>
          <x:t xml:space="preserve">https://lovdata.no/dokument/NL/lov/2009-06-19-100</x:t>
        </x:is>
      </x:c>
      <x:c r="F25" t="inlineStr">
        <x:is>
          <x:t xml:space="preserve">A_Public_Authority</x:t>
        </x:is>
      </x:c>
      <x:c r="G25" t="inlineStr">
        <x:is>
          <x:t xml:space="preserve">html</x:t>
        </x:is>
      </x:c>
      <x:c r="H25" t="inlineStr">
        <x:is>
          <x:t xml:space="preserve">PA023-001_Nature_Diversity_Act.html</x:t>
        </x:is>
      </x:c>
      <x:c r="I25" t="inlineStr">
        <x:is>
          <x:t xml:space="preserve">STORED</x:t>
        </x:is>
      </x:c>
      <x:c r="J25" t="inlineStr">
        <x:is>
          <x:t xml:space="preserve">Norwegian Ministry of Climate and Environment</x:t>
        </x:is>
      </x:c>
      <x:c r="K25" t="inlineStr">
        <x:is>
          <x:t xml:space="preserve">Norway</x:t>
        </x:is>
      </x:c>
      <x:c r="L25" t="inlineStr">
        <x:is>
          <x:t xml:space="preserve">Norwegian</x:t>
        </x:is>
      </x:c>
      <x:c r="N25" s="397" t="n"/>
      <x:c r="O25" t="inlineStr">
        <x:is>
          <x:t xml:space="preserve">Public authority</x:t>
        </x:is>
      </x:c>
      <x:c r="P25" t="inlineStr">
        <x:is>
          <x:t xml:space="preserve">Law</x:t>
        </x:is>
      </x:c>
      <x:c r="Q25" t="inlineStr">
        <x:is>
          <x:t xml:space="preserve">Referenced normative</x:t>
        </x:is>
      </x:c>
      <x:c r="R25" s="42" t="inlineStr">
        <x:is>
          <x:t xml:space="preserve">Official referenced source from Norwegian Ministry of Climate and Environment; included because an applicable law, permit or certification scheme may make its provisions binding within the approved scope.</x:t>
        </x:is>
      </x:c>
      <x:c r="S25" t="inlineStr">
        <x:is>
          <x:t xml:space="preserve">HIGH</x:t>
        </x:is>
      </x:c>
      <x:c r="T25" t="inlineStr">
        <x:is>
          <x:t xml:space="preserve">HIGH</x:t>
        </x:is>
      </x:c>
      <x:c r="U25" t="inlineStr">
        <x:is>
          <x:t xml:space="preserve">HIGH</x:t>
        </x:is>
      </x:c>
      <x:c r="V25" t="inlineStr">
        <x:is>
          <x:t xml:space="preserve">HIGH</x:t>
        </x:is>
      </x:c>
      <x:c r="W25" t="inlineStr">
        <x:is>
          <x:t xml:space="preserve">HIGH</x:t>
        </x:is>
      </x:c>
      <x:c r="X25" t="inlineStr">
        <x:is>
          <x:t xml:space="preserve">HIGH</x:t>
        </x:is>
      </x:c>
      <x:c r="Y25" t="str">
        <x:f>IF(A25="","",IF(OR(J25="",AO25="",AP25="",AP25="UNVERIFIED",AND(AO25="OFFICIAL_WEBSITE",D25=""),AND(OR(P25="Equipment manual / OEM instruction",Q25="Asset-specific normative"),OR(O25&lt;&gt;"Manufacturer / supplier",AR25="",R25=""))),"PENDING",IF(COUNTIF(S25:W25,"LOW")&gt;0,"EXCLUDE",IF(COUNTIF(S25:W25,"MEDIUM")&gt;0,"PENDING",IF(COUNTIF(S25:W25,"HIGH")=5,"INCLUDE","PENDING")))))</x:f>
        <x:v>INCLUDE</x:v>
      </x:c>
      <x:c r="Z25" t="inlineStr">
        <x:is>
          <x:t xml:space="preserve">SUCCESS</x:t>
        </x:is>
      </x:c>
      <x:c r="AA25" s="398" t="n">
        <x:v>46262.53087962963</x:v>
      </x:c>
      <x:c r="AB25" s="398" t="n">
        <x:v>46262.53087962963</x:v>
      </x:c>
      <x:c r="AC25" s="398" t="inlineStr">
        <x:is>
          <x:t xml:space="preserve">INITIAL</x:t>
        </x:is>
      </x:c>
      <x:c r="AD25" s="398" t="inlineStr">
        <x:is>
          <x:t xml:space="preserve">AUTO</x:t>
        </x:is>
      </x:c>
      <x:c r="AE25" s="398" t="n">
        <x:f>IF(A25="","",IF(AD25="AUTO",AB25,IF(AD25="MANUAL",AF25,"")))</x:f>
        <x:v>46262.53087962963</x:v>
      </x:c>
      <x:c r="AF25" s="397" t="n"/>
      <x:c r="AH25" t="inlineStr">
        <x:is>
          <x:t xml:space="preserve">NONE</x:t>
        </x:is>
      </x:c>
      <x:c r="AI25" s="42" t="str"/>
      <x:c r="AJ25" t="str">
        <x:f>IF(OR(AL25&lt;&gt;"CURRENT",Y25="EXCLUDE"),"NO",IF(A25="","",IF(Z25="FAIL",IF(AND(AF25&lt;&gt;"",AF25&gt;=INT(AA25),I25="STORED",AD25="MANUAL",AG25&lt;&gt;""),"NO","YES"),IF(AND(AQ25="ROLLING",AC25="CHANGED"),IF(AND(AF25&lt;&gt;"",AF25&gt;=INT(IF(AB25&lt;&gt;"",AB25,AA25)),AG25&lt;&gt;""),"NO","YES"),"NO"))))</x:f>
        <x:v>NO</x:v>
      </x:c>
      <x:c r="AK25" t="inlineStr">
        <x:is>
          <x:t xml:space="preserve">3eb19d6be728a20e51a80ac13993de88c500c707580fa4b5eed19495d4871042</x:t>
        </x:is>
      </x:c>
      <x:c r="AL25" t="inlineStr">
        <x:is>
          <x:t xml:space="preserve">CURRENT</x:t>
        </x:is>
      </x:c>
      <x:c r="AN25" s="42" t="inlineStr">
        <x:is>
          <x:t xml:space="preserve">Official expansion from environmental authority guidance; often relevant to permitting decisions and environmental assessment.</x:t>
        </x:is>
      </x:c>
      <x:c r="AO25" t="inlineStr">
        <x:is>
          <x:t xml:space="preserve">OFFICIAL_WEBSITE</x:t>
        </x:is>
      </x:c>
      <x:c r="AP25" t="inlineStr">
        <x:is>
          <x:t xml:space="preserve">OFFICIAL_ORIGINAL</x:t>
        </x:is>
      </x:c>
      <x:c r="AQ25" t="inlineStr">
        <x:is>
          <x:t xml:space="preserve">ROLLING</x:t>
        </x:is>
      </x:c>
      <x:c r="AR25" s="42" t="str"/>
    </x:row>
    <x:row r="26" s="36" customFormat="1" ht="42" customHeight="1">
      <x:c r="A26" t="inlineStr">
        <x:is>
          <x:t xml:space="preserve">PA024</x:t>
        </x:is>
      </x:c>
      <x:c r="B26" t="inlineStr">
        <x:is>
          <x:t xml:space="preserve">PA024-001</x:t>
        </x:is>
      </x:c>
      <x:c r="C26" s="42" t="inlineStr">
        <x:is>
          <x:t xml:space="preserve">Fiskeridirektoratet guidance to NYTEK23</x:t>
        </x:is>
      </x:c>
      <x:c r="D26" s="669" t="inlineStr">
        <x:is>
          <x:t xml:space="preserve">https://www.fiskeridir.no/akvakultur/veiledere/veileder-til-nytek23</x:t>
        </x:is>
      </x:c>
      <x:c r="E26" s="669" t="inlineStr">
        <x:is>
          <x:t xml:space="preserve">https://www.fiskeridir.no/akvakultur/veiledere/veileder-til-nytek23</x:t>
        </x:is>
      </x:c>
      <x:c r="F26" t="inlineStr">
        <x:is>
          <x:t xml:space="preserve">A_Public_Authority</x:t>
        </x:is>
      </x:c>
      <x:c r="G26" t="inlineStr">
        <x:is>
          <x:t xml:space="preserve">html</x:t>
        </x:is>
      </x:c>
      <x:c r="H26" t="inlineStr">
        <x:is>
          <x:t xml:space="preserve">PA024-001_Fiskeridirektoratet_guidance_to_NYTEK23.html</x:t>
        </x:is>
      </x:c>
      <x:c r="I26" t="inlineStr">
        <x:is>
          <x:t xml:space="preserve">STORED</x:t>
        </x:is>
      </x:c>
      <x:c r="J26" t="inlineStr">
        <x:is>
          <x:t xml:space="preserve">Norwegian Directorate of Fisheries</x:t>
        </x:is>
      </x:c>
      <x:c r="K26" t="inlineStr">
        <x:is>
          <x:t xml:space="preserve">Norway</x:t>
        </x:is>
      </x:c>
      <x:c r="L26" t="inlineStr">
        <x:is>
          <x:t xml:space="preserve">Norwegian</x:t>
        </x:is>
      </x:c>
      <x:c r="N26" s="397" t="n"/>
      <x:c r="O26" t="inlineStr">
        <x:is>
          <x:t xml:space="preserve">Public authority</x:t>
        </x:is>
      </x:c>
      <x:c r="P26" t="inlineStr">
        <x:is>
          <x:t xml:space="preserve">Interpretation document</x:t>
        </x:is>
      </x:c>
      <x:c r="Q26" t="inlineStr">
        <x:is>
          <x:t xml:space="preserve">Guidance / interpretation</x:t>
        </x:is>
      </x:c>
      <x:c r="R26" s="42" t="inlineStr">
        <x:is>
          <x:t xml:space="preserve">Official guidance from Norwegian Directorate of Fisheries; included to interpret and operationalise linked normative requirements, not as independent legal or certification authority.</x:t>
        </x:is>
      </x:c>
      <x:c r="S26" t="inlineStr">
        <x:is>
          <x:t xml:space="preserve">HIGH</x:t>
        </x:is>
      </x:c>
      <x:c r="T26" t="inlineStr">
        <x:is>
          <x:t xml:space="preserve">HIGH</x:t>
        </x:is>
      </x:c>
      <x:c r="U26" t="inlineStr">
        <x:is>
          <x:t xml:space="preserve">HIGH</x:t>
        </x:is>
      </x:c>
      <x:c r="V26" t="inlineStr">
        <x:is>
          <x:t xml:space="preserve">HIGH</x:t>
        </x:is>
      </x:c>
      <x:c r="W26" t="inlineStr">
        <x:is>
          <x:t xml:space="preserve">HIGH</x:t>
        </x:is>
      </x:c>
      <x:c r="X26" t="inlineStr">
        <x:is>
          <x:t xml:space="preserve">HIGH</x:t>
        </x:is>
      </x:c>
      <x:c r="Y26" t="str">
        <x:f>IF(A26="","",IF(OR(J26="",AO26="",AP26="",AP26="UNVERIFIED",AND(AO26="OFFICIAL_WEBSITE",D26=""),AND(OR(P26="Equipment manual / OEM instruction",Q26="Asset-specific normative"),OR(O26&lt;&gt;"Manufacturer / supplier",AR26="",R26=""))),"PENDING",IF(COUNTIF(S26:W26,"LOW")&gt;0,"EXCLUDE",IF(COUNTIF(S26:W26,"MEDIUM")&gt;0,"PENDING",IF(COUNTIF(S26:W26,"HIGH")=5,"INCLUDE","PENDING")))))</x:f>
        <x:v>INCLUDE</x:v>
      </x:c>
      <x:c r="Z26" t="inlineStr">
        <x:is>
          <x:t xml:space="preserve">SUCCESS</x:t>
        </x:is>
      </x:c>
      <x:c r="AA26" s="398" t="n">
        <x:v>46262.53087962963</x:v>
      </x:c>
      <x:c r="AB26" s="398" t="n">
        <x:v>46262.53089120371</x:v>
      </x:c>
      <x:c r="AC26" s="398" t="inlineStr">
        <x:is>
          <x:t xml:space="preserve">INITIAL</x:t>
        </x:is>
      </x:c>
      <x:c r="AD26" s="398" t="inlineStr">
        <x:is>
          <x:t xml:space="preserve">AUTO</x:t>
        </x:is>
      </x:c>
      <x:c r="AE26" s="398" t="n">
        <x:f>IF(A26="","",IF(AD26="AUTO",AB26,IF(AD26="MANUAL",AF26,"")))</x:f>
        <x:v>46262.53089120371</x:v>
      </x:c>
      <x:c r="AF26" s="397" t="n"/>
      <x:c r="AH26" t="inlineStr">
        <x:is>
          <x:t xml:space="preserve">NONE</x:t>
        </x:is>
      </x:c>
      <x:c r="AI26" s="42" t="str"/>
      <x:c r="AJ26" t="str">
        <x:f>IF(OR(AL26&lt;&gt;"CURRENT",Y26="EXCLUDE"),"NO",IF(A26="","",IF(Z26="FAIL",IF(AND(AF26&lt;&gt;"",AF26&gt;=INT(AA26),I26="STORED",AD26="MANUAL",AG26&lt;&gt;""),"NO","YES"),IF(AND(AQ26="ROLLING",AC26="CHANGED"),IF(AND(AF26&lt;&gt;"",AF26&gt;=INT(IF(AB26&lt;&gt;"",AB26,AA26)),AG26&lt;&gt;""),"NO","YES"),"NO"))))</x:f>
        <x:v>NO</x:v>
      </x:c>
      <x:c r="AK26" t="inlineStr">
        <x:is>
          <x:t xml:space="preserve">e331c25d9cf82bf550a1e76076c3ad72ef36a37c8f04ca6b17d52d556753c375</x:t>
        </x:is>
      </x:c>
      <x:c r="AL26" t="inlineStr">
        <x:is>
          <x:t xml:space="preserve">CURRENT</x:t>
        </x:is>
      </x:c>
      <x:c r="AM26" t="inlineStr">
        <x:is>
          <x:t xml:space="preserve">PA004</x:t>
        </x:is>
      </x:c>
      <x:c r="AN26" s="42" t="inlineStr">
        <x:is>
          <x:t xml:space="preserve">Official guidance. It supports interpretation but does not replace PA004 or referenced standards.</x:t>
        </x:is>
      </x:c>
      <x:c r="AO26" t="inlineStr">
        <x:is>
          <x:t xml:space="preserve">OFFICIAL_WEBSITE</x:t>
        </x:is>
      </x:c>
      <x:c r="AP26" t="inlineStr">
        <x:is>
          <x:t xml:space="preserve">OFFICIAL_ORIGINAL</x:t>
        </x:is>
      </x:c>
      <x:c r="AQ26" t="inlineStr">
        <x:is>
          <x:t xml:space="preserve">ROLLING</x:t>
        </x:is>
      </x:c>
      <x:c r="AR26" s="42" t="str"/>
    </x:row>
    <x:row r="27" s="36" customFormat="1" ht="42" customHeight="1">
      <x:c r="A27" t="inlineStr">
        <x:is>
          <x:t xml:space="preserve">PA025</x:t>
        </x:is>
      </x:c>
      <x:c r="B27" t="inlineStr">
        <x:is>
          <x:t xml:space="preserve">PA025-001</x:t>
        </x:is>
      </x:c>
      <x:c r="C27" s="42" t="inlineStr">
        <x:is>
          <x:t xml:space="preserve">Guidance on holistic risk management in aquaculture</x:t>
        </x:is>
      </x:c>
      <x:c r="D27" s="669" t="inlineStr">
        <x:is>
          <x:t xml:space="preserve">https://www.fiskeridir.no/akvakultur/veiledere/veileder-helhetlig-risikostyring-innen-akvakultur</x:t>
        </x:is>
      </x:c>
      <x:c r="E27" s="669" t="inlineStr">
        <x:is>
          <x:t xml:space="preserve">https://www.fiskeridir.no/akvakultur/veiledere/veileder-helhetlig-risikostyring-innen-akvakultur</x:t>
        </x:is>
      </x:c>
      <x:c r="F27" t="inlineStr">
        <x:is>
          <x:t xml:space="preserve">A_Public_Authority</x:t>
        </x:is>
      </x:c>
      <x:c r="G27" t="inlineStr">
        <x:is>
          <x:t xml:space="preserve">html</x:t>
        </x:is>
      </x:c>
      <x:c r="H27" t="inlineStr">
        <x:is>
          <x:t xml:space="preserve">PA025-001_Guidance_on_holistic_risk_management_in_aquaculture.html</x:t>
        </x:is>
      </x:c>
      <x:c r="I27" t="inlineStr">
        <x:is>
          <x:t xml:space="preserve">STORED</x:t>
        </x:is>
      </x:c>
      <x:c r="J27" t="inlineStr">
        <x:is>
          <x:t xml:space="preserve">Norwegian Directorate of Fisheries</x:t>
        </x:is>
      </x:c>
      <x:c r="K27" t="inlineStr">
        <x:is>
          <x:t xml:space="preserve">Norway</x:t>
        </x:is>
      </x:c>
      <x:c r="L27" t="inlineStr">
        <x:is>
          <x:t xml:space="preserve">Norwegian</x:t>
        </x:is>
      </x:c>
      <x:c r="N27" s="397" t="n"/>
      <x:c r="O27" t="inlineStr">
        <x:is>
          <x:t xml:space="preserve">Public authority</x:t>
        </x:is>
      </x:c>
      <x:c r="P27" t="inlineStr">
        <x:is>
          <x:t xml:space="preserve">Interpretation document</x:t>
        </x:is>
      </x:c>
      <x:c r="Q27" t="inlineStr">
        <x:is>
          <x:t xml:space="preserve">Guidance / interpretation</x:t>
        </x:is>
      </x:c>
      <x:c r="R27" s="42" t="inlineStr">
        <x:is>
          <x:t xml:space="preserve">Official guidance from Norwegian Directorate of Fisheries; included to interpret and operationalise linked normative requirements, not as independent legal or certification authority.</x:t>
        </x:is>
      </x:c>
      <x:c r="S27" t="inlineStr">
        <x:is>
          <x:t xml:space="preserve">HIGH</x:t>
        </x:is>
      </x:c>
      <x:c r="T27" t="inlineStr">
        <x:is>
          <x:t xml:space="preserve">HIGH</x:t>
        </x:is>
      </x:c>
      <x:c r="U27" t="inlineStr">
        <x:is>
          <x:t xml:space="preserve">HIGH</x:t>
        </x:is>
      </x:c>
      <x:c r="V27" t="inlineStr">
        <x:is>
          <x:t xml:space="preserve">HIGH</x:t>
        </x:is>
      </x:c>
      <x:c r="W27" t="inlineStr">
        <x:is>
          <x:t xml:space="preserve">HIGH</x:t>
        </x:is>
      </x:c>
      <x:c r="X27" t="inlineStr">
        <x:is>
          <x:t xml:space="preserve">HIGH</x:t>
        </x:is>
      </x:c>
      <x:c r="Y27" t="str">
        <x:f>IF(A27="","",IF(OR(J27="",AO27="",AP27="",AP27="UNVERIFIED",AND(AO27="OFFICIAL_WEBSITE",D27=""),AND(OR(P27="Equipment manual / OEM instruction",Q27="Asset-specific normative"),OR(O27&lt;&gt;"Manufacturer / supplier",AR27="",R27=""))),"PENDING",IF(COUNTIF(S27:W27,"LOW")&gt;0,"EXCLUDE",IF(COUNTIF(S27:W27,"MEDIUM")&gt;0,"PENDING",IF(COUNTIF(S27:W27,"HIGH")=5,"INCLUDE","PENDING")))))</x:f>
        <x:v>INCLUDE</x:v>
      </x:c>
      <x:c r="Z27" t="inlineStr">
        <x:is>
          <x:t xml:space="preserve">SUCCESS</x:t>
        </x:is>
      </x:c>
      <x:c r="AA27" s="398" t="n">
        <x:v>46262.53090277778</x:v>
      </x:c>
      <x:c r="AB27" s="398" t="n">
        <x:v>46262.53090277778</x:v>
      </x:c>
      <x:c r="AC27" s="398" t="inlineStr">
        <x:is>
          <x:t xml:space="preserve">INITIAL</x:t>
        </x:is>
      </x:c>
      <x:c r="AD27" s="398" t="inlineStr">
        <x:is>
          <x:t xml:space="preserve">AUTO</x:t>
        </x:is>
      </x:c>
      <x:c r="AE27" s="398" t="n">
        <x:f>IF(A27="","",IF(AD27="AUTO",AB27,IF(AD27="MANUAL",AF27,"")))</x:f>
        <x:v>46262.53090277778</x:v>
      </x:c>
      <x:c r="AF27" s="397" t="n"/>
      <x:c r="AH27" t="inlineStr">
        <x:is>
          <x:t xml:space="preserve">NONE</x:t>
        </x:is>
      </x:c>
      <x:c r="AI27" s="42" t="str"/>
      <x:c r="AJ27" t="str">
        <x:f>IF(OR(AL27&lt;&gt;"CURRENT",Y27="EXCLUDE"),"NO",IF(A27="","",IF(Z27="FAIL",IF(AND(AF27&lt;&gt;"",AF27&gt;=INT(AA27),I27="STORED",AD27="MANUAL",AG27&lt;&gt;""),"NO","YES"),IF(AND(AQ27="ROLLING",AC27="CHANGED"),IF(AND(AF27&lt;&gt;"",AF27&gt;=INT(IF(AB27&lt;&gt;"",AB27,AA27)),AG27&lt;&gt;""),"NO","YES"),"NO"))))</x:f>
        <x:v>NO</x:v>
      </x:c>
      <x:c r="AK27" t="inlineStr">
        <x:is>
          <x:t xml:space="preserve">6b02f98209cd66f8d09b279dd0ba86c8cf84324e5d65599ca0c476490d10c801</x:t>
        </x:is>
      </x:c>
      <x:c r="AL27" t="inlineStr">
        <x:is>
          <x:t xml:space="preserve">CURRENT</x:t>
        </x:is>
      </x:c>
      <x:c r="AM27" t="inlineStr">
        <x:is>
          <x:t xml:space="preserve">PA016</x:t>
        </x:is>
      </x:c>
      <x:c r="AN27" s="42" t="inlineStr">
        <x:is>
          <x:t xml:space="preserve">Official expansion source map. Useful for discovery and interpretation; not independently normative.</x:t>
        </x:is>
      </x:c>
      <x:c r="AO27" t="inlineStr">
        <x:is>
          <x:t xml:space="preserve">OFFICIAL_WEBSITE</x:t>
        </x:is>
      </x:c>
      <x:c r="AP27" t="inlineStr">
        <x:is>
          <x:t xml:space="preserve">OFFICIAL_ORIGINAL</x:t>
        </x:is>
      </x:c>
      <x:c r="AQ27" t="inlineStr">
        <x:is>
          <x:t xml:space="preserve">ROLLING</x:t>
        </x:is>
      </x:c>
      <x:c r="AR27" s="42" t="str"/>
    </x:row>
    <x:row r="28" s="36" customFormat="1" ht="42" customHeight="1">
      <x:c r="A28" t="inlineStr">
        <x:is>
          <x:t xml:space="preserve">PA026</x:t>
        </x:is>
      </x:c>
      <x:c r="B28" t="inlineStr">
        <x:is>
          <x:t xml:space="preserve">PA026-001</x:t>
        </x:is>
      </x:c>
      <x:c r="C28" s="42" t="inlineStr">
        <x:is>
          <x:t xml:space="preserve">Environmental authority guidance on aquaculture pollution management</x:t>
        </x:is>
      </x:c>
      <x:c r="D28" s="669" t="inlineStr">
        <x:is>
          <x:t xml:space="preserve">https://www.miljodirektoratet.no/ansvarsomrader/forurensning/akvakultur/akvakultur-forvaltning/</x:t>
        </x:is>
      </x:c>
      <x:c r="E28" s="669" t="inlineStr">
        <x:is>
          <x:t xml:space="preserve">https://www.miljodirektoratet.no/ansvarsomrader/forurensning/akvakultur/akvakultur-forvaltning/</x:t>
        </x:is>
      </x:c>
      <x:c r="F28" t="inlineStr">
        <x:is>
          <x:t xml:space="preserve">A_Public_Authority</x:t>
        </x:is>
      </x:c>
      <x:c r="G28" t="inlineStr">
        <x:is>
          <x:t xml:space="preserve">html</x:t>
        </x:is>
      </x:c>
      <x:c r="H28" t="inlineStr">
        <x:is>
          <x:t xml:space="preserve">PA026-001_Environmental_authority_guidance_on_aquaculture_pollution_management.html</x:t>
        </x:is>
      </x:c>
      <x:c r="I28" t="inlineStr">
        <x:is>
          <x:t xml:space="preserve">STORED</x:t>
        </x:is>
      </x:c>
      <x:c r="J28" t="inlineStr">
        <x:is>
          <x:t xml:space="preserve">Norwegian Environment Agency</x:t>
        </x:is>
      </x:c>
      <x:c r="K28" t="inlineStr">
        <x:is>
          <x:t xml:space="preserve">Norway</x:t>
        </x:is>
      </x:c>
      <x:c r="L28" t="inlineStr">
        <x:is>
          <x:t xml:space="preserve">Norwegian</x:t>
        </x:is>
      </x:c>
      <x:c r="N28" s="397" t="n"/>
      <x:c r="O28" t="inlineStr">
        <x:is>
          <x:t xml:space="preserve">Public authority</x:t>
        </x:is>
      </x:c>
      <x:c r="P28" t="inlineStr">
        <x:is>
          <x:t xml:space="preserve">Interpretation document</x:t>
        </x:is>
      </x:c>
      <x:c r="Q28" t="inlineStr">
        <x:is>
          <x:t xml:space="preserve">Guidance / interpretation</x:t>
        </x:is>
      </x:c>
      <x:c r="R28" s="42" t="inlineStr">
        <x:is>
          <x:t xml:space="preserve">Official guidance from Norwegian Environment Agency; included to interpret and operationalise linked normative requirements, not as independent legal or certification authority.</x:t>
        </x:is>
      </x:c>
      <x:c r="S28" t="inlineStr">
        <x:is>
          <x:t xml:space="preserve">HIGH</x:t>
        </x:is>
      </x:c>
      <x:c r="T28" t="inlineStr">
        <x:is>
          <x:t xml:space="preserve">HIGH</x:t>
        </x:is>
      </x:c>
      <x:c r="U28" t="inlineStr">
        <x:is>
          <x:t xml:space="preserve">HIGH</x:t>
        </x:is>
      </x:c>
      <x:c r="V28" t="inlineStr">
        <x:is>
          <x:t xml:space="preserve">HIGH</x:t>
        </x:is>
      </x:c>
      <x:c r="W28" t="inlineStr">
        <x:is>
          <x:t xml:space="preserve">HIGH</x:t>
        </x:is>
      </x:c>
      <x:c r="X28" t="inlineStr">
        <x:is>
          <x:t xml:space="preserve">HIGH</x:t>
        </x:is>
      </x:c>
      <x:c r="Y28" t="str">
        <x:f>IF(A28="","",IF(OR(J28="",AO28="",AP28="",AP28="UNVERIFIED",AND(AO28="OFFICIAL_WEBSITE",D28=""),AND(OR(P28="Equipment manual / OEM instruction",Q28="Asset-specific normative"),OR(O28&lt;&gt;"Manufacturer / supplier",AR28="",R28=""))),"PENDING",IF(COUNTIF(S28:W28,"LOW")&gt;0,"EXCLUDE",IF(COUNTIF(S28:W28,"MEDIUM")&gt;0,"PENDING",IF(COUNTIF(S28:W28,"HIGH")=5,"INCLUDE","PENDING")))))</x:f>
        <x:v>INCLUDE</x:v>
      </x:c>
      <x:c r="Z28" t="inlineStr">
        <x:is>
          <x:t xml:space="preserve">SUCCESS</x:t>
        </x:is>
      </x:c>
      <x:c r="AA28" s="398" t="n">
        <x:v>46262.53090277778</x:v>
      </x:c>
      <x:c r="AB28" s="398" t="n">
        <x:v>46262.53090277778</x:v>
      </x:c>
      <x:c r="AC28" s="398" t="inlineStr">
        <x:is>
          <x:t xml:space="preserve">INITIAL</x:t>
        </x:is>
      </x:c>
      <x:c r="AD28" s="398" t="inlineStr">
        <x:is>
          <x:t xml:space="preserve">AUTO</x:t>
        </x:is>
      </x:c>
      <x:c r="AE28" s="398" t="n">
        <x:f>IF(A28="","",IF(AD28="AUTO",AB28,IF(AD28="MANUAL",AF28,"")))</x:f>
        <x:v>46262.53090277778</x:v>
      </x:c>
      <x:c r="AF28" s="397" t="n"/>
      <x:c r="AH28" t="inlineStr">
        <x:is>
          <x:t xml:space="preserve">NONE</x:t>
        </x:is>
      </x:c>
      <x:c r="AI28" s="42" t="str"/>
      <x:c r="AJ28" t="str">
        <x:f>IF(OR(AL28&lt;&gt;"CURRENT",Y28="EXCLUDE"),"NO",IF(A28="","",IF(Z28="FAIL",IF(AND(AF28&lt;&gt;"",AF28&gt;=INT(AA28),I28="STORED",AD28="MANUAL",AG28&lt;&gt;""),"NO","YES"),IF(AND(AQ28="ROLLING",AC28="CHANGED"),IF(AND(AF28&lt;&gt;"",AF28&gt;=INT(IF(AB28&lt;&gt;"",AB28,AA28)),AG28&lt;&gt;""),"NO","YES"),"NO"))))</x:f>
        <x:v>NO</x:v>
      </x:c>
      <x:c r="AK28" t="inlineStr">
        <x:is>
          <x:t xml:space="preserve">b21a5486fb976b28eaab6a693a453e5e39ccf551e5b0fe3dbfc376f923b028a1</x:t>
        </x:is>
      </x:c>
      <x:c r="AL28" t="inlineStr">
        <x:is>
          <x:t xml:space="preserve">CURRENT</x:t>
        </x:is>
      </x:c>
      <x:c r="AM28" t="inlineStr">
        <x:is>
          <x:t xml:space="preserve">PA007</x:t>
        </x:is>
      </x:c>
      <x:c r="AN28" s="42" t="inlineStr">
        <x:is>
          <x:t xml:space="preserve">Official expansion. Identifies pollution-law, permit and monitoring relationships.</x:t>
        </x:is>
      </x:c>
      <x:c r="AO28" t="inlineStr">
        <x:is>
          <x:t xml:space="preserve">OFFICIAL_WEBSITE</x:t>
        </x:is>
      </x:c>
      <x:c r="AP28" t="inlineStr">
        <x:is>
          <x:t xml:space="preserve">OFFICIAL_ORIGINAL</x:t>
        </x:is>
      </x:c>
      <x:c r="AQ28" t="inlineStr">
        <x:is>
          <x:t xml:space="preserve">ROLLING</x:t>
        </x:is>
      </x:c>
      <x:c r="AR28" s="42" t="str"/>
    </x:row>
    <x:row r="29" s="36" customFormat="1" ht="42" customHeight="1">
      <x:c r="A29" t="inlineStr">
        <x:is>
          <x:t xml:space="preserve">PA027</x:t>
        </x:is>
      </x:c>
      <x:c r="B29" t="inlineStr">
        <x:is>
          <x:t xml:space="preserve">PA027-001</x:t>
        </x:is>
      </x:c>
      <x:c r="C29" s="42" t="inlineStr">
        <x:is>
          <x:t xml:space="preserve">Mattilsynet fish welfare guidance hub</x:t>
        </x:is>
      </x:c>
      <x:c r="D29" s="669" t="inlineStr">
        <x:is>
          <x:t xml:space="preserve">https://www.mattilsynet.no/fisk-og-akvakultur/fiskevelferd</x:t>
        </x:is>
      </x:c>
      <x:c r="E29" s="669" t="inlineStr">
        <x:is>
          <x:t xml:space="preserve">https://www.mattilsynet.no/fisk-og-akvakultur/fiskevelferd</x:t>
        </x:is>
      </x:c>
      <x:c r="F29" t="inlineStr">
        <x:is>
          <x:t xml:space="preserve">A_Public_Authority</x:t>
        </x:is>
      </x:c>
      <x:c r="G29" t="inlineStr">
        <x:is>
          <x:t xml:space="preserve">html</x:t>
        </x:is>
      </x:c>
      <x:c r="H29" t="inlineStr">
        <x:is>
          <x:t xml:space="preserve">PA027-001_Mattilsynet_fish_welfare_guidance_hub.html</x:t>
        </x:is>
      </x:c>
      <x:c r="I29" t="inlineStr">
        <x:is>
          <x:t xml:space="preserve">STORED</x:t>
        </x:is>
      </x:c>
      <x:c r="J29" t="inlineStr">
        <x:is>
          <x:t xml:space="preserve">Norwegian Food Safety Authority</x:t>
        </x:is>
      </x:c>
      <x:c r="K29" t="inlineStr">
        <x:is>
          <x:t xml:space="preserve">Norway</x:t>
        </x:is>
      </x:c>
      <x:c r="L29" t="inlineStr">
        <x:is>
          <x:t xml:space="preserve">Norwegian</x:t>
        </x:is>
      </x:c>
      <x:c r="N29" s="397" t="n"/>
      <x:c r="O29" t="inlineStr">
        <x:is>
          <x:t xml:space="preserve">Public authority</x:t>
        </x:is>
      </x:c>
      <x:c r="P29" t="inlineStr">
        <x:is>
          <x:t xml:space="preserve">Interpretation document</x:t>
        </x:is>
      </x:c>
      <x:c r="Q29" t="inlineStr">
        <x:is>
          <x:t xml:space="preserve">Guidance / interpretation</x:t>
        </x:is>
      </x:c>
      <x:c r="R29" s="42" t="inlineStr">
        <x:is>
          <x:t xml:space="preserve">Official guidance from Norwegian Food Safety Authority; included to interpret and operationalise linked normative requirements, not as independent legal or certification authority.</x:t>
        </x:is>
      </x:c>
      <x:c r="S29" t="inlineStr">
        <x:is>
          <x:t xml:space="preserve">HIGH</x:t>
        </x:is>
      </x:c>
      <x:c r="T29" t="inlineStr">
        <x:is>
          <x:t xml:space="preserve">HIGH</x:t>
        </x:is>
      </x:c>
      <x:c r="U29" t="inlineStr">
        <x:is>
          <x:t xml:space="preserve">HIGH</x:t>
        </x:is>
      </x:c>
      <x:c r="V29" t="inlineStr">
        <x:is>
          <x:t xml:space="preserve">HIGH</x:t>
        </x:is>
      </x:c>
      <x:c r="W29" t="inlineStr">
        <x:is>
          <x:t xml:space="preserve">HIGH</x:t>
        </x:is>
      </x:c>
      <x:c r="X29" t="inlineStr">
        <x:is>
          <x:t xml:space="preserve">HIGH</x:t>
        </x:is>
      </x:c>
      <x:c r="Y29" t="str">
        <x:f>IF(A29="","",IF(OR(J29="",AO29="",AP29="",AP29="UNVERIFIED",AND(AO29="OFFICIAL_WEBSITE",D29=""),AND(OR(P29="Equipment manual / OEM instruction",Q29="Asset-specific normative"),OR(O29&lt;&gt;"Manufacturer / supplier",AR29="",R29=""))),"PENDING",IF(COUNTIF(S29:W29,"LOW")&gt;0,"EXCLUDE",IF(COUNTIF(S29:W29,"MEDIUM")&gt;0,"PENDING",IF(COUNTIF(S29:W29,"HIGH")=5,"INCLUDE","PENDING")))))</x:f>
        <x:v>INCLUDE</x:v>
      </x:c>
      <x:c r="Z29" t="inlineStr">
        <x:is>
          <x:t xml:space="preserve">SUCCESS</x:t>
        </x:is>
      </x:c>
      <x:c r="AA29" s="398" t="n">
        <x:v>46262.53090277778</x:v>
      </x:c>
      <x:c r="AB29" s="398" t="n">
        <x:v>46262.53091435185</x:v>
      </x:c>
      <x:c r="AC29" s="398" t="inlineStr">
        <x:is>
          <x:t xml:space="preserve">INITIAL</x:t>
        </x:is>
      </x:c>
      <x:c r="AD29" s="398" t="inlineStr">
        <x:is>
          <x:t xml:space="preserve">AUTO</x:t>
        </x:is>
      </x:c>
      <x:c r="AE29" s="398" t="n">
        <x:f>IF(A29="","",IF(AD29="AUTO",AB29,IF(AD29="MANUAL",AF29,"")))</x:f>
        <x:v>46262.53091435185</x:v>
      </x:c>
      <x:c r="AF29" s="397" t="n"/>
      <x:c r="AH29" t="inlineStr">
        <x:is>
          <x:t xml:space="preserve">NONE</x:t>
        </x:is>
      </x:c>
      <x:c r="AI29" s="42" t="str"/>
      <x:c r="AJ29" t="str">
        <x:f>IF(OR(AL29&lt;&gt;"CURRENT",Y29="EXCLUDE"),"NO",IF(A29="","",IF(Z29="FAIL",IF(AND(AF29&lt;&gt;"",AF29&gt;=INT(AA29),I29="STORED",AD29="MANUAL",AG29&lt;&gt;""),"NO","YES"),IF(AND(AQ29="ROLLING",AC29="CHANGED"),IF(AND(AF29&lt;&gt;"",AF29&gt;=INT(IF(AB29&lt;&gt;"",AB29,AA29)),AG29&lt;&gt;""),"NO","YES"),"NO"))))</x:f>
        <x:v>NO</x:v>
      </x:c>
      <x:c r="AK29" t="inlineStr">
        <x:is>
          <x:t xml:space="preserve">32a13fc92400f9d3afede91b9772367087a32fcd4bb72541cf576b4f2367e4dd</x:t>
        </x:is>
      </x:c>
      <x:c r="AL29" t="inlineStr">
        <x:is>
          <x:t xml:space="preserve">CURRENT</x:t>
        </x:is>
      </x:c>
      <x:c r="AM29" t="inlineStr">
        <x:is>
          <x:t xml:space="preserve">PA005</x:t>
        </x:is>
      </x:c>
      <x:c r="AN29" s="42" t="inlineStr">
        <x:is>
          <x:t xml:space="preserve">Official expansion hub. Child guidance pages may later become separate sources when directly applicable.</x:t>
        </x:is>
      </x:c>
      <x:c r="AO29" t="inlineStr">
        <x:is>
          <x:t xml:space="preserve">OFFICIAL_WEBSITE</x:t>
        </x:is>
      </x:c>
      <x:c r="AP29" t="inlineStr">
        <x:is>
          <x:t xml:space="preserve">OFFICIAL_ORIGINAL</x:t>
        </x:is>
      </x:c>
      <x:c r="AQ29" t="inlineStr">
        <x:is>
          <x:t xml:space="preserve">ROLLING</x:t>
        </x:is>
      </x:c>
      <x:c r="AR29" s="42" t="str"/>
    </x:row>
    <x:row r="30" s="36" customFormat="1" ht="42" customHeight="1">
      <x:c r="A30" t="inlineStr">
        <x:is>
          <x:t xml:space="preserve">PA028</x:t>
        </x:is>
      </x:c>
      <x:c r="B30" t="inlineStr">
        <x:is>
          <x:t xml:space="preserve">PA028-001</x:t>
        </x:is>
      </x:c>
      <x:c r="C30" s="42" t="inlineStr">
        <x:is>
          <x:t xml:space="preserve">Norwegian Aquaculture Register</x:t>
        </x:is>
      </x:c>
      <x:c r="D30" s="669" t="inlineStr">
        <x:is>
          <x:t xml:space="preserve">https://www.fiskeridir.no/registre/akvakulturregisteret</x:t>
        </x:is>
      </x:c>
      <x:c r="E30" s="669" t="inlineStr">
        <x:is>
          <x:t xml:space="preserve">https://www.fiskeridir.no/registre/akvakulturregisteret</x:t>
        </x:is>
      </x:c>
      <x:c r="F30" t="inlineStr">
        <x:is>
          <x:t xml:space="preserve">A_Public_Authority</x:t>
        </x:is>
      </x:c>
      <x:c r="G30" t="inlineStr">
        <x:is>
          <x:t xml:space="preserve">html</x:t>
        </x:is>
      </x:c>
      <x:c r="H30" t="inlineStr">
        <x:is>
          <x:t xml:space="preserve">PA028-001_Norwegian_Aquaculture_Register.html</x:t>
        </x:is>
      </x:c>
      <x:c r="I30" t="inlineStr">
        <x:is>
          <x:t xml:space="preserve">STORED</x:t>
        </x:is>
      </x:c>
      <x:c r="J30" t="inlineStr">
        <x:is>
          <x:t xml:space="preserve">Norwegian Directorate of Fisheries</x:t>
        </x:is>
      </x:c>
      <x:c r="K30" t="inlineStr">
        <x:is>
          <x:t xml:space="preserve">Norway</x:t>
        </x:is>
      </x:c>
      <x:c r="L30" t="inlineStr">
        <x:is>
          <x:t xml:space="preserve">Norwegian</x:t>
        </x:is>
      </x:c>
      <x:c r="N30" s="397" t="n"/>
      <x:c r="O30" t="inlineStr">
        <x:is>
          <x:t xml:space="preserve">Public authority</x:t>
        </x:is>
      </x:c>
      <x:c r="P30" t="inlineStr">
        <x:is>
          <x:t xml:space="preserve">Other</x:t>
        </x:is>
      </x:c>
      <x:c r="Q30" t="inlineStr">
        <x:is>
          <x:t xml:space="preserve">Context / evidence</x:t>
        </x:is>
      </x:c>
      <x:c r="R30" s="42" t="inlineStr">
        <x:is>
          <x:t xml:space="preserve">Official context source from Norwegian Directorate of Fisheries; included for applicability, site identity or source discovery, not for generating standalone requirements.</x:t>
        </x:is>
      </x:c>
      <x:c r="S30" t="inlineStr">
        <x:is>
          <x:t xml:space="preserve">HIGH</x:t>
        </x:is>
      </x:c>
      <x:c r="T30" t="inlineStr">
        <x:is>
          <x:t xml:space="preserve">MEDIUM</x:t>
        </x:is>
      </x:c>
      <x:c r="U30" t="inlineStr">
        <x:is>
          <x:t xml:space="preserve">HIGH</x:t>
        </x:is>
      </x:c>
      <x:c r="V30" t="inlineStr">
        <x:is>
          <x:t xml:space="preserve">HIGH</x:t>
        </x:is>
      </x:c>
      <x:c r="W30" t="inlineStr">
        <x:is>
          <x:t xml:space="preserve">HIGH</x:t>
        </x:is>
      </x:c>
      <x:c r="X30" t="inlineStr">
        <x:is>
          <x:t xml:space="preserve">HIGH</x:t>
        </x:is>
      </x:c>
      <x:c r="Y30" t="str">
        <x:f>IF(A30="","",IF(OR(J30="",AO30="",AP30="",AP30="UNVERIFIED",AND(AO30="OFFICIAL_WEBSITE",D30=""),AND(OR(P30="Equipment manual / OEM instruction",Q30="Asset-specific normative"),OR(O30&lt;&gt;"Manufacturer / supplier",AR30="",R30=""))),"PENDING",IF(COUNTIF(S30:W30,"LOW")&gt;0,"EXCLUDE",IF(COUNTIF(S30:W30,"MEDIUM")&gt;0,"PENDING",IF(COUNTIF(S30:W30,"HIGH")=5,"INCLUDE","PENDING")))))</x:f>
        <x:v>PENDING</x:v>
      </x:c>
      <x:c r="Z30" t="inlineStr">
        <x:is>
          <x:t xml:space="preserve">SUCCESS</x:t>
        </x:is>
      </x:c>
      <x:c r="AA30" s="398" t="n">
        <x:v>46262.53091435185</x:v>
      </x:c>
      <x:c r="AB30" s="398" t="n">
        <x:v>46262.53092592592</x:v>
      </x:c>
      <x:c r="AC30" s="398" t="inlineStr">
        <x:is>
          <x:t xml:space="preserve">INITIAL</x:t>
        </x:is>
      </x:c>
      <x:c r="AD30" s="398" t="inlineStr">
        <x:is>
          <x:t xml:space="preserve">AUTO</x:t>
        </x:is>
      </x:c>
      <x:c r="AE30" s="398" t="n">
        <x:f>IF(A30="","",IF(AD30="AUTO",AB30,IF(AD30="MANUAL",AF30,"")))</x:f>
        <x:v>46262.53092592592</x:v>
      </x:c>
      <x:c r="AF30" s="397" t="n"/>
      <x:c r="AH30" t="inlineStr">
        <x:is>
          <x:t xml:space="preserve">NONE</x:t>
        </x:is>
      </x:c>
      <x:c r="AI30" s="42" t="str"/>
      <x:c r="AJ30" t="str">
        <x:f>IF(OR(AL30&lt;&gt;"CURRENT",Y30="EXCLUDE"),"NO",IF(A30="","",IF(Z30="FAIL",IF(AND(AF30&lt;&gt;"",AF30&gt;=INT(AA30),I30="STORED",AD30="MANUAL",AG30&lt;&gt;""),"NO","YES"),IF(AND(AQ30="ROLLING",AC30="CHANGED"),IF(AND(AF30&lt;&gt;"",AF30&gt;=INT(IF(AB30&lt;&gt;"",AB30,AA30)),AG30&lt;&gt;""),"NO","YES"),"NO"))))</x:f>
        <x:v>NO</x:v>
      </x:c>
      <x:c r="AK30" t="inlineStr">
        <x:is>
          <x:t xml:space="preserve">e4b0fe39d80e5dff689ac77b143523e86d5c40228f73405a6c9171ee40462790</x:t>
        </x:is>
      </x:c>
      <x:c r="AL30" t="inlineStr">
        <x:is>
          <x:t xml:space="preserve">CURRENT</x:t>
        </x:is>
      </x:c>
      <x:c r="AM30" t="inlineStr">
        <x:is>
          <x:t xml:space="preserve">PA032</x:t>
        </x:is>
      </x:c>
      <x:c r="AN30" s="42" t="inlineStr">
        <x:is>
          <x:t xml:space="preserve">Official expansion. Applicability and site identity source, not a primary source of normative text.</x:t>
        </x:is>
      </x:c>
      <x:c r="AO30" t="inlineStr">
        <x:is>
          <x:t xml:space="preserve">OFFICIAL_WEBSITE</x:t>
        </x:is>
      </x:c>
      <x:c r="AP30" t="inlineStr">
        <x:is>
          <x:t xml:space="preserve">OFFICIAL_ORIGINAL</x:t>
        </x:is>
      </x:c>
      <x:c r="AQ30" t="inlineStr">
        <x:is>
          <x:t xml:space="preserve">ROLLING</x:t>
        </x:is>
      </x:c>
      <x:c r="AR30" s="42" t="str"/>
    </x:row>
    <x:row r="31" s="36" customFormat="1" ht="42" customHeight="1">
      <x:c r="A31" t="inlineStr">
        <x:is>
          <x:t xml:space="preserve">PA029</x:t>
        </x:is>
      </x:c>
      <x:c r="B31" t="inlineStr">
        <x:is>
          <x:t xml:space="preserve">PA029-001</x:t>
        </x:is>
      </x:c>
      <x:c r="C31" s="42" t="inlineStr">
        <x:is>
          <x:t xml:space="preserve">Yggdrasil map of Norwegian aquaculture localities</x:t>
        </x:is>
      </x:c>
      <x:c r="D31" s="669" t="inlineStr">
        <x:is>
          <x:t xml:space="preserve">https://portal.fiskeridir.no/akva</x:t>
        </x:is>
      </x:c>
      <x:c r="E31" s="669" t="inlineStr">
        <x:is>
          <x:t xml:space="preserve">https://portal.fiskeridir.no/akva</x:t>
        </x:is>
      </x:c>
      <x:c r="F31" t="inlineStr">
        <x:is>
          <x:t xml:space="preserve">A_Public_Authority</x:t>
        </x:is>
      </x:c>
      <x:c r="G31" t="inlineStr">
        <x:is>
          <x:t xml:space="preserve">html</x:t>
        </x:is>
      </x:c>
      <x:c r="H31" t="inlineStr">
        <x:is>
          <x:t xml:space="preserve">PA029-001_Yggdrasil_map_of_Norwegian_aquaculture_localities.html</x:t>
        </x:is>
      </x:c>
      <x:c r="I31" t="inlineStr">
        <x:is>
          <x:t xml:space="preserve">NOT_COLLECTED</x:t>
        </x:is>
      </x:c>
      <x:c r="J31" t="inlineStr">
        <x:is>
          <x:t xml:space="preserve">Norwegian Directorate of Fisheries</x:t>
        </x:is>
      </x:c>
      <x:c r="K31" t="inlineStr">
        <x:is>
          <x:t xml:space="preserve">Norway</x:t>
        </x:is>
      </x:c>
      <x:c r="L31" t="inlineStr">
        <x:is>
          <x:t xml:space="preserve">Norwegian</x:t>
        </x:is>
      </x:c>
      <x:c r="N31" s="397" t="n"/>
      <x:c r="O31" t="inlineStr">
        <x:is>
          <x:t xml:space="preserve">Public authority</x:t>
        </x:is>
      </x:c>
      <x:c r="P31" t="inlineStr">
        <x:is>
          <x:t xml:space="preserve">Other</x:t>
        </x:is>
      </x:c>
      <x:c r="Q31" t="inlineStr">
        <x:is>
          <x:t xml:space="preserve">Context / evidence</x:t>
        </x:is>
      </x:c>
      <x:c r="R31" s="42" t="inlineStr">
        <x:is>
          <x:t xml:space="preserve">Official context source from Norwegian Directorate of Fisheries; included for applicability, site identity or source discovery, not for generating standalone requirements.</x:t>
        </x:is>
      </x:c>
      <x:c r="S31" t="inlineStr">
        <x:is>
          <x:t xml:space="preserve">HIGH</x:t>
        </x:is>
      </x:c>
      <x:c r="T31" t="inlineStr">
        <x:is>
          <x:t xml:space="preserve">LOW</x:t>
        </x:is>
      </x:c>
      <x:c r="U31" t="inlineStr">
        <x:is>
          <x:t xml:space="preserve">HIGH</x:t>
        </x:is>
      </x:c>
      <x:c r="V31" t="inlineStr">
        <x:is>
          <x:t xml:space="preserve">HIGH</x:t>
        </x:is>
      </x:c>
      <x:c r="W31" t="inlineStr">
        <x:is>
          <x:t xml:space="preserve">HIGH</x:t>
        </x:is>
      </x:c>
      <x:c r="X31" t="inlineStr">
        <x:is>
          <x:t xml:space="preserve">HIGH</x:t>
        </x:is>
      </x:c>
      <x:c r="Y31" t="str">
        <x:f>IF(A31="","",IF(OR(J31="",AO31="",AP31="",AP31="UNVERIFIED",AND(AO31="OFFICIAL_WEBSITE",D31=""),AND(OR(P31="Equipment manual / OEM instruction",Q31="Asset-specific normative"),OR(O31&lt;&gt;"Manufacturer / supplier",AR31="",R31=""))),"PENDING",IF(COUNTIF(S31:W31,"LOW")&gt;0,"EXCLUDE",IF(COUNTIF(S31:W31,"MEDIUM")&gt;0,"PENDING",IF(COUNTIF(S31:W31,"HIGH")=5,"INCLUDE","PENDING")))))</x:f>
        <x:v>EXCLUDE</x:v>
      </x:c>
      <x:c r="Z31" t="inlineStr">
        <x:is>
          <x:t xml:space="preserve">FAIL</x:t>
        </x:is>
      </x:c>
      <x:c r="AA31" s="398" t="n">
        <x:v>46262.53092592592</x:v>
      </x:c>
      <x:c r="AB31" s="398" t="n"/>
      <x:c r="AC31" s="398" t="inlineStr">
        <x:is>
          <x:t xml:space="preserve">UNKNOWN</x:t>
        </x:is>
      </x:c>
      <x:c r="AD31" s="398" t="inlineStr">
        <x:is>
          <x:t xml:space="preserve">NONE</x:t>
        </x:is>
      </x:c>
      <x:c r="AE31" s="398" t="str">
        <x:f>IF(A31="","",IF(AD31="AUTO",AB31,IF(AD31="MANUAL",AF31,"")))</x:f>
      </x:c>
      <x:c r="AF31" s="397" t="n">
        <x:v>46265</x:v>
      </x:c>
      <x:c r="AG31" t="inlineStr">
        <x:is>
          <x:t xml:space="preserve">Jay</x:t>
        </x:is>
      </x:c>
      <x:c r="AH31" t="inlineStr">
        <x:is>
          <x:t xml:space="preserve">CONTENT</x:t>
        </x:is>
      </x:c>
      <x:c r="AI31" s="42" t="inlineStr">
        <x:is>
          <x:t xml:space="preserve">HTML readable body text is too short; the response may be a redirect or error page.</x:t>
        </x:is>
      </x:c>
      <x:c r="AJ31" t="str">
        <x:f>IF(OR(AL31&lt;&gt;"CURRENT",Y31="EXCLUDE"),"NO",IF(A31="","",IF(Z31="FAIL",IF(AND(AF31&lt;&gt;"",AF31&gt;=INT(AA31),I31="STORED",AD31="MANUAL",AG31&lt;&gt;""),"NO","YES"),IF(AND(AQ31="ROLLING",AC31="CHANGED"),IF(AND(AF31&lt;&gt;"",AF31&gt;=INT(IF(AB31&lt;&gt;"",AB31,AA31)),AG31&lt;&gt;""),"NO","YES"),"NO"))))</x:f>
        <x:v>NO</x:v>
      </x:c>
      <x:c r="AL31" t="inlineStr">
        <x:is>
          <x:t xml:space="preserve">WITHDRAWN</x:t>
        </x:is>
      </x:c>
      <x:c r="AM31" t="inlineStr">
        <x:is>
          <x:t xml:space="preserve">PA001</x:t>
        </x:is>
      </x:c>
      <x:c r="AN31" s="42" t="inlineStr">
        <x:is>
          <x:t xml:space="preserve">Human review 2026-08-31: Yggdrasil is an interactive aquaculture map and geospatial context source, not a legal, regulatory, standards or guidance source from which Requirements should be derived. Withdrawn from the active Requirement source set. It may be managed later in a separate site/context evidence registry.</x:t>
        </x:is>
      </x:c>
      <x:c r="AO31" t="inlineStr">
        <x:is>
          <x:t xml:space="preserve">OFFICIAL_WEBSITE</x:t>
        </x:is>
      </x:c>
      <x:c r="AP31" t="inlineStr">
        <x:is>
          <x:t xml:space="preserve">OFFICIAL_ORIGINAL</x:t>
        </x:is>
      </x:c>
      <x:c r="AQ31" t="inlineStr">
        <x:is>
          <x:t xml:space="preserve">ROLLING</x:t>
        </x:is>
      </x:c>
      <x:c r="AR31" s="42" t="str"/>
    </x:row>
    <x:row r="32" s="36" customFormat="1" ht="42" customHeight="1">
      <x:c r="A32" t="inlineStr">
        <x:is>
          <x:t xml:space="preserve">PA030</x:t>
        </x:is>
      </x:c>
      <x:c r="B32" t="inlineStr">
        <x:is>
          <x:t xml:space="preserve">PA030-001</x:t>
        </x:is>
      </x:c>
      <x:c r="C32" s="42" t="inlineStr">
        <x:is>
          <x:t xml:space="preserve">Regulation on special requirements for aquaculture-related activities in or near national salmon rivers and fjords</x:t>
        </x:is>
      </x:c>
      <x:c r="D32" s="669" t="inlineStr">
        <x:is>
          <x:t xml:space="preserve">https://lovdata.no/dokument/SF/forskrift/2009-06-22-961</x:t>
        </x:is>
      </x:c>
      <x:c r="E32" s="669" t="inlineStr">
        <x:is>
          <x:t xml:space="preserve">https://lovdata.no/dokument/SF/forskrift/2009-06-22-961</x:t>
        </x:is>
      </x:c>
      <x:c r="F32" t="inlineStr">
        <x:is>
          <x:t xml:space="preserve">A_Public_Authority</x:t>
        </x:is>
      </x:c>
      <x:c r="G32" t="inlineStr">
        <x:is>
          <x:t xml:space="preserve">html</x:t>
        </x:is>
      </x:c>
      <x:c r="H32" t="inlineStr">
        <x:is>
          <x:t xml:space="preserve">PA030-001_Regulation_on_special_requirements_for_aquaculture-related_activities_in_or_near_national_salmon_rivers_and_fjords.html</x:t>
        </x:is>
      </x:c>
      <x:c r="I32" t="inlineStr">
        <x:is>
          <x:t xml:space="preserve">STORED</x:t>
        </x:is>
      </x:c>
      <x:c r="J32" t="inlineStr">
        <x:is>
          <x:t xml:space="preserve">Norwegian Ministry of Trade, Industry and Fisheries</x:t>
        </x:is>
      </x:c>
      <x:c r="K32" t="inlineStr">
        <x:is>
          <x:t xml:space="preserve">Norway</x:t>
        </x:is>
      </x:c>
      <x:c r="L32" t="inlineStr">
        <x:is>
          <x:t xml:space="preserve">Norwegian</x:t>
        </x:is>
      </x:c>
      <x:c r="N32" s="397" t="n"/>
      <x:c r="O32" t="inlineStr">
        <x:is>
          <x:t xml:space="preserve">Public authority</x:t>
        </x:is>
      </x:c>
      <x:c r="P32" t="inlineStr">
        <x:is>
          <x:t xml:space="preserve">Regulation</x:t>
        </x:is>
      </x:c>
      <x:c r="Q32" t="inlineStr">
        <x:is>
          <x:t xml:space="preserve">Primary normative</x:t>
        </x:is>
      </x:c>
      <x:c r="R32" s="42" t="inlineStr">
        <x:is>
          <x:t xml:space="preserve">Official regulation issued by Norwegian Ministry of Trade, Industry and Fisheries; included because it may impose binding requirements on an in-scope aquaculture asset, activity, permit or certification.</x:t>
        </x:is>
      </x:c>
      <x:c r="S32" t="inlineStr">
        <x:is>
          <x:t xml:space="preserve">HIGH</x:t>
        </x:is>
      </x:c>
      <x:c r="T32" t="inlineStr">
        <x:is>
          <x:t xml:space="preserve">MEDIUM</x:t>
        </x:is>
      </x:c>
      <x:c r="U32" t="inlineStr">
        <x:is>
          <x:t xml:space="preserve">HIGH</x:t>
        </x:is>
      </x:c>
      <x:c r="V32" t="inlineStr">
        <x:is>
          <x:t xml:space="preserve">HIGH</x:t>
        </x:is>
      </x:c>
      <x:c r="W32" t="inlineStr">
        <x:is>
          <x:t xml:space="preserve">HIGH</x:t>
        </x:is>
      </x:c>
      <x:c r="X32" t="inlineStr">
        <x:is>
          <x:t xml:space="preserve">HIGH</x:t>
        </x:is>
      </x:c>
      <x:c r="Y32" t="str">
        <x:f>IF(A32="","",IF(OR(J32="",AO32="",AP32="",AP32="UNVERIFIED",AND(AO32="OFFICIAL_WEBSITE",D32=""),AND(OR(P32="Equipment manual / OEM instruction",Q32="Asset-specific normative"),OR(O32&lt;&gt;"Manufacturer / supplier",AR32="",R32=""))),"PENDING",IF(COUNTIF(S32:W32,"LOW")&gt;0,"EXCLUDE",IF(COUNTIF(S32:W32,"MEDIUM")&gt;0,"PENDING",IF(COUNTIF(S32:W32,"HIGH")=5,"INCLUDE","PENDING")))))</x:f>
        <x:v>PENDING</x:v>
      </x:c>
      <x:c r="Z32" t="inlineStr">
        <x:is>
          <x:t xml:space="preserve">SUCCESS</x:t>
        </x:is>
      </x:c>
      <x:c r="AA32" s="398" t="n">
        <x:v>46262.5309375</x:v>
      </x:c>
      <x:c r="AB32" s="398" t="n">
        <x:v>46262.5309375</x:v>
      </x:c>
      <x:c r="AC32" s="398" t="inlineStr">
        <x:is>
          <x:t xml:space="preserve">INITIAL</x:t>
        </x:is>
      </x:c>
      <x:c r="AD32" s="398" t="inlineStr">
        <x:is>
          <x:t xml:space="preserve">AUTO</x:t>
        </x:is>
      </x:c>
      <x:c r="AE32" s="398" t="n">
        <x:f>IF(A32="","",IF(AD32="AUTO",AB32,IF(AD32="MANUAL",AF32,"")))</x:f>
        <x:v>46262.5309375</x:v>
      </x:c>
      <x:c r="AF32" s="397" t="n"/>
      <x:c r="AH32" t="inlineStr">
        <x:is>
          <x:t xml:space="preserve">NONE</x:t>
        </x:is>
      </x:c>
      <x:c r="AI32" s="42" t="str"/>
      <x:c r="AJ32" t="str">
        <x:f>IF(OR(AL32&lt;&gt;"CURRENT",Y32="EXCLUDE"),"NO",IF(A32="","",IF(Z32="FAIL",IF(AND(AF32&lt;&gt;"",AF32&gt;=INT(AA32),I32="STORED",AD32="MANUAL",AG32&lt;&gt;""),"NO","YES"),IF(AND(AQ32="ROLLING",AC32="CHANGED"),IF(AND(AF32&lt;&gt;"",AF32&gt;=INT(IF(AB32&lt;&gt;"",AB32,AA32)),AG32&lt;&gt;""),"NO","YES"),"NO"))))</x:f>
        <x:v>NO</x:v>
      </x:c>
      <x:c r="AK32" t="inlineStr">
        <x:is>
          <x:t xml:space="preserve">f3e632fdd118f679d3cba93120bdcaf4ab74fef6abca29992ae4b808287ec422</x:t>
        </x:is>
      </x:c>
      <x:c r="AL32" t="inlineStr">
        <x:is>
          <x:t xml:space="preserve">CURRENT</x:t>
        </x:is>
      </x:c>
      <x:c r="AN32" s="42" t="inlineStr">
        <x:is>
          <x:t xml:space="preserve">Official expansion from the aquaculture regulation index. Site-specific applicability must be established.</x:t>
        </x:is>
      </x:c>
      <x:c r="AO32" t="inlineStr">
        <x:is>
          <x:t xml:space="preserve">OFFICIAL_WEBSITE</x:t>
        </x:is>
      </x:c>
      <x:c r="AP32" t="inlineStr">
        <x:is>
          <x:t xml:space="preserve">OFFICIAL_ORIGINAL</x:t>
        </x:is>
      </x:c>
      <x:c r="AQ32" t="inlineStr">
        <x:is>
          <x:t xml:space="preserve">ROLLING</x:t>
        </x:is>
      </x:c>
      <x:c r="AR32" s="42" t="str"/>
    </x:row>
    <x:row r="33" s="36" customFormat="1" ht="42" customHeight="1">
      <x:c r="A33" t="inlineStr">
        <x:is>
          <x:t xml:space="preserve">PA031</x:t>
        </x:is>
      </x:c>
      <x:c r="B33" t="inlineStr">
        <x:is>
          <x:t xml:space="preserve">PA031-001</x:t>
        </x:is>
      </x:c>
      <x:c r="C33" s="42" t="inlineStr">
        <x:is>
          <x:t xml:space="preserve">Regulation on joint responsibility for removal of escaped farmed fish</x:t>
        </x:is>
      </x:c>
      <x:c r="D33" s="669" t="inlineStr">
        <x:is>
          <x:t xml:space="preserve">https://lovdata.no/dokument/SF/forskrift/2015-02-05-89</x:t>
        </x:is>
      </x:c>
      <x:c r="E33" s="669" t="inlineStr">
        <x:is>
          <x:t xml:space="preserve">https://lovdata.no/dokument/SF/forskrift/2015-02-05-89</x:t>
        </x:is>
      </x:c>
      <x:c r="F33" t="inlineStr">
        <x:is>
          <x:t xml:space="preserve">A_Public_Authority</x:t>
        </x:is>
      </x:c>
      <x:c r="G33" t="inlineStr">
        <x:is>
          <x:t xml:space="preserve">html</x:t>
        </x:is>
      </x:c>
      <x:c r="H33" t="inlineStr">
        <x:is>
          <x:t xml:space="preserve">PA031-001_Regulation_on_joint_responsibility_for_removal_of_escaped_farmed_fish.html</x:t>
        </x:is>
      </x:c>
      <x:c r="I33" t="inlineStr">
        <x:is>
          <x:t xml:space="preserve">STORED</x:t>
        </x:is>
      </x:c>
      <x:c r="J33" t="inlineStr">
        <x:is>
          <x:t xml:space="preserve">Norwegian Ministry of Trade, Industry and Fisheries</x:t>
        </x:is>
      </x:c>
      <x:c r="K33" t="inlineStr">
        <x:is>
          <x:t xml:space="preserve">Norway</x:t>
        </x:is>
      </x:c>
      <x:c r="L33" t="inlineStr">
        <x:is>
          <x:t xml:space="preserve">Norwegian</x:t>
        </x:is>
      </x:c>
      <x:c r="N33" s="397" t="n"/>
      <x:c r="O33" t="inlineStr">
        <x:is>
          <x:t xml:space="preserve">Public authority</x:t>
        </x:is>
      </x:c>
      <x:c r="P33" t="inlineStr">
        <x:is>
          <x:t xml:space="preserve">Regulation</x:t>
        </x:is>
      </x:c>
      <x:c r="Q33" t="inlineStr">
        <x:is>
          <x:t xml:space="preserve">Primary normative</x:t>
        </x:is>
      </x:c>
      <x:c r="R33" s="42" t="inlineStr">
        <x:is>
          <x:t xml:space="preserve">Official regulation issued by Norwegian Ministry of Trade, Industry and Fisheries; included because it may impose binding requirements on an in-scope aquaculture asset, activity, permit or certification.</x:t>
        </x:is>
      </x:c>
      <x:c r="S33" t="inlineStr">
        <x:is>
          <x:t xml:space="preserve">HIGH</x:t>
        </x:is>
      </x:c>
      <x:c r="T33" t="inlineStr">
        <x:is>
          <x:t xml:space="preserve">HIGH</x:t>
        </x:is>
      </x:c>
      <x:c r="U33" t="inlineStr">
        <x:is>
          <x:t xml:space="preserve">HIGH</x:t>
        </x:is>
      </x:c>
      <x:c r="V33" t="inlineStr">
        <x:is>
          <x:t xml:space="preserve">HIGH</x:t>
        </x:is>
      </x:c>
      <x:c r="W33" t="inlineStr">
        <x:is>
          <x:t xml:space="preserve">HIGH</x:t>
        </x:is>
      </x:c>
      <x:c r="X33" t="inlineStr">
        <x:is>
          <x:t xml:space="preserve">HIGH</x:t>
        </x:is>
      </x:c>
      <x:c r="Y33" t="str">
        <x:f>IF(A33="","",IF(OR(J33="",AO33="",AP33="",AP33="UNVERIFIED",AND(AO33="OFFICIAL_WEBSITE",D33=""),AND(OR(P33="Equipment manual / OEM instruction",Q33="Asset-specific normative"),OR(O33&lt;&gt;"Manufacturer / supplier",AR33="",R33=""))),"PENDING",IF(COUNTIF(S33:W33,"LOW")&gt;0,"EXCLUDE",IF(COUNTIF(S33:W33,"MEDIUM")&gt;0,"PENDING",IF(COUNTIF(S33:W33,"HIGH")=5,"INCLUDE","PENDING")))))</x:f>
        <x:v>INCLUDE</x:v>
      </x:c>
      <x:c r="Z33" t="inlineStr">
        <x:is>
          <x:t xml:space="preserve">SUCCESS</x:t>
        </x:is>
      </x:c>
      <x:c r="AA33" s="398" t="n">
        <x:v>46262.5309375</x:v>
      </x:c>
      <x:c r="AB33" s="398" t="n">
        <x:v>46262.5309375</x:v>
      </x:c>
      <x:c r="AC33" s="398" t="inlineStr">
        <x:is>
          <x:t xml:space="preserve">INITIAL</x:t>
        </x:is>
      </x:c>
      <x:c r="AD33" s="398" t="inlineStr">
        <x:is>
          <x:t xml:space="preserve">AUTO</x:t>
        </x:is>
      </x:c>
      <x:c r="AE33" s="398" t="n">
        <x:f>IF(A33="","",IF(AD33="AUTO",AB33,IF(AD33="MANUAL",AF33,"")))</x:f>
        <x:v>46262.5309375</x:v>
      </x:c>
      <x:c r="AF33" s="397" t="n"/>
      <x:c r="AH33" t="inlineStr">
        <x:is>
          <x:t xml:space="preserve">NONE</x:t>
        </x:is>
      </x:c>
      <x:c r="AI33" s="42" t="str"/>
      <x:c r="AJ33" t="str">
        <x:f>IF(OR(AL33&lt;&gt;"CURRENT",Y33="EXCLUDE"),"NO",IF(A33="","",IF(Z33="FAIL",IF(AND(AF33&lt;&gt;"",AF33&gt;=INT(AA33),I33="STORED",AD33="MANUAL",AG33&lt;&gt;""),"NO","YES"),IF(AND(AQ33="ROLLING",AC33="CHANGED"),IF(AND(AF33&lt;&gt;"",AF33&gt;=INT(IF(AB33&lt;&gt;"",AB33,AA33)),AG33&lt;&gt;""),"NO","YES"),"NO"))))</x:f>
        <x:v>NO</x:v>
      </x:c>
      <x:c r="AK33" t="inlineStr">
        <x:is>
          <x:t xml:space="preserve">e792a6f90a4e6601a323dcde19ea09b0af31c58b7a4e42c6eaff75dfa5e79e95</x:t>
        </x:is>
      </x:c>
      <x:c r="AL33" t="inlineStr">
        <x:is>
          <x:t xml:space="preserve">CURRENT</x:t>
        </x:is>
      </x:c>
      <x:c r="AN33" s="42" t="inlineStr">
        <x:is>
          <x:t xml:space="preserve">Official expansion. Applies to holders of relevant salmon, trout and rainbow-trout permits.</x:t>
        </x:is>
      </x:c>
      <x:c r="AO33" t="inlineStr">
        <x:is>
          <x:t xml:space="preserve">OFFICIAL_WEBSITE</x:t>
        </x:is>
      </x:c>
      <x:c r="AP33" t="inlineStr">
        <x:is>
          <x:t xml:space="preserve">OFFICIAL_ORIGINAL</x:t>
        </x:is>
      </x:c>
      <x:c r="AQ33" t="inlineStr">
        <x:is>
          <x:t xml:space="preserve">ROLLING</x:t>
        </x:is>
      </x:c>
      <x:c r="AR33" s="42" t="str"/>
    </x:row>
    <x:row r="34" s="36" customFormat="1" ht="42" customHeight="1">
      <x:c r="A34" t="inlineStr">
        <x:is>
          <x:t xml:space="preserve">PA032</x:t>
        </x:is>
      </x:c>
      <x:c r="B34" t="inlineStr">
        <x:is>
          <x:t xml:space="preserve">PA032-001</x:t>
        </x:is>
      </x:c>
      <x:c r="C34" s="42" t="inlineStr">
        <x:is>
          <x:t xml:space="preserve">Regulation on the Aquaculture Register</x:t>
        </x:is>
      </x:c>
      <x:c r="D34" s="669" t="inlineStr">
        <x:is>
          <x:t xml:space="preserve">https://lovdata.no/dokument/SF/forskrift/2005-12-28-1706</x:t>
        </x:is>
      </x:c>
      <x:c r="E34" s="669" t="inlineStr">
        <x:is>
          <x:t xml:space="preserve">https://lovdata.no/dokument/SF/forskrift/2005-12-28-1706</x:t>
        </x:is>
      </x:c>
      <x:c r="F34" t="inlineStr">
        <x:is>
          <x:t xml:space="preserve">A_Public_Authority</x:t>
        </x:is>
      </x:c>
      <x:c r="G34" t="inlineStr">
        <x:is>
          <x:t xml:space="preserve">html</x:t>
        </x:is>
      </x:c>
      <x:c r="H34" t="inlineStr">
        <x:is>
          <x:t xml:space="preserve">PA032-001_Regulation_on_the_Aquaculture_Register.html</x:t>
        </x:is>
      </x:c>
      <x:c r="I34" t="inlineStr">
        <x:is>
          <x:t xml:space="preserve">STORED</x:t>
        </x:is>
      </x:c>
      <x:c r="J34" t="inlineStr">
        <x:is>
          <x:t xml:space="preserve">Norwegian Ministry of Trade, Industry and Fisheries</x:t>
        </x:is>
      </x:c>
      <x:c r="K34" t="inlineStr">
        <x:is>
          <x:t xml:space="preserve">Norway</x:t>
        </x:is>
      </x:c>
      <x:c r="L34" t="inlineStr">
        <x:is>
          <x:t xml:space="preserve">Norwegian</x:t>
        </x:is>
      </x:c>
      <x:c r="N34" s="397" t="n"/>
      <x:c r="O34" t="inlineStr">
        <x:is>
          <x:t xml:space="preserve">Public authority</x:t>
        </x:is>
      </x:c>
      <x:c r="P34" t="inlineStr">
        <x:is>
          <x:t xml:space="preserve">Regulation</x:t>
        </x:is>
      </x:c>
      <x:c r="Q34" t="inlineStr">
        <x:is>
          <x:t xml:space="preserve">Referenced normative</x:t>
        </x:is>
      </x:c>
      <x:c r="R34" s="42" t="inlineStr">
        <x:is>
          <x:t xml:space="preserve">Official referenced source from Norwegian Ministry of Trade, Industry and Fisheries; included because an applicable law, permit or certification scheme may make its provisions binding within the approved scope.</x:t>
        </x:is>
      </x:c>
      <x:c r="S34" t="inlineStr">
        <x:is>
          <x:t xml:space="preserve">HIGH</x:t>
        </x:is>
      </x:c>
      <x:c r="T34" t="inlineStr">
        <x:is>
          <x:t xml:space="preserve">HIGH</x:t>
        </x:is>
      </x:c>
      <x:c r="U34" t="inlineStr">
        <x:is>
          <x:t xml:space="preserve">HIGH</x:t>
        </x:is>
      </x:c>
      <x:c r="V34" t="inlineStr">
        <x:is>
          <x:t xml:space="preserve">HIGH</x:t>
        </x:is>
      </x:c>
      <x:c r="W34" t="inlineStr">
        <x:is>
          <x:t xml:space="preserve">HIGH</x:t>
        </x:is>
      </x:c>
      <x:c r="X34" t="inlineStr">
        <x:is>
          <x:t xml:space="preserve">HIGH</x:t>
        </x:is>
      </x:c>
      <x:c r="Y34" t="str">
        <x:f>IF(A34="","",IF(OR(J34="",AO34="",AP34="",AP34="UNVERIFIED",AND(AO34="OFFICIAL_WEBSITE",D34=""),AND(OR(P34="Equipment manual / OEM instruction",Q34="Asset-specific normative"),OR(O34&lt;&gt;"Manufacturer / supplier",AR34="",R34=""))),"PENDING",IF(COUNTIF(S34:W34,"LOW")&gt;0,"EXCLUDE",IF(COUNTIF(S34:W34,"MEDIUM")&gt;0,"PENDING",IF(COUNTIF(S34:W34,"HIGH")=5,"INCLUDE","PENDING")))))</x:f>
        <x:v>INCLUDE</x:v>
      </x:c>
      <x:c r="Z34" t="inlineStr">
        <x:is>
          <x:t xml:space="preserve">SUCCESS</x:t>
        </x:is>
      </x:c>
      <x:c r="AA34" s="398" t="n">
        <x:v>46262.5309375</x:v>
      </x:c>
      <x:c r="AB34" s="398" t="n">
        <x:v>46262.53094907408</x:v>
      </x:c>
      <x:c r="AC34" s="398" t="inlineStr">
        <x:is>
          <x:t xml:space="preserve">INITIAL</x:t>
        </x:is>
      </x:c>
      <x:c r="AD34" s="398" t="inlineStr">
        <x:is>
          <x:t xml:space="preserve">AUTO</x:t>
        </x:is>
      </x:c>
      <x:c r="AE34" s="398" t="n">
        <x:f>IF(A34="","",IF(AD34="AUTO",AB34,IF(AD34="MANUAL",AF34,"")))</x:f>
        <x:v>46262.53094907408</x:v>
      </x:c>
      <x:c r="AF34" s="397" t="n"/>
      <x:c r="AH34" t="inlineStr">
        <x:is>
          <x:t xml:space="preserve">NONE</x:t>
        </x:is>
      </x:c>
      <x:c r="AI34" s="42" t="str"/>
      <x:c r="AJ34" t="str">
        <x:f>IF(OR(AL34&lt;&gt;"CURRENT",Y34="EXCLUDE"),"NO",IF(A34="","",IF(Z34="FAIL",IF(AND(AF34&lt;&gt;"",AF34&gt;=INT(AA34),I34="STORED",AD34="MANUAL",AG34&lt;&gt;""),"NO","YES"),IF(AND(AQ34="ROLLING",AC34="CHANGED"),IF(AND(AF34&lt;&gt;"",AF34&gt;=INT(IF(AB34&lt;&gt;"",AB34,AA34)),AG34&lt;&gt;""),"NO","YES"),"NO"))))</x:f>
        <x:v>NO</x:v>
      </x:c>
      <x:c r="AK34" t="inlineStr">
        <x:is>
          <x:t xml:space="preserve">29b6b73125d703fc809475418ceff449203a6f024d8d91709c2cd32c3aba6e37</x:t>
        </x:is>
      </x:c>
      <x:c r="AL34" t="inlineStr">
        <x:is>
          <x:t xml:space="preserve">CURRENT</x:t>
        </x:is>
      </x:c>
      <x:c r="AN34" s="42" t="inlineStr">
        <x:is>
          <x:t xml:space="preserve">Official expansion. Relevant to registration and traceability; operational applicability requires review.</x:t>
        </x:is>
      </x:c>
      <x:c r="AO34" t="inlineStr">
        <x:is>
          <x:t xml:space="preserve">OFFICIAL_WEBSITE</x:t>
        </x:is>
      </x:c>
      <x:c r="AP34" t="inlineStr">
        <x:is>
          <x:t xml:space="preserve">OFFICIAL_ORIGINAL</x:t>
        </x:is>
      </x:c>
      <x:c r="AQ34" t="inlineStr">
        <x:is>
          <x:t xml:space="preserve">ROLLING</x:t>
        </x:is>
      </x:c>
      <x:c r="AR34" s="42" t="str"/>
    </x:row>
    <x:row r="35" s="36" customFormat="1" ht="42" customHeight="1">
      <x:c r="A35" t="inlineStr">
        <x:is>
          <x:t xml:space="preserve">PA033</x:t>
        </x:is>
      </x:c>
      <x:c r="B35" t="inlineStr">
        <x:is>
          <x:t xml:space="preserve">PA033-001</x:t>
        </x:is>
      </x:c>
      <x:c r="C35" s="42" t="inlineStr">
        <x:is>
          <x:t xml:space="preserve">Regulation on catch-based aquaculture</x:t>
        </x:is>
      </x:c>
      <x:c r="D35" s="669" t="inlineStr">
        <x:is>
          <x:t xml:space="preserve">https://lovdata.no/dokument/SF/forskrift/2014-12-15-1831</x:t>
        </x:is>
      </x:c>
      <x:c r="E35" s="669" t="inlineStr">
        <x:is>
          <x:t xml:space="preserve">https://lovdata.no/dokument/SF/forskrift/2014-12-15-1831</x:t>
        </x:is>
      </x:c>
      <x:c r="F35" t="inlineStr">
        <x:is>
          <x:t xml:space="preserve">A_Public_Authority</x:t>
        </x:is>
      </x:c>
      <x:c r="G35" t="inlineStr">
        <x:is>
          <x:t xml:space="preserve">html</x:t>
        </x:is>
      </x:c>
      <x:c r="H35" t="inlineStr">
        <x:is>
          <x:t xml:space="preserve">PA033-001_Regulation_on_catch-based_aquaculture.html</x:t>
        </x:is>
      </x:c>
      <x:c r="I35" t="inlineStr">
        <x:is>
          <x:t xml:space="preserve">STORED</x:t>
        </x:is>
      </x:c>
      <x:c r="J35" t="inlineStr">
        <x:is>
          <x:t xml:space="preserve">Norwegian Ministry of Trade, Industry and Fisheries</x:t>
        </x:is>
      </x:c>
      <x:c r="K35" t="inlineStr">
        <x:is>
          <x:t xml:space="preserve">Norway</x:t>
        </x:is>
      </x:c>
      <x:c r="L35" t="inlineStr">
        <x:is>
          <x:t xml:space="preserve">Norwegian</x:t>
        </x:is>
      </x:c>
      <x:c r="N35" s="397" t="n"/>
      <x:c r="O35" t="inlineStr">
        <x:is>
          <x:t xml:space="preserve">Public authority</x:t>
        </x:is>
      </x:c>
      <x:c r="P35" t="inlineStr">
        <x:is>
          <x:t xml:space="preserve">Regulation</x:t>
        </x:is>
      </x:c>
      <x:c r="Q35" t="inlineStr">
        <x:is>
          <x:t xml:space="preserve">Primary normative</x:t>
        </x:is>
      </x:c>
      <x:c r="R35" s="42" t="inlineStr">
        <x:is>
          <x:t xml:space="preserve">Official regulation issued by Norwegian Ministry of Trade, Industry and Fisheries; included because it may impose binding requirements on an in-scope aquaculture asset, activity, permit or certification.</x:t>
        </x:is>
      </x:c>
      <x:c r="S35" t="inlineStr">
        <x:is>
          <x:t xml:space="preserve">HIGH</x:t>
        </x:is>
      </x:c>
      <x:c r="T35" t="inlineStr">
        <x:is>
          <x:t xml:space="preserve">MEDIUM</x:t>
        </x:is>
      </x:c>
      <x:c r="U35" t="inlineStr">
        <x:is>
          <x:t xml:space="preserve">HIGH</x:t>
        </x:is>
      </x:c>
      <x:c r="V35" t="inlineStr">
        <x:is>
          <x:t xml:space="preserve">HIGH</x:t>
        </x:is>
      </x:c>
      <x:c r="W35" t="inlineStr">
        <x:is>
          <x:t xml:space="preserve">HIGH</x:t>
        </x:is>
      </x:c>
      <x:c r="X35" t="inlineStr">
        <x:is>
          <x:t xml:space="preserve">HIGH</x:t>
        </x:is>
      </x:c>
      <x:c r="Y35" t="str">
        <x:f>IF(A35="","",IF(OR(J35="",AO35="",AP35="",AP35="UNVERIFIED",AND(AO35="OFFICIAL_WEBSITE",D35=""),AND(OR(P35="Equipment manual / OEM instruction",Q35="Asset-specific normative"),OR(O35&lt;&gt;"Manufacturer / supplier",AR35="",R35=""))),"PENDING",IF(COUNTIF(S35:W35,"LOW")&gt;0,"EXCLUDE",IF(COUNTIF(S35:W35,"MEDIUM")&gt;0,"PENDING",IF(COUNTIF(S35:W35,"HIGH")=5,"INCLUDE","PENDING")))))</x:f>
        <x:v>PENDING</x:v>
      </x:c>
      <x:c r="Z35" t="inlineStr">
        <x:is>
          <x:t xml:space="preserve">SUCCESS</x:t>
        </x:is>
      </x:c>
      <x:c r="AA35" s="398" t="n">
        <x:v>46262.53094907408</x:v>
      </x:c>
      <x:c r="AB35" s="398" t="n">
        <x:v>46262.53094907408</x:v>
      </x:c>
      <x:c r="AC35" s="398" t="inlineStr">
        <x:is>
          <x:t xml:space="preserve">INITIAL</x:t>
        </x:is>
      </x:c>
      <x:c r="AD35" s="398" t="inlineStr">
        <x:is>
          <x:t xml:space="preserve">AUTO</x:t>
        </x:is>
      </x:c>
      <x:c r="AE35" s="398" t="n">
        <x:f>IF(A35="","",IF(AD35="AUTO",AB35,IF(AD35="MANUAL",AF35,"")))</x:f>
        <x:v>46262.53094907408</x:v>
      </x:c>
      <x:c r="AF35" s="397" t="n"/>
      <x:c r="AH35" t="inlineStr">
        <x:is>
          <x:t xml:space="preserve">NONE</x:t>
        </x:is>
      </x:c>
      <x:c r="AI35" s="42" t="str"/>
      <x:c r="AJ35" t="str">
        <x:f>IF(OR(AL35&lt;&gt;"CURRENT",Y35="EXCLUDE"),"NO",IF(A35="","",IF(Z35="FAIL",IF(AND(AF35&lt;&gt;"",AF35&gt;=INT(AA35),I35="STORED",AD35="MANUAL",AG35&lt;&gt;""),"NO","YES"),IF(AND(AQ35="ROLLING",AC35="CHANGED"),IF(AND(AF35&lt;&gt;"",AF35&gt;=INT(IF(AB35&lt;&gt;"",AB35,AA35)),AG35&lt;&gt;""),"NO","YES"),"NO"))))</x:f>
        <x:v>NO</x:v>
      </x:c>
      <x:c r="AK35" t="inlineStr">
        <x:is>
          <x:t xml:space="preserve">8e117c5d5d5017180a13f307c48ebc4833af52f1359012d6a4f7c713c2e5ef56</x:t>
        </x:is>
      </x:c>
      <x:c r="AL35" t="inlineStr">
        <x:is>
          <x:t xml:space="preserve">CURRENT</x:t>
        </x:is>
      </x:c>
      <x:c r="AN35" s="42" t="inlineStr">
        <x:is>
          <x:t xml:space="preserve">Official coverage expansion from the aquaculture regulation index. Include only for catch-based aquaculture activities.</x:t>
        </x:is>
      </x:c>
      <x:c r="AO35" t="inlineStr">
        <x:is>
          <x:t xml:space="preserve">OFFICIAL_WEBSITE</x:t>
        </x:is>
      </x:c>
      <x:c r="AP35" t="inlineStr">
        <x:is>
          <x:t xml:space="preserve">OFFICIAL_ORIGINAL</x:t>
        </x:is>
      </x:c>
      <x:c r="AQ35" t="inlineStr">
        <x:is>
          <x:t xml:space="preserve">ROLLING</x:t>
        </x:is>
      </x:c>
      <x:c r="AR35" s="42" t="str"/>
    </x:row>
    <x:row r="36" s="36" customFormat="1" ht="42" customHeight="1">
      <x:c r="A36" t="inlineStr">
        <x:is>
          <x:t xml:space="preserve">PA034</x:t>
        </x:is>
      </x:c>
      <x:c r="B36" t="inlineStr">
        <x:is>
          <x:t xml:space="preserve">PA034-001</x:t>
        </x:is>
      </x:c>
      <x:c r="C36" s="42" t="inlineStr">
        <x:is>
          <x:t xml:space="preserve">Regulation on coordination and time limits for processing aquaculture applications</x:t>
        </x:is>
      </x:c>
      <x:c r="D36" s="669" t="inlineStr">
        <x:is>
          <x:t xml:space="preserve">https://lovdata.no/dokument/SF/forskrift/2010-05-18-708</x:t>
        </x:is>
      </x:c>
      <x:c r="E36" s="669" t="inlineStr">
        <x:is>
          <x:t xml:space="preserve">https://lovdata.no/dokument/SF/forskrift/2010-05-18-708</x:t>
        </x:is>
      </x:c>
      <x:c r="F36" t="inlineStr">
        <x:is>
          <x:t xml:space="preserve">A_Public_Authority</x:t>
        </x:is>
      </x:c>
      <x:c r="G36" t="inlineStr">
        <x:is>
          <x:t xml:space="preserve">html</x:t>
        </x:is>
      </x:c>
      <x:c r="H36" t="inlineStr">
        <x:is>
          <x:t xml:space="preserve">PA034-001_Regulation_on_coordination_and_time_limits_for_processing_aquaculture_applications.html</x:t>
        </x:is>
      </x:c>
      <x:c r="I36" t="inlineStr">
        <x:is>
          <x:t xml:space="preserve">STORED</x:t>
        </x:is>
      </x:c>
      <x:c r="J36" t="inlineStr">
        <x:is>
          <x:t xml:space="preserve">Norwegian Ministry of Trade, Industry and Fisheries</x:t>
        </x:is>
      </x:c>
      <x:c r="K36" t="inlineStr">
        <x:is>
          <x:t xml:space="preserve">Norway</x:t>
        </x:is>
      </x:c>
      <x:c r="L36" t="inlineStr">
        <x:is>
          <x:t xml:space="preserve">Norwegian</x:t>
        </x:is>
      </x:c>
      <x:c r="N36" s="397" t="n"/>
      <x:c r="O36" t="inlineStr">
        <x:is>
          <x:t xml:space="preserve">Public authority</x:t>
        </x:is>
      </x:c>
      <x:c r="P36" t="inlineStr">
        <x:is>
          <x:t xml:space="preserve">Regulation</x:t>
        </x:is>
      </x:c>
      <x:c r="Q36" t="inlineStr">
        <x:is>
          <x:t xml:space="preserve">Referenced normative</x:t>
        </x:is>
      </x:c>
      <x:c r="R36" s="42" t="inlineStr">
        <x:is>
          <x:t xml:space="preserve">Official referenced source from Norwegian Ministry of Trade, Industry and Fisheries; included because an applicable law, permit or certification scheme may make its provisions binding within the approved scope.</x:t>
        </x:is>
      </x:c>
      <x:c r="S36" t="inlineStr">
        <x:is>
          <x:t xml:space="preserve">HIGH</x:t>
        </x:is>
      </x:c>
      <x:c r="T36" t="inlineStr">
        <x:is>
          <x:t xml:space="preserve">MEDIUM</x:t>
        </x:is>
      </x:c>
      <x:c r="U36" t="inlineStr">
        <x:is>
          <x:t xml:space="preserve">HIGH</x:t>
        </x:is>
      </x:c>
      <x:c r="V36" t="inlineStr">
        <x:is>
          <x:t xml:space="preserve">HIGH</x:t>
        </x:is>
      </x:c>
      <x:c r="W36" t="inlineStr">
        <x:is>
          <x:t xml:space="preserve">HIGH</x:t>
        </x:is>
      </x:c>
      <x:c r="X36" t="inlineStr">
        <x:is>
          <x:t xml:space="preserve">HIGH</x:t>
        </x:is>
      </x:c>
      <x:c r="Y36" t="str">
        <x:f>IF(A36="","",IF(OR(J36="",AO36="",AP36="",AP36="UNVERIFIED",AND(AO36="OFFICIAL_WEBSITE",D36=""),AND(OR(P36="Equipment manual / OEM instruction",Q36="Asset-specific normative"),OR(O36&lt;&gt;"Manufacturer / supplier",AR36="",R36=""))),"PENDING",IF(COUNTIF(S36:W36,"LOW")&gt;0,"EXCLUDE",IF(COUNTIF(S36:W36,"MEDIUM")&gt;0,"PENDING",IF(COUNTIF(S36:W36,"HIGH")=5,"INCLUDE","PENDING")))))</x:f>
        <x:v>PENDING</x:v>
      </x:c>
      <x:c r="Z36" t="inlineStr">
        <x:is>
          <x:t xml:space="preserve">SUCCESS</x:t>
        </x:is>
      </x:c>
      <x:c r="AA36" s="398" t="n">
        <x:v>46262.53094907408</x:v>
      </x:c>
      <x:c r="AB36" s="398" t="n">
        <x:v>46262.53096064815</x:v>
      </x:c>
      <x:c r="AC36" s="398" t="inlineStr">
        <x:is>
          <x:t xml:space="preserve">INITIAL</x:t>
        </x:is>
      </x:c>
      <x:c r="AD36" s="398" t="inlineStr">
        <x:is>
          <x:t xml:space="preserve">AUTO</x:t>
        </x:is>
      </x:c>
      <x:c r="AE36" s="398" t="n">
        <x:f>IF(A36="","",IF(AD36="AUTO",AB36,IF(AD36="MANUAL",AF36,"")))</x:f>
        <x:v>46262.53096064815</x:v>
      </x:c>
      <x:c r="AF36" s="397" t="n"/>
      <x:c r="AH36" t="inlineStr">
        <x:is>
          <x:t xml:space="preserve">NONE</x:t>
        </x:is>
      </x:c>
      <x:c r="AI36" s="42" t="str"/>
      <x:c r="AJ36" t="str">
        <x:f>IF(OR(AL36&lt;&gt;"CURRENT",Y36="EXCLUDE"),"NO",IF(A36="","",IF(Z36="FAIL",IF(AND(AF36&lt;&gt;"",AF36&gt;=INT(AA36),I36="STORED",AD36="MANUAL",AG36&lt;&gt;""),"NO","YES"),IF(AND(AQ36="ROLLING",AC36="CHANGED"),IF(AND(AF36&lt;&gt;"",AF36&gt;=INT(IF(AB36&lt;&gt;"",AB36,AA36)),AG36&lt;&gt;""),"NO","YES"),"NO"))))</x:f>
        <x:v>NO</x:v>
      </x:c>
      <x:c r="AK36" t="inlineStr">
        <x:is>
          <x:t xml:space="preserve">70eee18edb0de84ba14e2896f95f987b4e9954af8d586f574bff4f4b255a5e15</x:t>
        </x:is>
      </x:c>
      <x:c r="AL36" t="inlineStr">
        <x:is>
          <x:t xml:space="preserve">CURRENT</x:t>
        </x:is>
      </x:c>
      <x:c r="AN36" s="42" t="inlineStr">
        <x:is>
          <x:t xml:space="preserve">Official coverage expansion. Relevant to permitting workflow rather than routine operational controls.</x:t>
        </x:is>
      </x:c>
      <x:c r="AO36" t="inlineStr">
        <x:is>
          <x:t xml:space="preserve">OFFICIAL_WEBSITE</x:t>
        </x:is>
      </x:c>
      <x:c r="AP36" t="inlineStr">
        <x:is>
          <x:t xml:space="preserve">OFFICIAL_ORIGINAL</x:t>
        </x:is>
      </x:c>
      <x:c r="AQ36" t="inlineStr">
        <x:is>
          <x:t xml:space="preserve">ROLLING</x:t>
        </x:is>
      </x:c>
      <x:c r="AR36" s="42" t="str"/>
    </x:row>
    <x:row r="37" s="36" customFormat="1" ht="42" customHeight="1">
      <x:c r="A37" t="inlineStr">
        <x:is>
          <x:t xml:space="preserve">PA035</x:t>
        </x:is>
      </x:c>
      <x:c r="B37" t="inlineStr">
        <x:is>
          <x:t xml:space="preserve">PA035-001</x:t>
        </x:is>
      </x:c>
      <x:c r="C37" s="42" t="inlineStr">
        <x:is>
          <x:t xml:space="preserve">Regulation on reactions for violations of the Aquaculture Act</x:t>
        </x:is>
      </x:c>
      <x:c r="D37" s="669" t="inlineStr">
        <x:is>
          <x:t xml:space="preserve">https://lovdata.no/dokument/SF/forskrift/2013-12-20-1675</x:t>
        </x:is>
      </x:c>
      <x:c r="E37" s="669" t="inlineStr">
        <x:is>
          <x:t xml:space="preserve">https://lovdata.no/dokument/SF/forskrift/2013-12-20-1675</x:t>
        </x:is>
      </x:c>
      <x:c r="F37" t="inlineStr">
        <x:is>
          <x:t xml:space="preserve">A_Public_Authority</x:t>
        </x:is>
      </x:c>
      <x:c r="G37" t="inlineStr">
        <x:is>
          <x:t xml:space="preserve">html</x:t>
        </x:is>
      </x:c>
      <x:c r="H37" t="inlineStr">
        <x:is>
          <x:t xml:space="preserve">PA035-001_Regulation_on_reactions_for_violations_of_the_Aquaculture_Act.html</x:t>
        </x:is>
      </x:c>
      <x:c r="I37" t="inlineStr">
        <x:is>
          <x:t xml:space="preserve">STORED</x:t>
        </x:is>
      </x:c>
      <x:c r="J37" t="inlineStr">
        <x:is>
          <x:t xml:space="preserve">Norwegian Ministry of Trade, Industry and Fisheries</x:t>
        </x:is>
      </x:c>
      <x:c r="K37" t="inlineStr">
        <x:is>
          <x:t xml:space="preserve">Norway</x:t>
        </x:is>
      </x:c>
      <x:c r="L37" t="inlineStr">
        <x:is>
          <x:t xml:space="preserve">Norwegian</x:t>
        </x:is>
      </x:c>
      <x:c r="N37" s="397" t="n"/>
      <x:c r="O37" t="inlineStr">
        <x:is>
          <x:t xml:space="preserve">Public authority</x:t>
        </x:is>
      </x:c>
      <x:c r="P37" t="inlineStr">
        <x:is>
          <x:t xml:space="preserve">Regulation</x:t>
        </x:is>
      </x:c>
      <x:c r="Q37" t="inlineStr">
        <x:is>
          <x:t xml:space="preserve">Referenced normative</x:t>
        </x:is>
      </x:c>
      <x:c r="R37" s="42" t="inlineStr">
        <x:is>
          <x:t xml:space="preserve">Official referenced source from Norwegian Ministry of Trade, Industry and Fisheries; included because an applicable law, permit or certification scheme may make its provisions binding within the approved scope.</x:t>
        </x:is>
      </x:c>
      <x:c r="S37" t="inlineStr">
        <x:is>
          <x:t xml:space="preserve">HIGH</x:t>
        </x:is>
      </x:c>
      <x:c r="T37" t="inlineStr">
        <x:is>
          <x:t xml:space="preserve">MEDIUM</x:t>
        </x:is>
      </x:c>
      <x:c r="U37" t="inlineStr">
        <x:is>
          <x:t xml:space="preserve">HIGH</x:t>
        </x:is>
      </x:c>
      <x:c r="V37" t="inlineStr">
        <x:is>
          <x:t xml:space="preserve">HIGH</x:t>
        </x:is>
      </x:c>
      <x:c r="W37" t="inlineStr">
        <x:is>
          <x:t xml:space="preserve">HIGH</x:t>
        </x:is>
      </x:c>
      <x:c r="X37" t="inlineStr">
        <x:is>
          <x:t xml:space="preserve">HIGH</x:t>
        </x:is>
      </x:c>
      <x:c r="Y37" t="str">
        <x:f>IF(A37="","",IF(OR(J37="",AO37="",AP37="",AP37="UNVERIFIED",AND(AO37="OFFICIAL_WEBSITE",D37=""),AND(OR(P37="Equipment manual / OEM instruction",Q37="Asset-specific normative"),OR(O37&lt;&gt;"Manufacturer / supplier",AR37="",R37=""))),"PENDING",IF(COUNTIF(S37:W37,"LOW")&gt;0,"EXCLUDE",IF(COUNTIF(S37:W37,"MEDIUM")&gt;0,"PENDING",IF(COUNTIF(S37:W37,"HIGH")=5,"INCLUDE","PENDING")))))</x:f>
        <x:v>PENDING</x:v>
      </x:c>
      <x:c r="Z37" t="inlineStr">
        <x:is>
          <x:t xml:space="preserve">SUCCESS</x:t>
        </x:is>
      </x:c>
      <x:c r="AA37" s="398" t="n">
        <x:v>46262.53096064815</x:v>
      </x:c>
      <x:c r="AB37" s="398" t="n">
        <x:v>46262.53097222222</x:v>
      </x:c>
      <x:c r="AC37" s="398" t="inlineStr">
        <x:is>
          <x:t xml:space="preserve">INITIAL</x:t>
        </x:is>
      </x:c>
      <x:c r="AD37" s="398" t="inlineStr">
        <x:is>
          <x:t xml:space="preserve">AUTO</x:t>
        </x:is>
      </x:c>
      <x:c r="AE37" s="398" t="n">
        <x:f>IF(A37="","",IF(AD37="AUTO",AB37,IF(AD37="MANUAL",AF37,"")))</x:f>
        <x:v>46262.53097222222</x:v>
      </x:c>
      <x:c r="AF37" s="397" t="n"/>
      <x:c r="AH37" t="inlineStr">
        <x:is>
          <x:t xml:space="preserve">NONE</x:t>
        </x:is>
      </x:c>
      <x:c r="AI37" s="42" t="str"/>
      <x:c r="AJ37" t="str">
        <x:f>IF(OR(AL37&lt;&gt;"CURRENT",Y37="EXCLUDE"),"NO",IF(A37="","",IF(Z37="FAIL",IF(AND(AF37&lt;&gt;"",AF37&gt;=INT(AA37),I37="STORED",AD37="MANUAL",AG37&lt;&gt;""),"NO","YES"),IF(AND(AQ37="ROLLING",AC37="CHANGED"),IF(AND(AF37&lt;&gt;"",AF37&gt;=INT(IF(AB37&lt;&gt;"",AB37,AA37)),AG37&lt;&gt;""),"NO","YES"),"NO"))))</x:f>
        <x:v>NO</x:v>
      </x:c>
      <x:c r="AK37" t="inlineStr">
        <x:is>
          <x:t xml:space="preserve">9352c1d1b3caebc263c4086816b4f894e69d3aa424bbf97b364e14838ed589b6</x:t>
        </x:is>
      </x:c>
      <x:c r="AL37" t="inlineStr">
        <x:is>
          <x:t xml:space="preserve">CURRENT</x:t>
        </x:is>
      </x:c>
      <x:c r="AN37" s="42" t="inlineStr">
        <x:is>
          <x:t xml:space="preserve">Official coverage expansion. Supports enforcement and consequence mapping; it is not normally the source of the underlying operational duty.</x:t>
        </x:is>
      </x:c>
      <x:c r="AO37" t="inlineStr">
        <x:is>
          <x:t xml:space="preserve">OFFICIAL_WEBSITE</x:t>
        </x:is>
      </x:c>
      <x:c r="AP37" t="inlineStr">
        <x:is>
          <x:t xml:space="preserve">OFFICIAL_ORIGINAL</x:t>
        </x:is>
      </x:c>
      <x:c r="AQ37" t="inlineStr">
        <x:is>
          <x:t xml:space="preserve">ROLLING</x:t>
        </x:is>
      </x:c>
      <x:c r="AR37" s="42" t="str"/>
    </x:row>
    <x:row r="38" s="36" customFormat="1" ht="42" customHeight="1">
      <x:c r="A38" t="inlineStr">
        <x:is>
          <x:t xml:space="preserve">PA036</x:t>
        </x:is>
      </x:c>
      <x:c r="B38" t="inlineStr">
        <x:is>
          <x:t xml:space="preserve">PA036-001</x:t>
        </x:is>
      </x:c>
      <x:c r="C38" s="42" t="inlineStr">
        <x:is>
          <x:t xml:space="preserve">Regulation on permits for aquaculture of species other than salmon, trout and rainbow trout</x:t>
        </x:is>
      </x:c>
      <x:c r="D38" s="669" t="inlineStr">
        <x:is>
          <x:t xml:space="preserve">https://lovdata.no/dokument/SF/forskrift/2004-12-22-1799</x:t>
        </x:is>
      </x:c>
      <x:c r="E38" s="669" t="inlineStr">
        <x:is>
          <x:t xml:space="preserve">https://lovdata.no/dokument/SF/forskrift/2004-12-22-1799</x:t>
        </x:is>
      </x:c>
      <x:c r="F38" t="inlineStr">
        <x:is>
          <x:t xml:space="preserve">A_Public_Authority</x:t>
        </x:is>
      </x:c>
      <x:c r="G38" t="inlineStr">
        <x:is>
          <x:t xml:space="preserve">html</x:t>
        </x:is>
      </x:c>
      <x:c r="H38" t="inlineStr">
        <x:is>
          <x:t xml:space="preserve">PA036-001_Regulation_on_permits_for_aquaculture_of_species_other_than_salmon_trout_and_rainbow_trout.html</x:t>
        </x:is>
      </x:c>
      <x:c r="I38" t="inlineStr">
        <x:is>
          <x:t xml:space="preserve">STORED</x:t>
        </x:is>
      </x:c>
      <x:c r="J38" t="inlineStr">
        <x:is>
          <x:t xml:space="preserve">Norwegian Ministry of Trade, Industry and Fisheries</x:t>
        </x:is>
      </x:c>
      <x:c r="K38" t="inlineStr">
        <x:is>
          <x:t xml:space="preserve">Norway</x:t>
        </x:is>
      </x:c>
      <x:c r="L38" t="inlineStr">
        <x:is>
          <x:t xml:space="preserve">Norwegian</x:t>
        </x:is>
      </x:c>
      <x:c r="N38" s="397" t="n"/>
      <x:c r="O38" t="inlineStr">
        <x:is>
          <x:t xml:space="preserve">Public authority</x:t>
        </x:is>
      </x:c>
      <x:c r="P38" t="inlineStr">
        <x:is>
          <x:t xml:space="preserve">Regulation</x:t>
        </x:is>
      </x:c>
      <x:c r="Q38" t="inlineStr">
        <x:is>
          <x:t xml:space="preserve">Primary normative</x:t>
        </x:is>
      </x:c>
      <x:c r="R38" s="42" t="inlineStr">
        <x:is>
          <x:t xml:space="preserve">Official regulation issued by Norwegian Ministry of Trade, Industry and Fisheries; included because it may impose binding requirements on an in-scope aquaculture asset, activity, permit or certification.</x:t>
        </x:is>
      </x:c>
      <x:c r="S38" t="inlineStr">
        <x:is>
          <x:t xml:space="preserve">HIGH</x:t>
        </x:is>
      </x:c>
      <x:c r="T38" t="inlineStr">
        <x:is>
          <x:t xml:space="preserve">MEDIUM</x:t>
        </x:is>
      </x:c>
      <x:c r="U38" t="inlineStr">
        <x:is>
          <x:t xml:space="preserve">HIGH</x:t>
        </x:is>
      </x:c>
      <x:c r="V38" t="inlineStr">
        <x:is>
          <x:t xml:space="preserve">HIGH</x:t>
        </x:is>
      </x:c>
      <x:c r="W38" t="inlineStr">
        <x:is>
          <x:t xml:space="preserve">HIGH</x:t>
        </x:is>
      </x:c>
      <x:c r="X38" t="inlineStr">
        <x:is>
          <x:t xml:space="preserve">HIGH</x:t>
        </x:is>
      </x:c>
      <x:c r="Y38" t="str">
        <x:f>IF(A38="","",IF(OR(J38="",AO38="",AP38="",AP38="UNVERIFIED",AND(AO38="OFFICIAL_WEBSITE",D38=""),AND(OR(P38="Equipment manual / OEM instruction",Q38="Asset-specific normative"),OR(O38&lt;&gt;"Manufacturer / supplier",AR38="",R38=""))),"PENDING",IF(COUNTIF(S38:W38,"LOW")&gt;0,"EXCLUDE",IF(COUNTIF(S38:W38,"MEDIUM")&gt;0,"PENDING",IF(COUNTIF(S38:W38,"HIGH")=5,"INCLUDE","PENDING")))))</x:f>
        <x:v>PENDING</x:v>
      </x:c>
      <x:c r="Z38" t="inlineStr">
        <x:is>
          <x:t xml:space="preserve">SUCCESS</x:t>
        </x:is>
      </x:c>
      <x:c r="AA38" s="398" t="n">
        <x:v>46262.53097222222</x:v>
      </x:c>
      <x:c r="AB38" s="398" t="n">
        <x:v>46262.53097222222</x:v>
      </x:c>
      <x:c r="AC38" s="398" t="inlineStr">
        <x:is>
          <x:t xml:space="preserve">INITIAL</x:t>
        </x:is>
      </x:c>
      <x:c r="AD38" s="398" t="inlineStr">
        <x:is>
          <x:t xml:space="preserve">AUTO</x:t>
        </x:is>
      </x:c>
      <x:c r="AE38" s="398" t="n">
        <x:f>IF(A38="","",IF(AD38="AUTO",AB38,IF(AD38="MANUAL",AF38,"")))</x:f>
        <x:v>46262.53097222222</x:v>
      </x:c>
      <x:c r="AF38" s="397" t="n"/>
      <x:c r="AH38" t="inlineStr">
        <x:is>
          <x:t xml:space="preserve">NONE</x:t>
        </x:is>
      </x:c>
      <x:c r="AI38" s="42" t="str"/>
      <x:c r="AJ38" t="str">
        <x:f>IF(OR(AL38&lt;&gt;"CURRENT",Y38="EXCLUDE"),"NO",IF(A38="","",IF(Z38="FAIL",IF(AND(AF38&lt;&gt;"",AF38&gt;=INT(AA38),I38="STORED",AD38="MANUAL",AG38&lt;&gt;""),"NO","YES"),IF(AND(AQ38="ROLLING",AC38="CHANGED"),IF(AND(AF38&lt;&gt;"",AF38&gt;=INT(IF(AB38&lt;&gt;"",AB38,AA38)),AG38&lt;&gt;""),"NO","YES"),"NO"))))</x:f>
        <x:v>NO</x:v>
      </x:c>
      <x:c r="AK38" t="inlineStr">
        <x:is>
          <x:t xml:space="preserve">18985a26548697f2ebe542f42a5ef6469c6f9c99a8dc35dedaa8d171c4d2b027</x:t>
        </x:is>
      </x:c>
      <x:c r="AL38" t="inlineStr">
        <x:is>
          <x:t xml:space="preserve">CURRENT</x:t>
        </x:is>
      </x:c>
      <x:c r="AN38" s="42" t="inlineStr">
        <x:is>
          <x:t xml:space="preserve">Official coverage expansion. Include only when other species are within the approved scope.</x:t>
        </x:is>
      </x:c>
      <x:c r="AO38" t="inlineStr">
        <x:is>
          <x:t xml:space="preserve">OFFICIAL_WEBSITE</x:t>
        </x:is>
      </x:c>
      <x:c r="AP38" t="inlineStr">
        <x:is>
          <x:t xml:space="preserve">OFFICIAL_ORIGINAL</x:t>
        </x:is>
      </x:c>
      <x:c r="AQ38" t="inlineStr">
        <x:is>
          <x:t xml:space="preserve">ROLLING</x:t>
        </x:is>
      </x:c>
      <x:c r="AR38" s="42" t="str"/>
    </x:row>
    <x:row r="39" s="36" customFormat="1" ht="42" customHeight="1">
      <x:c r="A39" t="inlineStr">
        <x:is>
          <x:t xml:space="preserve">PA037</x:t>
        </x:is>
      </x:c>
      <x:c r="B39" t="inlineStr">
        <x:is>
          <x:t xml:space="preserve">PA037-001</x:t>
        </x:is>
      </x:c>
      <x:c r="C39" s="42" t="inlineStr">
        <x:is>
          <x:t xml:space="preserve">Regulation on fees and charges relating to aquaculture activities</x:t>
        </x:is>
      </x:c>
      <x:c r="D39" s="669" t="inlineStr">
        <x:is>
          <x:t xml:space="preserve">https://lovdata.no/dokument/SF/forskrift/2001-12-21-1597</x:t>
        </x:is>
      </x:c>
      <x:c r="E39" s="669" t="inlineStr">
        <x:is>
          <x:t xml:space="preserve">https://lovdata.no/dokument/SF/forskrift/2001-12-21-1597</x:t>
        </x:is>
      </x:c>
      <x:c r="F39" t="inlineStr">
        <x:is>
          <x:t xml:space="preserve">A_Public_Authority</x:t>
        </x:is>
      </x:c>
      <x:c r="G39" t="inlineStr">
        <x:is>
          <x:t xml:space="preserve">html</x:t>
        </x:is>
      </x:c>
      <x:c r="H39" t="inlineStr">
        <x:is>
          <x:t xml:space="preserve">PA037-001_Regulation_on_fees_and_charges_relating_to_aquaculture_activities.html</x:t>
        </x:is>
      </x:c>
      <x:c r="I39" t="inlineStr">
        <x:is>
          <x:t xml:space="preserve">STORED</x:t>
        </x:is>
      </x:c>
      <x:c r="J39" t="inlineStr">
        <x:is>
          <x:t xml:space="preserve">Norwegian Ministry of Trade, Industry and Fisheries</x:t>
        </x:is>
      </x:c>
      <x:c r="K39" t="inlineStr">
        <x:is>
          <x:t xml:space="preserve">Norway</x:t>
        </x:is>
      </x:c>
      <x:c r="L39" t="inlineStr">
        <x:is>
          <x:t xml:space="preserve">Norwegian</x:t>
        </x:is>
      </x:c>
      <x:c r="N39" s="397" t="n"/>
      <x:c r="O39" t="inlineStr">
        <x:is>
          <x:t xml:space="preserve">Public authority</x:t>
        </x:is>
      </x:c>
      <x:c r="P39" t="inlineStr">
        <x:is>
          <x:t xml:space="preserve">Regulation</x:t>
        </x:is>
      </x:c>
      <x:c r="Q39" t="inlineStr">
        <x:is>
          <x:t xml:space="preserve">Referenced normative</x:t>
        </x:is>
      </x:c>
      <x:c r="R39" s="42" t="inlineStr">
        <x:is>
          <x:t xml:space="preserve">Official referenced source from Norwegian Ministry of Trade, Industry and Fisheries; included because an applicable law, permit or certification scheme may make its provisions binding within the approved scope.</x:t>
        </x:is>
      </x:c>
      <x:c r="S39" t="inlineStr">
        <x:is>
          <x:t xml:space="preserve">HIGH</x:t>
        </x:is>
      </x:c>
      <x:c r="T39" t="inlineStr">
        <x:is>
          <x:t xml:space="preserve">MEDIUM</x:t>
        </x:is>
      </x:c>
      <x:c r="U39" t="inlineStr">
        <x:is>
          <x:t xml:space="preserve">HIGH</x:t>
        </x:is>
      </x:c>
      <x:c r="V39" t="inlineStr">
        <x:is>
          <x:t xml:space="preserve">HIGH</x:t>
        </x:is>
      </x:c>
      <x:c r="W39" t="inlineStr">
        <x:is>
          <x:t xml:space="preserve">HIGH</x:t>
        </x:is>
      </x:c>
      <x:c r="X39" t="inlineStr">
        <x:is>
          <x:t xml:space="preserve">HIGH</x:t>
        </x:is>
      </x:c>
      <x:c r="Y39" t="str">
        <x:f>IF(A39="","",IF(OR(J39="",AO39="",AP39="",AP39="UNVERIFIED",AND(AO39="OFFICIAL_WEBSITE",D39=""),AND(OR(P39="Equipment manual / OEM instruction",Q39="Asset-specific normative"),OR(O39&lt;&gt;"Manufacturer / supplier",AR39="",R39=""))),"PENDING",IF(COUNTIF(S39:W39,"LOW")&gt;0,"EXCLUDE",IF(COUNTIF(S39:W39,"MEDIUM")&gt;0,"PENDING",IF(COUNTIF(S39:W39,"HIGH")=5,"INCLUDE","PENDING")))))</x:f>
        <x:v>PENDING</x:v>
      </x:c>
      <x:c r="Z39" t="inlineStr">
        <x:is>
          <x:t xml:space="preserve">SUCCESS</x:t>
        </x:is>
      </x:c>
      <x:c r="AA39" s="398" t="n">
        <x:v>46262.53097222222</x:v>
      </x:c>
      <x:c r="AB39" s="398" t="n">
        <x:v>46262.5309837963</x:v>
      </x:c>
      <x:c r="AC39" s="398" t="inlineStr">
        <x:is>
          <x:t xml:space="preserve">INITIAL</x:t>
        </x:is>
      </x:c>
      <x:c r="AD39" s="398" t="inlineStr">
        <x:is>
          <x:t xml:space="preserve">AUTO</x:t>
        </x:is>
      </x:c>
      <x:c r="AE39" s="398" t="n">
        <x:f>IF(A39="","",IF(AD39="AUTO",AB39,IF(AD39="MANUAL",AF39,"")))</x:f>
        <x:v>46262.5309837963</x:v>
      </x:c>
      <x:c r="AF39" s="397" t="n"/>
      <x:c r="AH39" t="inlineStr">
        <x:is>
          <x:t xml:space="preserve">NONE</x:t>
        </x:is>
      </x:c>
      <x:c r="AI39" s="42" t="str"/>
      <x:c r="AJ39" t="str">
        <x:f>IF(OR(AL39&lt;&gt;"CURRENT",Y39="EXCLUDE"),"NO",IF(A39="","",IF(Z39="FAIL",IF(AND(AF39&lt;&gt;"",AF39&gt;=INT(AA39),I39="STORED",AD39="MANUAL",AG39&lt;&gt;""),"NO","YES"),IF(AND(AQ39="ROLLING",AC39="CHANGED"),IF(AND(AF39&lt;&gt;"",AF39&gt;=INT(IF(AB39&lt;&gt;"",AB39,AA39)),AG39&lt;&gt;""),"NO","YES"),"NO"))))</x:f>
        <x:v>NO</x:v>
      </x:c>
      <x:c r="AK39" t="inlineStr">
        <x:is>
          <x:t xml:space="preserve">cf7e9767f070aa451123bb7477591661c984e767d32002ad03db21e2534d7e45</x:t>
        </x:is>
      </x:c>
      <x:c r="AL39" t="inlineStr">
        <x:is>
          <x:t xml:space="preserve">CURRENT</x:t>
        </x:is>
      </x:c>
      <x:c r="AN39" s="42" t="inlineStr">
        <x:is>
          <x:t xml:space="preserve">Official coverage expansion. Administrative and financial relevance depends on the permit or application process.</x:t>
        </x:is>
      </x:c>
      <x:c r="AO39" t="inlineStr">
        <x:is>
          <x:t xml:space="preserve">OFFICIAL_WEBSITE</x:t>
        </x:is>
      </x:c>
      <x:c r="AP39" t="inlineStr">
        <x:is>
          <x:t xml:space="preserve">OFFICIAL_ORIGINAL</x:t>
        </x:is>
      </x:c>
      <x:c r="AQ39" t="inlineStr">
        <x:is>
          <x:t xml:space="preserve">ROLLING</x:t>
        </x:is>
      </x:c>
      <x:c r="AR39" s="42" t="str"/>
    </x:row>
    <x:row r="40" s="36" customFormat="1" ht="42" customHeight="1">
      <x:c r="A40" t="inlineStr">
        <x:is>
          <x:t xml:space="preserve">PA038</x:t>
        </x:is>
      </x:c>
      <x:c r="B40" t="inlineStr">
        <x:is>
          <x:t xml:space="preserve">PA038-001</x:t>
        </x:is>
      </x:c>
      <x:c r="C40" s="42" t="inlineStr">
        <x:is>
          <x:t xml:space="preserve">Regulation on sea ranching</x:t>
        </x:is>
      </x:c>
      <x:c r="D40" s="669" t="inlineStr">
        <x:is>
          <x:t xml:space="preserve">https://lovdata.no/dokument/SF/forskrift/2003-08-28-1110</x:t>
        </x:is>
      </x:c>
      <x:c r="E40" s="669" t="inlineStr">
        <x:is>
          <x:t xml:space="preserve">https://lovdata.no/dokument/SF/forskrift/2003-08-28-1110</x:t>
        </x:is>
      </x:c>
      <x:c r="F40" t="inlineStr">
        <x:is>
          <x:t xml:space="preserve">A_Public_Authority</x:t>
        </x:is>
      </x:c>
      <x:c r="G40" t="inlineStr">
        <x:is>
          <x:t xml:space="preserve">html</x:t>
        </x:is>
      </x:c>
      <x:c r="H40" t="inlineStr">
        <x:is>
          <x:t xml:space="preserve">PA038-001_Regulation_on_sea_ranching.html</x:t>
        </x:is>
      </x:c>
      <x:c r="I40" t="inlineStr">
        <x:is>
          <x:t xml:space="preserve">STORED</x:t>
        </x:is>
      </x:c>
      <x:c r="J40" t="inlineStr">
        <x:is>
          <x:t xml:space="preserve">Norwegian Ministry of Trade, Industry and Fisheries</x:t>
        </x:is>
      </x:c>
      <x:c r="K40" t="inlineStr">
        <x:is>
          <x:t xml:space="preserve">Norway</x:t>
        </x:is>
      </x:c>
      <x:c r="L40" t="inlineStr">
        <x:is>
          <x:t xml:space="preserve">Norwegian</x:t>
        </x:is>
      </x:c>
      <x:c r="N40" s="397" t="n"/>
      <x:c r="O40" t="inlineStr">
        <x:is>
          <x:t xml:space="preserve">Public authority</x:t>
        </x:is>
      </x:c>
      <x:c r="P40" t="inlineStr">
        <x:is>
          <x:t xml:space="preserve">Regulation</x:t>
        </x:is>
      </x:c>
      <x:c r="Q40" t="inlineStr">
        <x:is>
          <x:t xml:space="preserve">Primary normative</x:t>
        </x:is>
      </x:c>
      <x:c r="R40" s="42" t="inlineStr">
        <x:is>
          <x:t xml:space="preserve">Official regulation issued by Norwegian Ministry of Trade, Industry and Fisheries; included because it may impose binding requirements on an in-scope aquaculture asset, activity, permit or certification.</x:t>
        </x:is>
      </x:c>
      <x:c r="S40" t="inlineStr">
        <x:is>
          <x:t xml:space="preserve">HIGH</x:t>
        </x:is>
      </x:c>
      <x:c r="T40" t="inlineStr">
        <x:is>
          <x:t xml:space="preserve">MEDIUM</x:t>
        </x:is>
      </x:c>
      <x:c r="U40" t="inlineStr">
        <x:is>
          <x:t xml:space="preserve">HIGH</x:t>
        </x:is>
      </x:c>
      <x:c r="V40" t="inlineStr">
        <x:is>
          <x:t xml:space="preserve">HIGH</x:t>
        </x:is>
      </x:c>
      <x:c r="W40" t="inlineStr">
        <x:is>
          <x:t xml:space="preserve">HIGH</x:t>
        </x:is>
      </x:c>
      <x:c r="X40" t="inlineStr">
        <x:is>
          <x:t xml:space="preserve">HIGH</x:t>
        </x:is>
      </x:c>
      <x:c r="Y40" t="str">
        <x:f>IF(A40="","",IF(OR(J40="",AO40="",AP40="",AP40="UNVERIFIED",AND(AO40="OFFICIAL_WEBSITE",D40=""),AND(OR(P40="Equipment manual / OEM instruction",Q40="Asset-specific normative"),OR(O40&lt;&gt;"Manufacturer / supplier",AR40="",R40=""))),"PENDING",IF(COUNTIF(S40:W40,"LOW")&gt;0,"EXCLUDE",IF(COUNTIF(S40:W40,"MEDIUM")&gt;0,"PENDING",IF(COUNTIF(S40:W40,"HIGH")=5,"INCLUDE","PENDING")))))</x:f>
        <x:v>PENDING</x:v>
      </x:c>
      <x:c r="Z40" t="inlineStr">
        <x:is>
          <x:t xml:space="preserve">SUCCESS</x:t>
        </x:is>
      </x:c>
      <x:c r="AA40" s="398" t="n">
        <x:v>46262.5309837963</x:v>
      </x:c>
      <x:c r="AB40" s="398" t="n">
        <x:v>46262.53099537037</x:v>
      </x:c>
      <x:c r="AC40" s="398" t="inlineStr">
        <x:is>
          <x:t xml:space="preserve">INITIAL</x:t>
        </x:is>
      </x:c>
      <x:c r="AD40" s="398" t="inlineStr">
        <x:is>
          <x:t xml:space="preserve">AUTO</x:t>
        </x:is>
      </x:c>
      <x:c r="AE40" s="398" t="n">
        <x:f>IF(A40="","",IF(AD40="AUTO",AB40,IF(AD40="MANUAL",AF40,"")))</x:f>
        <x:v>46262.53099537037</x:v>
      </x:c>
      <x:c r="AF40" s="397" t="n"/>
      <x:c r="AH40" t="inlineStr">
        <x:is>
          <x:t xml:space="preserve">NONE</x:t>
        </x:is>
      </x:c>
      <x:c r="AI40" s="42" t="str"/>
      <x:c r="AJ40" t="str">
        <x:f>IF(OR(AL40&lt;&gt;"CURRENT",Y40="EXCLUDE"),"NO",IF(A40="","",IF(Z40="FAIL",IF(AND(AF40&lt;&gt;"",AF40&gt;=INT(AA40),I40="STORED",AD40="MANUAL",AG40&lt;&gt;""),"NO","YES"),IF(AND(AQ40="ROLLING",AC40="CHANGED"),IF(AND(AF40&lt;&gt;"",AF40&gt;=INT(IF(AB40&lt;&gt;"",AB40,AA40)),AG40&lt;&gt;""),"NO","YES"),"NO"))))</x:f>
        <x:v>NO</x:v>
      </x:c>
      <x:c r="AK40" t="inlineStr">
        <x:is>
          <x:t xml:space="preserve">94210cefeb809c7317a22a0b026762a996ea8a0fa4981cd5fd9d2966e3f39ae7</x:t>
        </x:is>
      </x:c>
      <x:c r="AL40" t="inlineStr">
        <x:is>
          <x:t xml:space="preserve">CURRENT</x:t>
        </x:is>
      </x:c>
      <x:c r="AN40" s="42" t="inlineStr">
        <x:is>
          <x:t xml:space="preserve">Official coverage expansion. Include only for sea-ranching operations.</x:t>
        </x:is>
      </x:c>
      <x:c r="AO40" t="inlineStr">
        <x:is>
          <x:t xml:space="preserve">OFFICIAL_WEBSITE</x:t>
        </x:is>
      </x:c>
      <x:c r="AP40" t="inlineStr">
        <x:is>
          <x:t xml:space="preserve">OFFICIAL_ORIGINAL</x:t>
        </x:is>
      </x:c>
      <x:c r="AQ40" t="inlineStr">
        <x:is>
          <x:t xml:space="preserve">ROLLING</x:t>
        </x:is>
      </x:c>
      <x:c r="AR40" s="42" t="str"/>
    </x:row>
    <x:row r="41" s="36" customFormat="1" ht="42" customHeight="1">
      <x:c r="A41" t="inlineStr">
        <x:is>
          <x:t xml:space="preserve">PA039</x:t>
        </x:is>
      </x:c>
      <x:c r="B41" t="inlineStr">
        <x:is>
          <x:t xml:space="preserve">PA039-001</x:t>
        </x:is>
      </x:c>
      <x:c r="C41" s="42" t="inlineStr">
        <x:is>
          <x:t xml:space="preserve">Animal Health Regulation</x:t>
        </x:is>
      </x:c>
      <x:c r="D41" s="669" t="inlineStr">
        <x:is>
          <x:t xml:space="preserve">https://lovdata.no/dokument/SF/forskrift/2022-04-06-631</x:t>
        </x:is>
      </x:c>
      <x:c r="E41" s="669" t="inlineStr">
        <x:is>
          <x:t xml:space="preserve">https://lovdata.no/dokument/SF/forskrift/2022-04-06-631</x:t>
        </x:is>
      </x:c>
      <x:c r="F41" t="inlineStr">
        <x:is>
          <x:t xml:space="preserve">A_Public_Authority</x:t>
        </x:is>
      </x:c>
      <x:c r="G41" t="inlineStr">
        <x:is>
          <x:t xml:space="preserve">html</x:t>
        </x:is>
      </x:c>
      <x:c r="H41" t="inlineStr">
        <x:is>
          <x:t xml:space="preserve">PA039-001_Animal_Health_Regulation.html</x:t>
        </x:is>
      </x:c>
      <x:c r="I41" t="inlineStr">
        <x:is>
          <x:t xml:space="preserve">STORED</x:t>
        </x:is>
      </x:c>
      <x:c r="J41" t="inlineStr">
        <x:is>
          <x:t xml:space="preserve">Norwegian Ministry of Agriculture and Food</x:t>
        </x:is>
      </x:c>
      <x:c r="K41" t="inlineStr">
        <x:is>
          <x:t xml:space="preserve">Norway</x:t>
        </x:is>
      </x:c>
      <x:c r="L41" t="inlineStr">
        <x:is>
          <x:t xml:space="preserve">Norwegian</x:t>
        </x:is>
      </x:c>
      <x:c r="N41" s="397" t="n"/>
      <x:c r="O41" t="inlineStr">
        <x:is>
          <x:t xml:space="preserve">Public authority</x:t>
        </x:is>
      </x:c>
      <x:c r="P41" t="inlineStr">
        <x:is>
          <x:t xml:space="preserve">Regulation</x:t>
        </x:is>
      </x:c>
      <x:c r="Q41" t="inlineStr">
        <x:is>
          <x:t xml:space="preserve">Primary normative</x:t>
        </x:is>
      </x:c>
      <x:c r="R41" s="42" t="inlineStr">
        <x:is>
          <x:t xml:space="preserve">Official regulation issued by Norwegian Ministry of Agriculture and Food; included because it may impose binding requirements on an in-scope aquaculture asset, activity, permit or certification.</x:t>
        </x:is>
      </x:c>
      <x:c r="S41" t="inlineStr">
        <x:is>
          <x:t xml:space="preserve">HIGH</x:t>
        </x:is>
      </x:c>
      <x:c r="T41" t="inlineStr">
        <x:is>
          <x:t xml:space="preserve">HIGH</x:t>
        </x:is>
      </x:c>
      <x:c r="U41" t="inlineStr">
        <x:is>
          <x:t xml:space="preserve">HIGH</x:t>
        </x:is>
      </x:c>
      <x:c r="V41" t="inlineStr">
        <x:is>
          <x:t xml:space="preserve">HIGH</x:t>
        </x:is>
      </x:c>
      <x:c r="W41" t="inlineStr">
        <x:is>
          <x:t xml:space="preserve">HIGH</x:t>
        </x:is>
      </x:c>
      <x:c r="X41" t="inlineStr">
        <x:is>
          <x:t xml:space="preserve">HIGH</x:t>
        </x:is>
      </x:c>
      <x:c r="Y41" t="str">
        <x:f>IF(A41="","",IF(OR(J41="",AO41="",AP41="",AP41="UNVERIFIED",AND(AO41="OFFICIAL_WEBSITE",D41=""),AND(OR(P41="Equipment manual / OEM instruction",Q41="Asset-specific normative"),OR(O41&lt;&gt;"Manufacturer / supplier",AR41="",R41=""))),"PENDING",IF(COUNTIF(S41:W41,"LOW")&gt;0,"EXCLUDE",IF(COUNTIF(S41:W41,"MEDIUM")&gt;0,"PENDING",IF(COUNTIF(S41:W41,"HIGH")=5,"INCLUDE","PENDING")))))</x:f>
        <x:v>INCLUDE</x:v>
      </x:c>
      <x:c r="Z41" t="inlineStr">
        <x:is>
          <x:t xml:space="preserve">SUCCESS</x:t>
        </x:is>
      </x:c>
      <x:c r="AA41" s="398" t="n">
        <x:v>46262.53099537037</x:v>
      </x:c>
      <x:c r="AB41" s="398" t="n">
        <x:v>46262.53099537037</x:v>
      </x:c>
      <x:c r="AC41" s="398" t="inlineStr">
        <x:is>
          <x:t xml:space="preserve">INITIAL</x:t>
        </x:is>
      </x:c>
      <x:c r="AD41" s="398" t="inlineStr">
        <x:is>
          <x:t xml:space="preserve">AUTO</x:t>
        </x:is>
      </x:c>
      <x:c r="AE41" s="398" t="n">
        <x:f>IF(A41="","",IF(AD41="AUTO",AB41,IF(AD41="MANUAL",AF41,"")))</x:f>
        <x:v>46262.53099537037</x:v>
      </x:c>
      <x:c r="AF41" s="397" t="n"/>
      <x:c r="AH41" t="inlineStr">
        <x:is>
          <x:t xml:space="preserve">NONE</x:t>
        </x:is>
      </x:c>
      <x:c r="AI41" s="42" t="str"/>
      <x:c r="AJ41" t="str">
        <x:f>IF(OR(AL41&lt;&gt;"CURRENT",Y41="EXCLUDE"),"NO",IF(A41="","",IF(Z41="FAIL",IF(AND(AF41&lt;&gt;"",AF41&gt;=INT(AA41),I41="STORED",AD41="MANUAL",AG41&lt;&gt;""),"NO","YES"),IF(AND(AQ41="ROLLING",AC41="CHANGED"),IF(AND(AF41&lt;&gt;"",AF41&gt;=INT(IF(AB41&lt;&gt;"",AB41,AA41)),AG41&lt;&gt;""),"NO","YES"),"NO"))))</x:f>
        <x:v>NO</x:v>
      </x:c>
      <x:c r="AK41" t="inlineStr">
        <x:is>
          <x:t xml:space="preserve">9c505be3af04d8879ed1361628aaa96d5a45cacf20987849139a7636c1d97343</x:t>
        </x:is>
      </x:c>
      <x:c r="AL41" t="inlineStr">
        <x:is>
          <x:t xml:space="preserve">CURRENT</x:t>
        </x:is>
      </x:c>
      <x:c r="AM41" t="inlineStr">
        <x:is>
          <x:t xml:space="preserve">PA010</x:t>
        </x:is>
      </x:c>
      <x:c r="AN41" s="42" t="inlineStr">
        <x:is>
          <x:t xml:space="preserve">Official Norwegian implementation package for the EU Animal Health Law. Confirm species and activity-specific provisions.</x:t>
        </x:is>
      </x:c>
      <x:c r="AO41" t="inlineStr">
        <x:is>
          <x:t xml:space="preserve">OFFICIAL_WEBSITE</x:t>
        </x:is>
      </x:c>
      <x:c r="AP41" t="inlineStr">
        <x:is>
          <x:t xml:space="preserve">OFFICIAL_ORIGINAL</x:t>
        </x:is>
      </x:c>
      <x:c r="AQ41" t="inlineStr">
        <x:is>
          <x:t xml:space="preserve">ROLLING</x:t>
        </x:is>
      </x:c>
      <x:c r="AR41" s="42" t="str"/>
    </x:row>
    <x:row r="42" s="36" customFormat="1" ht="42" customHeight="1">
      <x:c r="A42" t="inlineStr">
        <x:is>
          <x:t xml:space="preserve">PA040</x:t>
        </x:is>
      </x:c>
      <x:c r="B42" t="inlineStr">
        <x:is>
          <x:t xml:space="preserve">PA040-001</x:t>
        </x:is>
      </x:c>
      <x:c r="C42" s="42" t="inlineStr">
        <x:is>
          <x:t xml:space="preserve">Aquabiosafety Regulation</x:t>
        </x:is>
      </x:c>
      <x:c r="D42" s="669" t="inlineStr">
        <x:is>
          <x:t xml:space="preserve">https://lovdata.no/dokument/SF/forskrift/2022-04-05-624</x:t>
        </x:is>
      </x:c>
      <x:c r="E42" s="669" t="inlineStr">
        <x:is>
          <x:t xml:space="preserve">https://lovdata.no/dokument/SF/forskrift/2022-04-05-624</x:t>
        </x:is>
      </x:c>
      <x:c r="F42" t="inlineStr">
        <x:is>
          <x:t xml:space="preserve">A_Public_Authority</x:t>
        </x:is>
      </x:c>
      <x:c r="G42" t="inlineStr">
        <x:is>
          <x:t xml:space="preserve">html</x:t>
        </x:is>
      </x:c>
      <x:c r="H42" t="inlineStr">
        <x:is>
          <x:t xml:space="preserve">PA040-001_Aquabiosafety_Regulation.html</x:t>
        </x:is>
      </x:c>
      <x:c r="I42" t="inlineStr">
        <x:is>
          <x:t xml:space="preserve">STORED</x:t>
        </x:is>
      </x:c>
      <x:c r="J42" t="inlineStr">
        <x:is>
          <x:t xml:space="preserve">Norwegian Ministry of Trade, Industry and Fisheries</x:t>
        </x:is>
      </x:c>
      <x:c r="K42" t="inlineStr">
        <x:is>
          <x:t xml:space="preserve">Norway</x:t>
        </x:is>
      </x:c>
      <x:c r="L42" t="inlineStr">
        <x:is>
          <x:t xml:space="preserve">Norwegian</x:t>
        </x:is>
      </x:c>
      <x:c r="N42" s="397" t="n"/>
      <x:c r="O42" t="inlineStr">
        <x:is>
          <x:t xml:space="preserve">Public authority</x:t>
        </x:is>
      </x:c>
      <x:c r="P42" t="inlineStr">
        <x:is>
          <x:t xml:space="preserve">Regulation</x:t>
        </x:is>
      </x:c>
      <x:c r="Q42" t="inlineStr">
        <x:is>
          <x:t xml:space="preserve">Primary normative</x:t>
        </x:is>
      </x:c>
      <x:c r="R42" s="42" t="inlineStr">
        <x:is>
          <x:t xml:space="preserve">Official regulation issued by Norwegian Ministry of Trade, Industry and Fisheries; included because it may impose binding requirements on an in-scope aquaculture asset, activity, permit or certification.</x:t>
        </x:is>
      </x:c>
      <x:c r="S42" t="inlineStr">
        <x:is>
          <x:t xml:space="preserve">HIGH</x:t>
        </x:is>
      </x:c>
      <x:c r="T42" t="inlineStr">
        <x:is>
          <x:t xml:space="preserve">HIGH</x:t>
        </x:is>
      </x:c>
      <x:c r="U42" t="inlineStr">
        <x:is>
          <x:t xml:space="preserve">HIGH</x:t>
        </x:is>
      </x:c>
      <x:c r="V42" t="inlineStr">
        <x:is>
          <x:t xml:space="preserve">HIGH</x:t>
        </x:is>
      </x:c>
      <x:c r="W42" t="inlineStr">
        <x:is>
          <x:t xml:space="preserve">HIGH</x:t>
        </x:is>
      </x:c>
      <x:c r="X42" t="inlineStr">
        <x:is>
          <x:t xml:space="preserve">HIGH</x:t>
        </x:is>
      </x:c>
      <x:c r="Y42" t="str">
        <x:f>IF(A42="","",IF(OR(J42="",AO42="",AP42="",AP42="UNVERIFIED",AND(AO42="OFFICIAL_WEBSITE",D42=""),AND(OR(P42="Equipment manual / OEM instruction",Q42="Asset-specific normative"),OR(O42&lt;&gt;"Manufacturer / supplier",AR42="",R42=""))),"PENDING",IF(COUNTIF(S42:W42,"LOW")&gt;0,"EXCLUDE",IF(COUNTIF(S42:W42,"MEDIUM")&gt;0,"PENDING",IF(COUNTIF(S42:W42,"HIGH")=5,"INCLUDE","PENDING")))))</x:f>
        <x:v>INCLUDE</x:v>
      </x:c>
      <x:c r="Z42" t="inlineStr">
        <x:is>
          <x:t xml:space="preserve">SUCCESS</x:t>
        </x:is>
      </x:c>
      <x:c r="AA42" s="398" t="n">
        <x:v>46262.53099537037</x:v>
      </x:c>
      <x:c r="AB42" s="398" t="n">
        <x:v>46262.53099537037</x:v>
      </x:c>
      <x:c r="AC42" s="398" t="inlineStr">
        <x:is>
          <x:t xml:space="preserve">INITIAL</x:t>
        </x:is>
      </x:c>
      <x:c r="AD42" s="398" t="inlineStr">
        <x:is>
          <x:t xml:space="preserve">AUTO</x:t>
        </x:is>
      </x:c>
      <x:c r="AE42" s="398" t="n">
        <x:f>IF(A42="","",IF(AD42="AUTO",AB42,IF(AD42="MANUAL",AF42,"")))</x:f>
        <x:v>46262.53099537037</x:v>
      </x:c>
      <x:c r="AF42" s="397" t="n"/>
      <x:c r="AH42" t="inlineStr">
        <x:is>
          <x:t xml:space="preserve">NONE</x:t>
        </x:is>
      </x:c>
      <x:c r="AI42" s="42" t="str"/>
      <x:c r="AJ42" t="str">
        <x:f>IF(OR(AL42&lt;&gt;"CURRENT",Y42="EXCLUDE"),"NO",IF(A42="","",IF(Z42="FAIL",IF(AND(AF42&lt;&gt;"",AF42&gt;=INT(AA42),I42="STORED",AD42="MANUAL",AG42&lt;&gt;""),"NO","YES"),IF(AND(AQ42="ROLLING",AC42="CHANGED"),IF(AND(AF42&lt;&gt;"",AF42&gt;=INT(IF(AB42&lt;&gt;"",AB42,AA42)),AG42&lt;&gt;""),"NO","YES"),"NO"))))</x:f>
        <x:v>NO</x:v>
      </x:c>
      <x:c r="AK42" t="inlineStr">
        <x:is>
          <x:t xml:space="preserve">ede876a30d12f3085e1e83584a4c2c3fd16c39afd42a1722c9c6ddd4bdca5bf9</x:t>
        </x:is>
      </x:c>
      <x:c r="AL42" t="inlineStr">
        <x:is>
          <x:t xml:space="preserve">CURRENT</x:t>
        </x:is>
      </x:c>
      <x:c r="AM42" t="inlineStr">
        <x:is>
          <x:t xml:space="preserve">PA010</x:t>
        </x:is>
      </x:c>
      <x:c r="AN42" s="42" t="inlineStr">
        <x:is>
          <x:t xml:space="preserve">Official expansion from Mattilsynet's aquaculture biosafety guidance. Core candidate for biosecurity planning and operation.</x:t>
        </x:is>
      </x:c>
      <x:c r="AO42" t="inlineStr">
        <x:is>
          <x:t xml:space="preserve">OFFICIAL_WEBSITE</x:t>
        </x:is>
      </x:c>
      <x:c r="AP42" t="inlineStr">
        <x:is>
          <x:t xml:space="preserve">OFFICIAL_ORIGINAL</x:t>
        </x:is>
      </x:c>
      <x:c r="AQ42" t="inlineStr">
        <x:is>
          <x:t xml:space="preserve">ROLLING</x:t>
        </x:is>
      </x:c>
      <x:c r="AR42" s="42" t="str"/>
    </x:row>
    <x:row r="43" s="36" customFormat="1" ht="42" customHeight="1">
      <x:c r="A43" t="inlineStr">
        <x:is>
          <x:t xml:space="preserve">PA041</x:t>
        </x:is>
      </x:c>
      <x:c r="B43" t="inlineStr">
        <x:is>
          <x:t xml:space="preserve">PA041-001</x:t>
        </x:is>
      </x:c>
      <x:c r="C43" s="42" t="inlineStr">
        <x:is>
          <x:t xml:space="preserve">Animal Health Surveillance Regulation</x:t>
        </x:is>
      </x:c>
      <x:c r="D43" s="669" t="inlineStr">
        <x:is>
          <x:t xml:space="preserve">https://lovdata.no/dokument/SF/forskrift/2022-04-06-632</x:t>
        </x:is>
      </x:c>
      <x:c r="E43" s="669" t="inlineStr">
        <x:is>
          <x:t xml:space="preserve">https://lovdata.no/dokument/SF/forskrift/2022-04-06-632</x:t>
        </x:is>
      </x:c>
      <x:c r="F43" t="inlineStr">
        <x:is>
          <x:t xml:space="preserve">A_Public_Authority</x:t>
        </x:is>
      </x:c>
      <x:c r="G43" t="inlineStr">
        <x:is>
          <x:t xml:space="preserve">html</x:t>
        </x:is>
      </x:c>
      <x:c r="H43" t="inlineStr">
        <x:is>
          <x:t xml:space="preserve">PA041-001_Animal_Health_Surveillance_Regulation.html</x:t>
        </x:is>
      </x:c>
      <x:c r="I43" t="inlineStr">
        <x:is>
          <x:t xml:space="preserve">STORED</x:t>
        </x:is>
      </x:c>
      <x:c r="J43" t="inlineStr">
        <x:is>
          <x:t xml:space="preserve">Norwegian Ministry of Agriculture and Food</x:t>
        </x:is>
      </x:c>
      <x:c r="K43" t="inlineStr">
        <x:is>
          <x:t xml:space="preserve">Norway</x:t>
        </x:is>
      </x:c>
      <x:c r="L43" t="inlineStr">
        <x:is>
          <x:t xml:space="preserve">Norwegian</x:t>
        </x:is>
      </x:c>
      <x:c r="N43" s="397" t="n"/>
      <x:c r="O43" t="inlineStr">
        <x:is>
          <x:t xml:space="preserve">Public authority</x:t>
        </x:is>
      </x:c>
      <x:c r="P43" t="inlineStr">
        <x:is>
          <x:t xml:space="preserve">Regulation</x:t>
        </x:is>
      </x:c>
      <x:c r="Q43" t="inlineStr">
        <x:is>
          <x:t xml:space="preserve">Primary normative</x:t>
        </x:is>
      </x:c>
      <x:c r="R43" s="42" t="inlineStr">
        <x:is>
          <x:t xml:space="preserve">Official regulation issued by Norwegian Ministry of Agriculture and Food; included because it may impose binding requirements on an in-scope aquaculture asset, activity, permit or certification.</x:t>
        </x:is>
      </x:c>
      <x:c r="S43" t="inlineStr">
        <x:is>
          <x:t xml:space="preserve">HIGH</x:t>
        </x:is>
      </x:c>
      <x:c r="T43" t="inlineStr">
        <x:is>
          <x:t xml:space="preserve">HIGH</x:t>
        </x:is>
      </x:c>
      <x:c r="U43" t="inlineStr">
        <x:is>
          <x:t xml:space="preserve">HIGH</x:t>
        </x:is>
      </x:c>
      <x:c r="V43" t="inlineStr">
        <x:is>
          <x:t xml:space="preserve">HIGH</x:t>
        </x:is>
      </x:c>
      <x:c r="W43" t="inlineStr">
        <x:is>
          <x:t xml:space="preserve">HIGH</x:t>
        </x:is>
      </x:c>
      <x:c r="X43" t="inlineStr">
        <x:is>
          <x:t xml:space="preserve">HIGH</x:t>
        </x:is>
      </x:c>
      <x:c r="Y43" t="str">
        <x:f>IF(A43="","",IF(OR(J43="",AO43="",AP43="",AP43="UNVERIFIED",AND(AO43="OFFICIAL_WEBSITE",D43=""),AND(OR(P43="Equipment manual / OEM instruction",Q43="Asset-specific normative"),OR(O43&lt;&gt;"Manufacturer / supplier",AR43="",R43=""))),"PENDING",IF(COUNTIF(S43:W43,"LOW")&gt;0,"EXCLUDE",IF(COUNTIF(S43:W43,"MEDIUM")&gt;0,"PENDING",IF(COUNTIF(S43:W43,"HIGH")=5,"INCLUDE","PENDING")))))</x:f>
        <x:v>INCLUDE</x:v>
      </x:c>
      <x:c r="Z43" t="inlineStr">
        <x:is>
          <x:t xml:space="preserve">SUCCESS</x:t>
        </x:is>
      </x:c>
      <x:c r="AA43" s="398" t="n">
        <x:v>46262.53100694445</x:v>
      </x:c>
      <x:c r="AB43" s="398" t="n">
        <x:v>46262.53100694445</x:v>
      </x:c>
      <x:c r="AC43" s="398" t="inlineStr">
        <x:is>
          <x:t xml:space="preserve">INITIAL</x:t>
        </x:is>
      </x:c>
      <x:c r="AD43" s="398" t="inlineStr">
        <x:is>
          <x:t xml:space="preserve">AUTO</x:t>
        </x:is>
      </x:c>
      <x:c r="AE43" s="398" t="n">
        <x:f>IF(A43="","",IF(AD43="AUTO",AB43,IF(AD43="MANUAL",AF43,"")))</x:f>
        <x:v>46262.53100694445</x:v>
      </x:c>
      <x:c r="AF43" s="397" t="n"/>
      <x:c r="AH43" t="inlineStr">
        <x:is>
          <x:t xml:space="preserve">NONE</x:t>
        </x:is>
      </x:c>
      <x:c r="AI43" s="42" t="str"/>
      <x:c r="AJ43" t="str">
        <x:f>IF(OR(AL43&lt;&gt;"CURRENT",Y43="EXCLUDE"),"NO",IF(A43="","",IF(Z43="FAIL",IF(AND(AF43&lt;&gt;"",AF43&gt;=INT(AA43),I43="STORED",AD43="MANUAL",AG43&lt;&gt;""),"NO","YES"),IF(AND(AQ43="ROLLING",AC43="CHANGED"),IF(AND(AF43&lt;&gt;"",AF43&gt;=INT(IF(AB43&lt;&gt;"",AB43,AA43)),AG43&lt;&gt;""),"NO","YES"),"NO"))))</x:f>
        <x:v>NO</x:v>
      </x:c>
      <x:c r="AK43" t="inlineStr">
        <x:is>
          <x:t xml:space="preserve">ac4adc7d9df4f75a93328f2fd196b1fb854fcc4696e26c150015ec3b30f6ff65</x:t>
        </x:is>
      </x:c>
      <x:c r="AL43" t="inlineStr">
        <x:is>
          <x:t xml:space="preserve">CURRENT</x:t>
        </x:is>
      </x:c>
      <x:c r="AM43" t="inlineStr">
        <x:is>
          <x:t xml:space="preserve">PA010</x:t>
        </x:is>
      </x:c>
      <x:c r="AN43" s="42" t="inlineStr">
        <x:is>
          <x:t xml:space="preserve">Official Norwegian implementation package for animal-health surveillance. Applicability must be mapped to farm species and status.</x:t>
        </x:is>
      </x:c>
      <x:c r="AO43" t="inlineStr">
        <x:is>
          <x:t xml:space="preserve">OFFICIAL_WEBSITE</x:t>
        </x:is>
      </x:c>
      <x:c r="AP43" t="inlineStr">
        <x:is>
          <x:t xml:space="preserve">OFFICIAL_ORIGINAL</x:t>
        </x:is>
      </x:c>
      <x:c r="AQ43" t="inlineStr">
        <x:is>
          <x:t xml:space="preserve">ROLLING</x:t>
        </x:is>
      </x:c>
      <x:c r="AR43" s="42" t="str"/>
    </x:row>
    <x:row r="44" s="36" customFormat="1" ht="42" customHeight="1">
      <x:c r="A44" t="inlineStr">
        <x:is>
          <x:t xml:space="preserve">PA042</x:t>
        </x:is>
      </x:c>
      <x:c r="B44" t="inlineStr">
        <x:is>
          <x:t xml:space="preserve">PA042-001</x:t>
        </x:is>
      </x:c>
      <x:c r="C44" s="42" t="inlineStr">
        <x:is>
          <x:t xml:space="preserve">Animal Disease Control Regulation</x:t>
        </x:is>
      </x:c>
      <x:c r="D44" s="669" t="inlineStr">
        <x:is>
          <x:t xml:space="preserve">https://lovdata.no/dokument/SF/forskrift/2022-04-06-634</x:t>
        </x:is>
      </x:c>
      <x:c r="E44" s="669" t="inlineStr">
        <x:is>
          <x:t xml:space="preserve">https://lovdata.no/dokument/SF/forskrift/2022-04-06-634</x:t>
        </x:is>
      </x:c>
      <x:c r="F44" t="inlineStr">
        <x:is>
          <x:t xml:space="preserve">A_Public_Authority</x:t>
        </x:is>
      </x:c>
      <x:c r="G44" t="inlineStr">
        <x:is>
          <x:t xml:space="preserve">html</x:t>
        </x:is>
      </x:c>
      <x:c r="H44" t="inlineStr">
        <x:is>
          <x:t xml:space="preserve">PA042-001_Animal_Disease_Control_Regulation.html</x:t>
        </x:is>
      </x:c>
      <x:c r="I44" t="inlineStr">
        <x:is>
          <x:t xml:space="preserve">STORED</x:t>
        </x:is>
      </x:c>
      <x:c r="J44" t="inlineStr">
        <x:is>
          <x:t xml:space="preserve">Norwegian Ministry of Agriculture and Food</x:t>
        </x:is>
      </x:c>
      <x:c r="K44" t="inlineStr">
        <x:is>
          <x:t xml:space="preserve">Norway</x:t>
        </x:is>
      </x:c>
      <x:c r="L44" t="inlineStr">
        <x:is>
          <x:t xml:space="preserve">Norwegian</x:t>
        </x:is>
      </x:c>
      <x:c r="N44" s="397" t="n"/>
      <x:c r="O44" t="inlineStr">
        <x:is>
          <x:t xml:space="preserve">Public authority</x:t>
        </x:is>
      </x:c>
      <x:c r="P44" t="inlineStr">
        <x:is>
          <x:t xml:space="preserve">Regulation</x:t>
        </x:is>
      </x:c>
      <x:c r="Q44" t="inlineStr">
        <x:is>
          <x:t xml:space="preserve">Primary normative</x:t>
        </x:is>
      </x:c>
      <x:c r="R44" s="42" t="inlineStr">
        <x:is>
          <x:t xml:space="preserve">Official regulation issued by Norwegian Ministry of Agriculture and Food; included because it may impose binding requirements on an in-scope aquaculture asset, activity, permit or certification.</x:t>
        </x:is>
      </x:c>
      <x:c r="S44" t="inlineStr">
        <x:is>
          <x:t xml:space="preserve">HIGH</x:t>
        </x:is>
      </x:c>
      <x:c r="T44" t="inlineStr">
        <x:is>
          <x:t xml:space="preserve">HIGH</x:t>
        </x:is>
      </x:c>
      <x:c r="U44" t="inlineStr">
        <x:is>
          <x:t xml:space="preserve">HIGH</x:t>
        </x:is>
      </x:c>
      <x:c r="V44" t="inlineStr">
        <x:is>
          <x:t xml:space="preserve">HIGH</x:t>
        </x:is>
      </x:c>
      <x:c r="W44" t="inlineStr">
        <x:is>
          <x:t xml:space="preserve">HIGH</x:t>
        </x:is>
      </x:c>
      <x:c r="X44" t="inlineStr">
        <x:is>
          <x:t xml:space="preserve">HIGH</x:t>
        </x:is>
      </x:c>
      <x:c r="Y44" t="str">
        <x:f>IF(A44="","",IF(OR(J44="",AO44="",AP44="",AP44="UNVERIFIED",AND(AO44="OFFICIAL_WEBSITE",D44=""),AND(OR(P44="Equipment manual / OEM instruction",Q44="Asset-specific normative"),OR(O44&lt;&gt;"Manufacturer / supplier",AR44="",R44=""))),"PENDING",IF(COUNTIF(S44:W44,"LOW")&gt;0,"EXCLUDE",IF(COUNTIF(S44:W44,"MEDIUM")&gt;0,"PENDING",IF(COUNTIF(S44:W44,"HIGH")=5,"INCLUDE","PENDING")))))</x:f>
        <x:v>INCLUDE</x:v>
      </x:c>
      <x:c r="Z44" t="inlineStr">
        <x:is>
          <x:t xml:space="preserve">SUCCESS</x:t>
        </x:is>
      </x:c>
      <x:c r="AA44" s="398" t="n">
        <x:v>46262.53100694445</x:v>
      </x:c>
      <x:c r="AB44" s="398" t="n">
        <x:v>46262.53100694445</x:v>
      </x:c>
      <x:c r="AC44" s="398" t="inlineStr">
        <x:is>
          <x:t xml:space="preserve">INITIAL</x:t>
        </x:is>
      </x:c>
      <x:c r="AD44" s="398" t="inlineStr">
        <x:is>
          <x:t xml:space="preserve">AUTO</x:t>
        </x:is>
      </x:c>
      <x:c r="AE44" s="398" t="n">
        <x:f>IF(A44="","",IF(AD44="AUTO",AB44,IF(AD44="MANUAL",AF44,"")))</x:f>
        <x:v>46262.53100694445</x:v>
      </x:c>
      <x:c r="AF44" s="397" t="n"/>
      <x:c r="AH44" t="inlineStr">
        <x:is>
          <x:t xml:space="preserve">NONE</x:t>
        </x:is>
      </x:c>
      <x:c r="AI44" s="42" t="str"/>
      <x:c r="AJ44" t="str">
        <x:f>IF(OR(AL44&lt;&gt;"CURRENT",Y44="EXCLUDE"),"NO",IF(A44="","",IF(Z44="FAIL",IF(AND(AF44&lt;&gt;"",AF44&gt;=INT(AA44),I44="STORED",AD44="MANUAL",AG44&lt;&gt;""),"NO","YES"),IF(AND(AQ44="ROLLING",AC44="CHANGED"),IF(AND(AF44&lt;&gt;"",AF44&gt;=INT(IF(AB44&lt;&gt;"",AB44,AA44)),AG44&lt;&gt;""),"NO","YES"),"NO"))))</x:f>
        <x:v>NO</x:v>
      </x:c>
      <x:c r="AK44" t="inlineStr">
        <x:is>
          <x:t xml:space="preserve">0c5693b8397db63986f66ac880a8fae1ba72a0f02771de366f103d3ee196e2e8</x:t>
        </x:is>
      </x:c>
      <x:c r="AL44" t="inlineStr">
        <x:is>
          <x:t xml:space="preserve">CURRENT</x:t>
        </x:is>
      </x:c>
      <x:c r="AM44" t="inlineStr">
        <x:is>
          <x:t xml:space="preserve">PA010</x:t>
        </x:is>
      </x:c>
      <x:c r="AN44" s="42" t="inlineStr">
        <x:is>
          <x:t xml:space="preserve">Official Norwegian implementation package for disease control. Requirements are condition-dependent and may be triggered by disease status.</x:t>
        </x:is>
      </x:c>
      <x:c r="AO44" t="inlineStr">
        <x:is>
          <x:t xml:space="preserve">OFFICIAL_WEBSITE</x:t>
        </x:is>
      </x:c>
      <x:c r="AP44" t="inlineStr">
        <x:is>
          <x:t xml:space="preserve">OFFICIAL_ORIGINAL</x:t>
        </x:is>
      </x:c>
      <x:c r="AQ44" t="inlineStr">
        <x:is>
          <x:t xml:space="preserve">ROLLING</x:t>
        </x:is>
      </x:c>
      <x:c r="AR44" s="42" t="str"/>
    </x:row>
    <x:row r="45" s="36" customFormat="1" ht="42" customHeight="1">
      <x:c r="A45" t="inlineStr">
        <x:is>
          <x:t xml:space="preserve">PA043</x:t>
        </x:is>
      </x:c>
      <x:c r="B45" t="inlineStr">
        <x:is>
          <x:t xml:space="preserve">PA043-001</x:t>
        </x:is>
      </x:c>
      <x:c r="C45" s="42" t="inlineStr">
        <x:is>
          <x:t xml:space="preserve">Mattilsynet guidance on biosafety plans in aquaculture facilities</x:t>
        </x:is>
      </x:c>
      <x:c r="D45" s="669" t="inlineStr">
        <x:is>
          <x:t xml:space="preserve">https://mattilsynet.no/fisk-og-akvakultur/biosikkerhetsplan-i-akvakulturanlegg</x:t>
        </x:is>
      </x:c>
      <x:c r="E45" s="669" t="inlineStr">
        <x:is>
          <x:t xml:space="preserve">https://mattilsynet.no/fisk-og-akvakultur/biosikkerhetsplan-i-akvakulturanlegg</x:t>
        </x:is>
      </x:c>
      <x:c r="F45" t="inlineStr">
        <x:is>
          <x:t xml:space="preserve">A_Public_Authority</x:t>
        </x:is>
      </x:c>
      <x:c r="G45" t="inlineStr">
        <x:is>
          <x:t xml:space="preserve">html</x:t>
        </x:is>
      </x:c>
      <x:c r="H45" t="inlineStr">
        <x:is>
          <x:t xml:space="preserve">PA043-001_Mattilsynet_guidance_on_biosafety_plans_in_aquaculture_facilities.html</x:t>
        </x:is>
      </x:c>
      <x:c r="I45" t="inlineStr">
        <x:is>
          <x:t xml:space="preserve">STORED</x:t>
        </x:is>
      </x:c>
      <x:c r="J45" t="inlineStr">
        <x:is>
          <x:t xml:space="preserve">Norwegian Food Safety Authority</x:t>
        </x:is>
      </x:c>
      <x:c r="K45" t="inlineStr">
        <x:is>
          <x:t xml:space="preserve">Norway</x:t>
        </x:is>
      </x:c>
      <x:c r="L45" t="inlineStr">
        <x:is>
          <x:t xml:space="preserve">Norwegian</x:t>
        </x:is>
      </x:c>
      <x:c r="N45" s="397" t="n"/>
      <x:c r="O45" t="inlineStr">
        <x:is>
          <x:t xml:space="preserve">Public authority</x:t>
        </x:is>
      </x:c>
      <x:c r="P45" t="inlineStr">
        <x:is>
          <x:t xml:space="preserve">Interpretation document</x:t>
        </x:is>
      </x:c>
      <x:c r="Q45" t="inlineStr">
        <x:is>
          <x:t xml:space="preserve">Guidance / interpretation</x:t>
        </x:is>
      </x:c>
      <x:c r="R45" s="42" t="inlineStr">
        <x:is>
          <x:t xml:space="preserve">Official guidance from Norwegian Food Safety Authority; included to interpret and operationalise linked normative requirements, not as independent legal or certification authority.</x:t>
        </x:is>
      </x:c>
      <x:c r="S45" t="inlineStr">
        <x:is>
          <x:t xml:space="preserve">HIGH</x:t>
        </x:is>
      </x:c>
      <x:c r="T45" t="inlineStr">
        <x:is>
          <x:t xml:space="preserve">HIGH</x:t>
        </x:is>
      </x:c>
      <x:c r="U45" t="inlineStr">
        <x:is>
          <x:t xml:space="preserve">HIGH</x:t>
        </x:is>
      </x:c>
      <x:c r="V45" t="inlineStr">
        <x:is>
          <x:t xml:space="preserve">HIGH</x:t>
        </x:is>
      </x:c>
      <x:c r="W45" t="inlineStr">
        <x:is>
          <x:t xml:space="preserve">HIGH</x:t>
        </x:is>
      </x:c>
      <x:c r="X45" t="inlineStr">
        <x:is>
          <x:t xml:space="preserve">HIGH</x:t>
        </x:is>
      </x:c>
      <x:c r="Y45" t="str">
        <x:f>IF(A45="","",IF(OR(J45="",AO45="",AP45="",AP45="UNVERIFIED",AND(AO45="OFFICIAL_WEBSITE",D45=""),AND(OR(P45="Equipment manual / OEM instruction",Q45="Asset-specific normative"),OR(O45&lt;&gt;"Manufacturer / supplier",AR45="",R45=""))),"PENDING",IF(COUNTIF(S45:W45,"LOW")&gt;0,"EXCLUDE",IF(COUNTIF(S45:W45,"MEDIUM")&gt;0,"PENDING",IF(COUNTIF(S45:W45,"HIGH")=5,"INCLUDE","PENDING")))))</x:f>
        <x:v>INCLUDE</x:v>
      </x:c>
      <x:c r="Z45" t="inlineStr">
        <x:is>
          <x:t xml:space="preserve">SUCCESS</x:t>
        </x:is>
      </x:c>
      <x:c r="AA45" s="398" t="n">
        <x:v>46262.53100694445</x:v>
      </x:c>
      <x:c r="AB45" s="398" t="n">
        <x:v>46262.53104166667</x:v>
      </x:c>
      <x:c r="AC45" s="398" t="inlineStr">
        <x:is>
          <x:t xml:space="preserve">INITIAL</x:t>
        </x:is>
      </x:c>
      <x:c r="AD45" s="398" t="inlineStr">
        <x:is>
          <x:t xml:space="preserve">AUTO</x:t>
        </x:is>
      </x:c>
      <x:c r="AE45" s="398" t="n">
        <x:f>IF(A45="","",IF(AD45="AUTO",AB45,IF(AD45="MANUAL",AF45,"")))</x:f>
        <x:v>46262.53104166667</x:v>
      </x:c>
      <x:c r="AF45" s="397" t="n"/>
      <x:c r="AH45" t="inlineStr">
        <x:is>
          <x:t xml:space="preserve">NONE</x:t>
        </x:is>
      </x:c>
      <x:c r="AI45" s="42" t="str"/>
      <x:c r="AJ45" t="str">
        <x:f>IF(OR(AL45&lt;&gt;"CURRENT",Y45="EXCLUDE"),"NO",IF(A45="","",IF(Z45="FAIL",IF(AND(AF45&lt;&gt;"",AF45&gt;=INT(AA45),I45="STORED",AD45="MANUAL",AG45&lt;&gt;""),"NO","YES"),IF(AND(AQ45="ROLLING",AC45="CHANGED"),IF(AND(AF45&lt;&gt;"",AF45&gt;=INT(IF(AB45&lt;&gt;"",AB45,AA45)),AG45&lt;&gt;""),"NO","YES"),"NO"))))</x:f>
        <x:v>NO</x:v>
      </x:c>
      <x:c r="AK45" t="inlineStr">
        <x:is>
          <x:t xml:space="preserve">56101f0aa402aaec3c59774403a0047534b1c05a5cd4541a00e64f5fb52970ad</x:t>
        </x:is>
      </x:c>
      <x:c r="AL45" t="inlineStr">
        <x:is>
          <x:t xml:space="preserve">CURRENT</x:t>
        </x:is>
      </x:c>
      <x:c r="AM45" t="inlineStr">
        <x:is>
          <x:t xml:space="preserve">PA040</x:t>
        </x:is>
      </x:c>
      <x:c r="AN45" s="42" t="inlineStr">
        <x:is>
          <x:t xml:space="preserve">Official guidance connecting the animal-health implementation package to a practical biosafety plan. It does not replace PA039 to PA042.</x:t>
        </x:is>
      </x:c>
      <x:c r="AO45" t="inlineStr">
        <x:is>
          <x:t xml:space="preserve">OFFICIAL_WEBSITE</x:t>
        </x:is>
      </x:c>
      <x:c r="AP45" t="inlineStr">
        <x:is>
          <x:t xml:space="preserve">OFFICIAL_ORIGINAL</x:t>
        </x:is>
      </x:c>
      <x:c r="AQ45" t="inlineStr">
        <x:is>
          <x:t xml:space="preserve">ROLLING</x:t>
        </x:is>
      </x:c>
      <x:c r="AR45" s="42" t="str"/>
    </x:row>
    <x:row r="46" s="36" customFormat="1" ht="42" customHeight="1">
      <x:c r="A46" t="inlineStr">
        <x:is>
          <x:t xml:space="preserve">PA044</x:t>
        </x:is>
      </x:c>
      <x:c r="B46" t="inlineStr">
        <x:is>
          <x:t xml:space="preserve">PA044-001</x:t>
        </x:is>
      </x:c>
      <x:c r="C46" s="42" t="inlineStr">
        <x:is>
          <x:t xml:space="preserve">Pollution Regulations, including Chapter 34 on pollution from aquaculture</x:t>
        </x:is>
      </x:c>
      <x:c r="D46" s="669" t="inlineStr">
        <x:is>
          <x:t xml:space="preserve">https://lovdata.no/dokument/SF/forskrift/2004-06-01-931</x:t>
        </x:is>
      </x:c>
      <x:c r="E46" s="669" t="inlineStr">
        <x:is>
          <x:t xml:space="preserve">https://lovdata.no/dokument/SF/forskrift/2004-06-01-931</x:t>
        </x:is>
      </x:c>
      <x:c r="F46" t="inlineStr">
        <x:is>
          <x:t xml:space="preserve">A_Public_Authority</x:t>
        </x:is>
      </x:c>
      <x:c r="G46" t="inlineStr">
        <x:is>
          <x:t xml:space="preserve">html</x:t>
        </x:is>
      </x:c>
      <x:c r="H46" t="inlineStr">
        <x:is>
          <x:t xml:space="preserve">PA044-001_Pollution_Regulations_including_Chapter_34_on_pollution_from_aquaculture.html</x:t>
        </x:is>
      </x:c>
      <x:c r="I46" t="inlineStr">
        <x:is>
          <x:t xml:space="preserve">STORED</x:t>
        </x:is>
      </x:c>
      <x:c r="J46" t="inlineStr">
        <x:is>
          <x:t xml:space="preserve">Norwegian Ministry of Climate and Environment</x:t>
        </x:is>
      </x:c>
      <x:c r="K46" t="inlineStr">
        <x:is>
          <x:t xml:space="preserve">Norway</x:t>
        </x:is>
      </x:c>
      <x:c r="L46" t="inlineStr">
        <x:is>
          <x:t xml:space="preserve">Norwegian</x:t>
        </x:is>
      </x:c>
      <x:c r="N46" s="397" t="n"/>
      <x:c r="O46" t="inlineStr">
        <x:is>
          <x:t xml:space="preserve">Public authority</x:t>
        </x:is>
      </x:c>
      <x:c r="P46" t="inlineStr">
        <x:is>
          <x:t xml:space="preserve">Regulation</x:t>
        </x:is>
      </x:c>
      <x:c r="Q46" t="inlineStr">
        <x:is>
          <x:t xml:space="preserve">Primary normative</x:t>
        </x:is>
      </x:c>
      <x:c r="R46" s="42" t="inlineStr">
        <x:is>
          <x:t xml:space="preserve">Official regulation issued by Norwegian Ministry of Climate and Environment; included because it may impose binding requirements on an in-scope aquaculture asset, activity, permit or certification.</x:t>
        </x:is>
      </x:c>
      <x:c r="S46" t="inlineStr">
        <x:is>
          <x:t xml:space="preserve">HIGH</x:t>
        </x:is>
      </x:c>
      <x:c r="T46" t="inlineStr">
        <x:is>
          <x:t xml:space="preserve">HIGH</x:t>
        </x:is>
      </x:c>
      <x:c r="U46" t="inlineStr">
        <x:is>
          <x:t xml:space="preserve">HIGH</x:t>
        </x:is>
      </x:c>
      <x:c r="V46" t="inlineStr">
        <x:is>
          <x:t xml:space="preserve">HIGH</x:t>
        </x:is>
      </x:c>
      <x:c r="W46" t="inlineStr">
        <x:is>
          <x:t xml:space="preserve">HIGH</x:t>
        </x:is>
      </x:c>
      <x:c r="X46" t="inlineStr">
        <x:is>
          <x:t xml:space="preserve">HIGH</x:t>
        </x:is>
      </x:c>
      <x:c r="Y46" t="str">
        <x:f>IF(A46="","",IF(OR(J46="",AO46="",AP46="",AP46="UNVERIFIED",AND(AO46="OFFICIAL_WEBSITE",D46=""),AND(OR(P46="Equipment manual / OEM instruction",Q46="Asset-specific normative"),OR(O46&lt;&gt;"Manufacturer / supplier",AR46="",R46=""))),"PENDING",IF(COUNTIF(S46:W46,"LOW")&gt;0,"EXCLUDE",IF(COUNTIF(S46:W46,"MEDIUM")&gt;0,"PENDING",IF(COUNTIF(S46:W46,"HIGH")=5,"INCLUDE","PENDING")))))</x:f>
        <x:v>INCLUDE</x:v>
      </x:c>
      <x:c r="Z46" t="inlineStr">
        <x:is>
          <x:t xml:space="preserve">SUCCESS</x:t>
        </x:is>
      </x:c>
      <x:c r="AA46" s="398" t="n">
        <x:v>46262.53104166667</x:v>
      </x:c>
      <x:c r="AB46" s="398" t="n">
        <x:v>46262.53104166667</x:v>
      </x:c>
      <x:c r="AC46" s="398" t="inlineStr">
        <x:is>
          <x:t xml:space="preserve">INITIAL</x:t>
        </x:is>
      </x:c>
      <x:c r="AD46" s="398" t="inlineStr">
        <x:is>
          <x:t xml:space="preserve">AUTO</x:t>
        </x:is>
      </x:c>
      <x:c r="AE46" s="398" t="n">
        <x:f>IF(A46="","",IF(AD46="AUTO",AB46,IF(AD46="MANUAL",AF46,"")))</x:f>
        <x:v>46262.53104166667</x:v>
      </x:c>
      <x:c r="AF46" s="397" t="n"/>
      <x:c r="AH46" t="inlineStr">
        <x:is>
          <x:t xml:space="preserve">NONE</x:t>
        </x:is>
      </x:c>
      <x:c r="AI46" s="42" t="str"/>
      <x:c r="AJ46" t="str">
        <x:f>IF(OR(AL46&lt;&gt;"CURRENT",Y46="EXCLUDE"),"NO",IF(A46="","",IF(Z46="FAIL",IF(AND(AF46&lt;&gt;"",AF46&gt;=INT(AA46),I46="STORED",AD46="MANUAL",AG46&lt;&gt;""),"NO","YES"),IF(AND(AQ46="ROLLING",AC46="CHANGED"),IF(AND(AF46&lt;&gt;"",AF46&gt;=INT(IF(AB46&lt;&gt;"",AB46,AA46)),AG46&lt;&gt;""),"NO","YES"),"NO"))))</x:f>
        <x:v>NO</x:v>
      </x:c>
      <x:c r="AK46" t="inlineStr">
        <x:is>
          <x:t xml:space="preserve">64436e3a3f3ade668fd3eaa53ce867914caf1d3a2f972c3bfd8d034b37641848</x:t>
        </x:is>
      </x:c>
      <x:c r="AL46" t="inlineStr">
        <x:is>
          <x:t xml:space="preserve">CURRENT</x:t>
        </x:is>
      </x:c>
      <x:c r="AM46" t="inlineStr">
        <x:is>
          <x:t xml:space="preserve">PA007</x:t>
        </x:is>
      </x:c>
      <x:c r="AN46" s="42" t="inlineStr">
        <x:is>
          <x:t xml:space="preserve">Official environmental coverage expansion. Chapter-level and permit-specific applicability must be confirmed.</x:t>
        </x:is>
      </x:c>
      <x:c r="AO46" t="inlineStr">
        <x:is>
          <x:t xml:space="preserve">OFFICIAL_WEBSITE</x:t>
        </x:is>
      </x:c>
      <x:c r="AP46" t="inlineStr">
        <x:is>
          <x:t xml:space="preserve">OFFICIAL_ORIGINAL</x:t>
        </x:is>
      </x:c>
      <x:c r="AQ46" t="inlineStr">
        <x:is>
          <x:t xml:space="preserve">ROLLING</x:t>
        </x:is>
      </x:c>
      <x:c r="AR46" s="42" t="str"/>
    </x:row>
    <x:row r="47" s="36" customFormat="1" ht="42" customHeight="1">
      <x:c r="A47" t="inlineStr">
        <x:is>
          <x:t xml:space="preserve">PA045</x:t>
        </x:is>
      </x:c>
      <x:c r="B47" t="inlineStr">
        <x:is>
          <x:t xml:space="preserve">PA045-001</x:t>
        </x:is>
      </x:c>
      <x:c r="C47" s="42" t="inlineStr">
        <x:is>
          <x:t xml:space="preserve">Regulations concerning organisation, management and employee participation</x:t>
        </x:is>
      </x:c>
      <x:c r="D47" s="669" t="inlineStr">
        <x:is>
          <x:t xml:space="preserve">https://lovdata.no/dokument/SF/forskrift/2011-12-06-1355</x:t>
        </x:is>
      </x:c>
      <x:c r="E47" s="669" t="inlineStr">
        <x:is>
          <x:t xml:space="preserve">https://lovdata.no/dokument/SF/forskrift/2011-12-06-1355</x:t>
        </x:is>
      </x:c>
      <x:c r="F47" t="inlineStr">
        <x:is>
          <x:t xml:space="preserve">A_Public_Authority</x:t>
        </x:is>
      </x:c>
      <x:c r="G47" t="inlineStr">
        <x:is>
          <x:t xml:space="preserve">html</x:t>
        </x:is>
      </x:c>
      <x:c r="H47" t="inlineStr">
        <x:is>
          <x:t xml:space="preserve">PA045-001_Regulations_concerning_organisation_management_and_employee_participation.html</x:t>
        </x:is>
      </x:c>
      <x:c r="I47" t="inlineStr">
        <x:is>
          <x:t xml:space="preserve">STORED</x:t>
        </x:is>
      </x:c>
      <x:c r="J47" t="inlineStr">
        <x:is>
          <x:t xml:space="preserve">Norwegian Ministry of Labour and Social Inclusion</x:t>
        </x:is>
      </x:c>
      <x:c r="K47" t="inlineStr">
        <x:is>
          <x:t xml:space="preserve">Norway</x:t>
        </x:is>
      </x:c>
      <x:c r="L47" t="inlineStr">
        <x:is>
          <x:t xml:space="preserve">Norwegian</x:t>
        </x:is>
      </x:c>
      <x:c r="N47" s="397" t="n"/>
      <x:c r="O47" t="inlineStr">
        <x:is>
          <x:t xml:space="preserve">Public authority</x:t>
        </x:is>
      </x:c>
      <x:c r="P47" t="inlineStr">
        <x:is>
          <x:t xml:space="preserve">Regulation</x:t>
        </x:is>
      </x:c>
      <x:c r="Q47" t="inlineStr">
        <x:is>
          <x:t xml:space="preserve">Primary normative</x:t>
        </x:is>
      </x:c>
      <x:c r="R47" s="42" t="inlineStr">
        <x:is>
          <x:t xml:space="preserve">Official regulation issued by Norwegian Ministry of Labour and Social Inclusion; included because it may impose binding requirements on an in-scope aquaculture asset, activity, permit or certification.</x:t>
        </x:is>
      </x:c>
      <x:c r="S47" t="inlineStr">
        <x:is>
          <x:t xml:space="preserve">HIGH</x:t>
        </x:is>
      </x:c>
      <x:c r="T47" t="inlineStr">
        <x:is>
          <x:t xml:space="preserve">HIGH</x:t>
        </x:is>
      </x:c>
      <x:c r="U47" t="inlineStr">
        <x:is>
          <x:t xml:space="preserve">HIGH</x:t>
        </x:is>
      </x:c>
      <x:c r="V47" t="inlineStr">
        <x:is>
          <x:t xml:space="preserve">HIGH</x:t>
        </x:is>
      </x:c>
      <x:c r="W47" t="inlineStr">
        <x:is>
          <x:t xml:space="preserve">HIGH</x:t>
        </x:is>
      </x:c>
      <x:c r="X47" t="inlineStr">
        <x:is>
          <x:t xml:space="preserve">HIGH</x:t>
        </x:is>
      </x:c>
      <x:c r="Y47" t="str">
        <x:f>IF(A47="","",IF(OR(J47="",AO47="",AP47="",AP47="UNVERIFIED",AND(AO47="OFFICIAL_WEBSITE",D47=""),AND(OR(P47="Equipment manual / OEM instruction",Q47="Asset-specific normative"),OR(O47&lt;&gt;"Manufacturer / supplier",AR47="",R47=""))),"PENDING",IF(COUNTIF(S47:W47,"LOW")&gt;0,"EXCLUDE",IF(COUNTIF(S47:W47,"MEDIUM")&gt;0,"PENDING",IF(COUNTIF(S47:W47,"HIGH")=5,"INCLUDE","PENDING")))))</x:f>
        <x:v>INCLUDE</x:v>
      </x:c>
      <x:c r="Z47" t="inlineStr">
        <x:is>
          <x:t xml:space="preserve">SUCCESS</x:t>
        </x:is>
      </x:c>
      <x:c r="AA47" s="398" t="n">
        <x:v>46262.53104166667</x:v>
      </x:c>
      <x:c r="AB47" s="398" t="n">
        <x:v>46262.53104166667</x:v>
      </x:c>
      <x:c r="AC47" s="398" t="inlineStr">
        <x:is>
          <x:t xml:space="preserve">INITIAL</x:t>
        </x:is>
      </x:c>
      <x:c r="AD47" s="398" t="inlineStr">
        <x:is>
          <x:t xml:space="preserve">AUTO</x:t>
        </x:is>
      </x:c>
      <x:c r="AE47" s="398" t="n">
        <x:f>IF(A47="","",IF(AD47="AUTO",AB47,IF(AD47="MANUAL",AF47,"")))</x:f>
        <x:v>46262.53104166667</x:v>
      </x:c>
      <x:c r="AF47" s="397" t="n"/>
      <x:c r="AH47" t="inlineStr">
        <x:is>
          <x:t xml:space="preserve">NONE</x:t>
        </x:is>
      </x:c>
      <x:c r="AI47" s="42" t="str"/>
      <x:c r="AJ47" t="str">
        <x:f>IF(OR(AL47&lt;&gt;"CURRENT",Y47="EXCLUDE"),"NO",IF(A47="","",IF(Z47="FAIL",IF(AND(AF47&lt;&gt;"",AF47&gt;=INT(AA47),I47="STORED",AD47="MANUAL",AG47&lt;&gt;""),"NO","YES"),IF(AND(AQ47="ROLLING",AC47="CHANGED"),IF(AND(AF47&lt;&gt;"",AF47&gt;=INT(IF(AB47&lt;&gt;"",AB47,AA47)),AG47&lt;&gt;""),"NO","YES"),"NO"))))</x:f>
        <x:v>NO</x:v>
      </x:c>
      <x:c r="AK47" t="inlineStr">
        <x:is>
          <x:t xml:space="preserve">e43d868a759780431d3e95d2b6e6910c66ca52fe42f12adc15e0380a3a81e1e2</x:t>
        </x:is>
      </x:c>
      <x:c r="AL47" t="inlineStr">
        <x:is>
          <x:t xml:space="preserve">CURRENT</x:t>
        </x:is>
      </x:c>
      <x:c r="AM47" t="inlineStr">
        <x:is>
          <x:t xml:space="preserve">PA011</x:t>
        </x:is>
      </x:c>
      <x:c r="AN47" s="42" t="inlineStr">
        <x:is>
          <x:t xml:space="preserve">Official HSE framework expansion. Applies according to work organisation, competence and participation arrangements.</x:t>
        </x:is>
      </x:c>
      <x:c r="AO47" t="inlineStr">
        <x:is>
          <x:t xml:space="preserve">OFFICIAL_WEBSITE</x:t>
        </x:is>
      </x:c>
      <x:c r="AP47" t="inlineStr">
        <x:is>
          <x:t xml:space="preserve">OFFICIAL_ORIGINAL</x:t>
        </x:is>
      </x:c>
      <x:c r="AQ47" t="inlineStr">
        <x:is>
          <x:t xml:space="preserve">ROLLING</x:t>
        </x:is>
      </x:c>
      <x:c r="AR47" s="42" t="str"/>
    </x:row>
    <x:row r="48" s="36" customFormat="1" ht="42" customHeight="1">
      <x:c r="A48" t="inlineStr">
        <x:is>
          <x:t xml:space="preserve">PA046</x:t>
        </x:is>
      </x:c>
      <x:c r="B48" t="inlineStr">
        <x:is>
          <x:t xml:space="preserve">PA046-001</x:t>
        </x:is>
      </x:c>
      <x:c r="C48" s="42" t="inlineStr">
        <x:is>
          <x:t xml:space="preserve">Workplace Regulations</x:t>
        </x:is>
      </x:c>
      <x:c r="D48" s="669" t="inlineStr">
        <x:is>
          <x:t xml:space="preserve">https://lovdata.no/dokument/SF/forskrift/2011-12-06-1356</x:t>
        </x:is>
      </x:c>
      <x:c r="E48" s="669" t="inlineStr">
        <x:is>
          <x:t xml:space="preserve">https://lovdata.no/dokument/SF/forskrift/2011-12-06-1356</x:t>
        </x:is>
      </x:c>
      <x:c r="F48" t="inlineStr">
        <x:is>
          <x:t xml:space="preserve">A_Public_Authority</x:t>
        </x:is>
      </x:c>
      <x:c r="G48" t="inlineStr">
        <x:is>
          <x:t xml:space="preserve">html</x:t>
        </x:is>
      </x:c>
      <x:c r="H48" t="inlineStr">
        <x:is>
          <x:t xml:space="preserve">PA046-001_Workplace_Regulations.html</x:t>
        </x:is>
      </x:c>
      <x:c r="I48" t="inlineStr">
        <x:is>
          <x:t xml:space="preserve">STORED</x:t>
        </x:is>
      </x:c>
      <x:c r="J48" t="inlineStr">
        <x:is>
          <x:t xml:space="preserve">Norwegian Ministry of Labour and Social Inclusion</x:t>
        </x:is>
      </x:c>
      <x:c r="K48" t="inlineStr">
        <x:is>
          <x:t xml:space="preserve">Norway</x:t>
        </x:is>
      </x:c>
      <x:c r="L48" t="inlineStr">
        <x:is>
          <x:t xml:space="preserve">Norwegian</x:t>
        </x:is>
      </x:c>
      <x:c r="N48" s="397" t="n"/>
      <x:c r="O48" t="inlineStr">
        <x:is>
          <x:t xml:space="preserve">Public authority</x:t>
        </x:is>
      </x:c>
      <x:c r="P48" t="inlineStr">
        <x:is>
          <x:t xml:space="preserve">Regulation</x:t>
        </x:is>
      </x:c>
      <x:c r="Q48" t="inlineStr">
        <x:is>
          <x:t xml:space="preserve">Primary normative</x:t>
        </x:is>
      </x:c>
      <x:c r="R48" s="42" t="inlineStr">
        <x:is>
          <x:t xml:space="preserve">Official regulation issued by Norwegian Ministry of Labour and Social Inclusion; included because it may impose binding requirements on an in-scope aquaculture asset, activity, permit or certification.</x:t>
        </x:is>
      </x:c>
      <x:c r="S48" t="inlineStr">
        <x:is>
          <x:t xml:space="preserve">HIGH</x:t>
        </x:is>
      </x:c>
      <x:c r="T48" t="inlineStr">
        <x:is>
          <x:t xml:space="preserve">HIGH</x:t>
        </x:is>
      </x:c>
      <x:c r="U48" t="inlineStr">
        <x:is>
          <x:t xml:space="preserve">HIGH</x:t>
        </x:is>
      </x:c>
      <x:c r="V48" t="inlineStr">
        <x:is>
          <x:t xml:space="preserve">HIGH</x:t>
        </x:is>
      </x:c>
      <x:c r="W48" t="inlineStr">
        <x:is>
          <x:t xml:space="preserve">HIGH</x:t>
        </x:is>
      </x:c>
      <x:c r="X48" t="inlineStr">
        <x:is>
          <x:t xml:space="preserve">HIGH</x:t>
        </x:is>
      </x:c>
      <x:c r="Y48" t="str">
        <x:f>IF(A48="","",IF(OR(J48="",AO48="",AP48="",AP48="UNVERIFIED",AND(AO48="OFFICIAL_WEBSITE",D48=""),AND(OR(P48="Equipment manual / OEM instruction",Q48="Asset-specific normative"),OR(O48&lt;&gt;"Manufacturer / supplier",AR48="",R48=""))),"PENDING",IF(COUNTIF(S48:W48,"LOW")&gt;0,"EXCLUDE",IF(COUNTIF(S48:W48,"MEDIUM")&gt;0,"PENDING",IF(COUNTIF(S48:W48,"HIGH")=5,"INCLUDE","PENDING")))))</x:f>
        <x:v>INCLUDE</x:v>
      </x:c>
      <x:c r="Z48" t="inlineStr">
        <x:is>
          <x:t xml:space="preserve">SUCCESS</x:t>
        </x:is>
      </x:c>
      <x:c r="AA48" s="398" t="n">
        <x:v>46262.53104166667</x:v>
      </x:c>
      <x:c r="AB48" s="398" t="n">
        <x:v>46262.53105324074</x:v>
      </x:c>
      <x:c r="AC48" s="398" t="inlineStr">
        <x:is>
          <x:t xml:space="preserve">INITIAL</x:t>
        </x:is>
      </x:c>
      <x:c r="AD48" s="398" t="inlineStr">
        <x:is>
          <x:t xml:space="preserve">AUTO</x:t>
        </x:is>
      </x:c>
      <x:c r="AE48" s="398" t="n">
        <x:f>IF(A48="","",IF(AD48="AUTO",AB48,IF(AD48="MANUAL",AF48,"")))</x:f>
        <x:v>46262.53105324074</x:v>
      </x:c>
      <x:c r="AF48" s="397" t="n"/>
      <x:c r="AH48" t="inlineStr">
        <x:is>
          <x:t xml:space="preserve">NONE</x:t>
        </x:is>
      </x:c>
      <x:c r="AI48" s="42" t="str"/>
      <x:c r="AJ48" t="str">
        <x:f>IF(OR(AL48&lt;&gt;"CURRENT",Y48="EXCLUDE"),"NO",IF(A48="","",IF(Z48="FAIL",IF(AND(AF48&lt;&gt;"",AF48&gt;=INT(AA48),I48="STORED",AD48="MANUAL",AG48&lt;&gt;""),"NO","YES"),IF(AND(AQ48="ROLLING",AC48="CHANGED"),IF(AND(AF48&lt;&gt;"",AF48&gt;=INT(IF(AB48&lt;&gt;"",AB48,AA48)),AG48&lt;&gt;""),"NO","YES"),"NO"))))</x:f>
        <x:v>NO</x:v>
      </x:c>
      <x:c r="AK48" t="inlineStr">
        <x:is>
          <x:t xml:space="preserve">3f3b6a9810b38e87332d03d59568a8724e83682d4ab914996dbf9b4d160dd951</x:t>
        </x:is>
      </x:c>
      <x:c r="AL48" t="inlineStr">
        <x:is>
          <x:t xml:space="preserve">CURRENT</x:t>
        </x:is>
      </x:c>
      <x:c r="AM48" t="inlineStr">
        <x:is>
          <x:t xml:space="preserve">PA011</x:t>
        </x:is>
      </x:c>
      <x:c r="AN48" s="42" t="inlineStr">
        <x:is>
          <x:t xml:space="preserve">Official HSE framework expansion. Site and facility applicability must be mapped to actual workplaces.</x:t>
        </x:is>
      </x:c>
      <x:c r="AO48" t="inlineStr">
        <x:is>
          <x:t xml:space="preserve">OFFICIAL_WEBSITE</x:t>
        </x:is>
      </x:c>
      <x:c r="AP48" t="inlineStr">
        <x:is>
          <x:t xml:space="preserve">OFFICIAL_ORIGINAL</x:t>
        </x:is>
      </x:c>
      <x:c r="AQ48" t="inlineStr">
        <x:is>
          <x:t xml:space="preserve">ROLLING</x:t>
        </x:is>
      </x:c>
      <x:c r="AR48" s="42" t="str"/>
    </x:row>
    <x:row r="49" s="36" customFormat="1" ht="42" customHeight="1">
      <x:c r="A49" t="inlineStr">
        <x:is>
          <x:t xml:space="preserve">PA047</x:t>
        </x:is>
      </x:c>
      <x:c r="B49" t="inlineStr">
        <x:is>
          <x:t xml:space="preserve">PA047-001</x:t>
        </x:is>
      </x:c>
      <x:c r="C49" s="42" t="inlineStr">
        <x:is>
          <x:t xml:space="preserve">Regulations concerning action and limit values</x:t>
        </x:is>
      </x:c>
      <x:c r="D49" s="669" t="inlineStr">
        <x:is>
          <x:t xml:space="preserve">https://lovdata.no/dokument/SF/forskrift/2011-12-06-1358</x:t>
        </x:is>
      </x:c>
      <x:c r="E49" s="669" t="inlineStr">
        <x:is>
          <x:t xml:space="preserve">https://lovdata.no/dokument/SF/forskrift/2011-12-06-1358</x:t>
        </x:is>
      </x:c>
      <x:c r="F49" t="inlineStr">
        <x:is>
          <x:t xml:space="preserve">A_Public_Authority</x:t>
        </x:is>
      </x:c>
      <x:c r="G49" t="inlineStr">
        <x:is>
          <x:t xml:space="preserve">html</x:t>
        </x:is>
      </x:c>
      <x:c r="H49" t="inlineStr">
        <x:is>
          <x:t xml:space="preserve">PA047-001_Regulations_concerning_action_and_limit_values.html</x:t>
        </x:is>
      </x:c>
      <x:c r="I49" t="inlineStr">
        <x:is>
          <x:t xml:space="preserve">STORED</x:t>
        </x:is>
      </x:c>
      <x:c r="J49" t="inlineStr">
        <x:is>
          <x:t xml:space="preserve">Norwegian Ministry of Labour and Social Inclusion</x:t>
        </x:is>
      </x:c>
      <x:c r="K49" t="inlineStr">
        <x:is>
          <x:t xml:space="preserve">Norway</x:t>
        </x:is>
      </x:c>
      <x:c r="L49" t="inlineStr">
        <x:is>
          <x:t xml:space="preserve">Norwegian</x:t>
        </x:is>
      </x:c>
      <x:c r="N49" s="397" t="n"/>
      <x:c r="O49" t="inlineStr">
        <x:is>
          <x:t xml:space="preserve">Public authority</x:t>
        </x:is>
      </x:c>
      <x:c r="P49" t="inlineStr">
        <x:is>
          <x:t xml:space="preserve">Regulation</x:t>
        </x:is>
      </x:c>
      <x:c r="Q49" t="inlineStr">
        <x:is>
          <x:t xml:space="preserve">Primary normative</x:t>
        </x:is>
      </x:c>
      <x:c r="R49" s="42" t="inlineStr">
        <x:is>
          <x:t xml:space="preserve">Official regulation issued by Norwegian Ministry of Labour and Social Inclusion; included because it may impose binding requirements on an in-scope aquaculture asset, activity, permit or certification.</x:t>
        </x:is>
      </x:c>
      <x:c r="S49" t="inlineStr">
        <x:is>
          <x:t xml:space="preserve">HIGH</x:t>
        </x:is>
      </x:c>
      <x:c r="T49" t="inlineStr">
        <x:is>
          <x:t xml:space="preserve">HIGH</x:t>
        </x:is>
      </x:c>
      <x:c r="U49" t="inlineStr">
        <x:is>
          <x:t xml:space="preserve">HIGH</x:t>
        </x:is>
      </x:c>
      <x:c r="V49" t="inlineStr">
        <x:is>
          <x:t xml:space="preserve">HIGH</x:t>
        </x:is>
      </x:c>
      <x:c r="W49" t="inlineStr">
        <x:is>
          <x:t xml:space="preserve">HIGH</x:t>
        </x:is>
      </x:c>
      <x:c r="X49" t="inlineStr">
        <x:is>
          <x:t xml:space="preserve">HIGH</x:t>
        </x:is>
      </x:c>
      <x:c r="Y49" t="str">
        <x:f>IF(A49="","",IF(OR(J49="",AO49="",AP49="",AP49="UNVERIFIED",AND(AO49="OFFICIAL_WEBSITE",D49=""),AND(OR(P49="Equipment manual / OEM instruction",Q49="Asset-specific normative"),OR(O49&lt;&gt;"Manufacturer / supplier",AR49="",R49=""))),"PENDING",IF(COUNTIF(S49:W49,"LOW")&gt;0,"EXCLUDE",IF(COUNTIF(S49:W49,"MEDIUM")&gt;0,"PENDING",IF(COUNTIF(S49:W49,"HIGH")=5,"INCLUDE","PENDING")))))</x:f>
        <x:v>INCLUDE</x:v>
      </x:c>
      <x:c r="Z49" t="inlineStr">
        <x:is>
          <x:t xml:space="preserve">SUCCESS</x:t>
        </x:is>
      </x:c>
      <x:c r="AA49" s="398" t="n">
        <x:v>46262.53105324074</x:v>
      </x:c>
      <x:c r="AB49" s="398" t="n">
        <x:v>46262.53105324074</x:v>
      </x:c>
      <x:c r="AC49" s="398" t="inlineStr">
        <x:is>
          <x:t xml:space="preserve">INITIAL</x:t>
        </x:is>
      </x:c>
      <x:c r="AD49" s="398" t="inlineStr">
        <x:is>
          <x:t xml:space="preserve">AUTO</x:t>
        </x:is>
      </x:c>
      <x:c r="AE49" s="398" t="n">
        <x:f>IF(A49="","",IF(AD49="AUTO",AB49,IF(AD49="MANUAL",AF49,"")))</x:f>
        <x:v>46262.53105324074</x:v>
      </x:c>
      <x:c r="AF49" s="397" t="n"/>
      <x:c r="AH49" t="inlineStr">
        <x:is>
          <x:t xml:space="preserve">NONE</x:t>
        </x:is>
      </x:c>
      <x:c r="AI49" s="42" t="str"/>
      <x:c r="AJ49" t="str">
        <x:f>IF(OR(AL49&lt;&gt;"CURRENT",Y49="EXCLUDE"),"NO",IF(A49="","",IF(Z49="FAIL",IF(AND(AF49&lt;&gt;"",AF49&gt;=INT(AA49),I49="STORED",AD49="MANUAL",AG49&lt;&gt;""),"NO","YES"),IF(AND(AQ49="ROLLING",AC49="CHANGED"),IF(AND(AF49&lt;&gt;"",AF49&gt;=INT(IF(AB49&lt;&gt;"",AB49,AA49)),AG49&lt;&gt;""),"NO","YES"),"NO"))))</x:f>
        <x:v>NO</x:v>
      </x:c>
      <x:c r="AK49" t="inlineStr">
        <x:is>
          <x:t xml:space="preserve">c30790d1b5cdb2e3fc192d1e2141a7996f5e3a3d42983671189edd232c7cbd14</x:t>
        </x:is>
      </x:c>
      <x:c r="AL49" t="inlineStr">
        <x:is>
          <x:t xml:space="preserve">CURRENT</x:t>
        </x:is>
      </x:c>
      <x:c r="AM49" t="inlineStr">
        <x:is>
          <x:t xml:space="preserve">PA011</x:t>
        </x:is>
      </x:c>
      <x:c r="AN49" s="42" t="inlineStr">
        <x:is>
          <x:t xml:space="preserve">Official HSE framework expansion. Include applicable exposure limits after activity and hazard mapping.</x:t>
        </x:is>
      </x:c>
      <x:c r="AO49" t="inlineStr">
        <x:is>
          <x:t xml:space="preserve">OFFICIAL_WEBSITE</x:t>
        </x:is>
      </x:c>
      <x:c r="AP49" t="inlineStr">
        <x:is>
          <x:t xml:space="preserve">OFFICIAL_ORIGINAL</x:t>
        </x:is>
      </x:c>
      <x:c r="AQ49" t="inlineStr">
        <x:is>
          <x:t xml:space="preserve">ROLLING</x:t>
        </x:is>
      </x:c>
      <x:c r="AR49" s="42" t="str"/>
    </x:row>
    <x:row r="50" s="36" customFormat="1" ht="42" customHeight="1">
      <x:c r="A50" t="inlineStr">
        <x:is>
          <x:t xml:space="preserve">PA048</x:t>
        </x:is>
      </x:c>
      <x:c r="B50" t="inlineStr">
        <x:is>
          <x:t xml:space="preserve">PA048-001</x:t>
        </x:is>
      </x:c>
      <x:c r="C50" s="42" t="inlineStr">
        <x:is>
          <x:t xml:space="preserve">Regulations concerning administrative arrangements in the area of the Working Environment Act</x:t>
        </x:is>
      </x:c>
      <x:c r="D50" s="669" t="inlineStr">
        <x:is>
          <x:t xml:space="preserve">https://lovdata.no/dokument/SF/forskrift/2011-12-06-1360</x:t>
        </x:is>
      </x:c>
      <x:c r="E50" s="669" t="inlineStr">
        <x:is>
          <x:t xml:space="preserve">https://lovdata.no/dokument/SF/forskrift/2011-12-06-1360</x:t>
        </x:is>
      </x:c>
      <x:c r="F50" t="inlineStr">
        <x:is>
          <x:t xml:space="preserve">A_Public_Authority</x:t>
        </x:is>
      </x:c>
      <x:c r="G50" t="inlineStr">
        <x:is>
          <x:t xml:space="preserve">html</x:t>
        </x:is>
      </x:c>
      <x:c r="H50" t="inlineStr">
        <x:is>
          <x:t xml:space="preserve">PA048-001_Regulations_concerning_administrative_arrangements_in_the_area_of_the_Working_Environment_Act.html</x:t>
        </x:is>
      </x:c>
      <x:c r="I50" t="inlineStr">
        <x:is>
          <x:t xml:space="preserve">STORED</x:t>
        </x:is>
      </x:c>
      <x:c r="J50" t="inlineStr">
        <x:is>
          <x:t xml:space="preserve">Norwegian Ministry of Labour and Social Inclusion</x:t>
        </x:is>
      </x:c>
      <x:c r="K50" t="inlineStr">
        <x:is>
          <x:t xml:space="preserve">Norway</x:t>
        </x:is>
      </x:c>
      <x:c r="L50" t="inlineStr">
        <x:is>
          <x:t xml:space="preserve">Norwegian</x:t>
        </x:is>
      </x:c>
      <x:c r="N50" s="397" t="n"/>
      <x:c r="O50" t="inlineStr">
        <x:is>
          <x:t xml:space="preserve">Public authority</x:t>
        </x:is>
      </x:c>
      <x:c r="P50" t="inlineStr">
        <x:is>
          <x:t xml:space="preserve">Regulation</x:t>
        </x:is>
      </x:c>
      <x:c r="Q50" t="inlineStr">
        <x:is>
          <x:t xml:space="preserve">Referenced normative</x:t>
        </x:is>
      </x:c>
      <x:c r="R50" s="42" t="inlineStr">
        <x:is>
          <x:t xml:space="preserve">Official referenced source from Norwegian Ministry of Labour and Social Inclusion; included because an applicable law, permit or certification scheme may make its provisions binding within the approved scope.</x:t>
        </x:is>
      </x:c>
      <x:c r="S50" t="inlineStr">
        <x:is>
          <x:t xml:space="preserve">HIGH</x:t>
        </x:is>
      </x:c>
      <x:c r="T50" t="inlineStr">
        <x:is>
          <x:t xml:space="preserve">HIGH</x:t>
        </x:is>
      </x:c>
      <x:c r="U50" t="inlineStr">
        <x:is>
          <x:t xml:space="preserve">HIGH</x:t>
        </x:is>
      </x:c>
      <x:c r="V50" t="inlineStr">
        <x:is>
          <x:t xml:space="preserve">HIGH</x:t>
        </x:is>
      </x:c>
      <x:c r="W50" t="inlineStr">
        <x:is>
          <x:t xml:space="preserve">HIGH</x:t>
        </x:is>
      </x:c>
      <x:c r="X50" t="inlineStr">
        <x:is>
          <x:t xml:space="preserve">HIGH</x:t>
        </x:is>
      </x:c>
      <x:c r="Y50" t="str">
        <x:f>IF(A50="","",IF(OR(J50="",AO50="",AP50="",AP50="UNVERIFIED",AND(AO50="OFFICIAL_WEBSITE",D50=""),AND(OR(P50="Equipment manual / OEM instruction",Q50="Asset-specific normative"),OR(O50&lt;&gt;"Manufacturer / supplier",AR50="",R50=""))),"PENDING",IF(COUNTIF(S50:W50,"LOW")&gt;0,"EXCLUDE",IF(COUNTIF(S50:W50,"MEDIUM")&gt;0,"PENDING",IF(COUNTIF(S50:W50,"HIGH")=5,"INCLUDE","PENDING")))))</x:f>
        <x:v>INCLUDE</x:v>
      </x:c>
      <x:c r="Z50" t="inlineStr">
        <x:is>
          <x:t xml:space="preserve">SUCCESS</x:t>
        </x:is>
      </x:c>
      <x:c r="AA50" s="398" t="n">
        <x:v>46262.53105324074</x:v>
      </x:c>
      <x:c r="AB50" s="398" t="n">
        <x:v>46262.53105324074</x:v>
      </x:c>
      <x:c r="AC50" s="398" t="inlineStr">
        <x:is>
          <x:t xml:space="preserve">INITIAL</x:t>
        </x:is>
      </x:c>
      <x:c r="AD50" s="398" t="inlineStr">
        <x:is>
          <x:t xml:space="preserve">AUTO</x:t>
        </x:is>
      </x:c>
      <x:c r="AE50" s="398" t="n">
        <x:f>IF(A50="","",IF(AD50="AUTO",AB50,IF(AD50="MANUAL",AF50,"")))</x:f>
        <x:v>46262.53105324074</x:v>
      </x:c>
      <x:c r="AF50" s="397" t="n"/>
      <x:c r="AH50" t="inlineStr">
        <x:is>
          <x:t xml:space="preserve">NONE</x:t>
        </x:is>
      </x:c>
      <x:c r="AI50" s="42" t="str"/>
      <x:c r="AJ50" t="str">
        <x:f>IF(OR(AL50&lt;&gt;"CURRENT",Y50="EXCLUDE"),"NO",IF(A50="","",IF(Z50="FAIL",IF(AND(AF50&lt;&gt;"",AF50&gt;=INT(AA50),I50="STORED",AD50="MANUAL",AG50&lt;&gt;""),"NO","YES"),IF(AND(AQ50="ROLLING",AC50="CHANGED"),IF(AND(AF50&lt;&gt;"",AF50&gt;=INT(IF(AB50&lt;&gt;"",AB50,AA50)),AG50&lt;&gt;""),"NO","YES"),"NO"))))</x:f>
        <x:v>NO</x:v>
      </x:c>
      <x:c r="AK50" t="inlineStr">
        <x:is>
          <x:t xml:space="preserve">a1d40a88d0a41bd2a9b66a59e0f3e46a4769483174bae327b4ca5fc43e07b6be</x:t>
        </x:is>
      </x:c>
      <x:c r="AL50" t="inlineStr">
        <x:is>
          <x:t xml:space="preserve">CURRENT</x:t>
        </x:is>
      </x:c>
      <x:c r="AM50" t="inlineStr">
        <x:is>
          <x:t xml:space="preserve">PA011</x:t>
        </x:is>
      </x:c>
      <x:c r="AN50" s="42" t="inlineStr">
        <x:is>
          <x:t xml:space="preserve">Official HSE framework expansion. Relevant to designated roles, approvals and administrative arrangements.</x:t>
        </x:is>
      </x:c>
      <x:c r="AO50" t="inlineStr">
        <x:is>
          <x:t xml:space="preserve">OFFICIAL_WEBSITE</x:t>
        </x:is>
      </x:c>
      <x:c r="AP50" t="inlineStr">
        <x:is>
          <x:t xml:space="preserve">OFFICIAL_ORIGINAL</x:t>
        </x:is>
      </x:c>
      <x:c r="AQ50" t="inlineStr">
        <x:is>
          <x:t xml:space="preserve">ROLLING</x:t>
        </x:is>
      </x:c>
      <x:c r="AR50" s="42" t="str"/>
    </x:row>
    <x:row r="51" s="36" customFormat="1" ht="42" customHeight="1">
      <x:c r="A51" t="inlineStr">
        <x:is>
          <x:t xml:space="preserve">PA049</x:t>
        </x:is>
      </x:c>
      <x:c r="B51" t="inlineStr">
        <x:is>
          <x:t xml:space="preserve">PA049-001</x:t>
        </x:is>
      </x:c>
      <x:c r="C51" s="42" t="inlineStr">
        <x:is>
          <x:t xml:space="preserve">Regulation on working environment, safety and health for persons working on board ships</x:t>
        </x:is>
      </x:c>
      <x:c r="D51" s="669" t="inlineStr">
        <x:is>
          <x:t xml:space="preserve">https://lovdata.no/dokument/SF/forskrift/2005-01-01-8</x:t>
        </x:is>
      </x:c>
      <x:c r="E51" s="669" t="inlineStr">
        <x:is>
          <x:t xml:space="preserve">https://lovdata.no/dokument/SF/forskrift/2005-01-01-8</x:t>
        </x:is>
      </x:c>
      <x:c r="F51" t="inlineStr">
        <x:is>
          <x:t xml:space="preserve">A_Public_Authority</x:t>
        </x:is>
      </x:c>
      <x:c r="G51" t="inlineStr">
        <x:is>
          <x:t xml:space="preserve">html</x:t>
        </x:is>
      </x:c>
      <x:c r="H51" t="inlineStr">
        <x:is>
          <x:t xml:space="preserve">PA049-001_Regulation_on_working_environment_safety_and_health_for_persons_working_on_board_ships.html</x:t>
        </x:is>
      </x:c>
      <x:c r="I51" t="inlineStr">
        <x:is>
          <x:t xml:space="preserve">STORED</x:t>
        </x:is>
      </x:c>
      <x:c r="J51" t="inlineStr">
        <x:is>
          <x:t xml:space="preserve">Norwegian Ministry of Trade, Industry and Fisheries</x:t>
        </x:is>
      </x:c>
      <x:c r="K51" t="inlineStr">
        <x:is>
          <x:t xml:space="preserve">Norway</x:t>
        </x:is>
      </x:c>
      <x:c r="L51" t="inlineStr">
        <x:is>
          <x:t xml:space="preserve">Norwegian</x:t>
        </x:is>
      </x:c>
      <x:c r="N51" s="397" t="n"/>
      <x:c r="O51" t="inlineStr">
        <x:is>
          <x:t xml:space="preserve">Public authority</x:t>
        </x:is>
      </x:c>
      <x:c r="P51" t="inlineStr">
        <x:is>
          <x:t xml:space="preserve">Regulation</x:t>
        </x:is>
      </x:c>
      <x:c r="Q51" t="inlineStr">
        <x:is>
          <x:t xml:space="preserve">Primary normative</x:t>
        </x:is>
      </x:c>
      <x:c r="R51" s="42" t="inlineStr">
        <x:is>
          <x:t xml:space="preserve">Official regulation issued by Norwegian Ministry of Trade, Industry and Fisheries; included because it may impose binding requirements on an in-scope aquaculture asset, activity, permit or certification.</x:t>
        </x:is>
      </x:c>
      <x:c r="S51" t="inlineStr">
        <x:is>
          <x:t xml:space="preserve">HIGH</x:t>
        </x:is>
      </x:c>
      <x:c r="T51" t="inlineStr">
        <x:is>
          <x:t xml:space="preserve">MEDIUM</x:t>
        </x:is>
      </x:c>
      <x:c r="U51" t="inlineStr">
        <x:is>
          <x:t xml:space="preserve">HIGH</x:t>
        </x:is>
      </x:c>
      <x:c r="V51" t="inlineStr">
        <x:is>
          <x:t xml:space="preserve">HIGH</x:t>
        </x:is>
      </x:c>
      <x:c r="W51" t="inlineStr">
        <x:is>
          <x:t xml:space="preserve">HIGH</x:t>
        </x:is>
      </x:c>
      <x:c r="X51" t="inlineStr">
        <x:is>
          <x:t xml:space="preserve">HIGH</x:t>
        </x:is>
      </x:c>
      <x:c r="Y51" t="str">
        <x:f>IF(A51="","",IF(OR(J51="",AO51="",AP51="",AP51="UNVERIFIED",AND(AO51="OFFICIAL_WEBSITE",D51=""),AND(OR(P51="Equipment manual / OEM instruction",Q51="Asset-specific normative"),OR(O51&lt;&gt;"Manufacturer / supplier",AR51="",R51=""))),"PENDING",IF(COUNTIF(S51:W51,"LOW")&gt;0,"EXCLUDE",IF(COUNTIF(S51:W51,"MEDIUM")&gt;0,"PENDING",IF(COUNTIF(S51:W51,"HIGH")=5,"INCLUDE","PENDING")))))</x:f>
        <x:v>PENDING</x:v>
      </x:c>
      <x:c r="Z51" t="inlineStr">
        <x:is>
          <x:t xml:space="preserve">SUCCESS</x:t>
        </x:is>
      </x:c>
      <x:c r="AA51" s="398" t="n">
        <x:v>46262.53106481482</x:v>
      </x:c>
      <x:c r="AB51" s="398" t="n">
        <x:v>46262.53106481482</x:v>
      </x:c>
      <x:c r="AC51" s="398" t="inlineStr">
        <x:is>
          <x:t xml:space="preserve">INITIAL</x:t>
        </x:is>
      </x:c>
      <x:c r="AD51" s="398" t="inlineStr">
        <x:is>
          <x:t xml:space="preserve">AUTO</x:t>
        </x:is>
      </x:c>
      <x:c r="AE51" s="398" t="n">
        <x:f>IF(A51="","",IF(AD51="AUTO",AB51,IF(AD51="MANUAL",AF51,"")))</x:f>
        <x:v>46262.53106481482</x:v>
      </x:c>
      <x:c r="AF51" s="397" t="n"/>
      <x:c r="AH51" t="inlineStr">
        <x:is>
          <x:t xml:space="preserve">NONE</x:t>
        </x:is>
      </x:c>
      <x:c r="AI51" s="42" t="str"/>
      <x:c r="AJ51" t="str">
        <x:f>IF(OR(AL51&lt;&gt;"CURRENT",Y51="EXCLUDE"),"NO",IF(A51="","",IF(Z51="FAIL",IF(AND(AF51&lt;&gt;"",AF51&gt;=INT(AA51),I51="STORED",AD51="MANUAL",AG51&lt;&gt;""),"NO","YES"),IF(AND(AQ51="ROLLING",AC51="CHANGED"),IF(AND(AF51&lt;&gt;"",AF51&gt;=INT(IF(AB51&lt;&gt;"",AB51,AA51)),AG51&lt;&gt;""),"NO","YES"),"NO"))))</x:f>
        <x:v>NO</x:v>
      </x:c>
      <x:c r="AK51" t="inlineStr">
        <x:is>
          <x:t xml:space="preserve">669c8fb7232983d365c22bc01253bfe1b6d121397439e31345698e43fa3fcba1</x:t>
        </x:is>
      </x:c>
      <x:c r="AL51" t="inlineStr">
        <x:is>
          <x:t xml:space="preserve">CURRENT</x:t>
        </x:is>
      </x:c>
      <x:c r="AM51" t="inlineStr">
        <x:is>
          <x:t xml:space="preserve">PA018</x:t>
        </x:is>
      </x:c>
      <x:c r="AN51" s="42" t="inlineStr">
        <x:is>
          <x:t xml:space="preserve">Official maritime HSE expansion. Include only for personnel and vessels falling within maritime scope.</x:t>
        </x:is>
      </x:c>
      <x:c r="AO51" t="inlineStr">
        <x:is>
          <x:t xml:space="preserve">OFFICIAL_WEBSITE</x:t>
        </x:is>
      </x:c>
      <x:c r="AP51" t="inlineStr">
        <x:is>
          <x:t xml:space="preserve">OFFICIAL_ORIGINAL</x:t>
        </x:is>
      </x:c>
      <x:c r="AQ51" t="inlineStr">
        <x:is>
          <x:t xml:space="preserve">ROLLING</x:t>
        </x:is>
      </x:c>
      <x:c r="AR51" s="42" t="str"/>
    </x:row>
    <x:row r="52" s="36" customFormat="1" ht="42" customHeight="1">
      <x:c r="A52" t="inlineStr">
        <x:is>
          <x:t xml:space="preserve">PA050</x:t>
        </x:is>
      </x:c>
      <x:c r="B52" t="inlineStr">
        <x:is>
          <x:t xml:space="preserve">PA050-001</x:t>
        </x:is>
      </x:c>
      <x:c r="C52" s="42" t="inlineStr">
        <x:is>
          <x:t xml:space="preserve">Harbours and Fairways Act</x:t>
        </x:is>
      </x:c>
      <x:c r="D52" s="669" t="inlineStr">
        <x:is>
          <x:t xml:space="preserve">https://lovdata.no/dokument/NL/lov/2019-06-21-70</x:t>
        </x:is>
      </x:c>
      <x:c r="E52" s="669" t="inlineStr">
        <x:is>
          <x:t xml:space="preserve">https://lovdata.no/dokument/NL/lov/2019-06-21-70</x:t>
        </x:is>
      </x:c>
      <x:c r="F52" t="inlineStr">
        <x:is>
          <x:t xml:space="preserve">A_Public_Authority</x:t>
        </x:is>
      </x:c>
      <x:c r="G52" t="inlineStr">
        <x:is>
          <x:t xml:space="preserve">html</x:t>
        </x:is>
      </x:c>
      <x:c r="H52" t="inlineStr">
        <x:is>
          <x:t xml:space="preserve">PA050-001_Harbours_and_Fairways_Act.html</x:t>
        </x:is>
      </x:c>
      <x:c r="I52" t="inlineStr">
        <x:is>
          <x:t xml:space="preserve">STORED</x:t>
        </x:is>
      </x:c>
      <x:c r="J52" t="inlineStr">
        <x:is>
          <x:t xml:space="preserve">Norwegian Ministry of Trade, Industry and Fisheries</x:t>
        </x:is>
      </x:c>
      <x:c r="K52" t="inlineStr">
        <x:is>
          <x:t xml:space="preserve">Norway</x:t>
        </x:is>
      </x:c>
      <x:c r="L52" t="inlineStr">
        <x:is>
          <x:t xml:space="preserve">Norwegian</x:t>
        </x:is>
      </x:c>
      <x:c r="N52" s="397" t="n"/>
      <x:c r="O52" t="inlineStr">
        <x:is>
          <x:t xml:space="preserve">Public authority</x:t>
        </x:is>
      </x:c>
      <x:c r="P52" t="inlineStr">
        <x:is>
          <x:t xml:space="preserve">Law</x:t>
        </x:is>
      </x:c>
      <x:c r="Q52" t="inlineStr">
        <x:is>
          <x:t xml:space="preserve">Primary normative</x:t>
        </x:is>
      </x:c>
      <x:c r="R52" s="42" t="inlineStr">
        <x:is>
          <x:t xml:space="preserve">Official law issued by Norwegian Ministry of Trade, Industry and Fisheries; included because it may impose binding requirements on an in-scope aquaculture asset, activity, permit or certification.</x:t>
        </x:is>
      </x:c>
      <x:c r="S52" t="inlineStr">
        <x:is>
          <x:t xml:space="preserve">HIGH</x:t>
        </x:is>
      </x:c>
      <x:c r="T52" t="inlineStr">
        <x:is>
          <x:t xml:space="preserve">HIGH</x:t>
        </x:is>
      </x:c>
      <x:c r="U52" t="inlineStr">
        <x:is>
          <x:t xml:space="preserve">HIGH</x:t>
        </x:is>
      </x:c>
      <x:c r="V52" t="inlineStr">
        <x:is>
          <x:t xml:space="preserve">HIGH</x:t>
        </x:is>
      </x:c>
      <x:c r="W52" t="inlineStr">
        <x:is>
          <x:t xml:space="preserve">HIGH</x:t>
        </x:is>
      </x:c>
      <x:c r="X52" t="inlineStr">
        <x:is>
          <x:t xml:space="preserve">HIGH</x:t>
        </x:is>
      </x:c>
      <x:c r="Y52" t="str">
        <x:f>IF(A52="","",IF(OR(J52="",AO52="",AP52="",AP52="UNVERIFIED",AND(AO52="OFFICIAL_WEBSITE",D52=""),AND(OR(P52="Equipment manual / OEM instruction",Q52="Asset-specific normative"),OR(O52&lt;&gt;"Manufacturer / supplier",AR52="",R52=""))),"PENDING",IF(COUNTIF(S52:W52,"LOW")&gt;0,"EXCLUDE",IF(COUNTIF(S52:W52,"MEDIUM")&gt;0,"PENDING",IF(COUNTIF(S52:W52,"HIGH")=5,"INCLUDE","PENDING")))))</x:f>
        <x:v>INCLUDE</x:v>
      </x:c>
      <x:c r="Z52" t="inlineStr">
        <x:is>
          <x:t xml:space="preserve">SUCCESS</x:t>
        </x:is>
      </x:c>
      <x:c r="AA52" s="398" t="n">
        <x:v>46262.53106481482</x:v>
      </x:c>
      <x:c r="AB52" s="398" t="n">
        <x:v>46262.53106481482</x:v>
      </x:c>
      <x:c r="AC52" s="398" t="inlineStr">
        <x:is>
          <x:t xml:space="preserve">INITIAL</x:t>
        </x:is>
      </x:c>
      <x:c r="AD52" s="398" t="inlineStr">
        <x:is>
          <x:t xml:space="preserve">AUTO</x:t>
        </x:is>
      </x:c>
      <x:c r="AE52" s="398" t="n">
        <x:f>IF(A52="","",IF(AD52="AUTO",AB52,IF(AD52="MANUAL",AF52,"")))</x:f>
        <x:v>46262.53106481482</x:v>
      </x:c>
      <x:c r="AF52" s="397" t="n"/>
      <x:c r="AH52" t="inlineStr">
        <x:is>
          <x:t xml:space="preserve">NONE</x:t>
        </x:is>
      </x:c>
      <x:c r="AI52" s="42" t="str"/>
      <x:c r="AJ52" t="str">
        <x:f>IF(OR(AL52&lt;&gt;"CURRENT",Y52="EXCLUDE"),"NO",IF(A52="","",IF(Z52="FAIL",IF(AND(AF52&lt;&gt;"",AF52&gt;=INT(AA52),I52="STORED",AD52="MANUAL",AG52&lt;&gt;""),"NO","YES"),IF(AND(AQ52="ROLLING",AC52="CHANGED"),IF(AND(AF52&lt;&gt;"",AF52&gt;=INT(IF(AB52&lt;&gt;"",AB52,AA52)),AG52&lt;&gt;""),"NO","YES"),"NO"))))</x:f>
        <x:v>NO</x:v>
      </x:c>
      <x:c r="AK52" t="inlineStr">
        <x:is>
          <x:t xml:space="preserve">b3340595ebd0e5912f032c385ccebc254cd79b719a1f625d87b4a340b66df3d7</x:t>
        </x:is>
      </x:c>
      <x:c r="AL52" t="inlineStr">
        <x:is>
          <x:t xml:space="preserve">CURRENT</x:t>
        </x:is>
      </x:c>
      <x:c r="AN52" s="42" t="inlineStr">
        <x:is>
          <x:t xml:space="preserve">Official permitting expansion. Relevant to sea-based site placement, navigation and measures in fairways.</x:t>
        </x:is>
      </x:c>
      <x:c r="AO52" t="inlineStr">
        <x:is>
          <x:t xml:space="preserve">OFFICIAL_WEBSITE</x:t>
        </x:is>
      </x:c>
      <x:c r="AP52" t="inlineStr">
        <x:is>
          <x:t xml:space="preserve">OFFICIAL_ORIGINAL</x:t>
        </x:is>
      </x:c>
      <x:c r="AQ52" t="inlineStr">
        <x:is>
          <x:t xml:space="preserve">ROLLING</x:t>
        </x:is>
      </x:c>
      <x:c r="AR52" s="42" t="str"/>
    </x:row>
    <x:row r="53" s="36" customFormat="1" ht="42" customHeight="1">
      <x:c r="A53" t="inlineStr">
        <x:is>
          <x:t xml:space="preserve">PA051</x:t>
        </x:is>
      </x:c>
      <x:c r="B53" t="inlineStr">
        <x:is>
          <x:t xml:space="preserve">PA051-001</x:t>
        </x:is>
      </x:c>
      <x:c r="C53" s="42" t="inlineStr">
        <x:is>
          <x:t xml:space="preserve">Planning and Building Act</x:t>
        </x:is>
      </x:c>
      <x:c r="D53" s="669" t="inlineStr">
        <x:is>
          <x:t xml:space="preserve">https://lovdata.no/dokument/NL/lov/2008-06-27-71</x:t>
        </x:is>
      </x:c>
      <x:c r="E53" s="669" t="inlineStr">
        <x:is>
          <x:t xml:space="preserve">https://lovdata.no/dokument/NL/lov/2008-06-27-71</x:t>
        </x:is>
      </x:c>
      <x:c r="F53" t="inlineStr">
        <x:is>
          <x:t xml:space="preserve">A_Public_Authority</x:t>
        </x:is>
      </x:c>
      <x:c r="G53" t="inlineStr">
        <x:is>
          <x:t xml:space="preserve">html</x:t>
        </x:is>
      </x:c>
      <x:c r="H53" t="inlineStr">
        <x:is>
          <x:t xml:space="preserve">PA051-001_Planning_and_Building_Act.html</x:t>
        </x:is>
      </x:c>
      <x:c r="I53" t="inlineStr">
        <x:is>
          <x:t xml:space="preserve">STORED</x:t>
        </x:is>
      </x:c>
      <x:c r="J53" t="inlineStr">
        <x:is>
          <x:t xml:space="preserve">Norwegian Ministry of Local Government and Regional Development</x:t>
        </x:is>
      </x:c>
      <x:c r="K53" t="inlineStr">
        <x:is>
          <x:t xml:space="preserve">Norway</x:t>
        </x:is>
      </x:c>
      <x:c r="L53" t="inlineStr">
        <x:is>
          <x:t xml:space="preserve">Norwegian</x:t>
        </x:is>
      </x:c>
      <x:c r="N53" s="397" t="n"/>
      <x:c r="O53" t="inlineStr">
        <x:is>
          <x:t xml:space="preserve">Public authority</x:t>
        </x:is>
      </x:c>
      <x:c r="P53" t="inlineStr">
        <x:is>
          <x:t xml:space="preserve">Law</x:t>
        </x:is>
      </x:c>
      <x:c r="Q53" t="inlineStr">
        <x:is>
          <x:t xml:space="preserve">Referenced normative</x:t>
        </x:is>
      </x:c>
      <x:c r="R53" s="42" t="inlineStr">
        <x:is>
          <x:t xml:space="preserve">Official referenced source from Norwegian Ministry of Local Government and Regional Development; included because an applicable law, permit or certification scheme may make its provisions binding within the approved scope.</x:t>
        </x:is>
      </x:c>
      <x:c r="S53" t="inlineStr">
        <x:is>
          <x:t xml:space="preserve">HIGH</x:t>
        </x:is>
      </x:c>
      <x:c r="T53" t="inlineStr">
        <x:is>
          <x:t xml:space="preserve">MEDIUM</x:t>
        </x:is>
      </x:c>
      <x:c r="U53" t="inlineStr">
        <x:is>
          <x:t xml:space="preserve">HIGH</x:t>
        </x:is>
      </x:c>
      <x:c r="V53" t="inlineStr">
        <x:is>
          <x:t xml:space="preserve">HIGH</x:t>
        </x:is>
      </x:c>
      <x:c r="W53" t="inlineStr">
        <x:is>
          <x:t xml:space="preserve">HIGH</x:t>
        </x:is>
      </x:c>
      <x:c r="X53" t="inlineStr">
        <x:is>
          <x:t xml:space="preserve">HIGH</x:t>
        </x:is>
      </x:c>
      <x:c r="Y53" t="str">
        <x:f>IF(A53="","",IF(OR(J53="",AO53="",AP53="",AP53="UNVERIFIED",AND(AO53="OFFICIAL_WEBSITE",D53=""),AND(OR(P53="Equipment manual / OEM instruction",Q53="Asset-specific normative"),OR(O53&lt;&gt;"Manufacturer / supplier",AR53="",R53=""))),"PENDING",IF(COUNTIF(S53:W53,"LOW")&gt;0,"EXCLUDE",IF(COUNTIF(S53:W53,"MEDIUM")&gt;0,"PENDING",IF(COUNTIF(S53:W53,"HIGH")=5,"INCLUDE","PENDING")))))</x:f>
        <x:v>PENDING</x:v>
      </x:c>
      <x:c r="Z53" t="inlineStr">
        <x:is>
          <x:t xml:space="preserve">SUCCESS</x:t>
        </x:is>
      </x:c>
      <x:c r="AA53" s="398" t="n">
        <x:v>46262.53106481482</x:v>
      </x:c>
      <x:c r="AB53" s="398" t="n">
        <x:v>46262.53106481482</x:v>
      </x:c>
      <x:c r="AC53" s="398" t="inlineStr">
        <x:is>
          <x:t xml:space="preserve">INITIAL</x:t>
        </x:is>
      </x:c>
      <x:c r="AD53" s="398" t="inlineStr">
        <x:is>
          <x:t xml:space="preserve">AUTO</x:t>
        </x:is>
      </x:c>
      <x:c r="AE53" s="398" t="n">
        <x:f>IF(A53="","",IF(AD53="AUTO",AB53,IF(AD53="MANUAL",AF53,"")))</x:f>
        <x:v>46262.53106481482</x:v>
      </x:c>
      <x:c r="AF53" s="397" t="n"/>
      <x:c r="AH53" t="inlineStr">
        <x:is>
          <x:t xml:space="preserve">NONE</x:t>
        </x:is>
      </x:c>
      <x:c r="AI53" s="42" t="str"/>
      <x:c r="AJ53" t="str">
        <x:f>IF(OR(AL53&lt;&gt;"CURRENT",Y53="EXCLUDE"),"NO",IF(A53="","",IF(Z53="FAIL",IF(AND(AF53&lt;&gt;"",AF53&gt;=INT(AA53),I53="STORED",AD53="MANUAL",AG53&lt;&gt;""),"NO","YES"),IF(AND(AQ53="ROLLING",AC53="CHANGED"),IF(AND(AF53&lt;&gt;"",AF53&gt;=INT(IF(AB53&lt;&gt;"",AB53,AA53)),AG53&lt;&gt;""),"NO","YES"),"NO"))))</x:f>
        <x:v>NO</x:v>
      </x:c>
      <x:c r="AK53" t="inlineStr">
        <x:is>
          <x:t xml:space="preserve">f2cb33416ae233a0616722ffb0ebf377bf1eea2da309fbee385495f01062c5d2</x:t>
        </x:is>
      </x:c>
      <x:c r="AL53" t="inlineStr">
        <x:is>
          <x:t xml:space="preserve">CURRENT</x:t>
        </x:is>
      </x:c>
      <x:c r="AN53" s="42" t="inlineStr">
        <x:is>
          <x:t xml:space="preserve">Official permitting expansion. Relevance depends on municipal plans, land-based works and the specific application.</x:t>
        </x:is>
      </x:c>
      <x:c r="AO53" t="inlineStr">
        <x:is>
          <x:t xml:space="preserve">OFFICIAL_WEBSITE</x:t>
        </x:is>
      </x:c>
      <x:c r="AP53" t="inlineStr">
        <x:is>
          <x:t xml:space="preserve">OFFICIAL_ORIGINAL</x:t>
        </x:is>
      </x:c>
      <x:c r="AQ53" t="inlineStr">
        <x:is>
          <x:t xml:space="preserve">ROLLING</x:t>
        </x:is>
      </x:c>
      <x:c r="AR53" s="42" t="str"/>
    </x:row>
    <x:row r="54" s="36" customFormat="1" ht="42" customHeight="1">
      <x:c r="A54" t="inlineStr">
        <x:is>
          <x:t xml:space="preserve">PA052</x:t>
        </x:is>
      </x:c>
      <x:c r="B54" t="inlineStr">
        <x:is>
          <x:t xml:space="preserve">PA052-001</x:t>
        </x:is>
      </x:c>
      <x:c r="C54" s="42" t="inlineStr">
        <x:is>
          <x:t xml:space="preserve">Cultural Heritage Act</x:t>
        </x:is>
      </x:c>
      <x:c r="D54" s="669" t="inlineStr">
        <x:is>
          <x:t xml:space="preserve">https://lovdata.no/dokument/NL/lov/1978-06-09-50</x:t>
        </x:is>
      </x:c>
      <x:c r="E54" s="669" t="inlineStr">
        <x:is>
          <x:t xml:space="preserve">https://lovdata.no/dokument/NL/lov/1978-06-09-50</x:t>
        </x:is>
      </x:c>
      <x:c r="F54" t="inlineStr">
        <x:is>
          <x:t xml:space="preserve">A_Public_Authority</x:t>
        </x:is>
      </x:c>
      <x:c r="G54" t="inlineStr">
        <x:is>
          <x:t xml:space="preserve">html</x:t>
        </x:is>
      </x:c>
      <x:c r="H54" t="inlineStr">
        <x:is>
          <x:t xml:space="preserve">PA052-001_Cultural_Heritage_Act.html</x:t>
        </x:is>
      </x:c>
      <x:c r="I54" t="inlineStr">
        <x:is>
          <x:t xml:space="preserve">STORED</x:t>
        </x:is>
      </x:c>
      <x:c r="J54" t="inlineStr">
        <x:is>
          <x:t xml:space="preserve">Norwegian Ministry of Climate and Environment</x:t>
        </x:is>
      </x:c>
      <x:c r="K54" t="inlineStr">
        <x:is>
          <x:t xml:space="preserve">Norway</x:t>
        </x:is>
      </x:c>
      <x:c r="L54" t="inlineStr">
        <x:is>
          <x:t xml:space="preserve">Norwegian</x:t>
        </x:is>
      </x:c>
      <x:c r="N54" s="397" t="n"/>
      <x:c r="O54" t="inlineStr">
        <x:is>
          <x:t xml:space="preserve">Public authority</x:t>
        </x:is>
      </x:c>
      <x:c r="P54" t="inlineStr">
        <x:is>
          <x:t xml:space="preserve">Law</x:t>
        </x:is>
      </x:c>
      <x:c r="Q54" t="inlineStr">
        <x:is>
          <x:t xml:space="preserve">Referenced normative</x:t>
        </x:is>
      </x:c>
      <x:c r="R54" s="42" t="inlineStr">
        <x:is>
          <x:t xml:space="preserve">Official referenced source from Norwegian Ministry of Climate and Environment; included because an applicable law, permit or certification scheme may make its provisions binding within the approved scope.</x:t>
        </x:is>
      </x:c>
      <x:c r="S54" t="inlineStr">
        <x:is>
          <x:t xml:space="preserve">HIGH</x:t>
        </x:is>
      </x:c>
      <x:c r="T54" t="inlineStr">
        <x:is>
          <x:t xml:space="preserve">MEDIUM</x:t>
        </x:is>
      </x:c>
      <x:c r="U54" t="inlineStr">
        <x:is>
          <x:t xml:space="preserve">HIGH</x:t>
        </x:is>
      </x:c>
      <x:c r="V54" t="inlineStr">
        <x:is>
          <x:t xml:space="preserve">HIGH</x:t>
        </x:is>
      </x:c>
      <x:c r="W54" t="inlineStr">
        <x:is>
          <x:t xml:space="preserve">HIGH</x:t>
        </x:is>
      </x:c>
      <x:c r="X54" t="inlineStr">
        <x:is>
          <x:t xml:space="preserve">HIGH</x:t>
        </x:is>
      </x:c>
      <x:c r="Y54" t="str">
        <x:f>IF(A54="","",IF(OR(J54="",AO54="",AP54="",AP54="UNVERIFIED",AND(AO54="OFFICIAL_WEBSITE",D54=""),AND(OR(P54="Equipment manual / OEM instruction",Q54="Asset-specific normative"),OR(O54&lt;&gt;"Manufacturer / supplier",AR54="",R54=""))),"PENDING",IF(COUNTIF(S54:W54,"LOW")&gt;0,"EXCLUDE",IF(COUNTIF(S54:W54,"MEDIUM")&gt;0,"PENDING",IF(COUNTIF(S54:W54,"HIGH")=5,"INCLUDE","PENDING")))))</x:f>
        <x:v>PENDING</x:v>
      </x:c>
      <x:c r="Z54" t="inlineStr">
        <x:is>
          <x:t xml:space="preserve">SUCCESS</x:t>
        </x:is>
      </x:c>
      <x:c r="AA54" s="398" t="n">
        <x:v>46262.53106481482</x:v>
      </x:c>
      <x:c r="AB54" s="398" t="n">
        <x:v>46262.53107638889</x:v>
      </x:c>
      <x:c r="AC54" s="398" t="inlineStr">
        <x:is>
          <x:t xml:space="preserve">INITIAL</x:t>
        </x:is>
      </x:c>
      <x:c r="AD54" s="398" t="inlineStr">
        <x:is>
          <x:t xml:space="preserve">AUTO</x:t>
        </x:is>
      </x:c>
      <x:c r="AE54" s="398" t="n">
        <x:f>IF(A54="","",IF(AD54="AUTO",AB54,IF(AD54="MANUAL",AF54,"")))</x:f>
        <x:v>46262.53107638889</x:v>
      </x:c>
      <x:c r="AF54" s="397" t="n"/>
      <x:c r="AH54" t="inlineStr">
        <x:is>
          <x:t xml:space="preserve">NONE</x:t>
        </x:is>
      </x:c>
      <x:c r="AI54" s="42" t="str"/>
      <x:c r="AJ54" t="str">
        <x:f>IF(OR(AL54&lt;&gt;"CURRENT",Y54="EXCLUDE"),"NO",IF(A54="","",IF(Z54="FAIL",IF(AND(AF54&lt;&gt;"",AF54&gt;=INT(AA54),I54="STORED",AD54="MANUAL",AG54&lt;&gt;""),"NO","YES"),IF(AND(AQ54="ROLLING",AC54="CHANGED"),IF(AND(AF54&lt;&gt;"",AF54&gt;=INT(IF(AB54&lt;&gt;"",AB54,AA54)),AG54&lt;&gt;""),"NO","YES"),"NO"))))</x:f>
        <x:v>NO</x:v>
      </x:c>
      <x:c r="AK54" t="inlineStr">
        <x:is>
          <x:t xml:space="preserve">70a7268b5afd45f369ef12f9d167fc6b9b87d65af7bbc46a28e19a40563b2bcb</x:t>
        </x:is>
      </x:c>
      <x:c r="AL54" t="inlineStr">
        <x:is>
          <x:t xml:space="preserve">CURRENT</x:t>
        </x:is>
      </x:c>
      <x:c r="AN54" s="42" t="inlineStr">
        <x:is>
          <x:t xml:space="preserve">Official permitting expansion. Site-specific relevance depends on registered or discovered cultural heritage.</x:t>
        </x:is>
      </x:c>
      <x:c r="AO54" t="inlineStr">
        <x:is>
          <x:t xml:space="preserve">OFFICIAL_WEBSITE</x:t>
        </x:is>
      </x:c>
      <x:c r="AP54" t="inlineStr">
        <x:is>
          <x:t xml:space="preserve">OFFICIAL_ORIGINAL</x:t>
        </x:is>
      </x:c>
      <x:c r="AQ54" t="inlineStr">
        <x:is>
          <x:t xml:space="preserve">ROLLING</x:t>
        </x:is>
      </x:c>
      <x:c r="AR54" s="42" t="str"/>
    </x:row>
    <x:row r="55" s="36" customFormat="1" ht="42" customHeight="1">
      <x:c r="A55" t="inlineStr">
        <x:is>
          <x:t xml:space="preserve">PA053</x:t>
        </x:is>
      </x:c>
      <x:c r="B55" t="inlineStr">
        <x:is>
          <x:t xml:space="preserve">PA053-001</x:t>
        </x:is>
      </x:c>
      <x:c r="C55" s="42" t="inlineStr">
        <x:is>
          <x:t xml:space="preserve">Water Resources Act</x:t>
        </x:is>
      </x:c>
      <x:c r="D55" s="669" t="inlineStr">
        <x:is>
          <x:t xml:space="preserve">https://lovdata.no/dokument/NL/lov/2000-11-24-82</x:t>
        </x:is>
      </x:c>
      <x:c r="E55" s="669" t="inlineStr">
        <x:is>
          <x:t xml:space="preserve">https://lovdata.no/dokument/NL/lov/2000-11-24-82</x:t>
        </x:is>
      </x:c>
      <x:c r="F55" t="inlineStr">
        <x:is>
          <x:t xml:space="preserve">A_Public_Authority</x:t>
        </x:is>
      </x:c>
      <x:c r="G55" t="inlineStr">
        <x:is>
          <x:t xml:space="preserve">html</x:t>
        </x:is>
      </x:c>
      <x:c r="H55" t="inlineStr">
        <x:is>
          <x:t xml:space="preserve">PA053-001_Water_Resources_Act.html</x:t>
        </x:is>
      </x:c>
      <x:c r="I55" t="inlineStr">
        <x:is>
          <x:t xml:space="preserve">STORED</x:t>
        </x:is>
      </x:c>
      <x:c r="J55" t="inlineStr">
        <x:is>
          <x:t xml:space="preserve">Norwegian Ministry of Energy</x:t>
        </x:is>
      </x:c>
      <x:c r="K55" t="inlineStr">
        <x:is>
          <x:t xml:space="preserve">Norway</x:t>
        </x:is>
      </x:c>
      <x:c r="L55" t="inlineStr">
        <x:is>
          <x:t xml:space="preserve">Norwegian</x:t>
        </x:is>
      </x:c>
      <x:c r="N55" s="397" t="n"/>
      <x:c r="O55" t="inlineStr">
        <x:is>
          <x:t xml:space="preserve">Public authority</x:t>
        </x:is>
      </x:c>
      <x:c r="P55" t="inlineStr">
        <x:is>
          <x:t xml:space="preserve">Law</x:t>
        </x:is>
      </x:c>
      <x:c r="Q55" t="inlineStr">
        <x:is>
          <x:t xml:space="preserve">Referenced normative</x:t>
        </x:is>
      </x:c>
      <x:c r="R55" s="42" t="inlineStr">
        <x:is>
          <x:t xml:space="preserve">Official referenced source from Norwegian Ministry of Energy; included because an applicable law, permit or certification scheme may make its provisions binding within the approved scope.</x:t>
        </x:is>
      </x:c>
      <x:c r="S55" t="inlineStr">
        <x:is>
          <x:t xml:space="preserve">HIGH</x:t>
        </x:is>
      </x:c>
      <x:c r="T55" t="inlineStr">
        <x:is>
          <x:t xml:space="preserve">MEDIUM</x:t>
        </x:is>
      </x:c>
      <x:c r="U55" t="inlineStr">
        <x:is>
          <x:t xml:space="preserve">HIGH</x:t>
        </x:is>
      </x:c>
      <x:c r="V55" t="inlineStr">
        <x:is>
          <x:t xml:space="preserve">HIGH</x:t>
        </x:is>
      </x:c>
      <x:c r="W55" t="inlineStr">
        <x:is>
          <x:t xml:space="preserve">HIGH</x:t>
        </x:is>
      </x:c>
      <x:c r="X55" t="inlineStr">
        <x:is>
          <x:t xml:space="preserve">HIGH</x:t>
        </x:is>
      </x:c>
      <x:c r="Y55" t="str">
        <x:f>IF(A55="","",IF(OR(J55="",AO55="",AP55="",AP55="UNVERIFIED",AND(AO55="OFFICIAL_WEBSITE",D55=""),AND(OR(P55="Equipment manual / OEM instruction",Q55="Asset-specific normative"),OR(O55&lt;&gt;"Manufacturer / supplier",AR55="",R55=""))),"PENDING",IF(COUNTIF(S55:W55,"LOW")&gt;0,"EXCLUDE",IF(COUNTIF(S55:W55,"MEDIUM")&gt;0,"PENDING",IF(COUNTIF(S55:W55,"HIGH")=5,"INCLUDE","PENDING")))))</x:f>
        <x:v>PENDING</x:v>
      </x:c>
      <x:c r="Z55" t="inlineStr">
        <x:is>
          <x:t xml:space="preserve">SUCCESS</x:t>
        </x:is>
      </x:c>
      <x:c r="AA55" s="398" t="n">
        <x:v>46262.53107638889</x:v>
      </x:c>
      <x:c r="AB55" s="398" t="n">
        <x:v>46262.53107638889</x:v>
      </x:c>
      <x:c r="AC55" s="398" t="inlineStr">
        <x:is>
          <x:t xml:space="preserve">INITIAL</x:t>
        </x:is>
      </x:c>
      <x:c r="AD55" s="398" t="inlineStr">
        <x:is>
          <x:t xml:space="preserve">AUTO</x:t>
        </x:is>
      </x:c>
      <x:c r="AE55" s="398" t="n">
        <x:f>IF(A55="","",IF(AD55="AUTO",AB55,IF(AD55="MANUAL",AF55,"")))</x:f>
        <x:v>46262.53107638889</x:v>
      </x:c>
      <x:c r="AF55" s="397" t="n"/>
      <x:c r="AH55" t="inlineStr">
        <x:is>
          <x:t xml:space="preserve">NONE</x:t>
        </x:is>
      </x:c>
      <x:c r="AI55" s="42" t="str"/>
      <x:c r="AJ55" t="str">
        <x:f>IF(OR(AL55&lt;&gt;"CURRENT",Y55="EXCLUDE"),"NO",IF(A55="","",IF(Z55="FAIL",IF(AND(AF55&lt;&gt;"",AF55&gt;=INT(AA55),I55="STORED",AD55="MANUAL",AG55&lt;&gt;""),"NO","YES"),IF(AND(AQ55="ROLLING",AC55="CHANGED"),IF(AND(AF55&lt;&gt;"",AF55&gt;=INT(IF(AB55&lt;&gt;"",AB55,AA55)),AG55&lt;&gt;""),"NO","YES"),"NO"))))</x:f>
        <x:v>NO</x:v>
      </x:c>
      <x:c r="AK55" t="inlineStr">
        <x:is>
          <x:t xml:space="preserve">4f34d5e27c31a36b0d4578795a149e441341f41df43c89eb9aac6a5da9e075f8</x:t>
        </x:is>
      </x:c>
      <x:c r="AL55" t="inlineStr">
        <x:is>
          <x:t xml:space="preserve">CURRENT</x:t>
        </x:is>
      </x:c>
      <x:c r="AN55" s="42" t="inlineStr">
        <x:is>
          <x:t xml:space="preserve">Official permitting expansion. Particularly relevant to freshwater or water-abstraction and discharge arrangements.</x:t>
        </x:is>
      </x:c>
      <x:c r="AO55" t="inlineStr">
        <x:is>
          <x:t xml:space="preserve">OFFICIAL_WEBSITE</x:t>
        </x:is>
      </x:c>
      <x:c r="AP55" t="inlineStr">
        <x:is>
          <x:t xml:space="preserve">OFFICIAL_ORIGINAL</x:t>
        </x:is>
      </x:c>
      <x:c r="AQ55" t="inlineStr">
        <x:is>
          <x:t xml:space="preserve">ROLLING</x:t>
        </x:is>
      </x:c>
      <x:c r="AR55" s="42" t="str"/>
    </x:row>
    <x:row r="56" s="36" customFormat="1" ht="42" customHeight="1">
      <x:c r="A56" t="inlineStr">
        <x:is>
          <x:t xml:space="preserve">PA054</x:t>
        </x:is>
      </x:c>
      <x:c r="B56" t="inlineStr">
        <x:is>
          <x:t xml:space="preserve">PA054-001</x:t>
        </x:is>
      </x:c>
      <x:c r="C56" s="42" t="inlineStr">
        <x:is>
          <x:t xml:space="preserve">Marine Nature Protection Act</x:t>
        </x:is>
      </x:c>
      <x:c r="D56" s="669" t="inlineStr">
        <x:is>
          <x:t xml:space="preserve">https://lovdata.no/dokument/NL/lov/2025-06-10-33</x:t>
        </x:is>
      </x:c>
      <x:c r="E56" s="669" t="inlineStr">
        <x:is>
          <x:t xml:space="preserve">https://lovdata.no/dokument/NL/lov/2025-06-10-33</x:t>
        </x:is>
      </x:c>
      <x:c r="F56" t="inlineStr">
        <x:is>
          <x:t xml:space="preserve">A_Public_Authority</x:t>
        </x:is>
      </x:c>
      <x:c r="G56" t="inlineStr">
        <x:is>
          <x:t xml:space="preserve">html</x:t>
        </x:is>
      </x:c>
      <x:c r="H56" t="inlineStr">
        <x:is>
          <x:t xml:space="preserve">PA054-001_Marine_Nature_Protection_Act.html</x:t>
        </x:is>
      </x:c>
      <x:c r="I56" t="inlineStr">
        <x:is>
          <x:t xml:space="preserve">STORED</x:t>
        </x:is>
      </x:c>
      <x:c r="J56" t="inlineStr">
        <x:is>
          <x:t xml:space="preserve">Norwegian Ministry of Climate and Environment</x:t>
        </x:is>
      </x:c>
      <x:c r="K56" t="inlineStr">
        <x:is>
          <x:t xml:space="preserve">Norway</x:t>
        </x:is>
      </x:c>
      <x:c r="L56" t="inlineStr">
        <x:is>
          <x:t xml:space="preserve">Norwegian</x:t>
        </x:is>
      </x:c>
      <x:c r="N56" s="397" t="n">
        <x:v>46023</x:v>
      </x:c>
      <x:c r="O56" t="inlineStr">
        <x:is>
          <x:t xml:space="preserve">Public authority</x:t>
        </x:is>
      </x:c>
      <x:c r="P56" t="inlineStr">
        <x:is>
          <x:t xml:space="preserve">Law</x:t>
        </x:is>
      </x:c>
      <x:c r="Q56" t="inlineStr">
        <x:is>
          <x:t xml:space="preserve">Referenced normative</x:t>
        </x:is>
      </x:c>
      <x:c r="R56" s="42" t="inlineStr">
        <x:is>
          <x:t xml:space="preserve">Official referenced source from Norwegian Ministry of Climate and Environment; included because an applicable law, permit or certification scheme may make its provisions binding within the approved scope.</x:t>
        </x:is>
      </x:c>
      <x:c r="S56" t="inlineStr">
        <x:is>
          <x:t xml:space="preserve">HIGH</x:t>
        </x:is>
      </x:c>
      <x:c r="T56" t="inlineStr">
        <x:is>
          <x:t xml:space="preserve">MEDIUM</x:t>
        </x:is>
      </x:c>
      <x:c r="U56" t="inlineStr">
        <x:is>
          <x:t xml:space="preserve">HIGH</x:t>
        </x:is>
      </x:c>
      <x:c r="V56" t="inlineStr">
        <x:is>
          <x:t xml:space="preserve">HIGH</x:t>
        </x:is>
      </x:c>
      <x:c r="W56" t="inlineStr">
        <x:is>
          <x:t xml:space="preserve">HIGH</x:t>
        </x:is>
      </x:c>
      <x:c r="X56" t="inlineStr">
        <x:is>
          <x:t xml:space="preserve">HIGH</x:t>
        </x:is>
      </x:c>
      <x:c r="Y56" t="str">
        <x:f>IF(A56="","",IF(OR(J56="",AO56="",AP56="",AP56="UNVERIFIED",AND(AO56="OFFICIAL_WEBSITE",D56=""),AND(OR(P56="Equipment manual / OEM instruction",Q56="Asset-specific normative"),OR(O56&lt;&gt;"Manufacturer / supplier",AR56="",R56=""))),"PENDING",IF(COUNTIF(S56:W56,"LOW")&gt;0,"EXCLUDE",IF(COUNTIF(S56:W56,"MEDIUM")&gt;0,"PENDING",IF(COUNTIF(S56:W56,"HIGH")=5,"INCLUDE","PENDING")))))</x:f>
        <x:v>PENDING</x:v>
      </x:c>
      <x:c r="Z56" t="inlineStr">
        <x:is>
          <x:t xml:space="preserve">SUCCESS</x:t>
        </x:is>
      </x:c>
      <x:c r="AA56" s="398" t="n">
        <x:v>46262.53107638889</x:v>
      </x:c>
      <x:c r="AB56" s="398" t="n">
        <x:v>46262.53107638889</x:v>
      </x:c>
      <x:c r="AC56" s="398" t="inlineStr">
        <x:is>
          <x:t xml:space="preserve">INITIAL</x:t>
        </x:is>
      </x:c>
      <x:c r="AD56" s="398" t="inlineStr">
        <x:is>
          <x:t xml:space="preserve">AUTO</x:t>
        </x:is>
      </x:c>
      <x:c r="AE56" s="398" t="n">
        <x:f>IF(A56="","",IF(AD56="AUTO",AB56,IF(AD56="MANUAL",AF56,"")))</x:f>
        <x:v>46262.53107638889</x:v>
      </x:c>
      <x:c r="AF56" s="397" t="n"/>
      <x:c r="AH56" t="inlineStr">
        <x:is>
          <x:t xml:space="preserve">NONE</x:t>
        </x:is>
      </x:c>
      <x:c r="AI56" s="42" t="str"/>
      <x:c r="AJ56" t="str">
        <x:f>IF(OR(AL56&lt;&gt;"CURRENT",Y56="EXCLUDE"),"NO",IF(A56="","",IF(Z56="FAIL",IF(AND(AF56&lt;&gt;"",AF56&gt;=INT(AA56),I56="STORED",AD56="MANUAL",AG56&lt;&gt;""),"NO","YES"),IF(AND(AQ56="ROLLING",AC56="CHANGED"),IF(AND(AF56&lt;&gt;"",AF56&gt;=INT(IF(AB56&lt;&gt;"",AB56,AA56)),AG56&lt;&gt;""),"NO","YES"),"NO"))))</x:f>
        <x:v>NO</x:v>
      </x:c>
      <x:c r="AK56" t="inlineStr">
        <x:is>
          <x:t xml:space="preserve">4dce1de2f48bf0d24398b17145c4c2286152eb61a354107445022488b2808c71</x:t>
        </x:is>
      </x:c>
      <x:c r="AL56" t="inlineStr">
        <x:is>
          <x:t xml:space="preserve">CURRENT</x:t>
        </x:is>
      </x:c>
      <x:c r="AN56" s="42" t="inlineStr">
        <x:is>
          <x:t xml:space="preserve">Official future-facing coverage expansion. Offshore and site-specific applicability must be confirmed before use.</x:t>
        </x:is>
      </x:c>
      <x:c r="AO56" t="inlineStr">
        <x:is>
          <x:t xml:space="preserve">OFFICIAL_WEBSITE</x:t>
        </x:is>
      </x:c>
      <x:c r="AP56" t="inlineStr">
        <x:is>
          <x:t xml:space="preserve">OFFICIAL_ORIGINAL</x:t>
        </x:is>
      </x:c>
      <x:c r="AQ56" t="inlineStr">
        <x:is>
          <x:t xml:space="preserve">ROLLING</x:t>
        </x:is>
      </x:c>
      <x:c r="AR56" s="42" t="str"/>
    </x:row>
    <x:row r="57" s="36" customFormat="1" ht="42" customHeight="1">
      <x:c r="A57" t="inlineStr">
        <x:is>
          <x:t xml:space="preserve">PA055</x:t>
        </x:is>
      </x:c>
      <x:c r="B57" t="inlineStr">
        <x:is>
          <x:t xml:space="preserve">PA055-001</x:t>
        </x:is>
      </x:c>
      <x:c r="C57" s="42" t="inlineStr">
        <x:is>
          <x:t xml:space="preserve">Regulation on fairway signs and navigational devices</x:t>
        </x:is>
      </x:c>
      <x:c r="D57" s="669" t="inlineStr">
        <x:is>
          <x:t xml:space="preserve">https://lovdata.no/dokument/SF/forskrift/2012-12-19-1329</x:t>
        </x:is>
      </x:c>
      <x:c r="E57" s="669" t="inlineStr">
        <x:is>
          <x:t xml:space="preserve">https://lovdata.no/dokument/SF/forskrift/2012-12-19-1329</x:t>
        </x:is>
      </x:c>
      <x:c r="F57" t="inlineStr">
        <x:is>
          <x:t xml:space="preserve">A_Public_Authority</x:t>
        </x:is>
      </x:c>
      <x:c r="G57" t="inlineStr">
        <x:is>
          <x:t xml:space="preserve">html</x:t>
        </x:is>
      </x:c>
      <x:c r="H57" t="inlineStr">
        <x:is>
          <x:t xml:space="preserve">PA055-001_Regulation_on_fairway_signs_and_navigational_devices.html</x:t>
        </x:is>
      </x:c>
      <x:c r="I57" t="inlineStr">
        <x:is>
          <x:t xml:space="preserve">STORED</x:t>
        </x:is>
      </x:c>
      <x:c r="J57" t="inlineStr">
        <x:is>
          <x:t xml:space="preserve">Norwegian Ministry of Trade, Industry and Fisheries</x:t>
        </x:is>
      </x:c>
      <x:c r="K57" t="inlineStr">
        <x:is>
          <x:t xml:space="preserve">Norway</x:t>
        </x:is>
      </x:c>
      <x:c r="L57" t="inlineStr">
        <x:is>
          <x:t xml:space="preserve">Norwegian</x:t>
        </x:is>
      </x:c>
      <x:c r="N57" s="397" t="n"/>
      <x:c r="O57" t="inlineStr">
        <x:is>
          <x:t xml:space="preserve">Public authority</x:t>
        </x:is>
      </x:c>
      <x:c r="P57" t="inlineStr">
        <x:is>
          <x:t xml:space="preserve">Regulation</x:t>
        </x:is>
      </x:c>
      <x:c r="Q57" t="inlineStr">
        <x:is>
          <x:t xml:space="preserve">Primary normative</x:t>
        </x:is>
      </x:c>
      <x:c r="R57" s="42" t="inlineStr">
        <x:is>
          <x:t xml:space="preserve">Official regulation issued by Norwegian Ministry of Trade, Industry and Fisheries; included because it may impose binding requirements on an in-scope aquaculture asset, activity, permit or certification.</x:t>
        </x:is>
      </x:c>
      <x:c r="S57" t="inlineStr">
        <x:is>
          <x:t xml:space="preserve">HIGH</x:t>
        </x:is>
      </x:c>
      <x:c r="T57" t="inlineStr">
        <x:is>
          <x:t xml:space="preserve">HIGH</x:t>
        </x:is>
      </x:c>
      <x:c r="U57" t="inlineStr">
        <x:is>
          <x:t xml:space="preserve">HIGH</x:t>
        </x:is>
      </x:c>
      <x:c r="V57" t="inlineStr">
        <x:is>
          <x:t xml:space="preserve">HIGH</x:t>
        </x:is>
      </x:c>
      <x:c r="W57" t="inlineStr">
        <x:is>
          <x:t xml:space="preserve">HIGH</x:t>
        </x:is>
      </x:c>
      <x:c r="X57" t="inlineStr">
        <x:is>
          <x:t xml:space="preserve">HIGH</x:t>
        </x:is>
      </x:c>
      <x:c r="Y57" t="str">
        <x:f>IF(A57="","",IF(OR(J57="",AO57="",AP57="",AP57="UNVERIFIED",AND(AO57="OFFICIAL_WEBSITE",D57=""),AND(OR(P57="Equipment manual / OEM instruction",Q57="Asset-specific normative"),OR(O57&lt;&gt;"Manufacturer / supplier",AR57="",R57=""))),"PENDING",IF(COUNTIF(S57:W57,"LOW")&gt;0,"EXCLUDE",IF(COUNTIF(S57:W57,"MEDIUM")&gt;0,"PENDING",IF(COUNTIF(S57:W57,"HIGH")=5,"INCLUDE","PENDING")))))</x:f>
        <x:v>INCLUDE</x:v>
      </x:c>
      <x:c r="Z57" t="inlineStr">
        <x:is>
          <x:t xml:space="preserve">SUCCESS</x:t>
        </x:is>
      </x:c>
      <x:c r="AA57" s="398" t="n">
        <x:v>46262.53107638889</x:v>
      </x:c>
      <x:c r="AB57" s="398" t="n">
        <x:v>46262.53107638889</x:v>
      </x:c>
      <x:c r="AC57" s="398" t="inlineStr">
        <x:is>
          <x:t xml:space="preserve">INITIAL</x:t>
        </x:is>
      </x:c>
      <x:c r="AD57" s="398" t="inlineStr">
        <x:is>
          <x:t xml:space="preserve">AUTO</x:t>
        </x:is>
      </x:c>
      <x:c r="AE57" s="398" t="n">
        <x:f>IF(A57="","",IF(AD57="AUTO",AB57,IF(AD57="MANUAL",AF57,"")))</x:f>
        <x:v>46262.53107638889</x:v>
      </x:c>
      <x:c r="AF57" s="397" t="n"/>
      <x:c r="AH57" t="inlineStr">
        <x:is>
          <x:t xml:space="preserve">NONE</x:t>
        </x:is>
      </x:c>
      <x:c r="AI57" s="42" t="str"/>
      <x:c r="AJ57" t="str">
        <x:f>IF(OR(AL57&lt;&gt;"CURRENT",Y57="EXCLUDE"),"NO",IF(A57="","",IF(Z57="FAIL",IF(AND(AF57&lt;&gt;"",AF57&gt;=INT(AA57),I57="STORED",AD57="MANUAL",AG57&lt;&gt;""),"NO","YES"),IF(AND(AQ57="ROLLING",AC57="CHANGED"),IF(AND(AF57&lt;&gt;"",AF57&gt;=INT(IF(AB57&lt;&gt;"",AB57,AA57)),AG57&lt;&gt;""),"NO","YES"),"NO"))))</x:f>
        <x:v>NO</x:v>
      </x:c>
      <x:c r="AK57" t="inlineStr">
        <x:is>
          <x:t xml:space="preserve">c497ee186adeef3c2a97e4c9c9508a5b132a1e58eaf76ec1517408bd22fa25d9</x:t>
        </x:is>
      </x:c>
      <x:c r="AL57" t="inlineStr">
        <x:is>
          <x:t xml:space="preserve">CURRENT</x:t>
        </x:is>
      </x:c>
      <x:c r="AM57" t="inlineStr">
        <x:is>
          <x:t xml:space="preserve">PA050</x:t>
        </x:is>
      </x:c>
      <x:c r="AN57" s="42" t="inlineStr">
        <x:is>
          <x:t xml:space="preserve">Official sea-site expansion. Includes marking and navigation-related provisions relevant to applicable aquaculture installations.</x:t>
        </x:is>
      </x:c>
      <x:c r="AO57" t="inlineStr">
        <x:is>
          <x:t xml:space="preserve">OFFICIAL_WEBSITE</x:t>
        </x:is>
      </x:c>
      <x:c r="AP57" t="inlineStr">
        <x:is>
          <x:t xml:space="preserve">OFFICIAL_ORIGINAL</x:t>
        </x:is>
      </x:c>
      <x:c r="AQ57" t="inlineStr">
        <x:is>
          <x:t xml:space="preserve">ROLLING</x:t>
        </x:is>
      </x:c>
      <x:c r="AR57" s="42" t="str"/>
    </x:row>
    <x:row r="58" s="36" customFormat="1" ht="42" customHeight="1">
      <x:c r="A58" t="inlineStr">
        <x:is>
          <x:t xml:space="preserve">PA056</x:t>
        </x:is>
      </x:c>
      <x:c r="B58" t="inlineStr">
        <x:is>
          <x:t xml:space="preserve">PA056-001</x:t>
        </x:is>
      </x:c>
      <x:c r="C58" s="42" t="inlineStr">
        <x:is>
          <x:t xml:space="preserve">Fiskeridirektoratet guidance for land-based aquaculture facilities</x:t>
        </x:is>
      </x:c>
      <x:c r="D58" s="669" t="inlineStr">
        <x:is>
          <x:t xml:space="preserve">https://www.fiskeridir.no/akvakultur/landbaserte-anlegg</x:t>
        </x:is>
      </x:c>
      <x:c r="E58" s="669" t="inlineStr">
        <x:is>
          <x:t xml:space="preserve">https://www.fiskeridir.no/akvakultur/landbaserte-anlegg</x:t>
        </x:is>
      </x:c>
      <x:c r="F58" t="inlineStr">
        <x:is>
          <x:t xml:space="preserve">A_Public_Authority</x:t>
        </x:is>
      </x:c>
      <x:c r="G58" t="inlineStr">
        <x:is>
          <x:t xml:space="preserve">html</x:t>
        </x:is>
      </x:c>
      <x:c r="H58" t="inlineStr">
        <x:is>
          <x:t xml:space="preserve">PA056-001_Fiskeridirektoratet_guidance_for_land-based_aquaculture_facilities.html</x:t>
        </x:is>
      </x:c>
      <x:c r="I58" t="inlineStr">
        <x:is>
          <x:t xml:space="preserve">STORED</x:t>
        </x:is>
      </x:c>
      <x:c r="J58" t="inlineStr">
        <x:is>
          <x:t xml:space="preserve">Norwegian Directorate of Fisheries</x:t>
        </x:is>
      </x:c>
      <x:c r="K58" t="inlineStr">
        <x:is>
          <x:t xml:space="preserve">Norway</x:t>
        </x:is>
      </x:c>
      <x:c r="L58" t="inlineStr">
        <x:is>
          <x:t xml:space="preserve">Norwegian</x:t>
        </x:is>
      </x:c>
      <x:c r="N58" s="397" t="n"/>
      <x:c r="O58" t="inlineStr">
        <x:is>
          <x:t xml:space="preserve">Public authority</x:t>
        </x:is>
      </x:c>
      <x:c r="P58" t="inlineStr">
        <x:is>
          <x:t xml:space="preserve">Interpretation document</x:t>
        </x:is>
      </x:c>
      <x:c r="Q58" t="inlineStr">
        <x:is>
          <x:t xml:space="preserve">Guidance / interpretation</x:t>
        </x:is>
      </x:c>
      <x:c r="R58" s="42" t="inlineStr">
        <x:is>
          <x:t xml:space="preserve">Official guidance from Norwegian Directorate of Fisheries; included to interpret and operationalise linked normative requirements, not as independent legal or certification authority.</x:t>
        </x:is>
      </x:c>
      <x:c r="S58" t="inlineStr">
        <x:is>
          <x:t xml:space="preserve">HIGH</x:t>
        </x:is>
      </x:c>
      <x:c r="T58" t="inlineStr">
        <x:is>
          <x:t xml:space="preserve">MEDIUM</x:t>
        </x:is>
      </x:c>
      <x:c r="U58" t="inlineStr">
        <x:is>
          <x:t xml:space="preserve">HIGH</x:t>
        </x:is>
      </x:c>
      <x:c r="V58" t="inlineStr">
        <x:is>
          <x:t xml:space="preserve">HIGH</x:t>
        </x:is>
      </x:c>
      <x:c r="W58" t="inlineStr">
        <x:is>
          <x:t xml:space="preserve">HIGH</x:t>
        </x:is>
      </x:c>
      <x:c r="X58" t="inlineStr">
        <x:is>
          <x:t xml:space="preserve">HIGH</x:t>
        </x:is>
      </x:c>
      <x:c r="Y58" t="str">
        <x:f>IF(A58="","",IF(OR(J58="",AO58="",AP58="",AP58="UNVERIFIED",AND(AO58="OFFICIAL_WEBSITE",D58=""),AND(OR(P58="Equipment manual / OEM instruction",Q58="Asset-specific normative"),OR(O58&lt;&gt;"Manufacturer / supplier",AR58="",R58=""))),"PENDING",IF(COUNTIF(S58:W58,"LOW")&gt;0,"EXCLUDE",IF(COUNTIF(S58:W58,"MEDIUM")&gt;0,"PENDING",IF(COUNTIF(S58:W58,"HIGH")=5,"INCLUDE","PENDING")))))</x:f>
        <x:v>PENDING</x:v>
      </x:c>
      <x:c r="Z58" t="inlineStr">
        <x:is>
          <x:t xml:space="preserve">SUCCESS</x:t>
        </x:is>
      </x:c>
      <x:c r="AA58" s="398" t="n">
        <x:v>46262.53108796296</x:v>
      </x:c>
      <x:c r="AB58" s="398" t="n">
        <x:v>46262.53108796296</x:v>
      </x:c>
      <x:c r="AC58" s="398" t="inlineStr">
        <x:is>
          <x:t xml:space="preserve">INITIAL</x:t>
        </x:is>
      </x:c>
      <x:c r="AD58" s="398" t="inlineStr">
        <x:is>
          <x:t xml:space="preserve">AUTO</x:t>
        </x:is>
      </x:c>
      <x:c r="AE58" s="398" t="n">
        <x:f>IF(A58="","",IF(AD58="AUTO",AB58,IF(AD58="MANUAL",AF58,"")))</x:f>
        <x:v>46262.53108796296</x:v>
      </x:c>
      <x:c r="AF58" s="397" t="n"/>
      <x:c r="AH58" t="inlineStr">
        <x:is>
          <x:t xml:space="preserve">NONE</x:t>
        </x:is>
      </x:c>
      <x:c r="AI58" s="42" t="str"/>
      <x:c r="AJ58" t="str">
        <x:f>IF(OR(AL58&lt;&gt;"CURRENT",Y58="EXCLUDE"),"NO",IF(A58="","",IF(Z58="FAIL",IF(AND(AF58&lt;&gt;"",AF58&gt;=INT(AA58),I58="STORED",AD58="MANUAL",AG58&lt;&gt;""),"NO","YES"),IF(AND(AQ58="ROLLING",AC58="CHANGED"),IF(AND(AF58&lt;&gt;"",AF58&gt;=INT(IF(AB58&lt;&gt;"",AB58,AA58)),AG58&lt;&gt;""),"NO","YES"),"NO"))))</x:f>
        <x:v>NO</x:v>
      </x:c>
      <x:c r="AK58" t="inlineStr">
        <x:is>
          <x:t xml:space="preserve">73c197182a2280a093d6c7ec0a273ab6f46ad0e55edfddc0f31373937b21de93</x:t>
        </x:is>
      </x:c>
      <x:c r="AL58" t="inlineStr">
        <x:is>
          <x:t xml:space="preserve">CURRENT</x:t>
        </x:is>
      </x:c>
      <x:c r="AM58" t="inlineStr">
        <x:is>
          <x:t xml:space="preserve">PA022</x:t>
        </x:is>
      </x:c>
      <x:c r="AN58" s="42" t="inlineStr">
        <x:is>
          <x:t xml:space="preserve">Official land-based facility guidance. Include only when land-based facilities are within scope.</x:t>
        </x:is>
      </x:c>
      <x:c r="AO58" t="inlineStr">
        <x:is>
          <x:t xml:space="preserve">OFFICIAL_WEBSITE</x:t>
        </x:is>
      </x:c>
      <x:c r="AP58" t="inlineStr">
        <x:is>
          <x:t xml:space="preserve">OFFICIAL_ORIGINAL</x:t>
        </x:is>
      </x:c>
      <x:c r="AQ58" t="inlineStr">
        <x:is>
          <x:t xml:space="preserve">ROLLING</x:t>
        </x:is>
      </x:c>
      <x:c r="AR58" s="42" t="str"/>
    </x:row>
    <x:row r="59" s="36" customFormat="1" ht="42" customHeight="1">
      <x:c r="A59" t="inlineStr">
        <x:is>
          <x:t xml:space="preserve">PA057</x:t>
        </x:is>
      </x:c>
      <x:c r="B59" t="inlineStr">
        <x:is>
          <x:t xml:space="preserve">PA057-001</x:t>
        </x:is>
      </x:c>
      <x:c r="C59" s="42" t="inlineStr">
        <x:is>
          <x:t xml:space="preserve">Guidance for condition assessment of land-based aquaculture facilities</x:t>
        </x:is>
      </x:c>
      <x:c r="D59" s="669" t="inlineStr">
        <x:is>
          <x:t xml:space="preserve">https://www.fiskeridir.no/Akvakultur/Dokumenter/Veiledere/Tilstandsanalyse-av-landbaserte-anlegg</x:t>
        </x:is>
      </x:c>
      <x:c r="E59" s="669" t="inlineStr">
        <x:is>
          <x:t xml:space="preserve">https://www.fiskeridir.no/Akvakultur/Dokumenter/Veiledere/Tilstandsanalyse-av-landbaserte-anlegg/_/attachment/download/df2fc451-04b7-4984-8628-770e2cf13ac9%3Ad6ae5a53d45201b6bb2458a1e3506f3f9cd7e3fe/Veileder_tilstandsanalyse_20241011.pdf</x:t>
        </x:is>
      </x:c>
      <x:c r="F59" t="inlineStr">
        <x:is>
          <x:t xml:space="preserve">A_Public_Authority</x:t>
        </x:is>
      </x:c>
      <x:c r="G59" t="inlineStr">
        <x:is>
          <x:t xml:space="preserve">pdf</x:t>
        </x:is>
      </x:c>
      <x:c r="H59" t="inlineStr">
        <x:is>
          <x:t xml:space="preserve">PA057-001_Guidance_for_condition_assessment_of_land-based_aquaculture_facilities.pdf</x:t>
        </x:is>
      </x:c>
      <x:c r="I59" t="inlineStr">
        <x:is>
          <x:t xml:space="preserve">STORED</x:t>
        </x:is>
      </x:c>
      <x:c r="J59" t="inlineStr">
        <x:is>
          <x:t xml:space="preserve">Norwegian Directorate of Fisheries</x:t>
        </x:is>
      </x:c>
      <x:c r="K59" t="inlineStr">
        <x:is>
          <x:t xml:space="preserve">Norway</x:t>
        </x:is>
      </x:c>
      <x:c r="L59" t="inlineStr">
        <x:is>
          <x:t xml:space="preserve">Norwegian</x:t>
        </x:is>
      </x:c>
      <x:c r="M59" t="inlineStr">
        <x:is>
          <x:t xml:space="preserve">2024-10-11</x:t>
        </x:is>
      </x:c>
      <x:c r="N59" s="397" t="n"/>
      <x:c r="O59" t="inlineStr">
        <x:is>
          <x:t xml:space="preserve">Public authority</x:t>
        </x:is>
      </x:c>
      <x:c r="P59" t="inlineStr">
        <x:is>
          <x:t xml:space="preserve">Interpretation document</x:t>
        </x:is>
      </x:c>
      <x:c r="Q59" t="inlineStr">
        <x:is>
          <x:t xml:space="preserve">Guidance / interpretation</x:t>
        </x:is>
      </x:c>
      <x:c r="R59" s="42" t="inlineStr">
        <x:is>
          <x:t xml:space="preserve">Official guidance from Norwegian Directorate of Fisheries; included to interpret and operationalise linked normative requirements, not as independent legal or certification authority.</x:t>
        </x:is>
      </x:c>
      <x:c r="S59" t="inlineStr">
        <x:is>
          <x:t xml:space="preserve">HIGH</x:t>
        </x:is>
      </x:c>
      <x:c r="T59" t="inlineStr">
        <x:is>
          <x:t xml:space="preserve">MEDIUM</x:t>
        </x:is>
      </x:c>
      <x:c r="U59" t="inlineStr">
        <x:is>
          <x:t xml:space="preserve">HIGH</x:t>
        </x:is>
      </x:c>
      <x:c r="V59" t="inlineStr">
        <x:is>
          <x:t xml:space="preserve">HIGH</x:t>
        </x:is>
      </x:c>
      <x:c r="W59" t="inlineStr">
        <x:is>
          <x:t xml:space="preserve">HIGH</x:t>
        </x:is>
      </x:c>
      <x:c r="X59" t="inlineStr">
        <x:is>
          <x:t xml:space="preserve">HIGH</x:t>
        </x:is>
      </x:c>
      <x:c r="Y59" t="str">
        <x:f>IF(A59="","",IF(OR(J59="",AO59="",AP59="",AP59="UNVERIFIED",AND(AO59="OFFICIAL_WEBSITE",D59=""),AND(OR(P59="Equipment manual / OEM instruction",Q59="Asset-specific normative"),OR(O59&lt;&gt;"Manufacturer / supplier",AR59="",R59=""))),"PENDING",IF(COUNTIF(S59:W59,"LOW")&gt;0,"EXCLUDE",IF(COUNTIF(S59:W59,"MEDIUM")&gt;0,"PENDING",IF(COUNTIF(S59:W59,"HIGH")=5,"INCLUDE","PENDING")))))</x:f>
        <x:v>PENDING</x:v>
      </x:c>
      <x:c r="Z59" t="inlineStr">
        <x:is>
          <x:t xml:space="preserve">SUCCESS</x:t>
        </x:is>
      </x:c>
      <x:c r="AA59" s="398" t="n">
        <x:v>46262.53108796296</x:v>
      </x:c>
      <x:c r="AB59" s="398" t="n">
        <x:v>46262.53109953704</x:v>
      </x:c>
      <x:c r="AC59" s="398" t="inlineStr">
        <x:is>
          <x:t xml:space="preserve">INITIAL</x:t>
        </x:is>
      </x:c>
      <x:c r="AD59" s="398" t="inlineStr">
        <x:is>
          <x:t xml:space="preserve">AUTO</x:t>
        </x:is>
      </x:c>
      <x:c r="AE59" s="398" t="n">
        <x:f>IF(A59="","",IF(AD59="AUTO",AB59,IF(AD59="MANUAL",AF59,"")))</x:f>
        <x:v>46262.53109953704</x:v>
      </x:c>
      <x:c r="AF59" s="397" t="n"/>
      <x:c r="AH59" t="inlineStr">
        <x:is>
          <x:t xml:space="preserve">NONE</x:t>
        </x:is>
      </x:c>
      <x:c r="AI59" s="42" t="str"/>
      <x:c r="AJ59" t="str">
        <x:f>IF(OR(AL59&lt;&gt;"CURRENT",Y59="EXCLUDE"),"NO",IF(A59="","",IF(Z59="FAIL",IF(AND(AF59&lt;&gt;"",AF59&gt;=INT(AA59),I59="STORED",AD59="MANUAL",AG59&lt;&gt;""),"NO","YES"),IF(AND(AQ59="ROLLING",AC59="CHANGED"),IF(AND(AF59&lt;&gt;"",AF59&gt;=INT(IF(AB59&lt;&gt;"",AB59,AA59)),AG59&lt;&gt;""),"NO","YES"),"NO"))))</x:f>
        <x:v>NO</x:v>
      </x:c>
      <x:c r="AK59" t="inlineStr">
        <x:is>
          <x:t xml:space="preserve">f9f6bd8531c2cd8a4cc7dd49e4035aaef6ff33cb2f7dbf93f0e340ca0b454778</x:t>
        </x:is>
      </x:c>
      <x:c r="AL59" t="inlineStr">
        <x:is>
          <x:t xml:space="preserve">CURRENT</x:t>
        </x:is>
      </x:c>
      <x:c r="AM59" t="inlineStr">
        <x:is>
          <x:t xml:space="preserve">PA022</x:t>
        </x:is>
      </x:c>
      <x:c r="AN59" s="42" t="inlineStr">
        <x:is>
          <x:t xml:space="preserve">Official technical guidance linked to land-based facility regulation and NS 3424. Conditional on land-based scope.</x:t>
        </x:is>
      </x:c>
      <x:c r="AO59" t="inlineStr">
        <x:is>
          <x:t xml:space="preserve">OFFICIAL_WEBSITE</x:t>
        </x:is>
      </x:c>
      <x:c r="AP59" t="inlineStr">
        <x:is>
          <x:t xml:space="preserve">OFFICIAL_ORIGINAL</x:t>
        </x:is>
      </x:c>
      <x:c r="AQ59" t="inlineStr">
        <x:is>
          <x:t xml:space="preserve">VERSIONED</x:t>
        </x:is>
      </x:c>
      <x:c r="AR59" s="42" t="str"/>
    </x:row>
    <x:row r="60" s="36" customFormat="1" ht="42" customHeight="1">
      <x:c r="A60" t="inlineStr">
        <x:is>
          <x:t xml:space="preserve">PA058</x:t>
        </x:is>
      </x:c>
      <x:c r="B60" t="inlineStr">
        <x:is>
          <x:t xml:space="preserve">PA058-001</x:t>
        </x:is>
      </x:c>
      <x:c r="C60" s="42" t="inlineStr">
        <x:is>
          <x:t xml:space="preserve">Animal By-Products Regulations</x:t>
        </x:is>
      </x:c>
      <x:c r="D60" s="669" t="inlineStr">
        <x:is>
          <x:t xml:space="preserve">https://lovdata.no/dokument/SF/forskrift/2016-09-14-1064</x:t>
        </x:is>
      </x:c>
      <x:c r="E60" s="669" t="inlineStr">
        <x:is>
          <x:t xml:space="preserve">https://lovdata.no/dokument/SF/forskrift/2016-09-14-1064</x:t>
        </x:is>
      </x:c>
      <x:c r="F60" t="inlineStr">
        <x:is>
          <x:t xml:space="preserve">A_Public_Authority</x:t>
        </x:is>
      </x:c>
      <x:c r="G60" t="inlineStr">
        <x:is>
          <x:t xml:space="preserve">html</x:t>
        </x:is>
      </x:c>
      <x:c r="H60" t="inlineStr">
        <x:is>
          <x:t xml:space="preserve">PA058-001_Animal_By-Products_Regulations.html</x:t>
        </x:is>
      </x:c>
      <x:c r="I60" t="inlineStr">
        <x:is>
          <x:t xml:space="preserve">STORED</x:t>
        </x:is>
      </x:c>
      <x:c r="J60" t="inlineStr">
        <x:is>
          <x:t xml:space="preserve">Norwegian Ministry of Agriculture and Food</x:t>
        </x:is>
      </x:c>
      <x:c r="K60" t="inlineStr">
        <x:is>
          <x:t xml:space="preserve">Norway</x:t>
        </x:is>
      </x:c>
      <x:c r="L60" t="inlineStr">
        <x:is>
          <x:t xml:space="preserve">Norwegian</x:t>
        </x:is>
      </x:c>
      <x:c r="N60" s="397" t="n"/>
      <x:c r="O60" t="inlineStr">
        <x:is>
          <x:t xml:space="preserve">Public authority</x:t>
        </x:is>
      </x:c>
      <x:c r="P60" t="inlineStr">
        <x:is>
          <x:t xml:space="preserve">Regulation</x:t>
        </x:is>
      </x:c>
      <x:c r="Q60" t="inlineStr">
        <x:is>
          <x:t xml:space="preserve">Primary normative</x:t>
        </x:is>
      </x:c>
      <x:c r="R60" s="42" t="inlineStr">
        <x:is>
          <x:t xml:space="preserve">Official regulation issued by Norwegian Ministry of Agriculture and Food; included because it may impose binding requirements on an in-scope aquaculture asset, activity, permit or certification.</x:t>
        </x:is>
      </x:c>
      <x:c r="S60" t="inlineStr">
        <x:is>
          <x:t xml:space="preserve">HIGH</x:t>
        </x:is>
      </x:c>
      <x:c r="T60" t="inlineStr">
        <x:is>
          <x:t xml:space="preserve">HIGH</x:t>
        </x:is>
      </x:c>
      <x:c r="U60" t="inlineStr">
        <x:is>
          <x:t xml:space="preserve">HIGH</x:t>
        </x:is>
      </x:c>
      <x:c r="V60" t="inlineStr">
        <x:is>
          <x:t xml:space="preserve">HIGH</x:t>
        </x:is>
      </x:c>
      <x:c r="W60" t="inlineStr">
        <x:is>
          <x:t xml:space="preserve">HIGH</x:t>
        </x:is>
      </x:c>
      <x:c r="X60" t="inlineStr">
        <x:is>
          <x:t xml:space="preserve">HIGH</x:t>
        </x:is>
      </x:c>
      <x:c r="Y60" t="str">
        <x:f>IF(A60="","",IF(OR(J60="",AO60="",AP60="",AP60="UNVERIFIED",AND(AO60="OFFICIAL_WEBSITE",D60=""),AND(OR(P60="Equipment manual / OEM instruction",Q60="Asset-specific normative"),OR(O60&lt;&gt;"Manufacturer / supplier",AR60="",R60=""))),"PENDING",IF(COUNTIF(S60:W60,"LOW")&gt;0,"EXCLUDE",IF(COUNTIF(S60:W60,"MEDIUM")&gt;0,"PENDING",IF(COUNTIF(S60:W60,"HIGH")=5,"INCLUDE","PENDING")))))</x:f>
        <x:v>INCLUDE</x:v>
      </x:c>
      <x:c r="Z60" t="inlineStr">
        <x:is>
          <x:t xml:space="preserve">SUCCESS</x:t>
        </x:is>
      </x:c>
      <x:c r="AA60" s="398" t="n">
        <x:v>46262.53109953704</x:v>
      </x:c>
      <x:c r="AB60" s="398" t="n">
        <x:v>46262.53109953704</x:v>
      </x:c>
      <x:c r="AC60" s="398" t="inlineStr">
        <x:is>
          <x:t xml:space="preserve">INITIAL</x:t>
        </x:is>
      </x:c>
      <x:c r="AD60" s="398" t="inlineStr">
        <x:is>
          <x:t xml:space="preserve">AUTO</x:t>
        </x:is>
      </x:c>
      <x:c r="AE60" s="398" t="n">
        <x:f>IF(A60="","",IF(AD60="AUTO",AB60,IF(AD60="MANUAL",AF60,"")))</x:f>
        <x:v>46262.53109953704</x:v>
      </x:c>
      <x:c r="AF60" s="397" t="n"/>
      <x:c r="AH60" t="inlineStr">
        <x:is>
          <x:t xml:space="preserve">NONE</x:t>
        </x:is>
      </x:c>
      <x:c r="AI60" s="42" t="str"/>
      <x:c r="AJ60" t="str">
        <x:f>IF(OR(AL60&lt;&gt;"CURRENT",Y60="EXCLUDE"),"NO",IF(A60="","",IF(Z60="FAIL",IF(AND(AF60&lt;&gt;"",AF60&gt;=INT(AA60),I60="STORED",AD60="MANUAL",AG60&lt;&gt;""),"NO","YES"),IF(AND(AQ60="ROLLING",AC60="CHANGED"),IF(AND(AF60&lt;&gt;"",AF60&gt;=INT(IF(AB60&lt;&gt;"",AB60,AA60)),AG60&lt;&gt;""),"NO","YES"),"NO"))))</x:f>
        <x:v>NO</x:v>
      </x:c>
      <x:c r="AK60" t="inlineStr">
        <x:is>
          <x:t xml:space="preserve">fd75ab8dd58b68417b6da68c10c92a6952c7e7e2c8fdb7d48b02c8a46c6dee6a</x:t>
        </x:is>
      </x:c>
      <x:c r="AL60" t="inlineStr">
        <x:is>
          <x:t xml:space="preserve">CURRENT</x:t>
        </x:is>
      </x:c>
      <x:c r="AN60" s="42" t="inlineStr">
        <x:is>
          <x:t xml:space="preserve">Official food and animal-health expansion. Relevant to mortality, biological waste and animal by-product handling.</x:t>
        </x:is>
      </x:c>
      <x:c r="AO60" t="inlineStr">
        <x:is>
          <x:t xml:space="preserve">OFFICIAL_WEBSITE</x:t>
        </x:is>
      </x:c>
      <x:c r="AP60" t="inlineStr">
        <x:is>
          <x:t xml:space="preserve">OFFICIAL_ORIGINAL</x:t>
        </x:is>
      </x:c>
      <x:c r="AQ60" t="inlineStr">
        <x:is>
          <x:t xml:space="preserve">ROLLING</x:t>
        </x:is>
      </x:c>
      <x:c r="AR60" s="42" t="str"/>
    </x:row>
    <x:row r="61" s="36" customFormat="1" ht="42" customHeight="1">
      <x:c r="A61" t="inlineStr">
        <x:is>
          <x:t xml:space="preserve">PA059</x:t>
        </x:is>
      </x:c>
      <x:c r="B61" t="inlineStr">
        <x:is>
          <x:t xml:space="preserve">PA059-001</x:t>
        </x:is>
      </x:c>
      <x:c r="C61" s="42" t="inlineStr">
        <x:is>
          <x:t xml:space="preserve">Feed Hygiene Regulations</x:t>
        </x:is>
      </x:c>
      <x:c r="D61" s="669" t="inlineStr">
        <x:is>
          <x:t xml:space="preserve">https://lovdata.no/dokument/SF/forskrift/2010-01-14-39</x:t>
        </x:is>
      </x:c>
      <x:c r="E61" s="669" t="inlineStr">
        <x:is>
          <x:t xml:space="preserve">https://lovdata.no/dokument/SF/forskrift/2010-01-14-39</x:t>
        </x:is>
      </x:c>
      <x:c r="F61" t="inlineStr">
        <x:is>
          <x:t xml:space="preserve">A_Public_Authority</x:t>
        </x:is>
      </x:c>
      <x:c r="G61" t="inlineStr">
        <x:is>
          <x:t xml:space="preserve">html</x:t>
        </x:is>
      </x:c>
      <x:c r="H61" t="inlineStr">
        <x:is>
          <x:t xml:space="preserve">PA059-001_Feed_Hygiene_Regulations.html</x:t>
        </x:is>
      </x:c>
      <x:c r="I61" t="inlineStr">
        <x:is>
          <x:t xml:space="preserve">STORED</x:t>
        </x:is>
      </x:c>
      <x:c r="J61" t="inlineStr">
        <x:is>
          <x:t xml:space="preserve">Norwegian Ministry of Agriculture and Food</x:t>
        </x:is>
      </x:c>
      <x:c r="K61" t="inlineStr">
        <x:is>
          <x:t xml:space="preserve">Norway</x:t>
        </x:is>
      </x:c>
      <x:c r="L61" t="inlineStr">
        <x:is>
          <x:t xml:space="preserve">Norwegian</x:t>
        </x:is>
      </x:c>
      <x:c r="N61" s="397" t="n"/>
      <x:c r="O61" t="inlineStr">
        <x:is>
          <x:t xml:space="preserve">Public authority</x:t>
        </x:is>
      </x:c>
      <x:c r="P61" t="inlineStr">
        <x:is>
          <x:t xml:space="preserve">Regulation</x:t>
        </x:is>
      </x:c>
      <x:c r="Q61" t="inlineStr">
        <x:is>
          <x:t xml:space="preserve">Primary normative</x:t>
        </x:is>
      </x:c>
      <x:c r="R61" s="42" t="inlineStr">
        <x:is>
          <x:t xml:space="preserve">Official regulation issued by Norwegian Ministry of Agriculture and Food; included because it may impose binding requirements on an in-scope aquaculture asset, activity, permit or certification.</x:t>
        </x:is>
      </x:c>
      <x:c r="S61" t="inlineStr">
        <x:is>
          <x:t xml:space="preserve">HIGH</x:t>
        </x:is>
      </x:c>
      <x:c r="T61" t="inlineStr">
        <x:is>
          <x:t xml:space="preserve">HIGH</x:t>
        </x:is>
      </x:c>
      <x:c r="U61" t="inlineStr">
        <x:is>
          <x:t xml:space="preserve">HIGH</x:t>
        </x:is>
      </x:c>
      <x:c r="V61" t="inlineStr">
        <x:is>
          <x:t xml:space="preserve">HIGH</x:t>
        </x:is>
      </x:c>
      <x:c r="W61" t="inlineStr">
        <x:is>
          <x:t xml:space="preserve">HIGH</x:t>
        </x:is>
      </x:c>
      <x:c r="X61" t="inlineStr">
        <x:is>
          <x:t xml:space="preserve">HIGH</x:t>
        </x:is>
      </x:c>
      <x:c r="Y61" t="str">
        <x:f>IF(A61="","",IF(OR(J61="",AO61="",AP61="",AP61="UNVERIFIED",AND(AO61="OFFICIAL_WEBSITE",D61=""),AND(OR(P61="Equipment manual / OEM instruction",Q61="Asset-specific normative"),OR(O61&lt;&gt;"Manufacturer / supplier",AR61="",R61=""))),"PENDING",IF(COUNTIF(S61:W61,"LOW")&gt;0,"EXCLUDE",IF(COUNTIF(S61:W61,"MEDIUM")&gt;0,"PENDING",IF(COUNTIF(S61:W61,"HIGH")=5,"INCLUDE","PENDING")))))</x:f>
        <x:v>INCLUDE</x:v>
      </x:c>
      <x:c r="Z61" t="inlineStr">
        <x:is>
          <x:t xml:space="preserve">SUCCESS</x:t>
        </x:is>
      </x:c>
      <x:c r="AA61" s="398" t="n">
        <x:v>46262.53109953704</x:v>
      </x:c>
      <x:c r="AB61" s="398" t="n">
        <x:v>46262.53109953704</x:v>
      </x:c>
      <x:c r="AC61" s="398" t="inlineStr">
        <x:is>
          <x:t xml:space="preserve">INITIAL</x:t>
        </x:is>
      </x:c>
      <x:c r="AD61" s="398" t="inlineStr">
        <x:is>
          <x:t xml:space="preserve">AUTO</x:t>
        </x:is>
      </x:c>
      <x:c r="AE61" s="398" t="n">
        <x:f>IF(A61="","",IF(AD61="AUTO",AB61,IF(AD61="MANUAL",AF61,"")))</x:f>
        <x:v>46262.53109953704</x:v>
      </x:c>
      <x:c r="AF61" s="397" t="n"/>
      <x:c r="AH61" t="inlineStr">
        <x:is>
          <x:t xml:space="preserve">NONE</x:t>
        </x:is>
      </x:c>
      <x:c r="AI61" s="42" t="str"/>
      <x:c r="AJ61" t="str">
        <x:f>IF(OR(AL61&lt;&gt;"CURRENT",Y61="EXCLUDE"),"NO",IF(A61="","",IF(Z61="FAIL",IF(AND(AF61&lt;&gt;"",AF61&gt;=INT(AA61),I61="STORED",AD61="MANUAL",AG61&lt;&gt;""),"NO","YES"),IF(AND(AQ61="ROLLING",AC61="CHANGED"),IF(AND(AF61&lt;&gt;"",AF61&gt;=INT(IF(AB61&lt;&gt;"",AB61,AA61)),AG61&lt;&gt;""),"NO","YES"),"NO"))))</x:f>
        <x:v>NO</x:v>
      </x:c>
      <x:c r="AK61" t="inlineStr">
        <x:is>
          <x:t xml:space="preserve">ed6c7697859784b170a511c1cf2959184626790cd65ed05c36bc863c6769a793</x:t>
        </x:is>
      </x:c>
      <x:c r="AL61" t="inlineStr">
        <x:is>
          <x:t xml:space="preserve">CURRENT</x:t>
        </x:is>
      </x:c>
      <x:c r="AN61" s="42" t="inlineStr">
        <x:is>
          <x:t xml:space="preserve">Official feed-safety expansion. Applicability depends on storage, handling and feed-business activities.</x:t>
        </x:is>
      </x:c>
      <x:c r="AO61" t="inlineStr">
        <x:is>
          <x:t xml:space="preserve">OFFICIAL_WEBSITE</x:t>
        </x:is>
      </x:c>
      <x:c r="AP61" t="inlineStr">
        <x:is>
          <x:t xml:space="preserve">OFFICIAL_ORIGINAL</x:t>
        </x:is>
      </x:c>
      <x:c r="AQ61" t="inlineStr">
        <x:is>
          <x:t xml:space="preserve">ROLLING</x:t>
        </x:is>
      </x:c>
      <x:c r="AR61" s="42" t="str"/>
    </x:row>
    <x:row r="62" s="36" customFormat="1" ht="42" customHeight="1">
      <x:c r="A62" t="inlineStr">
        <x:is>
          <x:t xml:space="preserve">PA060</x:t>
        </x:is>
      </x:c>
      <x:c r="B62" t="inlineStr">
        <x:is>
          <x:t xml:space="preserve">PA060-001</x:t>
        </x:is>
      </x:c>
      <x:c r="C62" s="42" t="inlineStr">
        <x:is>
          <x:t xml:space="preserve">Regulation on veterinary medicinal products</x:t>
        </x:is>
      </x:c>
      <x:c r="D62" s="669" t="inlineStr">
        <x:is>
          <x:t xml:space="preserve">https://lovdata.no/dokument/SF/forskrift/2022-09-08-1573</x:t>
        </x:is>
      </x:c>
      <x:c r="E62" s="669" t="inlineStr">
        <x:is>
          <x:t xml:space="preserve">https://lovdata.no/dokument/SF/forskrift/2022-09-08-1573</x:t>
        </x:is>
      </x:c>
      <x:c r="F62" t="inlineStr">
        <x:is>
          <x:t xml:space="preserve">A_Public_Authority</x:t>
        </x:is>
      </x:c>
      <x:c r="G62" t="inlineStr">
        <x:is>
          <x:t xml:space="preserve">html</x:t>
        </x:is>
      </x:c>
      <x:c r="H62" t="inlineStr">
        <x:is>
          <x:t xml:space="preserve">PA060-001_Regulation_on_veterinary_medicinal_products.html</x:t>
        </x:is>
      </x:c>
      <x:c r="I62" t="inlineStr">
        <x:is>
          <x:t xml:space="preserve">STORED</x:t>
        </x:is>
      </x:c>
      <x:c r="J62" t="inlineStr">
        <x:is>
          <x:t xml:space="preserve">Norwegian Ministry of Health and Care Services</x:t>
        </x:is>
      </x:c>
      <x:c r="K62" t="inlineStr">
        <x:is>
          <x:t xml:space="preserve">Norway</x:t>
        </x:is>
      </x:c>
      <x:c r="L62" t="inlineStr">
        <x:is>
          <x:t xml:space="preserve">Norwegian</x:t>
        </x:is>
      </x:c>
      <x:c r="N62" s="397" t="n"/>
      <x:c r="O62" t="inlineStr">
        <x:is>
          <x:t xml:space="preserve">Public authority</x:t>
        </x:is>
      </x:c>
      <x:c r="P62" t="inlineStr">
        <x:is>
          <x:t xml:space="preserve">Regulation</x:t>
        </x:is>
      </x:c>
      <x:c r="Q62" t="inlineStr">
        <x:is>
          <x:t xml:space="preserve">Primary normative</x:t>
        </x:is>
      </x:c>
      <x:c r="R62" s="42" t="inlineStr">
        <x:is>
          <x:t xml:space="preserve">Official regulation issued by Norwegian Ministry of Health and Care Services; included because it may impose binding requirements on an in-scope aquaculture asset, activity, permit or certification.</x:t>
        </x:is>
      </x:c>
      <x:c r="S62" t="inlineStr">
        <x:is>
          <x:t xml:space="preserve">HIGH</x:t>
        </x:is>
      </x:c>
      <x:c r="T62" t="inlineStr">
        <x:is>
          <x:t xml:space="preserve">HIGH</x:t>
        </x:is>
      </x:c>
      <x:c r="U62" t="inlineStr">
        <x:is>
          <x:t xml:space="preserve">HIGH</x:t>
        </x:is>
      </x:c>
      <x:c r="V62" t="inlineStr">
        <x:is>
          <x:t xml:space="preserve">HIGH</x:t>
        </x:is>
      </x:c>
      <x:c r="W62" t="inlineStr">
        <x:is>
          <x:t xml:space="preserve">HIGH</x:t>
        </x:is>
      </x:c>
      <x:c r="X62" t="inlineStr">
        <x:is>
          <x:t xml:space="preserve">HIGH</x:t>
        </x:is>
      </x:c>
      <x:c r="Y62" t="str">
        <x:f>IF(A62="","",IF(OR(J62="",AO62="",AP62="",AP62="UNVERIFIED",AND(AO62="OFFICIAL_WEBSITE",D62=""),AND(OR(P62="Equipment manual / OEM instruction",Q62="Asset-specific normative"),OR(O62&lt;&gt;"Manufacturer / supplier",AR62="",R62=""))),"PENDING",IF(COUNTIF(S62:W62,"LOW")&gt;0,"EXCLUDE",IF(COUNTIF(S62:W62,"MEDIUM")&gt;0,"PENDING",IF(COUNTIF(S62:W62,"HIGH")=5,"INCLUDE","PENDING")))))</x:f>
        <x:v>INCLUDE</x:v>
      </x:c>
      <x:c r="Z62" t="inlineStr">
        <x:is>
          <x:t xml:space="preserve">SUCCESS</x:t>
        </x:is>
      </x:c>
      <x:c r="AA62" s="398" t="n">
        <x:v>46262.53109953704</x:v>
      </x:c>
      <x:c r="AB62" s="398" t="n">
        <x:v>46262.53111111111</x:v>
      </x:c>
      <x:c r="AC62" s="398" t="inlineStr">
        <x:is>
          <x:t xml:space="preserve">INITIAL</x:t>
        </x:is>
      </x:c>
      <x:c r="AD62" s="398" t="inlineStr">
        <x:is>
          <x:t xml:space="preserve">AUTO</x:t>
        </x:is>
      </x:c>
      <x:c r="AE62" s="398" t="n">
        <x:f>IF(A62="","",IF(AD62="AUTO",AB62,IF(AD62="MANUAL",AF62,"")))</x:f>
        <x:v>46262.53111111111</x:v>
      </x:c>
      <x:c r="AF62" s="397" t="n"/>
      <x:c r="AH62" t="inlineStr">
        <x:is>
          <x:t xml:space="preserve">NONE</x:t>
        </x:is>
      </x:c>
      <x:c r="AI62" s="42" t="str"/>
      <x:c r="AJ62" t="str">
        <x:f>IF(OR(AL62&lt;&gt;"CURRENT",Y62="EXCLUDE"),"NO",IF(A62="","",IF(Z62="FAIL",IF(AND(AF62&lt;&gt;"",AF62&gt;=INT(AA62),I62="STORED",AD62="MANUAL",AG62&lt;&gt;""),"NO","YES"),IF(AND(AQ62="ROLLING",AC62="CHANGED"),IF(AND(AF62&lt;&gt;"",AF62&gt;=INT(IF(AB62&lt;&gt;"",AB62,AA62)),AG62&lt;&gt;""),"NO","YES"),"NO"))))</x:f>
        <x:v>NO</x:v>
      </x:c>
      <x:c r="AK62" t="inlineStr">
        <x:is>
          <x:t xml:space="preserve">744c31829906a7667ae58957380386b0baab1a1ad56b468b6a9ce452b7f0ff8b</x:t>
        </x:is>
      </x:c>
      <x:c r="AL62" t="inlineStr">
        <x:is>
          <x:t xml:space="preserve">CURRENT</x:t>
        </x:is>
      </x:c>
      <x:c r="AN62" s="42" t="inlineStr">
        <x:is>
          <x:t xml:space="preserve">Official animal-health expansion. Include applicable provisions for procurement, use, records and handling of veterinary medicines.</x:t>
        </x:is>
      </x:c>
      <x:c r="AO62" t="inlineStr">
        <x:is>
          <x:t xml:space="preserve">OFFICIAL_WEBSITE</x:t>
        </x:is>
      </x:c>
      <x:c r="AP62" t="inlineStr">
        <x:is>
          <x:t xml:space="preserve">OFFICIAL_ORIGINAL</x:t>
        </x:is>
      </x:c>
      <x:c r="AQ62" t="inlineStr">
        <x:is>
          <x:t xml:space="preserve">ROLLING</x:t>
        </x:is>
      </x:c>
      <x:c r="AR62" s="42" t="str"/>
    </x:row>
    <x:row r="63" s="36" customFormat="1" ht="42" customHeight="1">
      <x:c r="A63" t="inlineStr">
        <x:is>
          <x:t xml:space="preserve">SB001</x:t>
        </x:is>
      </x:c>
      <x:c r="B63" t="inlineStr">
        <x:is>
          <x:t xml:space="preserve">SB001-001</x:t>
        </x:is>
      </x:c>
      <x:c r="C63" s="42" t="inlineStr">
        <x:is>
          <x:t xml:space="preserve">NS 9415:2021+AC:2024 Floating aquaculture farms - Site survey, design, execution and use</x:t>
        </x:is>
      </x:c>
      <x:c r="D63" s="669" t="inlineStr">
        <x:is>
          <x:t xml:space="preserve">https://online.standard.no/nb/ns-9415-2021</x:t>
        </x:is>
      </x:c>
      <x:c r="E63" s="669" t="str"/>
      <x:c r="F63" t="inlineStr">
        <x:is>
          <x:t xml:space="preserve">B_Standards_Body</x:t>
        </x:is>
      </x:c>
      <x:c r="G63" t="inlineStr">
        <x:is>
          <x:t xml:space="preserve">pdf</x:t>
        </x:is>
      </x:c>
      <x:c r="H63" t="inlineStr">
        <x:is>
          <x:t xml:space="preserve">SB001-001_NS_9415_2021_AC_2024_Floating_aquaculture_farms_-_Site_survey_design_execution_and_use.pdf</x:t>
        </x:is>
      </x:c>
      <x:c r="I63" t="inlineStr">
        <x:is>
          <x:t xml:space="preserve">NOT_COLLECTED</x:t>
        </x:is>
      </x:c>
      <x:c r="J63" t="inlineStr">
        <x:is>
          <x:t xml:space="preserve">Standards Norway</x:t>
        </x:is>
      </x:c>
      <x:c r="K63" t="inlineStr">
        <x:is>
          <x:t xml:space="preserve">Norway</x:t>
        </x:is>
      </x:c>
      <x:c r="L63" t="inlineStr">
        <x:is>
          <x:t xml:space="preserve">Norwegian</x:t>
        </x:is>
      </x:c>
      <x:c r="M63" t="inlineStr">
        <x:is>
          <x:t xml:space="preserve">2021+AC:2024</x:t>
        </x:is>
      </x:c>
      <x:c r="N63" s="397" t="n"/>
      <x:c r="O63" t="inlineStr">
        <x:is>
          <x:t xml:space="preserve">Standards body</x:t>
        </x:is>
      </x:c>
      <x:c r="P63" t="inlineStr">
        <x:is>
          <x:t xml:space="preserve">Technical standard</x:t>
        </x:is>
      </x:c>
      <x:c r="Q63" t="inlineStr">
        <x:is>
          <x:t xml:space="preserve">Referenced normative</x:t>
        </x:is>
      </x:c>
      <x:c r="R63" s="42" t="inlineStr">
        <x:is>
          <x:t xml:space="preserve">Official referenced source from Standards Norway; included because an applicable law, permit or certification scheme may make its provisions binding within the approved scope.</x:t>
        </x:is>
      </x:c>
      <x:c r="S63" t="inlineStr">
        <x:is>
          <x:t xml:space="preserve">HIGH</x:t>
        </x:is>
      </x:c>
      <x:c r="T63" t="inlineStr">
        <x:is>
          <x:t xml:space="preserve">HIGH</x:t>
        </x:is>
      </x:c>
      <x:c r="U63" t="inlineStr">
        <x:is>
          <x:t xml:space="preserve">HIGH</x:t>
        </x:is>
      </x:c>
      <x:c r="V63" t="inlineStr">
        <x:is>
          <x:t xml:space="preserve">HIGH</x:t>
        </x:is>
      </x:c>
      <x:c r="W63" t="inlineStr">
        <x:is>
          <x:t xml:space="preserve">MEDIUM</x:t>
        </x:is>
      </x:c>
      <x:c r="X63" t="inlineStr">
        <x:is>
          <x:t xml:space="preserve">LOW</x:t>
        </x:is>
      </x:c>
      <x:c r="Y63" t="str">
        <x:f>IF(A63="","",IF(OR(J63="",AO63="",AP63="",AP63="UNVERIFIED",AND(AO63="OFFICIAL_WEBSITE",D63=""),AND(OR(P63="Equipment manual / OEM instruction",Q63="Asset-specific normative"),OR(O63&lt;&gt;"Manufacturer / supplier",AR63="",R63=""))),"PENDING",IF(COUNTIF(S63:W63,"LOW")&gt;0,"EXCLUDE",IF(COUNTIF(S63:W63,"MEDIUM")&gt;0,"PENDING",IF(COUNTIF(S63:W63,"HIGH")=5,"INCLUDE","PENDING")))))</x:f>
        <x:v>PENDING</x:v>
      </x:c>
      <x:c r="Z63" t="inlineStr">
        <x:is>
          <x:t xml:space="preserve">NOT_RUN</x:t>
        </x:is>
      </x:c>
      <x:c r="AA63" s="398" t="n"/>
      <x:c r="AB63" s="398" t="n"/>
      <x:c r="AC63" s="398" t="inlineStr">
        <x:is>
          <x:t xml:space="preserve">UNKNOWN</x:t>
        </x:is>
      </x:c>
      <x:c r="AD63" s="398" t="inlineStr">
        <x:is>
          <x:t xml:space="preserve">NONE</x:t>
        </x:is>
      </x:c>
      <x:c r="AE63" s="398" t="str">
        <x:f>IF(A63="","",IF(AD63="AUTO",AB63,IF(AD63="MANUAL",AF63,"")))</x:f>
      </x:c>
      <x:c r="AF63" s="397" t="n"/>
      <x:c r="AH63" t="inlineStr">
        <x:is>
          <x:t xml:space="preserve">NONE</x:t>
        </x:is>
      </x:c>
      <x:c r="AI63" s="42" t="str"/>
      <x:c r="AJ63" t="str">
        <x:f>IF(OR(AL63&lt;&gt;"CURRENT",Y63="EXCLUDE"),"NO",IF(A63="","",IF(Z63="FAIL",IF(AND(AF63&lt;&gt;"",AF63&gt;=INT(AA63),I63="STORED",AD63="MANUAL",AG63&lt;&gt;""),"NO","YES"),IF(AND(AQ63="ROLLING",AC63="CHANGED"),IF(AND(AF63&lt;&gt;"",AF63&gt;=INT(IF(AB63&lt;&gt;"",AB63,AA63)),AG63&lt;&gt;""),"NO","YES"),"NO"))))</x:f>
        <x:v>NO</x:v>
      </x:c>
      <x:c r="AL63" t="inlineStr">
        <x:is>
          <x:t xml:space="preserve">CURRENT</x:t>
        </x:is>
      </x:c>
      <x:c r="AM63" t="inlineStr">
        <x:is>
          <x:t xml:space="preserve">PA004</x:t>
        </x:is>
      </x:c>
      <x:c r="AN63" s="42" t="inlineStr">
        <x:is>
          <x:t xml:space="preserve">Project-mentioned standard referenced by NYTEK23. Licensed access is required before automated retrieval.</x:t>
        </x:is>
      </x:c>
      <x:c r="AO63" t="inlineStr">
        <x:is>
          <x:t xml:space="preserve">OFFICIAL_WEBSITE</x:t>
        </x:is>
      </x:c>
      <x:c r="AP63" t="inlineStr">
        <x:is>
          <x:t xml:space="preserve">OFFICIAL_ORIGINAL</x:t>
        </x:is>
      </x:c>
      <x:c r="AQ63" t="inlineStr">
        <x:is>
          <x:t xml:space="preserve">VERSIONED</x:t>
        </x:is>
      </x:c>
      <x:c r="AR63" s="42" t="str"/>
    </x:row>
    <x:row r="64" s="36" customFormat="1" ht="42" customHeight="1">
      <x:c r="A64" t="inlineStr">
        <x:is>
          <x:t xml:space="preserve">SB002</x:t>
        </x:is>
      </x:c>
      <x:c r="B64" t="inlineStr">
        <x:is>
          <x:t xml:space="preserve">SB002-001</x:t>
        </x:is>
      </x:c>
      <x:c r="C64" s="42" t="inlineStr">
        <x:is>
          <x:t xml:space="preserve">NS 9410:2016 Environmental monitoring of benthic impact from marine fish farms</x:t>
        </x:is>
      </x:c>
      <x:c r="D64" s="669" t="inlineStr">
        <x:is>
          <x:t xml:space="preserve">https://online.standard.no/ns-9410-2016</x:t>
        </x:is>
      </x:c>
      <x:c r="E64" s="669" t="str"/>
      <x:c r="F64" t="inlineStr">
        <x:is>
          <x:t xml:space="preserve">B_Standards_Body</x:t>
        </x:is>
      </x:c>
      <x:c r="G64" t="inlineStr">
        <x:is>
          <x:t xml:space="preserve">pdf</x:t>
        </x:is>
      </x:c>
      <x:c r="H64" t="inlineStr">
        <x:is>
          <x:t xml:space="preserve">SB002-001_NS_9410_2016_Environmental_monitoring_of_benthic_impact_from_marine_fish_farms.pdf</x:t>
        </x:is>
      </x:c>
      <x:c r="I64" t="inlineStr">
        <x:is>
          <x:t xml:space="preserve">NOT_COLLECTED</x:t>
        </x:is>
      </x:c>
      <x:c r="J64" t="inlineStr">
        <x:is>
          <x:t xml:space="preserve">Standards Norway</x:t>
        </x:is>
      </x:c>
      <x:c r="K64" t="inlineStr">
        <x:is>
          <x:t xml:space="preserve">Norway</x:t>
        </x:is>
      </x:c>
      <x:c r="L64" t="inlineStr">
        <x:is>
          <x:t xml:space="preserve">Norwegian</x:t>
        </x:is>
      </x:c>
      <x:c r="M64" t="inlineStr">
        <x:is>
          <x:t xml:space="preserve">2016</x:t>
        </x:is>
      </x:c>
      <x:c r="N64" s="397" t="n"/>
      <x:c r="O64" t="inlineStr">
        <x:is>
          <x:t xml:space="preserve">Standards body</x:t>
        </x:is>
      </x:c>
      <x:c r="P64" t="inlineStr">
        <x:is>
          <x:t xml:space="preserve">Technical standard</x:t>
        </x:is>
      </x:c>
      <x:c r="Q64" t="inlineStr">
        <x:is>
          <x:t xml:space="preserve">Referenced normative</x:t>
        </x:is>
      </x:c>
      <x:c r="R64" s="42" t="inlineStr">
        <x:is>
          <x:t xml:space="preserve">Official referenced source from Standards Norway; included because an applicable law, permit or certification scheme may make its provisions binding within the approved scope.</x:t>
        </x:is>
      </x:c>
      <x:c r="S64" t="inlineStr">
        <x:is>
          <x:t xml:space="preserve">HIGH</x:t>
        </x:is>
      </x:c>
      <x:c r="T64" t="inlineStr">
        <x:is>
          <x:t xml:space="preserve">HIGH</x:t>
        </x:is>
      </x:c>
      <x:c r="U64" t="inlineStr">
        <x:is>
          <x:t xml:space="preserve">MEDIUM</x:t>
        </x:is>
      </x:c>
      <x:c r="V64" t="inlineStr">
        <x:is>
          <x:t xml:space="preserve">HIGH</x:t>
        </x:is>
      </x:c>
      <x:c r="W64" t="inlineStr">
        <x:is>
          <x:t xml:space="preserve">MEDIUM</x:t>
        </x:is>
      </x:c>
      <x:c r="X64" t="inlineStr">
        <x:is>
          <x:t xml:space="preserve">LOW</x:t>
        </x:is>
      </x:c>
      <x:c r="Y64" t="str">
        <x:f>IF(A64="","",IF(OR(J64="",AO64="",AP64="",AP64="UNVERIFIED",AND(AO64="OFFICIAL_WEBSITE",D64=""),AND(OR(P64="Equipment manual / OEM instruction",Q64="Asset-specific normative"),OR(O64&lt;&gt;"Manufacturer / supplier",AR64="",R64=""))),"PENDING",IF(COUNTIF(S64:W64,"LOW")&gt;0,"EXCLUDE",IF(COUNTIF(S64:W64,"MEDIUM")&gt;0,"PENDING",IF(COUNTIF(S64:W64,"HIGH")=5,"INCLUDE","PENDING")))))</x:f>
        <x:v>PENDING</x:v>
      </x:c>
      <x:c r="Z64" t="inlineStr">
        <x:is>
          <x:t xml:space="preserve">NOT_RUN</x:t>
        </x:is>
      </x:c>
      <x:c r="AA64" s="398" t="n"/>
      <x:c r="AB64" s="398" t="n"/>
      <x:c r="AC64" s="398" t="inlineStr">
        <x:is>
          <x:t xml:space="preserve">UNKNOWN</x:t>
        </x:is>
      </x:c>
      <x:c r="AD64" s="398" t="inlineStr">
        <x:is>
          <x:t xml:space="preserve">NONE</x:t>
        </x:is>
      </x:c>
      <x:c r="AE64" s="398" t="str">
        <x:f>IF(A64="","",IF(AD64="AUTO",AB64,IF(AD64="MANUAL",AF64,"")))</x:f>
      </x:c>
      <x:c r="AF64" s="397" t="n"/>
      <x:c r="AH64" t="inlineStr">
        <x:is>
          <x:t xml:space="preserve">NONE</x:t>
        </x:is>
      </x:c>
      <x:c r="AI64" s="42" t="str"/>
      <x:c r="AJ64" t="str">
        <x:f>IF(OR(AL64&lt;&gt;"CURRENT",Y64="EXCLUDE"),"NO",IF(A64="","",IF(Z64="FAIL",IF(AND(AF64&lt;&gt;"",AF64&gt;=INT(AA64),I64="STORED",AD64="MANUAL",AG64&lt;&gt;""),"NO","YES"),IF(AND(AQ64="ROLLING",AC64="CHANGED"),IF(AND(AF64&lt;&gt;"",AF64&gt;=INT(IF(AB64&lt;&gt;"",AB64,AA64)),AG64&lt;&gt;""),"NO","YES"),"NO"))))</x:f>
        <x:v>NO</x:v>
      </x:c>
      <x:c r="AL64" t="inlineStr">
        <x:is>
          <x:t xml:space="preserve">CURRENT</x:t>
        </x:is>
      </x:c>
      <x:c r="AM64" t="inlineStr">
        <x:is>
          <x:t xml:space="preserve">PA044</x:t>
        </x:is>
      </x:c>
      <x:c r="AN64" s="42" t="inlineStr">
        <x:is>
          <x:t xml:space="preserve">Official expansion from environmental authority guidance. Licensed access is required.</x:t>
        </x:is>
      </x:c>
      <x:c r="AO64" t="inlineStr">
        <x:is>
          <x:t xml:space="preserve">OFFICIAL_WEBSITE</x:t>
        </x:is>
      </x:c>
      <x:c r="AP64" t="inlineStr">
        <x:is>
          <x:t xml:space="preserve">OFFICIAL_ORIGINAL</x:t>
        </x:is>
      </x:c>
      <x:c r="AQ64" t="inlineStr">
        <x:is>
          <x:t xml:space="preserve">VERSIONED</x:t>
        </x:is>
      </x:c>
      <x:c r="AR64" s="42" t="str"/>
    </x:row>
    <x:row r="65" s="36" customFormat="1" ht="42" customHeight="1">
      <x:c r="A65" t="inlineStr">
        <x:is>
          <x:t xml:space="preserve">SB003</x:t>
        </x:is>
      </x:c>
      <x:c r="B65" t="inlineStr">
        <x:is>
          <x:t xml:space="preserve">SB003-001</x:t>
        </x:is>
      </x:c>
      <x:c r="C65" s="42" t="inlineStr">
        <x:is>
          <x:t xml:space="preserve">NS 9416:2013 Land-based aquaculture facilities for fish</x:t>
        </x:is>
      </x:c>
      <x:c r="D65" s="669" t="inlineStr">
        <x:is>
          <x:t xml:space="preserve">https://online.standard.no/nb/ns-9416-2013</x:t>
        </x:is>
      </x:c>
      <x:c r="E65" s="669" t="str"/>
      <x:c r="F65" t="inlineStr">
        <x:is>
          <x:t xml:space="preserve">B_Standards_Body</x:t>
        </x:is>
      </x:c>
      <x:c r="G65" t="inlineStr">
        <x:is>
          <x:t xml:space="preserve">pdf</x:t>
        </x:is>
      </x:c>
      <x:c r="H65" t="inlineStr">
        <x:is>
          <x:t xml:space="preserve">SB003-001_NS_9416_2013_Land-based_aquaculture_facilities_for_fish.pdf</x:t>
        </x:is>
      </x:c>
      <x:c r="I65" t="inlineStr">
        <x:is>
          <x:t xml:space="preserve">NOT_COLLECTED</x:t>
        </x:is>
      </x:c>
      <x:c r="J65" t="inlineStr">
        <x:is>
          <x:t xml:space="preserve">Standards Norway</x:t>
        </x:is>
      </x:c>
      <x:c r="K65" t="inlineStr">
        <x:is>
          <x:t xml:space="preserve">Norway</x:t>
        </x:is>
      </x:c>
      <x:c r="L65" t="inlineStr">
        <x:is>
          <x:t xml:space="preserve">Norwegian</x:t>
        </x:is>
      </x:c>
      <x:c r="M65" t="inlineStr">
        <x:is>
          <x:t xml:space="preserve">2013</x:t>
        </x:is>
      </x:c>
      <x:c r="N65" s="397" t="n"/>
      <x:c r="O65" t="inlineStr">
        <x:is>
          <x:t xml:space="preserve">Standards body</x:t>
        </x:is>
      </x:c>
      <x:c r="P65" t="inlineStr">
        <x:is>
          <x:t xml:space="preserve">Technical standard</x:t>
        </x:is>
      </x:c>
      <x:c r="Q65" t="inlineStr">
        <x:is>
          <x:t xml:space="preserve">Referenced normative</x:t>
        </x:is>
      </x:c>
      <x:c r="R65" s="42" t="inlineStr">
        <x:is>
          <x:t xml:space="preserve">Official referenced source from Standards Norway; included because an applicable law, permit or certification scheme may make its provisions binding within the approved scope.</x:t>
        </x:is>
      </x:c>
      <x:c r="S65" t="inlineStr">
        <x:is>
          <x:t xml:space="preserve">HIGH</x:t>
        </x:is>
      </x:c>
      <x:c r="T65" t="inlineStr">
        <x:is>
          <x:t xml:space="preserve">MEDIUM</x:t>
        </x:is>
      </x:c>
      <x:c r="U65" t="inlineStr">
        <x:is>
          <x:t xml:space="preserve">MEDIUM</x:t>
        </x:is>
      </x:c>
      <x:c r="V65" t="inlineStr">
        <x:is>
          <x:t xml:space="preserve">HIGH</x:t>
        </x:is>
      </x:c>
      <x:c r="W65" t="inlineStr">
        <x:is>
          <x:t xml:space="preserve">MEDIUM</x:t>
        </x:is>
      </x:c>
      <x:c r="X65" t="inlineStr">
        <x:is>
          <x:t xml:space="preserve">LOW</x:t>
        </x:is>
      </x:c>
      <x:c r="Y65" t="str">
        <x:f>IF(A65="","",IF(OR(J65="",AO65="",AP65="",AP65="UNVERIFIED",AND(AO65="OFFICIAL_WEBSITE",D65=""),AND(OR(P65="Equipment manual / OEM instruction",Q65="Asset-specific normative"),OR(O65&lt;&gt;"Manufacturer / supplier",AR65="",R65=""))),"PENDING",IF(COUNTIF(S65:W65,"LOW")&gt;0,"EXCLUDE",IF(COUNTIF(S65:W65,"MEDIUM")&gt;0,"PENDING",IF(COUNTIF(S65:W65,"HIGH")=5,"INCLUDE","PENDING")))))</x:f>
        <x:v>PENDING</x:v>
      </x:c>
      <x:c r="Z65" t="inlineStr">
        <x:is>
          <x:t xml:space="preserve">NOT_RUN</x:t>
        </x:is>
      </x:c>
      <x:c r="AA65" s="398" t="n"/>
      <x:c r="AB65" s="398" t="n"/>
      <x:c r="AC65" s="398" t="inlineStr">
        <x:is>
          <x:t xml:space="preserve">UNKNOWN</x:t>
        </x:is>
      </x:c>
      <x:c r="AD65" s="398" t="inlineStr">
        <x:is>
          <x:t xml:space="preserve">NONE</x:t>
        </x:is>
      </x:c>
      <x:c r="AE65" s="398" t="str">
        <x:f>IF(A65="","",IF(AD65="AUTO",AB65,IF(AD65="MANUAL",AF65,"")))</x:f>
      </x:c>
      <x:c r="AF65" s="397" t="n"/>
      <x:c r="AH65" t="inlineStr">
        <x:is>
          <x:t xml:space="preserve">NONE</x:t>
        </x:is>
      </x:c>
      <x:c r="AI65" s="42" t="str"/>
      <x:c r="AJ65" t="str">
        <x:f>IF(OR(AL65&lt;&gt;"CURRENT",Y65="EXCLUDE"),"NO",IF(A65="","",IF(Z65="FAIL",IF(AND(AF65&lt;&gt;"",AF65&gt;=INT(AA65),I65="STORED",AD65="MANUAL",AG65&lt;&gt;""),"NO","YES"),IF(AND(AQ65="ROLLING",AC65="CHANGED"),IF(AND(AF65&lt;&gt;"",AF65&gt;=INT(IF(AB65&lt;&gt;"",AB65,AA65)),AG65&lt;&gt;""),"NO","YES"),"NO"))))</x:f>
        <x:v>NO</x:v>
      </x:c>
      <x:c r="AL65" t="inlineStr">
        <x:is>
          <x:t xml:space="preserve">CURRENT</x:t>
        </x:is>
      </x:c>
      <x:c r="AM65" t="inlineStr">
        <x:is>
          <x:t xml:space="preserve">PA022</x:t>
        </x:is>
      </x:c>
      <x:c r="AN65" s="42" t="inlineStr">
        <x:is>
          <x:t xml:space="preserve">Referenced by PA022. A revision project is active, so currency requires explicit monitoring.</x:t>
        </x:is>
      </x:c>
      <x:c r="AO65" t="inlineStr">
        <x:is>
          <x:t xml:space="preserve">OFFICIAL_WEBSITE</x:t>
        </x:is>
      </x:c>
      <x:c r="AP65" t="inlineStr">
        <x:is>
          <x:t xml:space="preserve">OFFICIAL_ORIGINAL</x:t>
        </x:is>
      </x:c>
      <x:c r="AQ65" t="inlineStr">
        <x:is>
          <x:t xml:space="preserve">VERSIONED</x:t>
        </x:is>
      </x:c>
      <x:c r="AR65" s="42" t="str"/>
    </x:row>
    <x:row r="66" s="36" customFormat="1" ht="42" customHeight="1">
      <x:c r="A66" t="inlineStr">
        <x:is>
          <x:t xml:space="preserve">SB004</x:t>
        </x:is>
      </x:c>
      <x:c r="B66" t="inlineStr">
        <x:is>
          <x:t xml:space="preserve">SB004-001</x:t>
        </x:is>
      </x:c>
      <x:c r="C66" s="42" t="inlineStr">
        <x:is>
          <x:t xml:space="preserve">NS 5814:2021+AC:2023 Requirements for risk assessments</x:t>
        </x:is>
      </x:c>
      <x:c r="D66" s="669" t="inlineStr">
        <x:is>
          <x:t xml:space="preserve">https://standard.no/fagomrader/risikostyring/ns-5814-krav-til-risikovurderinger/</x:t>
        </x:is>
      </x:c>
      <x:c r="E66" s="669" t="str"/>
      <x:c r="F66" t="inlineStr">
        <x:is>
          <x:t xml:space="preserve">B_Standards_Body</x:t>
        </x:is>
      </x:c>
      <x:c r="G66" t="inlineStr">
        <x:is>
          <x:t xml:space="preserve">pdf</x:t>
        </x:is>
      </x:c>
      <x:c r="H66" t="inlineStr">
        <x:is>
          <x:t xml:space="preserve">SB004-001_NS_5814_2021_AC_2023_Requirements_for_risk_assessments.pdf</x:t>
        </x:is>
      </x:c>
      <x:c r="I66" t="inlineStr">
        <x:is>
          <x:t xml:space="preserve">NOT_COLLECTED</x:t>
        </x:is>
      </x:c>
      <x:c r="J66" t="inlineStr">
        <x:is>
          <x:t xml:space="preserve">Standards Norway</x:t>
        </x:is>
      </x:c>
      <x:c r="K66" t="inlineStr">
        <x:is>
          <x:t xml:space="preserve">Norway</x:t>
        </x:is>
      </x:c>
      <x:c r="L66" t="inlineStr">
        <x:is>
          <x:t xml:space="preserve">Norwegian</x:t>
        </x:is>
      </x:c>
      <x:c r="M66" t="inlineStr">
        <x:is>
          <x:t xml:space="preserve">2021+AC:2023</x:t>
        </x:is>
      </x:c>
      <x:c r="N66" s="397" t="n"/>
      <x:c r="O66" t="inlineStr">
        <x:is>
          <x:t xml:space="preserve">Standards body</x:t>
        </x:is>
      </x:c>
      <x:c r="P66" t="inlineStr">
        <x:is>
          <x:t xml:space="preserve">Technical standard</x:t>
        </x:is>
      </x:c>
      <x:c r="Q66" t="inlineStr">
        <x:is>
          <x:t xml:space="preserve">Guidance / interpretation</x:t>
        </x:is>
      </x:c>
      <x:c r="R66" s="42" t="inlineStr">
        <x:is>
          <x:t xml:space="preserve">Official guidance from Standards Norway; included to interpret and operationalise linked normative requirements, not as independent legal or certification authority.</x:t>
        </x:is>
      </x:c>
      <x:c r="S66" t="inlineStr">
        <x:is>
          <x:t xml:space="preserve">HIGH</x:t>
        </x:is>
      </x:c>
      <x:c r="T66" t="inlineStr">
        <x:is>
          <x:t xml:space="preserve">MEDIUM</x:t>
        </x:is>
      </x:c>
      <x:c r="U66" t="inlineStr">
        <x:is>
          <x:t xml:space="preserve">HIGH</x:t>
        </x:is>
      </x:c>
      <x:c r="V66" t="inlineStr">
        <x:is>
          <x:t xml:space="preserve">HIGH</x:t>
        </x:is>
      </x:c>
      <x:c r="W66" t="inlineStr">
        <x:is>
          <x:t xml:space="preserve">MEDIUM</x:t>
        </x:is>
      </x:c>
      <x:c r="X66" t="inlineStr">
        <x:is>
          <x:t xml:space="preserve">LOW</x:t>
        </x:is>
      </x:c>
      <x:c r="Y66" t="str">
        <x:f>IF(A66="","",IF(OR(J66="",AO66="",AP66="",AP66="UNVERIFIED",AND(AO66="OFFICIAL_WEBSITE",D66=""),AND(OR(P66="Equipment manual / OEM instruction",Q66="Asset-specific normative"),OR(O66&lt;&gt;"Manufacturer / supplier",AR66="",R66=""))),"PENDING",IF(COUNTIF(S66:W66,"LOW")&gt;0,"EXCLUDE",IF(COUNTIF(S66:W66,"MEDIUM")&gt;0,"PENDING",IF(COUNTIF(S66:W66,"HIGH")=5,"INCLUDE","PENDING")))))</x:f>
        <x:v>PENDING</x:v>
      </x:c>
      <x:c r="Z66" t="inlineStr">
        <x:is>
          <x:t xml:space="preserve">NOT_RUN</x:t>
        </x:is>
      </x:c>
      <x:c r="AA66" s="398" t="n"/>
      <x:c r="AB66" s="398" t="n"/>
      <x:c r="AC66" s="398" t="inlineStr">
        <x:is>
          <x:t xml:space="preserve">UNKNOWN</x:t>
        </x:is>
      </x:c>
      <x:c r="AD66" s="398" t="inlineStr">
        <x:is>
          <x:t xml:space="preserve">NONE</x:t>
        </x:is>
      </x:c>
      <x:c r="AE66" s="398" t="str">
        <x:f>IF(A66="","",IF(AD66="AUTO",AB66,IF(AD66="MANUAL",AF66,"")))</x:f>
      </x:c>
      <x:c r="AF66" s="397" t="n"/>
      <x:c r="AH66" t="inlineStr">
        <x:is>
          <x:t xml:space="preserve">NONE</x:t>
        </x:is>
      </x:c>
      <x:c r="AI66" s="42" t="str"/>
      <x:c r="AJ66" t="str">
        <x:f>IF(OR(AL66&lt;&gt;"CURRENT",Y66="EXCLUDE"),"NO",IF(A66="","",IF(Z66="FAIL",IF(AND(AF66&lt;&gt;"",AF66&gt;=INT(AA66),I66="STORED",AD66="MANUAL",AG66&lt;&gt;""),"NO","YES"),IF(AND(AQ66="ROLLING",AC66="CHANGED"),IF(AND(AF66&lt;&gt;"",AF66&gt;=INT(IF(AB66&lt;&gt;"",AB66,AA66)),AG66&lt;&gt;""),"NO","YES"),"NO"))))</x:f>
        <x:v>NO</x:v>
      </x:c>
      <x:c r="AL66" t="inlineStr">
        <x:is>
          <x:t xml:space="preserve">CURRENT</x:t>
        </x:is>
      </x:c>
      <x:c r="AN66" s="42" t="inlineStr">
        <x:is>
          <x:t xml:space="preserve">Official expansion from Fiskeridirektoratet risk-management guidance. Include only if adopted by contract, policy or method.</x:t>
        </x:is>
      </x:c>
      <x:c r="AO66" t="inlineStr">
        <x:is>
          <x:t xml:space="preserve">OFFICIAL_WEBSITE</x:t>
        </x:is>
      </x:c>
      <x:c r="AP66" t="inlineStr">
        <x:is>
          <x:t xml:space="preserve">OFFICIAL_ORIGINAL</x:t>
        </x:is>
      </x:c>
      <x:c r="AQ66" t="inlineStr">
        <x:is>
          <x:t xml:space="preserve">VERSIONED</x:t>
        </x:is>
      </x:c>
      <x:c r="AR66" s="42" t="str"/>
    </x:row>
    <x:row r="67" s="36" customFormat="1" ht="42" customHeight="1">
      <x:c r="A67" t="inlineStr">
        <x:is>
          <x:t xml:space="preserve">SB005</x:t>
        </x:is>
      </x:c>
      <x:c r="B67" t="inlineStr">
        <x:is>
          <x:t xml:space="preserve">SB005-001</x:t>
        </x:is>
      </x:c>
      <x:c r="C67" s="42" t="inlineStr">
        <x:is>
          <x:t xml:space="preserve">NS-ISO 31000:2018 Risk management - Guidelines</x:t>
        </x:is>
      </x:c>
      <x:c r="D67" s="669" t="inlineStr">
        <x:is>
          <x:t xml:space="preserve">https://standard.no/fagomrader/risikostyring/iso-31000-risikostyring--retningslinjer/</x:t>
        </x:is>
      </x:c>
      <x:c r="E67" s="669" t="str"/>
      <x:c r="F67" t="inlineStr">
        <x:is>
          <x:t xml:space="preserve">B_Standards_Body</x:t>
        </x:is>
      </x:c>
      <x:c r="G67" t="inlineStr">
        <x:is>
          <x:t xml:space="preserve">pdf</x:t>
        </x:is>
      </x:c>
      <x:c r="H67" t="inlineStr">
        <x:is>
          <x:t xml:space="preserve">SB005-001_NS-ISO_31000_2018_Risk_management_-_Guidelines.pdf</x:t>
        </x:is>
      </x:c>
      <x:c r="I67" t="inlineStr">
        <x:is>
          <x:t xml:space="preserve">NOT_COLLECTED</x:t>
        </x:is>
      </x:c>
      <x:c r="J67" t="inlineStr">
        <x:is>
          <x:t xml:space="preserve">Standards Norway / ISO</x:t>
        </x:is>
      </x:c>
      <x:c r="K67" t="inlineStr">
        <x:is>
          <x:t xml:space="preserve">International</x:t>
        </x:is>
      </x:c>
      <x:c r="L67" t="inlineStr">
        <x:is>
          <x:t xml:space="preserve">Norwegian</x:t>
        </x:is>
      </x:c>
      <x:c r="M67" t="inlineStr">
        <x:is>
          <x:t xml:space="preserve">2018</x:t>
        </x:is>
      </x:c>
      <x:c r="N67" s="397" t="n"/>
      <x:c r="O67" t="inlineStr">
        <x:is>
          <x:t xml:space="preserve">Standards body</x:t>
        </x:is>
      </x:c>
      <x:c r="P67" t="inlineStr">
        <x:is>
          <x:t xml:space="preserve">Technical standard</x:t>
        </x:is>
      </x:c>
      <x:c r="Q67" t="inlineStr">
        <x:is>
          <x:t xml:space="preserve">Guidance / interpretation</x:t>
        </x:is>
      </x:c>
      <x:c r="R67" s="42" t="inlineStr">
        <x:is>
          <x:t xml:space="preserve">Official guidance from Standards Norway / ISO; included to interpret and operationalise linked normative requirements, not as independent legal or certification authority.</x:t>
        </x:is>
      </x:c>
      <x:c r="S67" t="inlineStr">
        <x:is>
          <x:t xml:space="preserve">HIGH</x:t>
        </x:is>
      </x:c>
      <x:c r="T67" t="inlineStr">
        <x:is>
          <x:t xml:space="preserve">MEDIUM</x:t>
        </x:is>
      </x:c>
      <x:c r="U67" t="inlineStr">
        <x:is>
          <x:t xml:space="preserve">HIGH</x:t>
        </x:is>
      </x:c>
      <x:c r="V67" t="inlineStr">
        <x:is>
          <x:t xml:space="preserve">HIGH</x:t>
        </x:is>
      </x:c>
      <x:c r="W67" t="inlineStr">
        <x:is>
          <x:t xml:space="preserve">MEDIUM</x:t>
        </x:is>
      </x:c>
      <x:c r="X67" t="inlineStr">
        <x:is>
          <x:t xml:space="preserve">LOW</x:t>
        </x:is>
      </x:c>
      <x:c r="Y67" t="str">
        <x:f>IF(A67="","",IF(OR(J67="",AO67="",AP67="",AP67="UNVERIFIED",AND(AO67="OFFICIAL_WEBSITE",D67=""),AND(OR(P67="Equipment manual / OEM instruction",Q67="Asset-specific normative"),OR(O67&lt;&gt;"Manufacturer / supplier",AR67="",R67=""))),"PENDING",IF(COUNTIF(S67:W67,"LOW")&gt;0,"EXCLUDE",IF(COUNTIF(S67:W67,"MEDIUM")&gt;0,"PENDING",IF(COUNTIF(S67:W67,"HIGH")=5,"INCLUDE","PENDING")))))</x:f>
        <x:v>PENDING</x:v>
      </x:c>
      <x:c r="Z67" t="inlineStr">
        <x:is>
          <x:t xml:space="preserve">NOT_RUN</x:t>
        </x:is>
      </x:c>
      <x:c r="AA67" s="398" t="n"/>
      <x:c r="AB67" s="398" t="n"/>
      <x:c r="AC67" s="398" t="inlineStr">
        <x:is>
          <x:t xml:space="preserve">UNKNOWN</x:t>
        </x:is>
      </x:c>
      <x:c r="AD67" s="398" t="inlineStr">
        <x:is>
          <x:t xml:space="preserve">NONE</x:t>
        </x:is>
      </x:c>
      <x:c r="AE67" s="398" t="str">
        <x:f>IF(A67="","",IF(AD67="AUTO",AB67,IF(AD67="MANUAL",AF67,"")))</x:f>
      </x:c>
      <x:c r="AF67" s="397" t="n"/>
      <x:c r="AH67" t="inlineStr">
        <x:is>
          <x:t xml:space="preserve">NONE</x:t>
        </x:is>
      </x:c>
      <x:c r="AI67" s="42" t="str"/>
      <x:c r="AJ67" t="str">
        <x:f>IF(OR(AL67&lt;&gt;"CURRENT",Y67="EXCLUDE"),"NO",IF(A67="","",IF(Z67="FAIL",IF(AND(AF67&lt;&gt;"",AF67&gt;=INT(AA67),I67="STORED",AD67="MANUAL",AG67&lt;&gt;""),"NO","YES"),IF(AND(AQ67="ROLLING",AC67="CHANGED"),IF(AND(AF67&lt;&gt;"",AF67&gt;=INT(IF(AB67&lt;&gt;"",AB67,AA67)),AG67&lt;&gt;""),"NO","YES"),"NO"))))</x:f>
        <x:v>NO</x:v>
      </x:c>
      <x:c r="AL67" t="inlineStr">
        <x:is>
          <x:t xml:space="preserve">CURRENT</x:t>
        </x:is>
      </x:c>
      <x:c r="AN67" s="42" t="inlineStr">
        <x:is>
          <x:t xml:space="preserve">Official expansion. Provides guidance rather than certifiable requirements unless contractually adopted.</x:t>
        </x:is>
      </x:c>
      <x:c r="AO67" t="inlineStr">
        <x:is>
          <x:t xml:space="preserve">OFFICIAL_WEBSITE</x:t>
        </x:is>
      </x:c>
      <x:c r="AP67" t="inlineStr">
        <x:is>
          <x:t xml:space="preserve">OFFICIAL_ORIGINAL</x:t>
        </x:is>
      </x:c>
      <x:c r="AQ67" t="inlineStr">
        <x:is>
          <x:t xml:space="preserve">VERSIONED</x:t>
        </x:is>
      </x:c>
      <x:c r="AR67" s="42" t="str"/>
    </x:row>
    <x:row r="68" s="36" customFormat="1" ht="42" customHeight="1">
      <x:c r="A68" t="inlineStr">
        <x:is>
          <x:t xml:space="preserve">SB006</x:t>
        </x:is>
      </x:c>
      <x:c r="B68" t="inlineStr">
        <x:is>
          <x:t xml:space="preserve">SB006-001</x:t>
        </x:is>
      </x:c>
      <x:c r="C68" s="42" t="inlineStr">
        <x:is>
          <x:t xml:space="preserve">NS-EN ISO 9001:2015 Quality management systems - Requirements</x:t>
        </x:is>
      </x:c>
      <x:c r="D68" s="669" t="inlineStr">
        <x:is>
          <x:t xml:space="preserve">https://standard.no/fagomrader/kvalitetsstyring---iso-9000/ledelsessystemer-for-kvalitet--iso-9001/</x:t>
        </x:is>
      </x:c>
      <x:c r="E68" s="669" t="str"/>
      <x:c r="F68" t="inlineStr">
        <x:is>
          <x:t xml:space="preserve">B_Standards_Body</x:t>
        </x:is>
      </x:c>
      <x:c r="G68" t="inlineStr">
        <x:is>
          <x:t xml:space="preserve">pdf</x:t>
        </x:is>
      </x:c>
      <x:c r="H68" t="inlineStr">
        <x:is>
          <x:t xml:space="preserve">SB006-001_NS-EN_ISO_9001_2015_Quality_management_systems_-_Requirements.pdf</x:t>
        </x:is>
      </x:c>
      <x:c r="I68" t="inlineStr">
        <x:is>
          <x:t xml:space="preserve">NOT_COLLECTED</x:t>
        </x:is>
      </x:c>
      <x:c r="J68" t="inlineStr">
        <x:is>
          <x:t xml:space="preserve">Standards Norway / ISO</x:t>
        </x:is>
      </x:c>
      <x:c r="K68" t="inlineStr">
        <x:is>
          <x:t xml:space="preserve">International</x:t>
        </x:is>
      </x:c>
      <x:c r="L68" t="inlineStr">
        <x:is>
          <x:t xml:space="preserve">Norwegian</x:t>
        </x:is>
      </x:c>
      <x:c r="M68" t="inlineStr">
        <x:is>
          <x:t xml:space="preserve">2015</x:t>
        </x:is>
      </x:c>
      <x:c r="N68" s="397" t="n"/>
      <x:c r="O68" t="inlineStr">
        <x:is>
          <x:t xml:space="preserve">Standards body</x:t>
        </x:is>
      </x:c>
      <x:c r="P68" t="inlineStr">
        <x:is>
          <x:t xml:space="preserve">Technical standard</x:t>
        </x:is>
      </x:c>
      <x:c r="Q68" t="inlineStr">
        <x:is>
          <x:t xml:space="preserve">Referenced normative</x:t>
        </x:is>
      </x:c>
      <x:c r="R68" s="42" t="inlineStr">
        <x:is>
          <x:t xml:space="preserve">Official referenced source from Standards Norway / ISO; included because an applicable law, permit or certification scheme may make its provisions binding within the approved scope.</x:t>
        </x:is>
      </x:c>
      <x:c r="S68" t="inlineStr">
        <x:is>
          <x:t xml:space="preserve">HIGH</x:t>
        </x:is>
      </x:c>
      <x:c r="T68" t="inlineStr">
        <x:is>
          <x:t xml:space="preserve">MEDIUM</x:t>
        </x:is>
      </x:c>
      <x:c r="U68" t="inlineStr">
        <x:is>
          <x:t xml:space="preserve">HIGH</x:t>
        </x:is>
      </x:c>
      <x:c r="V68" t="inlineStr">
        <x:is>
          <x:t xml:space="preserve">HIGH</x:t>
        </x:is>
      </x:c>
      <x:c r="W68" t="inlineStr">
        <x:is>
          <x:t xml:space="preserve">MEDIUM</x:t>
        </x:is>
      </x:c>
      <x:c r="X68" t="inlineStr">
        <x:is>
          <x:t xml:space="preserve">LOW</x:t>
        </x:is>
      </x:c>
      <x:c r="Y68" t="str">
        <x:f>IF(A68="","",IF(OR(J68="",AO68="",AP68="",AP68="UNVERIFIED",AND(AO68="OFFICIAL_WEBSITE",D68=""),AND(OR(P68="Equipment manual / OEM instruction",Q68="Asset-specific normative"),OR(O68&lt;&gt;"Manufacturer / supplier",AR68="",R68=""))),"PENDING",IF(COUNTIF(S68:W68,"LOW")&gt;0,"EXCLUDE",IF(COUNTIF(S68:W68,"MEDIUM")&gt;0,"PENDING",IF(COUNTIF(S68:W68,"HIGH")=5,"INCLUDE","PENDING")))))</x:f>
        <x:v>PENDING</x:v>
      </x:c>
      <x:c r="Z68" t="inlineStr">
        <x:is>
          <x:t xml:space="preserve">NOT_RUN</x:t>
        </x:is>
      </x:c>
      <x:c r="AA68" s="398" t="n"/>
      <x:c r="AB68" s="398" t="n"/>
      <x:c r="AC68" s="398" t="inlineStr">
        <x:is>
          <x:t xml:space="preserve">UNKNOWN</x:t>
        </x:is>
      </x:c>
      <x:c r="AD68" s="398" t="inlineStr">
        <x:is>
          <x:t xml:space="preserve">NONE</x:t>
        </x:is>
      </x:c>
      <x:c r="AE68" s="398" t="str">
        <x:f>IF(A68="","",IF(AD68="AUTO",AB68,IF(AD68="MANUAL",AF68,"")))</x:f>
      </x:c>
      <x:c r="AF68" s="397" t="n"/>
      <x:c r="AH68" t="inlineStr">
        <x:is>
          <x:t xml:space="preserve">NONE</x:t>
        </x:is>
      </x:c>
      <x:c r="AI68" s="42" t="str"/>
      <x:c r="AJ68" t="str">
        <x:f>IF(OR(AL68&lt;&gt;"CURRENT",Y68="EXCLUDE"),"NO",IF(A68="","",IF(Z68="FAIL",IF(AND(AF68&lt;&gt;"",AF68&gt;=INT(AA68),I68="STORED",AD68="MANUAL",AG68&lt;&gt;""),"NO","YES"),IF(AND(AQ68="ROLLING",AC68="CHANGED"),IF(AND(AF68&lt;&gt;"",AF68&gt;=INT(IF(AB68&lt;&gt;"",AB68,AA68)),AG68&lt;&gt;""),"NO","YES"),"NO"))))</x:f>
        <x:v>NO</x:v>
      </x:c>
      <x:c r="AL68" t="inlineStr">
        <x:is>
          <x:t xml:space="preserve">CURRENT</x:t>
        </x:is>
      </x:c>
      <x:c r="AN68" s="42" t="inlineStr">
        <x:is>
          <x:t xml:space="preserve">Official expansion from Fiskeridirektoratet risk-management guidance. Include only if client certification or contract makes it applicable.</x:t>
        </x:is>
      </x:c>
      <x:c r="AO68" t="inlineStr">
        <x:is>
          <x:t xml:space="preserve">OFFICIAL_WEBSITE</x:t>
        </x:is>
      </x:c>
      <x:c r="AP68" t="inlineStr">
        <x:is>
          <x:t xml:space="preserve">OFFICIAL_ORIGINAL</x:t>
        </x:is>
      </x:c>
      <x:c r="AQ68" t="inlineStr">
        <x:is>
          <x:t xml:space="preserve">VERSIONED</x:t>
        </x:is>
      </x:c>
      <x:c r="AR68" s="42" t="str"/>
    </x:row>
    <x:row r="69" s="36" customFormat="1" ht="42" customHeight="1">
      <x:c r="A69" t="inlineStr">
        <x:is>
          <x:t xml:space="preserve">SB007</x:t>
        </x:is>
      </x:c>
      <x:c r="B69" t="inlineStr">
        <x:is>
          <x:t xml:space="preserve">SB007-001</x:t>
        </x:is>
      </x:c>
      <x:c r="C69" s="42" t="inlineStr">
        <x:is>
          <x:t xml:space="preserve">NS 3424:2012 Condition survey of construction works - Content and execution</x:t>
        </x:is>
      </x:c>
      <x:c r="D69" s="669" t="inlineStr">
        <x:is>
          <x:t xml:space="preserve">https://online.standard.no/nb/ns-3424-2012</x:t>
        </x:is>
      </x:c>
      <x:c r="E69" s="669" t="str"/>
      <x:c r="F69" t="inlineStr">
        <x:is>
          <x:t xml:space="preserve">B_Standards_Body</x:t>
        </x:is>
      </x:c>
      <x:c r="G69" t="inlineStr">
        <x:is>
          <x:t xml:space="preserve">pdf</x:t>
        </x:is>
      </x:c>
      <x:c r="H69" t="inlineStr">
        <x:is>
          <x:t xml:space="preserve">SB007-001_NS_3424_2012_Condition_survey_of_construction_works_-_Content_and_execution.pdf</x:t>
        </x:is>
      </x:c>
      <x:c r="I69" t="inlineStr">
        <x:is>
          <x:t xml:space="preserve">NOT_COLLECTED</x:t>
        </x:is>
      </x:c>
      <x:c r="J69" t="inlineStr">
        <x:is>
          <x:t xml:space="preserve">Standards Norway</x:t>
        </x:is>
      </x:c>
      <x:c r="K69" t="inlineStr">
        <x:is>
          <x:t xml:space="preserve">Norway</x:t>
        </x:is>
      </x:c>
      <x:c r="L69" t="inlineStr">
        <x:is>
          <x:t xml:space="preserve">Norwegian</x:t>
        </x:is>
      </x:c>
      <x:c r="M69" t="inlineStr">
        <x:is>
          <x:t xml:space="preserve">2012</x:t>
        </x:is>
      </x:c>
      <x:c r="N69" s="397" t="n"/>
      <x:c r="O69" t="inlineStr">
        <x:is>
          <x:t xml:space="preserve">Standards body</x:t>
        </x:is>
      </x:c>
      <x:c r="P69" t="inlineStr">
        <x:is>
          <x:t xml:space="preserve">Technical standard</x:t>
        </x:is>
      </x:c>
      <x:c r="Q69" t="inlineStr">
        <x:is>
          <x:t xml:space="preserve">Referenced normative</x:t>
        </x:is>
      </x:c>
      <x:c r="R69" s="42" t="inlineStr">
        <x:is>
          <x:t xml:space="preserve">Official referenced source from Standards Norway; included because an applicable law, permit or certification scheme may make its provisions binding within the approved scope.</x:t>
        </x:is>
      </x:c>
      <x:c r="S69" t="inlineStr">
        <x:is>
          <x:t xml:space="preserve">HIGH</x:t>
        </x:is>
      </x:c>
      <x:c r="T69" t="inlineStr">
        <x:is>
          <x:t xml:space="preserve">MEDIUM</x:t>
        </x:is>
      </x:c>
      <x:c r="U69" t="inlineStr">
        <x:is>
          <x:t xml:space="preserve">HIGH</x:t>
        </x:is>
      </x:c>
      <x:c r="V69" t="inlineStr">
        <x:is>
          <x:t xml:space="preserve">HIGH</x:t>
        </x:is>
      </x:c>
      <x:c r="W69" t="inlineStr">
        <x:is>
          <x:t xml:space="preserve">MEDIUM</x:t>
        </x:is>
      </x:c>
      <x:c r="X69" t="inlineStr">
        <x:is>
          <x:t xml:space="preserve">LOW</x:t>
        </x:is>
      </x:c>
      <x:c r="Y69" t="str">
        <x:f>IF(A69="","",IF(OR(J69="",AO69="",AP69="",AP69="UNVERIFIED",AND(AO69="OFFICIAL_WEBSITE",D69=""),AND(OR(P69="Equipment manual / OEM instruction",Q69="Asset-specific normative"),OR(O69&lt;&gt;"Manufacturer / supplier",AR69="",R69=""))),"PENDING",IF(COUNTIF(S69:W69,"LOW")&gt;0,"EXCLUDE",IF(COUNTIF(S69:W69,"MEDIUM")&gt;0,"PENDING",IF(COUNTIF(S69:W69,"HIGH")=5,"INCLUDE","PENDING")))))</x:f>
        <x:v>PENDING</x:v>
      </x:c>
      <x:c r="Z69" t="inlineStr">
        <x:is>
          <x:t xml:space="preserve">NOT_RUN</x:t>
        </x:is>
      </x:c>
      <x:c r="AA69" s="398" t="n"/>
      <x:c r="AB69" s="398" t="n"/>
      <x:c r="AC69" s="398" t="inlineStr">
        <x:is>
          <x:t xml:space="preserve">UNKNOWN</x:t>
        </x:is>
      </x:c>
      <x:c r="AD69" s="398" t="inlineStr">
        <x:is>
          <x:t xml:space="preserve">NONE</x:t>
        </x:is>
      </x:c>
      <x:c r="AE69" s="398" t="str">
        <x:f>IF(A69="","",IF(AD69="AUTO",AB69,IF(AD69="MANUAL",AF69,"")))</x:f>
      </x:c>
      <x:c r="AF69" s="397" t="n"/>
      <x:c r="AH69" t="inlineStr">
        <x:is>
          <x:t xml:space="preserve">NONE</x:t>
        </x:is>
      </x:c>
      <x:c r="AI69" s="42" t="str"/>
      <x:c r="AJ69" t="str">
        <x:f>IF(OR(AL69&lt;&gt;"CURRENT",Y69="EXCLUDE"),"NO",IF(A69="","",IF(Z69="FAIL",IF(AND(AF69&lt;&gt;"",AF69&gt;=INT(AA69),I69="STORED",AD69="MANUAL",AG69&lt;&gt;""),"NO","YES"),IF(AND(AQ69="ROLLING",AC69="CHANGED"),IF(AND(AF69&lt;&gt;"",AF69&gt;=INT(IF(AB69&lt;&gt;"",AB69,AA69)),AG69&lt;&gt;""),"NO","YES"),"NO"))))</x:f>
        <x:v>NO</x:v>
      </x:c>
      <x:c r="AL69" t="inlineStr">
        <x:is>
          <x:t xml:space="preserve">CURRENT</x:t>
        </x:is>
      </x:c>
      <x:c r="AM69" t="inlineStr">
        <x:is>
          <x:t xml:space="preserve">PA022</x:t>
        </x:is>
      </x:c>
      <x:c r="AN69" s="42" t="inlineStr">
        <x:is>
          <x:t xml:space="preserve">Directly referenced by PA057 for condition assessment of land-based facilities. Licensed access is required.</x:t>
        </x:is>
      </x:c>
      <x:c r="AO69" t="inlineStr">
        <x:is>
          <x:t xml:space="preserve">OFFICIAL_WEBSITE</x:t>
        </x:is>
      </x:c>
      <x:c r="AP69" t="inlineStr">
        <x:is>
          <x:t xml:space="preserve">OFFICIAL_ORIGINAL</x:t>
        </x:is>
      </x:c>
      <x:c r="AQ69" t="inlineStr">
        <x:is>
          <x:t xml:space="preserve">VERSIONED</x:t>
        </x:is>
      </x:c>
      <x:c r="AR69" s="42" t="str"/>
    </x:row>
    <x:row r="70" s="36" customFormat="1" ht="42" customHeight="1">
      <x:c r="A70" t="inlineStr">
        <x:is>
          <x:t xml:space="preserve">CS001</x:t>
        </x:is>
      </x:c>
      <x:c r="B70" t="inlineStr">
        <x:is>
          <x:t xml:space="preserve">CS001-001</x:t>
        </x:is>
      </x:c>
      <x:c r="C70" s="42" t="inlineStr">
        <x:is>
          <x:t xml:space="preserve">ASC Farm Standard</x:t>
        </x:is>
      </x:c>
      <x:c r="D70" s="669" t="inlineStr">
        <x:is>
          <x:t xml:space="preserve">https://programme-centre.asc-aqua.org/farm-v1/farm-standard/</x:t>
        </x:is>
      </x:c>
      <x:c r="E70" s="669" t="inlineStr">
        <x:is>
          <x:t xml:space="preserve">https://programme-centre.asc-aqua.org/farm-v1/farm-standard/</x:t>
        </x:is>
      </x:c>
      <x:c r="F70" t="inlineStr">
        <x:is>
          <x:t xml:space="preserve">C_Certification_Scheme</x:t>
        </x:is>
      </x:c>
      <x:c r="G70" t="inlineStr">
        <x:is>
          <x:t xml:space="preserve">html</x:t>
        </x:is>
      </x:c>
      <x:c r="H70" t="inlineStr">
        <x:is>
          <x:t xml:space="preserve">CS001-001_ASC_Farm_Standard.html</x:t>
        </x:is>
      </x:c>
      <x:c r="I70" t="inlineStr">
        <x:is>
          <x:t xml:space="preserve">STORED</x:t>
        </x:is>
      </x:c>
      <x:c r="J70" t="inlineStr">
        <x:is>
          <x:t xml:space="preserve">Aquaculture Stewardship Council</x:t>
        </x:is>
      </x:c>
      <x:c r="K70" t="inlineStr">
        <x:is>
          <x:t xml:space="preserve">International</x:t>
        </x:is>
      </x:c>
      <x:c r="L70" t="inlineStr">
        <x:is>
          <x:t xml:space="preserve">English</x:t>
        </x:is>
      </x:c>
      <x:c r="M70" t="inlineStr">
        <x:is>
          <x:t xml:space="preserve">1.0.1A2</x:t>
        </x:is>
      </x:c>
      <x:c r="N70" s="397" t="n">
        <x:v>46239</x:v>
      </x:c>
      <x:c r="O70" t="inlineStr">
        <x:is>
          <x:t xml:space="preserve">Certification scheme</x:t>
        </x:is>
      </x:c>
      <x:c r="P70" t="inlineStr">
        <x:is>
          <x:t xml:space="preserve">Scheme standard</x:t>
        </x:is>
      </x:c>
      <x:c r="Q70" t="inlineStr">
        <x:is>
          <x:t xml:space="preserve">Primary normative</x:t>
        </x:is>
      </x:c>
      <x:c r="R70" s="42" t="inlineStr">
        <x:is>
          <x:t xml:space="preserve">Official scheme standard issued by Aquaculture Stewardship Council; included because it may impose binding requirements on an in-scope aquaculture asset, activity, permit or certification.</x:t>
        </x:is>
      </x:c>
      <x:c r="S70" t="inlineStr">
        <x:is>
          <x:t xml:space="preserve">HIGH</x:t>
        </x:is>
      </x:c>
      <x:c r="T70" t="inlineStr">
        <x:is>
          <x:t xml:space="preserve">HIGH</x:t>
        </x:is>
      </x:c>
      <x:c r="U70" t="inlineStr">
        <x:is>
          <x:t xml:space="preserve">HIGH</x:t>
        </x:is>
      </x:c>
      <x:c r="V70" t="inlineStr">
        <x:is>
          <x:t xml:space="preserve">HIGH</x:t>
        </x:is>
      </x:c>
      <x:c r="W70" t="inlineStr">
        <x:is>
          <x:t xml:space="preserve">HIGH</x:t>
        </x:is>
      </x:c>
      <x:c r="X70" t="inlineStr">
        <x:is>
          <x:t xml:space="preserve">HIGH</x:t>
        </x:is>
      </x:c>
      <x:c r="Y70" t="str">
        <x:f>IF(A70="","",IF(OR(J70="",AO70="",AP70="",AP70="UNVERIFIED",AND(AO70="OFFICIAL_WEBSITE",D70=""),AND(OR(P70="Equipment manual / OEM instruction",Q70="Asset-specific normative"),OR(O70&lt;&gt;"Manufacturer / supplier",AR70="",R70=""))),"PENDING",IF(COUNTIF(S70:W70,"LOW")&gt;0,"EXCLUDE",IF(COUNTIF(S70:W70,"MEDIUM")&gt;0,"PENDING",IF(COUNTIF(S70:W70,"HIGH")=5,"INCLUDE","PENDING")))))</x:f>
        <x:v>INCLUDE</x:v>
      </x:c>
      <x:c r="Z70" t="inlineStr">
        <x:is>
          <x:t xml:space="preserve">SUCCESS</x:t>
        </x:is>
      </x:c>
      <x:c r="AA70" s="398" t="n">
        <x:v>46262.53111111111</x:v>
      </x:c>
      <x:c r="AB70" s="398" t="n">
        <x:v>46262.53112268518</x:v>
      </x:c>
      <x:c r="AC70" s="398" t="inlineStr">
        <x:is>
          <x:t xml:space="preserve">INITIAL</x:t>
        </x:is>
      </x:c>
      <x:c r="AD70" s="398" t="inlineStr">
        <x:is>
          <x:t xml:space="preserve">AUTO</x:t>
        </x:is>
      </x:c>
      <x:c r="AE70" s="398" t="n">
        <x:f>IF(A70="","",IF(AD70="AUTO",AB70,IF(AD70="MANUAL",AF70,"")))</x:f>
        <x:v>46262.53112268518</x:v>
      </x:c>
      <x:c r="AF70" s="397" t="n"/>
      <x:c r="AH70" t="inlineStr">
        <x:is>
          <x:t xml:space="preserve">NONE</x:t>
        </x:is>
      </x:c>
      <x:c r="AI70" s="42" t="str"/>
      <x:c r="AJ70" t="str">
        <x:f>IF(OR(AL70&lt;&gt;"CURRENT",Y70="EXCLUDE"),"NO",IF(A70="","",IF(Z70="FAIL",IF(AND(AF70&lt;&gt;"",AF70&gt;=INT(AA70),I70="STORED",AD70="MANUAL",AG70&lt;&gt;""),"NO","YES"),IF(AND(AQ70="ROLLING",AC70="CHANGED"),IF(AND(AF70&lt;&gt;"",AF70&gt;=INT(IF(AB70&lt;&gt;"",AB70,AA70)),AG70&lt;&gt;""),"NO","YES"),"NO"))))</x:f>
        <x:v>NO</x:v>
      </x:c>
      <x:c r="AK70" t="inlineStr">
        <x:is>
          <x:t xml:space="preserve">a40846bb23436f8ab6c5971f8a33577660eaed1059861ee01cdb2ca3f60c062b</x:t>
        </x:is>
      </x:c>
      <x:c r="AL70" t="inlineStr">
        <x:is>
          <x:t xml:space="preserve">CURRENT</x:t>
        </x:is>
      </x:c>
      <x:c r="AN70" s="42" t="inlineStr">
        <x:is>
          <x:t xml:space="preserve">Project-mentioned candidate. Official source is newer than the repository PDF; certification scope still requires confirmation.</x:t>
        </x:is>
      </x:c>
      <x:c r="AO70" t="inlineStr">
        <x:is>
          <x:t xml:space="preserve">OFFICIAL_WEBSITE</x:t>
        </x:is>
      </x:c>
      <x:c r="AP70" t="inlineStr">
        <x:is>
          <x:t xml:space="preserve">OFFICIAL_ORIGINAL</x:t>
        </x:is>
      </x:c>
      <x:c r="AQ70" t="inlineStr">
        <x:is>
          <x:t xml:space="preserve">VERSIONED</x:t>
        </x:is>
      </x:c>
      <x:c r="AR70" s="42" t="str"/>
    </x:row>
    <x:row r="71" s="36" customFormat="1" ht="42" customHeight="1">
      <x:c r="A71" t="inlineStr">
        <x:is>
          <x:t xml:space="preserve">CS002</x:t>
        </x:is>
      </x:c>
      <x:c r="B71" t="inlineStr">
        <x:is>
          <x:t xml:space="preserve">CS002-001</x:t>
        </x:is>
      </x:c>
      <x:c r="C71" s="42" t="inlineStr">
        <x:is>
          <x:t xml:space="preserve">ASC Farm Standard Interpretation Manual</x:t>
        </x:is>
      </x:c>
      <x:c r="D71" s="669" t="inlineStr">
        <x:is>
          <x:t xml:space="preserve">https://programme-centre.asc-aqua.org/farm-v1/farm-interpretation/</x:t>
        </x:is>
      </x:c>
      <x:c r="E71" s="669" t="inlineStr">
        <x:is>
          <x:t xml:space="preserve">https://programme-centre.asc-aqua.org/farm-v1/farm-interpretation/</x:t>
        </x:is>
      </x:c>
      <x:c r="F71" t="inlineStr">
        <x:is>
          <x:t xml:space="preserve">C_Certification_Scheme</x:t>
        </x:is>
      </x:c>
      <x:c r="G71" t="inlineStr">
        <x:is>
          <x:t xml:space="preserve">html</x:t>
        </x:is>
      </x:c>
      <x:c r="H71" t="inlineStr">
        <x:is>
          <x:t xml:space="preserve">CS002-001_ASC_Farm_Standard_Interpretation_Manual.html</x:t>
        </x:is>
      </x:c>
      <x:c r="I71" t="inlineStr">
        <x:is>
          <x:t xml:space="preserve">STORED</x:t>
        </x:is>
      </x:c>
      <x:c r="J71" t="inlineStr">
        <x:is>
          <x:t xml:space="preserve">Aquaculture Stewardship Council</x:t>
        </x:is>
      </x:c>
      <x:c r="K71" t="inlineStr">
        <x:is>
          <x:t xml:space="preserve">International</x:t>
        </x:is>
      </x:c>
      <x:c r="L71" t="inlineStr">
        <x:is>
          <x:t xml:space="preserve">English</x:t>
        </x:is>
      </x:c>
      <x:c r="M71" t="inlineStr">
        <x:is>
          <x:t xml:space="preserve">1.0.1</x:t>
        </x:is>
      </x:c>
      <x:c r="N71" s="397" t="n">
        <x:v>45901</x:v>
      </x:c>
      <x:c r="O71" t="inlineStr">
        <x:is>
          <x:t xml:space="preserve">Certification scheme</x:t>
        </x:is>
      </x:c>
      <x:c r="P71" t="inlineStr">
        <x:is>
          <x:t xml:space="preserve">Interpretation document</x:t>
        </x:is>
      </x:c>
      <x:c r="Q71" t="inlineStr">
        <x:is>
          <x:t xml:space="preserve">Guidance / interpretation</x:t>
        </x:is>
      </x:c>
      <x:c r="R71" s="42" t="inlineStr">
        <x:is>
          <x:t xml:space="preserve">Official guidance from Aquaculture Stewardship Council; included to interpret and operationalise linked normative requirements, not as independent legal or certification authority.</x:t>
        </x:is>
      </x:c>
      <x:c r="S71" t="inlineStr">
        <x:is>
          <x:t xml:space="preserve">HIGH</x:t>
        </x:is>
      </x:c>
      <x:c r="T71" t="inlineStr">
        <x:is>
          <x:t xml:space="preserve">HIGH</x:t>
        </x:is>
      </x:c>
      <x:c r="U71" t="inlineStr">
        <x:is>
          <x:t xml:space="preserve">HIGH</x:t>
        </x:is>
      </x:c>
      <x:c r="V71" t="inlineStr">
        <x:is>
          <x:t xml:space="preserve">HIGH</x:t>
        </x:is>
      </x:c>
      <x:c r="W71" t="inlineStr">
        <x:is>
          <x:t xml:space="preserve">HIGH</x:t>
        </x:is>
      </x:c>
      <x:c r="X71" t="inlineStr">
        <x:is>
          <x:t xml:space="preserve">HIGH</x:t>
        </x:is>
      </x:c>
      <x:c r="Y71" t="str">
        <x:f>IF(A71="","",IF(OR(J71="",AO71="",AP71="",AP71="UNVERIFIED",AND(AO71="OFFICIAL_WEBSITE",D71=""),AND(OR(P71="Equipment manual / OEM instruction",Q71="Asset-specific normative"),OR(O71&lt;&gt;"Manufacturer / supplier",AR71="",R71=""))),"PENDING",IF(COUNTIF(S71:W71,"LOW")&gt;0,"EXCLUDE",IF(COUNTIF(S71:W71,"MEDIUM")&gt;0,"PENDING",IF(COUNTIF(S71:W71,"HIGH")=5,"INCLUDE","PENDING")))))</x:f>
        <x:v>INCLUDE</x:v>
      </x:c>
      <x:c r="Z71" t="inlineStr">
        <x:is>
          <x:t xml:space="preserve">SUCCESS</x:t>
        </x:is>
      </x:c>
      <x:c r="AA71" s="398" t="n">
        <x:v>46262.53112268518</x:v>
      </x:c>
      <x:c r="AB71" s="398" t="n">
        <x:v>46262.53113425926</x:v>
      </x:c>
      <x:c r="AC71" s="398" t="inlineStr">
        <x:is>
          <x:t xml:space="preserve">INITIAL</x:t>
        </x:is>
      </x:c>
      <x:c r="AD71" s="398" t="inlineStr">
        <x:is>
          <x:t xml:space="preserve">AUTO</x:t>
        </x:is>
      </x:c>
      <x:c r="AE71" s="398" t="n">
        <x:f>IF(A71="","",IF(AD71="AUTO",AB71,IF(AD71="MANUAL",AF71,"")))</x:f>
        <x:v>46262.53113425926</x:v>
      </x:c>
      <x:c r="AF71" s="397" t="n"/>
      <x:c r="AH71" t="inlineStr">
        <x:is>
          <x:t xml:space="preserve">NONE</x:t>
        </x:is>
      </x:c>
      <x:c r="AI71" s="42" t="str"/>
      <x:c r="AJ71" t="str">
        <x:f>IF(OR(AL71&lt;&gt;"CURRENT",Y71="EXCLUDE"),"NO",IF(A71="","",IF(Z71="FAIL",IF(AND(AF71&lt;&gt;"",AF71&gt;=INT(AA71),I71="STORED",AD71="MANUAL",AG71&lt;&gt;""),"NO","YES"),IF(AND(AQ71="ROLLING",AC71="CHANGED"),IF(AND(AF71&lt;&gt;"",AF71&gt;=INT(IF(AB71&lt;&gt;"",AB71,AA71)),AG71&lt;&gt;""),"NO","YES"),"NO"))))</x:f>
        <x:v>NO</x:v>
      </x:c>
      <x:c r="AK71" t="inlineStr">
        <x:is>
          <x:t xml:space="preserve">44da418c7669b1b9162a153aa76389722f9d0e6415864d2618b5d381e82232ea</x:t>
        </x:is>
      </x:c>
      <x:c r="AL71" t="inlineStr">
        <x:is>
          <x:t xml:space="preserve">CURRENT</x:t>
        </x:is>
      </x:c>
      <x:c r="AM71" t="inlineStr">
        <x:is>
          <x:t xml:space="preserve">CS001</x:t>
        </x:is>
      </x:c>
      <x:c r="AN71" s="42" t="inlineStr">
        <x:is>
          <x:t xml:space="preserve">Project-mentioned source. The repository copy is an obsolete draft; use the official current manual.</x:t>
        </x:is>
      </x:c>
      <x:c r="AO71" t="inlineStr">
        <x:is>
          <x:t xml:space="preserve">OFFICIAL_WEBSITE</x:t>
        </x:is>
      </x:c>
      <x:c r="AP71" t="inlineStr">
        <x:is>
          <x:t xml:space="preserve">OFFICIAL_ORIGINAL</x:t>
        </x:is>
      </x:c>
      <x:c r="AQ71" t="inlineStr">
        <x:is>
          <x:t xml:space="preserve">VERSIONED</x:t>
        </x:is>
      </x:c>
      <x:c r="AR71" s="42" t="str"/>
    </x:row>
    <x:row r="72" s="36" customFormat="1" ht="42" customHeight="1">
      <x:c r="A72" t="inlineStr">
        <x:is>
          <x:t xml:space="preserve">CS003</x:t>
        </x:is>
      </x:c>
      <x:c r="B72" t="inlineStr">
        <x:is>
          <x:t xml:space="preserve">CS003-001</x:t>
        </x:is>
      </x:c>
      <x:c r="C72" s="42" t="inlineStr">
        <x:is>
          <x:t xml:space="preserve">ASC Salmon Audit Manual</x:t>
        </x:is>
      </x:c>
      <x:c r="D72" s="669" t="inlineStr">
        <x:is>
          <x:t xml:space="preserve">https://asc-aqua.org/producers/asc-standards/species-standards/salmon-cod/</x:t>
        </x:is>
      </x:c>
      <x:c r="E72" s="669" t="inlineStr">
        <x:is>
          <x:t xml:space="preserve">https://asc-aqua.org/wp-content/uploads/2023/04/ASC-Salmon-Audit-Manual_v1.4.pdf</x:t>
        </x:is>
      </x:c>
      <x:c r="F72" t="inlineStr">
        <x:is>
          <x:t xml:space="preserve">C_Certification_Scheme</x:t>
        </x:is>
      </x:c>
      <x:c r="G72" t="inlineStr">
        <x:is>
          <x:t xml:space="preserve">pdf</x:t>
        </x:is>
      </x:c>
      <x:c r="H72" t="inlineStr">
        <x:is>
          <x:t xml:space="preserve">CS003-001_ASC_Salmon_Audit_Manual.pdf</x:t>
        </x:is>
      </x:c>
      <x:c r="I72" t="inlineStr">
        <x:is>
          <x:t xml:space="preserve">STORED</x:t>
        </x:is>
      </x:c>
      <x:c r="J72" t="inlineStr">
        <x:is>
          <x:t xml:space="preserve">Aquaculture Stewardship Council</x:t>
        </x:is>
      </x:c>
      <x:c r="K72" t="inlineStr">
        <x:is>
          <x:t xml:space="preserve">International</x:t>
        </x:is>
      </x:c>
      <x:c r="L72" t="inlineStr">
        <x:is>
          <x:t xml:space="preserve">English</x:t>
        </x:is>
      </x:c>
      <x:c r="M72" t="inlineStr">
        <x:is>
          <x:t xml:space="preserve">1.4</x:t>
        </x:is>
      </x:c>
      <x:c r="N72" s="397" t="n"/>
      <x:c r="O72" t="inlineStr">
        <x:is>
          <x:t xml:space="preserve">Certification scheme</x:t>
        </x:is>
      </x:c>
      <x:c r="P72" t="inlineStr">
        <x:is>
          <x:t xml:space="preserve">Audit / assessment document</x:t>
        </x:is>
      </x:c>
      <x:c r="Q72" t="inlineStr">
        <x:is>
          <x:t xml:space="preserve">Audit / assessment tool</x:t>
        </x:is>
      </x:c>
      <x:c r="R72" s="42" t="inlineStr">
        <x:is>
          <x:t xml:space="preserve">Official assessment tool from Aquaculture Stewardship Council; included to structure compliance checks and trace evidence back to its linked normative source.</x:t>
        </x:is>
      </x:c>
      <x:c r="S72" t="inlineStr">
        <x:is>
          <x:t xml:space="preserve">HIGH</x:t>
        </x:is>
      </x:c>
      <x:c r="T72" t="inlineStr">
        <x:is>
          <x:t xml:space="preserve">HIGH</x:t>
        </x:is>
      </x:c>
      <x:c r="U72" t="inlineStr">
        <x:is>
          <x:t xml:space="preserve">HIGH</x:t>
        </x:is>
      </x:c>
      <x:c r="V72" t="inlineStr">
        <x:is>
          <x:t xml:space="preserve">HIGH</x:t>
        </x:is>
      </x:c>
      <x:c r="W72" t="inlineStr">
        <x:is>
          <x:t xml:space="preserve">HIGH</x:t>
        </x:is>
      </x:c>
      <x:c r="X72" t="inlineStr">
        <x:is>
          <x:t xml:space="preserve">HIGH</x:t>
        </x:is>
      </x:c>
      <x:c r="Y72" t="str">
        <x:f>IF(A72="","",IF(OR(J72="",AO72="",AP72="",AP72="UNVERIFIED",AND(AO72="OFFICIAL_WEBSITE",D72=""),AND(OR(P72="Equipment manual / OEM instruction",Q72="Asset-specific normative"),OR(O72&lt;&gt;"Manufacturer / supplier",AR72="",R72=""))),"PENDING",IF(COUNTIF(S72:W72,"LOW")&gt;0,"EXCLUDE",IF(COUNTIF(S72:W72,"MEDIUM")&gt;0,"PENDING",IF(COUNTIF(S72:W72,"HIGH")=5,"INCLUDE","PENDING")))))</x:f>
        <x:v>INCLUDE</x:v>
      </x:c>
      <x:c r="Z72" t="inlineStr">
        <x:is>
          <x:t xml:space="preserve">SUCCESS</x:t>
        </x:is>
      </x:c>
      <x:c r="AA72" s="398" t="n">
        <x:v>46262.53113425926</x:v>
      </x:c>
      <x:c r="AB72" s="398" t="n">
        <x:v>46262.53113425926</x:v>
      </x:c>
      <x:c r="AC72" s="398" t="inlineStr">
        <x:is>
          <x:t xml:space="preserve">INITIAL</x:t>
        </x:is>
      </x:c>
      <x:c r="AD72" s="398" t="inlineStr">
        <x:is>
          <x:t xml:space="preserve">AUTO</x:t>
        </x:is>
      </x:c>
      <x:c r="AE72" s="398" t="n">
        <x:f>IF(A72="","",IF(AD72="AUTO",AB72,IF(AD72="MANUAL",AF72,"")))</x:f>
        <x:v>46262.53113425926</x:v>
      </x:c>
      <x:c r="AF72" s="397" t="n"/>
      <x:c r="AH72" t="inlineStr">
        <x:is>
          <x:t xml:space="preserve">NONE</x:t>
        </x:is>
      </x:c>
      <x:c r="AI72" s="42" t="str"/>
      <x:c r="AJ72" t="str">
        <x:f>IF(OR(AL72&lt;&gt;"CURRENT",Y72="EXCLUDE"),"NO",IF(A72="","",IF(Z72="FAIL",IF(AND(AF72&lt;&gt;"",AF72&gt;=INT(AA72),I72="STORED",AD72="MANUAL",AG72&lt;&gt;""),"NO","YES"),IF(AND(AQ72="ROLLING",AC72="CHANGED"),IF(AND(AF72&lt;&gt;"",AF72&gt;=INT(IF(AB72&lt;&gt;"",AB72,AA72)),AG72&lt;&gt;""),"NO","YES"),"NO"))))</x:f>
        <x:v>NO</x:v>
      </x:c>
      <x:c r="AK72" t="inlineStr">
        <x:is>
          <x:t xml:space="preserve">911b716d6e4f9aacc1e0c7999dbcf1e009f08c3b322269c748d867006521e76d</x:t>
        </x:is>
      </x:c>
      <x:c r="AL72" t="inlineStr">
        <x:is>
          <x:t xml:space="preserve">CURRENT</x:t>
        </x:is>
      </x:c>
      <x:c r="AM72" t="inlineStr">
        <x:is>
          <x:t xml:space="preserve">CS004</x:t>
        </x:is>
      </x:c>
      <x:c r="AN72" s="42" t="inlineStr">
        <x:is>
          <x:t xml:space="preserve">Repository-held assessment tool. Trace extracted requirements to the applicable normative ASC standard.</x:t>
        </x:is>
      </x:c>
      <x:c r="AO72" t="inlineStr">
        <x:is>
          <x:t xml:space="preserve">OFFICIAL_WEBSITE</x:t>
        </x:is>
      </x:c>
      <x:c r="AP72" t="inlineStr">
        <x:is>
          <x:t xml:space="preserve">OFFICIAL_ORIGINAL</x:t>
        </x:is>
      </x:c>
      <x:c r="AQ72" t="inlineStr">
        <x:is>
          <x:t xml:space="preserve">VERSIONED</x:t>
        </x:is>
      </x:c>
      <x:c r="AR72" s="42" t="str"/>
    </x:row>
    <x:row r="73" s="36" customFormat="1" ht="42" customHeight="1">
      <x:c r="A73" t="inlineStr">
        <x:is>
          <x:t xml:space="preserve">CS004</x:t>
        </x:is>
      </x:c>
      <x:c r="B73" t="inlineStr">
        <x:is>
          <x:t xml:space="preserve">CS004-001</x:t>
        </x:is>
      </x:c>
      <x:c r="C73" s="42" t="inlineStr">
        <x:is>
          <x:t xml:space="preserve">ASC Salmon and Cod Standard</x:t>
        </x:is>
      </x:c>
      <x:c r="D73" s="669" t="inlineStr">
        <x:is>
          <x:t xml:space="preserve">https://asc-aqua.org/producers/asc-standards/species-standards/salmon-cod/</x:t>
        </x:is>
      </x:c>
      <x:c r="E73" s="669" t="inlineStr">
        <x:is>
          <x:t xml:space="preserve">https://asc-aqua.org/wp-content/uploads/2025/10/ASC-STD-010-ASC-Salmon-and-Cod-Standard-V1.5-Oct-2025-1.pdf</x:t>
        </x:is>
      </x:c>
      <x:c r="F73" t="inlineStr">
        <x:is>
          <x:t xml:space="preserve">C_Certification_Scheme</x:t>
        </x:is>
      </x:c>
      <x:c r="G73" t="inlineStr">
        <x:is>
          <x:t xml:space="preserve">pdf</x:t>
        </x:is>
      </x:c>
      <x:c r="H73" t="inlineStr">
        <x:is>
          <x:t xml:space="preserve">CS004-001_ASC_Salmon_and_Cod_Standard.pdf</x:t>
        </x:is>
      </x:c>
      <x:c r="I73" t="inlineStr">
        <x:is>
          <x:t xml:space="preserve">STORED</x:t>
        </x:is>
      </x:c>
      <x:c r="J73" t="inlineStr">
        <x:is>
          <x:t xml:space="preserve">Aquaculture Stewardship Council</x:t>
        </x:is>
      </x:c>
      <x:c r="K73" t="inlineStr">
        <x:is>
          <x:t xml:space="preserve">International</x:t>
        </x:is>
      </x:c>
      <x:c r="L73" t="inlineStr">
        <x:is>
          <x:t xml:space="preserve">English</x:t>
        </x:is>
      </x:c>
      <x:c r="M73" t="inlineStr">
        <x:is>
          <x:t xml:space="preserve">1.5</x:t>
        </x:is>
      </x:c>
      <x:c r="N73" s="397" t="n">
        <x:v>45943</x:v>
      </x:c>
      <x:c r="O73" t="inlineStr">
        <x:is>
          <x:t xml:space="preserve">Certification scheme</x:t>
        </x:is>
      </x:c>
      <x:c r="P73" t="inlineStr">
        <x:is>
          <x:t xml:space="preserve">Scheme standard</x:t>
        </x:is>
      </x:c>
      <x:c r="Q73" t="inlineStr">
        <x:is>
          <x:t xml:space="preserve">Primary normative</x:t>
        </x:is>
      </x:c>
      <x:c r="R73" s="42" t="inlineStr">
        <x:is>
          <x:t xml:space="preserve">Official scheme standard issued by Aquaculture Stewardship Council; included because it may impose binding requirements on an in-scope aquaculture asset, activity, permit or certification.</x:t>
        </x:is>
      </x:c>
      <x:c r="S73" t="inlineStr">
        <x:is>
          <x:t xml:space="preserve">HIGH</x:t>
        </x:is>
      </x:c>
      <x:c r="T73" t="inlineStr">
        <x:is>
          <x:t xml:space="preserve">HIGH</x:t>
        </x:is>
      </x:c>
      <x:c r="U73" t="inlineStr">
        <x:is>
          <x:t xml:space="preserve">HIGH</x:t>
        </x:is>
      </x:c>
      <x:c r="V73" t="inlineStr">
        <x:is>
          <x:t xml:space="preserve">HIGH</x:t>
        </x:is>
      </x:c>
      <x:c r="W73" t="inlineStr">
        <x:is>
          <x:t xml:space="preserve">HIGH</x:t>
        </x:is>
      </x:c>
      <x:c r="X73" t="inlineStr">
        <x:is>
          <x:t xml:space="preserve">HIGH</x:t>
        </x:is>
      </x:c>
      <x:c r="Y73" t="str">
        <x:f>IF(A73="","",IF(OR(J73="",AO73="",AP73="",AP73="UNVERIFIED",AND(AO73="OFFICIAL_WEBSITE",D73=""),AND(OR(P73="Equipment manual / OEM instruction",Q73="Asset-specific normative"),OR(O73&lt;&gt;"Manufacturer / supplier",AR73="",R73=""))),"PENDING",IF(COUNTIF(S73:W73,"LOW")&gt;0,"EXCLUDE",IF(COUNTIF(S73:W73,"MEDIUM")&gt;0,"PENDING",IF(COUNTIF(S73:W73,"HIGH")=5,"INCLUDE","PENDING")))))</x:f>
        <x:v>INCLUDE</x:v>
      </x:c>
      <x:c r="Z73" t="inlineStr">
        <x:is>
          <x:t xml:space="preserve">SUCCESS</x:t>
        </x:is>
      </x:c>
      <x:c r="AA73" s="398" t="n">
        <x:v>46262.53114583333</x:v>
      </x:c>
      <x:c r="AB73" s="398" t="n">
        <x:v>46262.53114583333</x:v>
      </x:c>
      <x:c r="AC73" s="398" t="inlineStr">
        <x:is>
          <x:t xml:space="preserve">INITIAL</x:t>
        </x:is>
      </x:c>
      <x:c r="AD73" s="398" t="inlineStr">
        <x:is>
          <x:t xml:space="preserve">AUTO</x:t>
        </x:is>
      </x:c>
      <x:c r="AE73" s="398" t="n">
        <x:f>IF(A73="","",IF(AD73="AUTO",AB73,IF(AD73="MANUAL",AF73,"")))</x:f>
        <x:v>46262.53114583333</x:v>
      </x:c>
      <x:c r="AF73" s="397" t="n"/>
      <x:c r="AH73" t="inlineStr">
        <x:is>
          <x:t xml:space="preserve">NONE</x:t>
        </x:is>
      </x:c>
      <x:c r="AI73" s="42" t="str"/>
      <x:c r="AJ73" t="str">
        <x:f>IF(OR(AL73&lt;&gt;"CURRENT",Y73="EXCLUDE"),"NO",IF(A73="","",IF(Z73="FAIL",IF(AND(AF73&lt;&gt;"",AF73&gt;=INT(AA73),I73="STORED",AD73="MANUAL",AG73&lt;&gt;""),"NO","YES"),IF(AND(AQ73="ROLLING",AC73="CHANGED"),IF(AND(AF73&lt;&gt;"",AF73&gt;=INT(IF(AB73&lt;&gt;"",AB73,AA73)),AG73&lt;&gt;""),"NO","YES"),"NO"))))</x:f>
        <x:v>NO</x:v>
      </x:c>
      <x:c r="AK73" t="inlineStr">
        <x:is>
          <x:t xml:space="preserve">a34e5f4fc78486136ddbf3d661d26aad85e4b8a1990b2e6eda3f3ac1df7f7b5c</x:t>
        </x:is>
      </x:c>
      <x:c r="AL73" t="inlineStr">
        <x:is>
          <x:t xml:space="preserve">CURRENT</x:t>
        </x:is>
      </x:c>
      <x:c r="AN73" s="42" t="inlineStr">
        <x:is>
          <x:t xml:space="preserve">Project-mentioned candidate. Include while the species standard remains applicable during ASC transition.</x:t>
        </x:is>
      </x:c>
      <x:c r="AO73" t="inlineStr">
        <x:is>
          <x:t xml:space="preserve">OFFICIAL_WEBSITE</x:t>
        </x:is>
      </x:c>
      <x:c r="AP73" t="inlineStr">
        <x:is>
          <x:t xml:space="preserve">OFFICIAL_ORIGINAL</x:t>
        </x:is>
      </x:c>
      <x:c r="AQ73" t="inlineStr">
        <x:is>
          <x:t xml:space="preserve">VERSIONED</x:t>
        </x:is>
      </x:c>
      <x:c r="AR73" s="42" t="str"/>
    </x:row>
    <x:row r="74" s="36" customFormat="1" ht="42" customHeight="1">
      <x:c r="A74" t="inlineStr">
        <x:is>
          <x:t xml:space="preserve">CS005</x:t>
        </x:is>
      </x:c>
      <x:c r="B74" t="inlineStr">
        <x:is>
          <x:t xml:space="preserve">CS005-001</x:t>
        </x:is>
      </x:c>
      <x:c r="C74" s="42" t="inlineStr">
        <x:is>
          <x:t xml:space="preserve">ASC Farm and Feed Certification and Accreditation Requirements</x:t>
        </x:is>
      </x:c>
      <x:c r="D74" s="669" t="inlineStr">
        <x:is>
          <x:t xml:space="preserve">https://programme-centre.asc-aqua.org/resource-hub/?filter=farm</x:t>
        </x:is>
      </x:c>
      <x:c r="E74" s="669" t="inlineStr">
        <x:is>
          <x:t xml:space="preserve">https://programme-centre.asc-aqua.org/app/uploads/2025/04/ASC-CAR-001-ASC-Farm-and-Feed-CAR-V1.0-May-2025.pdf</x:t>
        </x:is>
      </x:c>
      <x:c r="F74" t="inlineStr">
        <x:is>
          <x:t xml:space="preserve">C_Certification_Scheme</x:t>
        </x:is>
      </x:c>
      <x:c r="G74" t="inlineStr">
        <x:is>
          <x:t xml:space="preserve">pdf</x:t>
        </x:is>
      </x:c>
      <x:c r="H74" t="inlineStr">
        <x:is>
          <x:t xml:space="preserve">CS005-001_ASC_Farm_and_Feed_Certification_and_Accreditation_Requirements.pdf</x:t>
        </x:is>
      </x:c>
      <x:c r="I74" t="inlineStr">
        <x:is>
          <x:t xml:space="preserve">STORED</x:t>
        </x:is>
      </x:c>
      <x:c r="J74" t="inlineStr">
        <x:is>
          <x:t xml:space="preserve">Aquaculture Stewardship Council</x:t>
        </x:is>
      </x:c>
      <x:c r="K74" t="inlineStr">
        <x:is>
          <x:t xml:space="preserve">International</x:t>
        </x:is>
      </x:c>
      <x:c r="L74" t="inlineStr">
        <x:is>
          <x:t xml:space="preserve">English</x:t>
        </x:is>
      </x:c>
      <x:c r="M74" t="inlineStr">
        <x:is>
          <x:t xml:space="preserve">1.0</x:t>
        </x:is>
      </x:c>
      <x:c r="N74" s="397" t="n"/>
      <x:c r="O74" t="inlineStr">
        <x:is>
          <x:t xml:space="preserve">Certification scheme</x:t>
        </x:is>
      </x:c>
      <x:c r="P74" t="inlineStr">
        <x:is>
          <x:t xml:space="preserve">Scheme standard</x:t>
        </x:is>
      </x:c>
      <x:c r="Q74" t="inlineStr">
        <x:is>
          <x:t xml:space="preserve">Referenced normative</x:t>
        </x:is>
      </x:c>
      <x:c r="R74" s="42" t="inlineStr">
        <x:is>
          <x:t xml:space="preserve">Official referenced source from Aquaculture Stewardship Council; included because an applicable law, permit or certification scheme may make its provisions binding within the approved scope.</x:t>
        </x:is>
      </x:c>
      <x:c r="S74" t="inlineStr">
        <x:is>
          <x:t xml:space="preserve">HIGH</x:t>
        </x:is>
      </x:c>
      <x:c r="T74" t="inlineStr">
        <x:is>
          <x:t xml:space="preserve">HIGH</x:t>
        </x:is>
      </x:c>
      <x:c r="U74" t="inlineStr">
        <x:is>
          <x:t xml:space="preserve">HIGH</x:t>
        </x:is>
      </x:c>
      <x:c r="V74" t="inlineStr">
        <x:is>
          <x:t xml:space="preserve">HIGH</x:t>
        </x:is>
      </x:c>
      <x:c r="W74" t="inlineStr">
        <x:is>
          <x:t xml:space="preserve">HIGH</x:t>
        </x:is>
      </x:c>
      <x:c r="X74" t="inlineStr">
        <x:is>
          <x:t xml:space="preserve">HIGH</x:t>
        </x:is>
      </x:c>
      <x:c r="Y74" t="str">
        <x:f>IF(A74="","",IF(OR(J74="",AO74="",AP74="",AP74="UNVERIFIED",AND(AO74="OFFICIAL_WEBSITE",D74=""),AND(OR(P74="Equipment manual / OEM instruction",Q74="Asset-specific normative"),OR(O74&lt;&gt;"Manufacturer / supplier",AR74="",R74=""))),"PENDING",IF(COUNTIF(S74:W74,"LOW")&gt;0,"EXCLUDE",IF(COUNTIF(S74:W74,"MEDIUM")&gt;0,"PENDING",IF(COUNTIF(S74:W74,"HIGH")=5,"INCLUDE","PENDING")))))</x:f>
        <x:v>INCLUDE</x:v>
      </x:c>
      <x:c r="Z74" t="inlineStr">
        <x:is>
          <x:t xml:space="preserve">SUCCESS</x:t>
        </x:is>
      </x:c>
      <x:c r="AA74" s="398" t="n">
        <x:v>46262.53114583333</x:v>
      </x:c>
      <x:c r="AB74" s="398" t="n">
        <x:v>46262.53115740741</x:v>
      </x:c>
      <x:c r="AC74" s="398" t="inlineStr">
        <x:is>
          <x:t xml:space="preserve">INITIAL</x:t>
        </x:is>
      </x:c>
      <x:c r="AD74" s="398" t="inlineStr">
        <x:is>
          <x:t xml:space="preserve">AUTO</x:t>
        </x:is>
      </x:c>
      <x:c r="AE74" s="398" t="n">
        <x:f>IF(A74="","",IF(AD74="AUTO",AB74,IF(AD74="MANUAL",AF74,"")))</x:f>
        <x:v>46262.53115740741</x:v>
      </x:c>
      <x:c r="AF74" s="397" t="n"/>
      <x:c r="AH74" t="inlineStr">
        <x:is>
          <x:t xml:space="preserve">NONE</x:t>
        </x:is>
      </x:c>
      <x:c r="AI74" s="42" t="str"/>
      <x:c r="AJ74" t="str">
        <x:f>IF(OR(AL74&lt;&gt;"CURRENT",Y74="EXCLUDE"),"NO",IF(A74="","",IF(Z74="FAIL",IF(AND(AF74&lt;&gt;"",AF74&gt;=INT(AA74),I74="STORED",AD74="MANUAL",AG74&lt;&gt;""),"NO","YES"),IF(AND(AQ74="ROLLING",AC74="CHANGED"),IF(AND(AF74&lt;&gt;"",AF74&gt;=INT(IF(AB74&lt;&gt;"",AB74,AA74)),AG74&lt;&gt;""),"NO","YES"),"NO"))))</x:f>
        <x:v>NO</x:v>
      </x:c>
      <x:c r="AK74" t="inlineStr">
        <x:is>
          <x:t xml:space="preserve">77e1d87383382fda4f27dc9be79937cc3017ce350b8b1d436a74500561083838</x:t>
        </x:is>
      </x:c>
      <x:c r="AL74" t="inlineStr">
        <x:is>
          <x:t xml:space="preserve">CURRENT</x:t>
        </x:is>
      </x:c>
      <x:c r="AM74" t="inlineStr">
        <x:is>
          <x:t xml:space="preserve">CS001</x:t>
        </x:is>
      </x:c>
      <x:c r="AN74" s="42" t="inlineStr">
        <x:is>
          <x:t xml:space="preserve">Official expansion. The ASC Farm Standard identifies this CAR as normative.</x:t>
        </x:is>
      </x:c>
      <x:c r="AO74" t="inlineStr">
        <x:is>
          <x:t xml:space="preserve">OFFICIAL_WEBSITE</x:t>
        </x:is>
      </x:c>
      <x:c r="AP74" t="inlineStr">
        <x:is>
          <x:t xml:space="preserve">OFFICIAL_ORIGINAL</x:t>
        </x:is>
      </x:c>
      <x:c r="AQ74" t="inlineStr">
        <x:is>
          <x:t xml:space="preserve">VERSIONED</x:t>
        </x:is>
      </x:c>
      <x:c r="AR74" s="42" t="str"/>
    </x:row>
    <x:row r="75" s="36" customFormat="1" ht="42" customHeight="1">
      <x:c r="A75" t="inlineStr">
        <x:is>
          <x:t xml:space="preserve">CS006</x:t>
        </x:is>
      </x:c>
      <x:c r="B75" t="inlineStr">
        <x:is>
          <x:t xml:space="preserve">CS006-001</x:t>
        </x:is>
      </x:c>
      <x:c r="C75" s="42" t="inlineStr">
        <x:is>
          <x:t xml:space="preserve">ASC Group Requirements for Farms</x:t>
        </x:is>
      </x:c>
      <x:c r="D75" s="669" t="inlineStr">
        <x:is>
          <x:t xml:space="preserve">https://programme-centre.asc-aqua.org/resource-hub/?filter=farm</x:t>
        </x:is>
      </x:c>
      <x:c r="E75" s="669" t="str"/>
      <x:c r="F75" t="inlineStr">
        <x:is>
          <x:t xml:space="preserve">C_Certification_Scheme</x:t>
        </x:is>
      </x:c>
      <x:c r="G75" t="inlineStr">
        <x:is>
          <x:t xml:space="preserve">pdf</x:t>
        </x:is>
      </x:c>
      <x:c r="H75" t="inlineStr">
        <x:is>
          <x:t xml:space="preserve">CS006-001_ASC_Group_Requirements_for_Farms.pdf</x:t>
        </x:is>
      </x:c>
      <x:c r="I75" t="inlineStr">
        <x:is>
          <x:t xml:space="preserve">NOT_COLLECTED</x:t>
        </x:is>
      </x:c>
      <x:c r="J75" t="inlineStr">
        <x:is>
          <x:t xml:space="preserve">Aquaculture Stewardship Council</x:t>
        </x:is>
      </x:c>
      <x:c r="K75" t="inlineStr">
        <x:is>
          <x:t xml:space="preserve">International</x:t>
        </x:is>
      </x:c>
      <x:c r="L75" t="inlineStr">
        <x:is>
          <x:t xml:space="preserve">English</x:t>
        </x:is>
      </x:c>
      <x:c r="M75" t="inlineStr">
        <x:is>
          <x:t xml:space="preserve">1.0</x:t>
        </x:is>
      </x:c>
      <x:c r="N75" s="397" t="n"/>
      <x:c r="O75" t="inlineStr">
        <x:is>
          <x:t xml:space="preserve">Certification scheme</x:t>
        </x:is>
      </x:c>
      <x:c r="P75" t="inlineStr">
        <x:is>
          <x:t xml:space="preserve">Scheme standard</x:t>
        </x:is>
      </x:c>
      <x:c r="Q75" t="inlineStr">
        <x:is>
          <x:t xml:space="preserve">Referenced normative</x:t>
        </x:is>
      </x:c>
      <x:c r="R75" s="42" t="inlineStr">
        <x:is>
          <x:t xml:space="preserve">Official referenced source from Aquaculture Stewardship Council; included because an applicable law, permit or certification scheme may make its provisions binding within the approved scope.</x:t>
        </x:is>
      </x:c>
      <x:c r="S75" t="inlineStr">
        <x:is>
          <x:t xml:space="preserve">HIGH</x:t>
        </x:is>
      </x:c>
      <x:c r="T75" t="inlineStr">
        <x:is>
          <x:t xml:space="preserve">MEDIUM</x:t>
        </x:is>
      </x:c>
      <x:c r="U75" t="inlineStr">
        <x:is>
          <x:t xml:space="preserve">MEDIUM</x:t>
        </x:is>
      </x:c>
      <x:c r="V75" t="inlineStr">
        <x:is>
          <x:t xml:space="preserve">MEDIUM</x:t>
        </x:is>
      </x:c>
      <x:c r="W75" t="inlineStr">
        <x:is>
          <x:t xml:space="preserve">HIGH</x:t>
        </x:is>
      </x:c>
      <x:c r="X75" t="inlineStr">
        <x:is>
          <x:t xml:space="preserve">LOW</x:t>
        </x:is>
      </x:c>
      <x:c r="Y75" t="str">
        <x:f>IF(A75="","",IF(OR(J75="",AO75="",AP75="",AP75="UNVERIFIED",AND(AO75="OFFICIAL_WEBSITE",D75=""),AND(OR(P75="Equipment manual / OEM instruction",Q75="Asset-specific normative"),OR(O75&lt;&gt;"Manufacturer / supplier",AR75="",R75=""))),"PENDING",IF(COUNTIF(S75:W75,"LOW")&gt;0,"EXCLUDE",IF(COUNTIF(S75:W75,"MEDIUM")&gt;0,"PENDING",IF(COUNTIF(S75:W75,"HIGH")=5,"INCLUDE","PENDING")))))</x:f>
        <x:v>PENDING</x:v>
      </x:c>
      <x:c r="Z75" t="inlineStr">
        <x:is>
          <x:t xml:space="preserve">NOT_RUN</x:t>
        </x:is>
      </x:c>
      <x:c r="AA75" s="398" t="n"/>
      <x:c r="AB75" s="398" t="n"/>
      <x:c r="AC75" s="398" t="inlineStr">
        <x:is>
          <x:t xml:space="preserve">UNKNOWN</x:t>
        </x:is>
      </x:c>
      <x:c r="AD75" s="398" t="inlineStr">
        <x:is>
          <x:t xml:space="preserve">NONE</x:t>
        </x:is>
      </x:c>
      <x:c r="AE75" s="398" t="str">
        <x:f>IF(A75="","",IF(AD75="AUTO",AB75,IF(AD75="MANUAL",AF75,"")))</x:f>
      </x:c>
      <x:c r="AF75" s="397" t="n"/>
      <x:c r="AH75" t="inlineStr">
        <x:is>
          <x:t xml:space="preserve">NONE</x:t>
        </x:is>
      </x:c>
      <x:c r="AI75" s="42" t="str"/>
      <x:c r="AJ75" t="str">
        <x:f>IF(OR(AL75&lt;&gt;"CURRENT",Y75="EXCLUDE"),"NO",IF(A75="","",IF(Z75="FAIL",IF(AND(AF75&lt;&gt;"",AF75&gt;=INT(AA75),I75="STORED",AD75="MANUAL",AG75&lt;&gt;""),"NO","YES"),IF(AND(AQ75="ROLLING",AC75="CHANGED"),IF(AND(AF75&lt;&gt;"",AF75&gt;=INT(IF(AB75&lt;&gt;"",AB75,AA75)),AG75&lt;&gt;""),"NO","YES"),"NO"))))</x:f>
        <x:v>NO</x:v>
      </x:c>
      <x:c r="AL75" t="inlineStr">
        <x:is>
          <x:t xml:space="preserve">CURRENT</x:t>
        </x:is>
      </x:c>
      <x:c r="AM75" t="inlineStr">
        <x:is>
          <x:t xml:space="preserve">CS001</x:t>
        </x:is>
      </x:c>
      <x:c r="AN75" s="42" t="inlineStr">
        <x:is>
          <x:t xml:space="preserve">Official expansion. Conditional on group certification structure.</x:t>
        </x:is>
      </x:c>
      <x:c r="AO75" t="inlineStr">
        <x:is>
          <x:t xml:space="preserve">OFFICIAL_WEBSITE</x:t>
        </x:is>
      </x:c>
      <x:c r="AP75" t="inlineStr">
        <x:is>
          <x:t xml:space="preserve">OFFICIAL_ORIGINAL</x:t>
        </x:is>
      </x:c>
      <x:c r="AQ75" t="inlineStr">
        <x:is>
          <x:t xml:space="preserve">VERSIONED</x:t>
        </x:is>
      </x:c>
      <x:c r="AR75" s="42" t="str"/>
    </x:row>
    <x:row r="76" s="36" customFormat="1" ht="42" customHeight="1">
      <x:c r="A76" t="inlineStr">
        <x:is>
          <x:t xml:space="preserve">CS007</x:t>
        </x:is>
      </x:c>
      <x:c r="B76" t="inlineStr">
        <x:is>
          <x:t xml:space="preserve">CS007-001</x:t>
        </x:is>
      </x:c>
      <x:c r="C76" s="42" t="inlineStr">
        <x:is>
          <x:t xml:space="preserve">ASC Data Submission Procedure</x:t>
        </x:is>
      </x:c>
      <x:c r="D76" s="669" t="inlineStr">
        <x:is>
          <x:t xml:space="preserve">https://programme-centre.asc-aqua.org/resource-hub/?filter=farm</x:t>
        </x:is>
      </x:c>
      <x:c r="E76" s="669" t="str"/>
      <x:c r="F76" t="inlineStr">
        <x:is>
          <x:t xml:space="preserve">C_Certification_Scheme</x:t>
        </x:is>
      </x:c>
      <x:c r="G76" t="inlineStr">
        <x:is>
          <x:t xml:space="preserve">pdf</x:t>
        </x:is>
      </x:c>
      <x:c r="H76" t="inlineStr">
        <x:is>
          <x:t xml:space="preserve">CS007-001_ASC_Data_Submission_Procedure.pdf</x:t>
        </x:is>
      </x:c>
      <x:c r="I76" t="inlineStr">
        <x:is>
          <x:t xml:space="preserve">NOT_COLLECTED</x:t>
        </x:is>
      </x:c>
      <x:c r="J76" t="inlineStr">
        <x:is>
          <x:t xml:space="preserve">Aquaculture Stewardship Council</x:t>
        </x:is>
      </x:c>
      <x:c r="K76" t="inlineStr">
        <x:is>
          <x:t xml:space="preserve">International</x:t>
        </x:is>
      </x:c>
      <x:c r="L76" t="inlineStr">
        <x:is>
          <x:t xml:space="preserve">English</x:t>
        </x:is>
      </x:c>
      <x:c r="M76" t="inlineStr">
        <x:is>
          <x:t xml:space="preserve">1.0</x:t>
        </x:is>
      </x:c>
      <x:c r="N76" s="397" t="n"/>
      <x:c r="O76" t="inlineStr">
        <x:is>
          <x:t xml:space="preserve">Certification scheme</x:t>
        </x:is>
      </x:c>
      <x:c r="P76" t="inlineStr">
        <x:is>
          <x:t xml:space="preserve">Scheme standard</x:t>
        </x:is>
      </x:c>
      <x:c r="Q76" t="inlineStr">
        <x:is>
          <x:t xml:space="preserve">Referenced normative</x:t>
        </x:is>
      </x:c>
      <x:c r="R76" s="42" t="inlineStr">
        <x:is>
          <x:t xml:space="preserve">Official referenced source from Aquaculture Stewardship Council; included because an applicable law, permit or certification scheme may make its provisions binding within the approved scope.</x:t>
        </x:is>
      </x:c>
      <x:c r="S76" t="inlineStr">
        <x:is>
          <x:t xml:space="preserve">HIGH</x:t>
        </x:is>
      </x:c>
      <x:c r="T76" t="inlineStr">
        <x:is>
          <x:t xml:space="preserve">HIGH</x:t>
        </x:is>
      </x:c>
      <x:c r="U76" t="inlineStr">
        <x:is>
          <x:t xml:space="preserve">MEDIUM</x:t>
        </x:is>
      </x:c>
      <x:c r="V76" t="inlineStr">
        <x:is>
          <x:t xml:space="preserve">MEDIUM</x:t>
        </x:is>
      </x:c>
      <x:c r="W76" t="inlineStr">
        <x:is>
          <x:t xml:space="preserve">HIGH</x:t>
        </x:is>
      </x:c>
      <x:c r="X76" t="inlineStr">
        <x:is>
          <x:t xml:space="preserve">LOW</x:t>
        </x:is>
      </x:c>
      <x:c r="Y76" t="str">
        <x:f>IF(A76="","",IF(OR(J76="",AO76="",AP76="",AP76="UNVERIFIED",AND(AO76="OFFICIAL_WEBSITE",D76=""),AND(OR(P76="Equipment manual / OEM instruction",Q76="Asset-specific normative"),OR(O76&lt;&gt;"Manufacturer / supplier",AR76="",R76=""))),"PENDING",IF(COUNTIF(S76:W76,"LOW")&gt;0,"EXCLUDE",IF(COUNTIF(S76:W76,"MEDIUM")&gt;0,"PENDING",IF(COUNTIF(S76:W76,"HIGH")=5,"INCLUDE","PENDING")))))</x:f>
        <x:v>PENDING</x:v>
      </x:c>
      <x:c r="Z76" t="inlineStr">
        <x:is>
          <x:t xml:space="preserve">NOT_RUN</x:t>
        </x:is>
      </x:c>
      <x:c r="AA76" s="398" t="n"/>
      <x:c r="AB76" s="398" t="n"/>
      <x:c r="AC76" s="398" t="inlineStr">
        <x:is>
          <x:t xml:space="preserve">UNKNOWN</x:t>
        </x:is>
      </x:c>
      <x:c r="AD76" s="398" t="inlineStr">
        <x:is>
          <x:t xml:space="preserve">NONE</x:t>
        </x:is>
      </x:c>
      <x:c r="AE76" s="398" t="str">
        <x:f>IF(A76="","",IF(AD76="AUTO",AB76,IF(AD76="MANUAL",AF76,"")))</x:f>
      </x:c>
      <x:c r="AF76" s="397" t="n"/>
      <x:c r="AH76" t="inlineStr">
        <x:is>
          <x:t xml:space="preserve">NONE</x:t>
        </x:is>
      </x:c>
      <x:c r="AI76" s="42" t="str"/>
      <x:c r="AJ76" t="str">
        <x:f>IF(OR(AL76&lt;&gt;"CURRENT",Y76="EXCLUDE"),"NO",IF(A76="","",IF(Z76="FAIL",IF(AND(AF76&lt;&gt;"",AF76&gt;=INT(AA76),I76="STORED",AD76="MANUAL",AG76&lt;&gt;""),"NO","YES"),IF(AND(AQ76="ROLLING",AC76="CHANGED"),IF(AND(AF76&lt;&gt;"",AF76&gt;=INT(IF(AB76&lt;&gt;"",AB76,AA76)),AG76&lt;&gt;""),"NO","YES"),"NO"))))</x:f>
        <x:v>NO</x:v>
      </x:c>
      <x:c r="AL76" t="inlineStr">
        <x:is>
          <x:t xml:space="preserve">CURRENT</x:t>
        </x:is>
      </x:c>
      <x:c r="AM76" t="inlineStr">
        <x:is>
          <x:t xml:space="preserve">CS001</x:t>
        </x:is>
      </x:c>
      <x:c r="AN76" s="42" t="inlineStr">
        <x:is>
          <x:t xml:space="preserve">Official expansion. The ASC Farm Standard lists this procedure among normative references.</x:t>
        </x:is>
      </x:c>
      <x:c r="AO76" t="inlineStr">
        <x:is>
          <x:t xml:space="preserve">OFFICIAL_WEBSITE</x:t>
        </x:is>
      </x:c>
      <x:c r="AP76" t="inlineStr">
        <x:is>
          <x:t xml:space="preserve">OFFICIAL_ORIGINAL</x:t>
        </x:is>
      </x:c>
      <x:c r="AQ76" t="inlineStr">
        <x:is>
          <x:t xml:space="preserve">VERSIONED</x:t>
        </x:is>
      </x:c>
      <x:c r="AR76" s="42" t="str"/>
    </x:row>
    <x:row r="77" s="36" customFormat="1" ht="42" customHeight="1">
      <x:c r="A77" t="inlineStr">
        <x:is>
          <x:t xml:space="preserve">CS008</x:t>
        </x:is>
      </x:c>
      <x:c r="B77" t="inlineStr">
        <x:is>
          <x:t xml:space="preserve">CS008-001</x:t>
        </x:is>
      </x:c>
      <x:c r="C77" s="42" t="inlineStr">
        <x:is>
          <x:t xml:space="preserve">GLOBALG.A.P. IFA v6 Smart for aquaculture - Principles and criteria</x:t>
        </x:is>
      </x:c>
      <x:c r="D77" s="669" t="inlineStr">
        <x:is>
          <x:t xml:space="preserve">https://globalgap.org/what-we-offer/solutions/ifa-aquaculture/</x:t>
        </x:is>
      </x:c>
      <x:c r="E77" s="669" t="str"/>
      <x:c r="F77" t="inlineStr">
        <x:is>
          <x:t xml:space="preserve">C_Certification_Scheme</x:t>
        </x:is>
      </x:c>
      <x:c r="G77" t="inlineStr">
        <x:is>
          <x:t xml:space="preserve">pdf</x:t>
        </x:is>
      </x:c>
      <x:c r="H77" t="inlineStr">
        <x:is>
          <x:t xml:space="preserve">CS008-001_GLOBALG.A.P._IFA_v6_Smart_for_aquaculture_-_Principles_and_criteria.pdf</x:t>
        </x:is>
      </x:c>
      <x:c r="I77" t="inlineStr">
        <x:is>
          <x:t xml:space="preserve">NOT_COLLECTED</x:t>
        </x:is>
      </x:c>
      <x:c r="J77" t="inlineStr">
        <x:is>
          <x:t xml:space="preserve">GLOBALG.A.P.</x:t>
        </x:is>
      </x:c>
      <x:c r="K77" t="inlineStr">
        <x:is>
          <x:t xml:space="preserve">International</x:t>
        </x:is>
      </x:c>
      <x:c r="L77" t="inlineStr">
        <x:is>
          <x:t xml:space="preserve">English</x:t>
        </x:is>
      </x:c>
      <x:c r="M77" t="inlineStr">
        <x:is>
          <x:t xml:space="preserve">V6</x:t>
        </x:is>
      </x:c>
      <x:c r="N77" s="397" t="n"/>
      <x:c r="O77" t="inlineStr">
        <x:is>
          <x:t xml:space="preserve">Certification scheme</x:t>
        </x:is>
      </x:c>
      <x:c r="P77" t="inlineStr">
        <x:is>
          <x:t xml:space="preserve">Scheme standard</x:t>
        </x:is>
      </x:c>
      <x:c r="Q77" t="inlineStr">
        <x:is>
          <x:t xml:space="preserve">Primary normative</x:t>
        </x:is>
      </x:c>
      <x:c r="R77" s="42" t="inlineStr">
        <x:is>
          <x:t xml:space="preserve">Official scheme standard issued by GLOBALG.A.P.; included because it may impose binding requirements on an in-scope aquaculture asset, activity, permit or certification.</x:t>
        </x:is>
      </x:c>
      <x:c r="S77" t="inlineStr">
        <x:is>
          <x:t xml:space="preserve">HIGH</x:t>
        </x:is>
      </x:c>
      <x:c r="T77" t="inlineStr">
        <x:is>
          <x:t xml:space="preserve">HIGH</x:t>
        </x:is>
      </x:c>
      <x:c r="U77" t="inlineStr">
        <x:is>
          <x:t xml:space="preserve">MEDIUM</x:t>
        </x:is>
      </x:c>
      <x:c r="V77" t="inlineStr">
        <x:is>
          <x:t xml:space="preserve">MEDIUM</x:t>
        </x:is>
      </x:c>
      <x:c r="W77" t="inlineStr">
        <x:is>
          <x:t xml:space="preserve">HIGH</x:t>
        </x:is>
      </x:c>
      <x:c r="X77" t="inlineStr">
        <x:is>
          <x:t xml:space="preserve">LOW</x:t>
        </x:is>
      </x:c>
      <x:c r="Y77" t="str">
        <x:f>IF(A77="","",IF(OR(J77="",AO77="",AP77="",AP77="UNVERIFIED",AND(AO77="OFFICIAL_WEBSITE",D77=""),AND(OR(P77="Equipment manual / OEM instruction",Q77="Asset-specific normative"),OR(O77&lt;&gt;"Manufacturer / supplier",AR77="",R77=""))),"PENDING",IF(COUNTIF(S77:W77,"LOW")&gt;0,"EXCLUDE",IF(COUNTIF(S77:W77,"MEDIUM")&gt;0,"PENDING",IF(COUNTIF(S77:W77,"HIGH")=5,"INCLUDE","PENDING")))))</x:f>
        <x:v>PENDING</x:v>
      </x:c>
      <x:c r="Z77" t="inlineStr">
        <x:is>
          <x:t xml:space="preserve">NOT_RUN</x:t>
        </x:is>
      </x:c>
      <x:c r="AA77" s="398" t="n"/>
      <x:c r="AB77" s="398" t="n"/>
      <x:c r="AC77" s="398" t="inlineStr">
        <x:is>
          <x:t xml:space="preserve">UNKNOWN</x:t>
        </x:is>
      </x:c>
      <x:c r="AD77" s="398" t="inlineStr">
        <x:is>
          <x:t xml:space="preserve">NONE</x:t>
        </x:is>
      </x:c>
      <x:c r="AE77" s="398" t="str">
        <x:f>IF(A77="","",IF(AD77="AUTO",AB77,IF(AD77="MANUAL",AF77,"")))</x:f>
      </x:c>
      <x:c r="AF77" s="397" t="n"/>
      <x:c r="AH77" t="inlineStr">
        <x:is>
          <x:t xml:space="preserve">NONE</x:t>
        </x:is>
      </x:c>
      <x:c r="AI77" s="42" t="str"/>
      <x:c r="AJ77" t="str">
        <x:f>IF(OR(AL77&lt;&gt;"CURRENT",Y77="EXCLUDE"),"NO",IF(A77="","",IF(Z77="FAIL",IF(AND(AF77&lt;&gt;"",AF77&gt;=INT(AA77),I77="STORED",AD77="MANUAL",AG77&lt;&gt;""),"NO","YES"),IF(AND(AQ77="ROLLING",AC77="CHANGED"),IF(AND(AF77&lt;&gt;"",AF77&gt;=INT(IF(AB77&lt;&gt;"",AB77,AA77)),AG77&lt;&gt;""),"NO","YES"),"NO"))))</x:f>
        <x:v>NO</x:v>
      </x:c>
      <x:c r="AL77" t="inlineStr">
        <x:is>
          <x:t xml:space="preserve">CURRENT</x:t>
        </x:is>
      </x:c>
      <x:c r="AN77" s="42" t="inlineStr">
        <x:is>
          <x:t xml:space="preserve">Project-mentioned scheme source. The repository contains the checklist, but the P&amp;C document is the primary normative source.</x:t>
        </x:is>
      </x:c>
      <x:c r="AO77" t="inlineStr">
        <x:is>
          <x:t xml:space="preserve">OFFICIAL_WEBSITE</x:t>
        </x:is>
      </x:c>
      <x:c r="AP77" t="inlineStr">
        <x:is>
          <x:t xml:space="preserve">OFFICIAL_ORIGINAL</x:t>
        </x:is>
      </x:c>
      <x:c r="AQ77" t="inlineStr">
        <x:is>
          <x:t xml:space="preserve">VERSIONED</x:t>
        </x:is>
      </x:c>
      <x:c r="AR77" s="42" t="str"/>
    </x:row>
    <x:row r="78" s="36" customFormat="1" ht="42" customHeight="1">
      <x:c r="A78" t="inlineStr">
        <x:is>
          <x:t xml:space="preserve">CS009</x:t>
        </x:is>
      </x:c>
      <x:c r="B78" t="inlineStr">
        <x:is>
          <x:t xml:space="preserve">CS009-001</x:t>
        </x:is>
      </x:c>
      <x:c r="C78" s="42" t="inlineStr">
        <x:is>
          <x:t xml:space="preserve">GLOBALG.A.P. IFA v6 Smart for aquaculture - Checklist</x:t>
        </x:is>
      </x:c>
      <x:c r="D78" s="669" t="inlineStr">
        <x:is>
          <x:t xml:space="preserve">https://globalgap.org/what-we-offer/solutions/ifa-aquaculture/</x:t>
        </x:is>
      </x:c>
      <x:c r="E78" s="669" t="str"/>
      <x:c r="F78" t="inlineStr">
        <x:is>
          <x:t xml:space="preserve">C_Certification_Scheme</x:t>
        </x:is>
      </x:c>
      <x:c r="G78" t="inlineStr">
        <x:is>
          <x:t xml:space="preserve">xlsx</x:t>
        </x:is>
      </x:c>
      <x:c r="H78" t="inlineStr">
        <x:is>
          <x:t xml:space="preserve">CS009-001_GLOBALG.A.P._IFA_v6_Smart_for_aquaculture_-_Checklist.xlsx</x:t>
        </x:is>
      </x:c>
      <x:c r="I78" t="inlineStr">
        <x:is>
          <x:t xml:space="preserve">NOT_COLLECTED</x:t>
        </x:is>
      </x:c>
      <x:c r="J78" t="inlineStr">
        <x:is>
          <x:t xml:space="preserve">GLOBALG.A.P.</x:t>
        </x:is>
      </x:c>
      <x:c r="K78" t="inlineStr">
        <x:is>
          <x:t xml:space="preserve">International</x:t>
        </x:is>
      </x:c>
      <x:c r="L78" t="inlineStr">
        <x:is>
          <x:t xml:space="preserve">English</x:t>
        </x:is>
      </x:c>
      <x:c r="M78" t="inlineStr">
        <x:is>
          <x:t xml:space="preserve">V6</x:t>
        </x:is>
      </x:c>
      <x:c r="N78" s="397" t="n"/>
      <x:c r="O78" t="inlineStr">
        <x:is>
          <x:t xml:space="preserve">Certification scheme</x:t>
        </x:is>
      </x:c>
      <x:c r="P78" t="inlineStr">
        <x:is>
          <x:t xml:space="preserve">Audit / assessment document</x:t>
        </x:is>
      </x:c>
      <x:c r="Q78" t="inlineStr">
        <x:is>
          <x:t xml:space="preserve">Audit / assessment tool</x:t>
        </x:is>
      </x:c>
      <x:c r="R78" s="42" t="inlineStr">
        <x:is>
          <x:t xml:space="preserve">Official assessment tool from GLOBALG.A.P.; included to structure compliance checks and trace evidence back to its linked normative source.</x:t>
        </x:is>
      </x:c>
      <x:c r="S78" t="inlineStr">
        <x:is>
          <x:t xml:space="preserve">HIGH</x:t>
        </x:is>
      </x:c>
      <x:c r="T78" t="inlineStr">
        <x:is>
          <x:t xml:space="preserve">HIGH</x:t>
        </x:is>
      </x:c>
      <x:c r="U78" t="inlineStr">
        <x:is>
          <x:t xml:space="preserve">MEDIUM</x:t>
        </x:is>
      </x:c>
      <x:c r="V78" t="inlineStr">
        <x:is>
          <x:t xml:space="preserve">MEDIUM</x:t>
        </x:is>
      </x:c>
      <x:c r="W78" t="inlineStr">
        <x:is>
          <x:t xml:space="preserve">HIGH</x:t>
        </x:is>
      </x:c>
      <x:c r="X78" t="inlineStr">
        <x:is>
          <x:t xml:space="preserve">LOW</x:t>
        </x:is>
      </x:c>
      <x:c r="Y78" t="str">
        <x:f>IF(A78="","",IF(OR(J78="",AO78="",AP78="",AP78="UNVERIFIED",AND(AO78="OFFICIAL_WEBSITE",D78=""),AND(OR(P78="Equipment manual / OEM instruction",Q78="Asset-specific normative"),OR(O78&lt;&gt;"Manufacturer / supplier",AR78="",R78=""))),"PENDING",IF(COUNTIF(S78:W78,"LOW")&gt;0,"EXCLUDE",IF(COUNTIF(S78:W78,"MEDIUM")&gt;0,"PENDING",IF(COUNTIF(S78:W78,"HIGH")=5,"INCLUDE","PENDING")))))</x:f>
        <x:v>PENDING</x:v>
      </x:c>
      <x:c r="Z78" t="inlineStr">
        <x:is>
          <x:t xml:space="preserve">NOT_RUN</x:t>
        </x:is>
      </x:c>
      <x:c r="AA78" s="398" t="n"/>
      <x:c r="AB78" s="398" t="n"/>
      <x:c r="AC78" s="398" t="inlineStr">
        <x:is>
          <x:t xml:space="preserve">UNKNOWN</x:t>
        </x:is>
      </x:c>
      <x:c r="AD78" s="398" t="inlineStr">
        <x:is>
          <x:t xml:space="preserve">NONE</x:t>
        </x:is>
      </x:c>
      <x:c r="AE78" s="398" t="str">
        <x:f>IF(A78="","",IF(AD78="AUTO",AB78,IF(AD78="MANUAL",AF78,"")))</x:f>
      </x:c>
      <x:c r="AF78" s="397" t="n"/>
      <x:c r="AH78" t="inlineStr">
        <x:is>
          <x:t xml:space="preserve">NONE</x:t>
        </x:is>
      </x:c>
      <x:c r="AI78" s="42" t="str"/>
      <x:c r="AJ78" t="str">
        <x:f>IF(OR(AL78&lt;&gt;"CURRENT",Y78="EXCLUDE"),"NO",IF(A78="","",IF(Z78="FAIL",IF(AND(AF78&lt;&gt;"",AF78&gt;=INT(AA78),I78="STORED",AD78="MANUAL",AG78&lt;&gt;""),"NO","YES"),IF(AND(AQ78="ROLLING",AC78="CHANGED"),IF(AND(AF78&lt;&gt;"",AF78&gt;=INT(IF(AB78&lt;&gt;"",AB78,AA78)),AG78&lt;&gt;""),"NO","YES"),"NO"))))</x:f>
        <x:v>NO</x:v>
      </x:c>
      <x:c r="AL78" t="inlineStr">
        <x:is>
          <x:t xml:space="preserve">CURRENT</x:t>
        </x:is>
      </x:c>
      <x:c r="AM78" t="inlineStr">
        <x:is>
          <x:t xml:space="preserve">CS008</x:t>
        </x:is>
      </x:c>
      <x:c r="AN78" s="42" t="inlineStr">
        <x:is>
          <x:t xml:space="preserve">Repository-held assessment artifact. Official distribution may be ZIP/XLSX; trace requirements to CS008.</x:t>
        </x:is>
      </x:c>
      <x:c r="AO78" t="inlineStr">
        <x:is>
          <x:t xml:space="preserve">OFFICIAL_WEBSITE</x:t>
        </x:is>
      </x:c>
      <x:c r="AP78" t="inlineStr">
        <x:is>
          <x:t xml:space="preserve">OFFICIAL_ORIGINAL</x:t>
        </x:is>
      </x:c>
      <x:c r="AQ78" t="inlineStr">
        <x:is>
          <x:t xml:space="preserve">VERSIONED</x:t>
        </x:is>
      </x:c>
      <x:c r="AR78" s="42" t="str"/>
    </x:row>
    <x:row r="79" s="36" customFormat="1" ht="42" customHeight="1">
      <x:c r="A79" t="inlineStr">
        <x:is>
          <x:t xml:space="preserve">CS010</x:t>
        </x:is>
      </x:c>
      <x:c r="B79" t="inlineStr">
        <x:is>
          <x:t xml:space="preserve">CS010-001</x:t>
        </x:is>
      </x:c>
      <x:c r="C79" s="42" t="inlineStr">
        <x:is>
          <x:t xml:space="preserve">GLOBALG.A.P. General Regulations - Rules for aquaculture scope</x:t>
        </x:is>
      </x:c>
      <x:c r="D79" s="669" t="inlineStr">
        <x:is>
          <x:t xml:space="preserve">https://globalgap.org/what-we-offer/solutions/ifa-aquaculture/</x:t>
        </x:is>
      </x:c>
      <x:c r="E79" s="669" t="inlineStr">
        <x:is>
          <x:t xml:space="preserve">https://documents.globalgap.org/documents/220929_GG_GR_Rules_for_aquaculture_v6_0_Sep22_en.pdf</x:t>
        </x:is>
      </x:c>
      <x:c r="F79" t="inlineStr">
        <x:is>
          <x:t xml:space="preserve">C_Certification_Scheme</x:t>
        </x:is>
      </x:c>
      <x:c r="G79" t="inlineStr">
        <x:is>
          <x:t xml:space="preserve">pdf</x:t>
        </x:is>
      </x:c>
      <x:c r="H79" t="inlineStr">
        <x:is>
          <x:t xml:space="preserve">CS010-001_GLOBALG.A.P._General_Regulations_-_Rules_for_aquaculture_scope.pdf</x:t>
        </x:is>
      </x:c>
      <x:c r="I79" t="inlineStr">
        <x:is>
          <x:t xml:space="preserve">STORED</x:t>
        </x:is>
      </x:c>
      <x:c r="J79" t="inlineStr">
        <x:is>
          <x:t xml:space="preserve">GLOBALG.A.P.</x:t>
        </x:is>
      </x:c>
      <x:c r="K79" t="inlineStr">
        <x:is>
          <x:t xml:space="preserve">International</x:t>
        </x:is>
      </x:c>
      <x:c r="L79" t="inlineStr">
        <x:is>
          <x:t xml:space="preserve">English</x:t>
        </x:is>
      </x:c>
      <x:c r="M79" t="inlineStr">
        <x:is>
          <x:t xml:space="preserve">6.0</x:t>
        </x:is>
      </x:c>
      <x:c r="N79" s="397" t="n"/>
      <x:c r="O79" t="inlineStr">
        <x:is>
          <x:t xml:space="preserve">Certification scheme</x:t>
        </x:is>
      </x:c>
      <x:c r="P79" t="inlineStr">
        <x:is>
          <x:t xml:space="preserve">Scheme standard</x:t>
        </x:is>
      </x:c>
      <x:c r="Q79" t="inlineStr">
        <x:is>
          <x:t xml:space="preserve">Referenced normative</x:t>
        </x:is>
      </x:c>
      <x:c r="R79" s="42" t="inlineStr">
        <x:is>
          <x:t xml:space="preserve">Official referenced source from GLOBALG.A.P.; included because an applicable law, permit or certification scheme may make its provisions binding within the approved scope.</x:t>
        </x:is>
      </x:c>
      <x:c r="S79" t="inlineStr">
        <x:is>
          <x:t xml:space="preserve">HIGH</x:t>
        </x:is>
      </x:c>
      <x:c r="T79" t="inlineStr">
        <x:is>
          <x:t xml:space="preserve">HIGH</x:t>
        </x:is>
      </x:c>
      <x:c r="U79" t="inlineStr">
        <x:is>
          <x:t xml:space="preserve">HIGH</x:t>
        </x:is>
      </x:c>
      <x:c r="V79" t="inlineStr">
        <x:is>
          <x:t xml:space="preserve">HIGH</x:t>
        </x:is>
      </x:c>
      <x:c r="W79" t="inlineStr">
        <x:is>
          <x:t xml:space="preserve">HIGH</x:t>
        </x:is>
      </x:c>
      <x:c r="X79" t="inlineStr">
        <x:is>
          <x:t xml:space="preserve">HIGH</x:t>
        </x:is>
      </x:c>
      <x:c r="Y79" t="str">
        <x:f>IF(A79="","",IF(OR(J79="",AO79="",AP79="",AP79="UNVERIFIED",AND(AO79="OFFICIAL_WEBSITE",D79=""),AND(OR(P79="Equipment manual / OEM instruction",Q79="Asset-specific normative"),OR(O79&lt;&gt;"Manufacturer / supplier",AR79="",R79=""))),"PENDING",IF(COUNTIF(S79:W79,"LOW")&gt;0,"EXCLUDE",IF(COUNTIF(S79:W79,"MEDIUM")&gt;0,"PENDING",IF(COUNTIF(S79:W79,"HIGH")=5,"INCLUDE","PENDING")))))</x:f>
        <x:v>INCLUDE</x:v>
      </x:c>
      <x:c r="Z79" t="inlineStr">
        <x:is>
          <x:t xml:space="preserve">SUCCESS</x:t>
        </x:is>
      </x:c>
      <x:c r="AA79" s="398" t="n">
        <x:v>46262.53115740741</x:v>
      </x:c>
      <x:c r="AB79" s="398" t="n">
        <x:v>46262.53115740741</x:v>
      </x:c>
      <x:c r="AC79" s="398" t="inlineStr">
        <x:is>
          <x:t xml:space="preserve">INITIAL</x:t>
        </x:is>
      </x:c>
      <x:c r="AD79" s="398" t="inlineStr">
        <x:is>
          <x:t xml:space="preserve">AUTO</x:t>
        </x:is>
      </x:c>
      <x:c r="AE79" s="398" t="n">
        <x:f>IF(A79="","",IF(AD79="AUTO",AB79,IF(AD79="MANUAL",AF79,"")))</x:f>
        <x:v>46262.53115740741</x:v>
      </x:c>
      <x:c r="AF79" s="397" t="n"/>
      <x:c r="AH79" t="inlineStr">
        <x:is>
          <x:t xml:space="preserve">NONE</x:t>
        </x:is>
      </x:c>
      <x:c r="AI79" s="42" t="str"/>
      <x:c r="AJ79" t="str">
        <x:f>IF(OR(AL79&lt;&gt;"CURRENT",Y79="EXCLUDE"),"NO",IF(A79="","",IF(Z79="FAIL",IF(AND(AF79&lt;&gt;"",AF79&gt;=INT(AA79),I79="STORED",AD79="MANUAL",AG79&lt;&gt;""),"NO","YES"),IF(AND(AQ79="ROLLING",AC79="CHANGED"),IF(AND(AF79&lt;&gt;"",AF79&gt;=INT(IF(AB79&lt;&gt;"",AB79,AA79)),AG79&lt;&gt;""),"NO","YES"),"NO"))))</x:f>
        <x:v>NO</x:v>
      </x:c>
      <x:c r="AK79" t="inlineStr">
        <x:is>
          <x:t xml:space="preserve">ce5c8950c69e3b5b60b85110f5abd2c6d8637c83291c6c00ac03f28b102dac54</x:t>
        </x:is>
      </x:c>
      <x:c r="AL79" t="inlineStr">
        <x:is>
          <x:t xml:space="preserve">CURRENT</x:t>
        </x:is>
      </x:c>
      <x:c r="AM79" t="inlineStr">
        <x:is>
          <x:t xml:space="preserve">CS008</x:t>
        </x:is>
      </x:c>
      <x:c r="AN79" s="42" t="inlineStr">
        <x:is>
          <x:t xml:space="preserve">Official expansion. GLOBALG.A.P. identifies the general regulations as required for certification.</x:t>
        </x:is>
      </x:c>
      <x:c r="AO79" t="inlineStr">
        <x:is>
          <x:t xml:space="preserve">OFFICIAL_WEBSITE</x:t>
        </x:is>
      </x:c>
      <x:c r="AP79" t="inlineStr">
        <x:is>
          <x:t xml:space="preserve">OFFICIAL_ORIGINAL</x:t>
        </x:is>
      </x:c>
      <x:c r="AQ79" t="inlineStr">
        <x:is>
          <x:t xml:space="preserve">VERSIONED</x:t>
        </x:is>
      </x:c>
      <x:c r="AR79" s="42" t="str"/>
    </x:row>
    <x:row r="80" s="36" customFormat="1" ht="42" customHeight="1">
      <x:c r="A80" t="inlineStr">
        <x:is>
          <x:t xml:space="preserve">CS011</x:t>
        </x:is>
      </x:c>
      <x:c r="B80" t="inlineStr">
        <x:is>
          <x:t xml:space="preserve">CS011-001</x:t>
        </x:is>
      </x:c>
      <x:c r="C80" s="42" t="inlineStr">
        <x:is>
          <x:t xml:space="preserve">GLOBALG.A.P. GRASP v2 - Principles and criteria</x:t>
        </x:is>
      </x:c>
      <x:c r="D80" s="669" t="inlineStr">
        <x:is>
          <x:t xml:space="preserve">https://globalgap.org/what-we-offer/solutions/grasp/</x:t>
        </x:is>
      </x:c>
      <x:c r="E80" s="669" t="inlineStr">
        <x:is>
          <x:t xml:space="preserve">https://documents.globalgap.org/documents/220929_GRASP_PCs_v2_0_Sep22_en.pdf</x:t>
        </x:is>
      </x:c>
      <x:c r="F80" t="inlineStr">
        <x:is>
          <x:t xml:space="preserve">C_Certification_Scheme</x:t>
        </x:is>
      </x:c>
      <x:c r="G80" t="inlineStr">
        <x:is>
          <x:t xml:space="preserve">pdf</x:t>
        </x:is>
      </x:c>
      <x:c r="H80" t="inlineStr">
        <x:is>
          <x:t xml:space="preserve">CS011-001_GLOBALG.A.P._GRASP_v2_-_Principles_and_criteria.pdf</x:t>
        </x:is>
      </x:c>
      <x:c r="I80" t="inlineStr">
        <x:is>
          <x:t xml:space="preserve">STORED</x:t>
        </x:is>
      </x:c>
      <x:c r="J80" t="inlineStr">
        <x:is>
          <x:t xml:space="preserve">GLOBALG.A.P.</x:t>
        </x:is>
      </x:c>
      <x:c r="K80" t="inlineStr">
        <x:is>
          <x:t xml:space="preserve">International</x:t>
        </x:is>
      </x:c>
      <x:c r="L80" t="inlineStr">
        <x:is>
          <x:t xml:space="preserve">English</x:t>
        </x:is>
      </x:c>
      <x:c r="M80" t="inlineStr">
        <x:is>
          <x:t xml:space="preserve">2.0_Sep22</x:t>
        </x:is>
      </x:c>
      <x:c r="N80" s="397" t="n"/>
      <x:c r="O80" t="inlineStr">
        <x:is>
          <x:t xml:space="preserve">Certification scheme</x:t>
        </x:is>
      </x:c>
      <x:c r="P80" t="inlineStr">
        <x:is>
          <x:t xml:space="preserve">Scheme standard</x:t>
        </x:is>
      </x:c>
      <x:c r="Q80" t="inlineStr">
        <x:is>
          <x:t xml:space="preserve">Referenced normative</x:t>
        </x:is>
      </x:c>
      <x:c r="R80" s="42" t="inlineStr">
        <x:is>
          <x:t xml:space="preserve">Official referenced source from GLOBALG.A.P.; included because an applicable law, permit or certification scheme may make its provisions binding within the approved scope.</x:t>
        </x:is>
      </x:c>
      <x:c r="S80" t="inlineStr">
        <x:is>
          <x:t xml:space="preserve">HIGH</x:t>
        </x:is>
      </x:c>
      <x:c r="T80" t="inlineStr">
        <x:is>
          <x:t xml:space="preserve">HIGH</x:t>
        </x:is>
      </x:c>
      <x:c r="U80" t="inlineStr">
        <x:is>
          <x:t xml:space="preserve">HIGH</x:t>
        </x:is>
      </x:c>
      <x:c r="V80" t="inlineStr">
        <x:is>
          <x:t xml:space="preserve">HIGH</x:t>
        </x:is>
      </x:c>
      <x:c r="W80" t="inlineStr">
        <x:is>
          <x:t xml:space="preserve">HIGH</x:t>
        </x:is>
      </x:c>
      <x:c r="X80" t="inlineStr">
        <x:is>
          <x:t xml:space="preserve">HIGH</x:t>
        </x:is>
      </x:c>
      <x:c r="Y80" t="str">
        <x:f>IF(A80="","",IF(OR(J80="",AO80="",AP80="",AP80="UNVERIFIED",AND(AO80="OFFICIAL_WEBSITE",D80=""),AND(OR(P80="Equipment manual / OEM instruction",Q80="Asset-specific normative"),OR(O80&lt;&gt;"Manufacturer / supplier",AR80="",R80=""))),"PENDING",IF(COUNTIF(S80:W80,"LOW")&gt;0,"EXCLUDE",IF(COUNTIF(S80:W80,"MEDIUM")&gt;0,"PENDING",IF(COUNTIF(S80:W80,"HIGH")=5,"INCLUDE","PENDING")))))</x:f>
        <x:v>INCLUDE</x:v>
      </x:c>
      <x:c r="Z80" t="inlineStr">
        <x:is>
          <x:t xml:space="preserve">SUCCESS</x:t>
        </x:is>
      </x:c>
      <x:c r="AA80" s="398" t="n">
        <x:v>46262.53115740741</x:v>
      </x:c>
      <x:c r="AB80" s="398" t="n">
        <x:v>46262.53116898148</x:v>
      </x:c>
      <x:c r="AC80" s="398" t="inlineStr">
        <x:is>
          <x:t xml:space="preserve">INITIAL</x:t>
        </x:is>
      </x:c>
      <x:c r="AD80" s="398" t="inlineStr">
        <x:is>
          <x:t xml:space="preserve">AUTO</x:t>
        </x:is>
      </x:c>
      <x:c r="AE80" s="398" t="n">
        <x:f>IF(A80="","",IF(AD80="AUTO",AB80,IF(AD80="MANUAL",AF80,"")))</x:f>
        <x:v>46262.53116898148</x:v>
      </x:c>
      <x:c r="AF80" s="397" t="n"/>
      <x:c r="AH80" t="inlineStr">
        <x:is>
          <x:t xml:space="preserve">NONE</x:t>
        </x:is>
      </x:c>
      <x:c r="AI80" s="42" t="str"/>
      <x:c r="AJ80" t="str">
        <x:f>IF(OR(AL80&lt;&gt;"CURRENT",Y80="EXCLUDE"),"NO",IF(A80="","",IF(Z80="FAIL",IF(AND(AF80&lt;&gt;"",AF80&gt;=INT(AA80),I80="STORED",AD80="MANUAL",AG80&lt;&gt;""),"NO","YES"),IF(AND(AQ80="ROLLING",AC80="CHANGED"),IF(AND(AF80&lt;&gt;"",AF80&gt;=INT(IF(AB80&lt;&gt;"",AB80,AA80)),AG80&lt;&gt;""),"NO","YES"),"NO"))))</x:f>
        <x:v>NO</x:v>
      </x:c>
      <x:c r="AK80" t="inlineStr">
        <x:is>
          <x:t xml:space="preserve">5b5c05855c1b0c422755facc234a7d4584eb37f8671421885d7dcc62f9a0e9e8</x:t>
        </x:is>
      </x:c>
      <x:c r="AL80" t="inlineStr">
        <x:is>
          <x:t xml:space="preserve">CURRENT</x:t>
        </x:is>
      </x:c>
      <x:c r="AM80" t="inlineStr">
        <x:is>
          <x:t xml:space="preserve">CS008</x:t>
        </x:is>
      </x:c>
      <x:c r="AN80" s="42" t="inlineStr">
        <x:is>
          <x:t xml:space="preserve">Official expansion. GLOBALG.A.P. states GRASP is mandatory for IFA aquaculture audits.</x:t>
        </x:is>
      </x:c>
      <x:c r="AO80" t="inlineStr">
        <x:is>
          <x:t xml:space="preserve">OFFICIAL_WEBSITE</x:t>
        </x:is>
      </x:c>
      <x:c r="AP80" t="inlineStr">
        <x:is>
          <x:t xml:space="preserve">OFFICIAL_ORIGINAL</x:t>
        </x:is>
      </x:c>
      <x:c r="AQ80" t="inlineStr">
        <x:is>
          <x:t xml:space="preserve">VERSIONED</x:t>
        </x:is>
      </x:c>
      <x:c r="AR80" s="42" t="str"/>
    </x:row>
    <x:row r="81" s="36" customFormat="1" ht="42" customHeight="1">
      <x:c r="A81" t="inlineStr">
        <x:is>
          <x:t xml:space="preserve">CS012</x:t>
        </x:is>
      </x:c>
      <x:c r="B81" t="inlineStr">
        <x:is>
          <x:t xml:space="preserve">CS012-001</x:t>
        </x:is>
      </x:c>
      <x:c r="C81" s="42" t="inlineStr">
        <x:is>
          <x:t xml:space="preserve">GLOBALG.A.P. Compound Feed Manufacturing Standard</x:t>
        </x:is>
      </x:c>
      <x:c r="D81" s="669" t="inlineStr">
        <x:is>
          <x:t xml:space="preserve">https://globalgap.org/what-we-offer/solutions/compound-feed-manufacturing/</x:t>
        </x:is>
      </x:c>
      <x:c r="E81" s="669" t="str"/>
      <x:c r="F81" t="inlineStr">
        <x:is>
          <x:t xml:space="preserve">C_Certification_Scheme</x:t>
        </x:is>
      </x:c>
      <x:c r="G81" t="inlineStr">
        <x:is>
          <x:t xml:space="preserve">pdf</x:t>
        </x:is>
      </x:c>
      <x:c r="H81" t="inlineStr">
        <x:is>
          <x:t xml:space="preserve">CS012-001_GLOBALG.A.P._Compound_Feed_Manufacturing_Standard.pdf</x:t>
        </x:is>
      </x:c>
      <x:c r="I81" t="inlineStr">
        <x:is>
          <x:t xml:space="preserve">NOT_COLLECTED</x:t>
        </x:is>
      </x:c>
      <x:c r="J81" t="inlineStr">
        <x:is>
          <x:t xml:space="preserve">GLOBALG.A.P.</x:t>
        </x:is>
      </x:c>
      <x:c r="K81" t="inlineStr">
        <x:is>
          <x:t xml:space="preserve">International</x:t>
        </x:is>
      </x:c>
      <x:c r="L81" t="inlineStr">
        <x:is>
          <x:t xml:space="preserve">English</x:t>
        </x:is>
      </x:c>
      <x:c r="N81" s="397" t="n"/>
      <x:c r="O81" t="inlineStr">
        <x:is>
          <x:t xml:space="preserve">Certification scheme</x:t>
        </x:is>
      </x:c>
      <x:c r="P81" t="inlineStr">
        <x:is>
          <x:t xml:space="preserve">Scheme standard</x:t>
        </x:is>
      </x:c>
      <x:c r="Q81" t="inlineStr">
        <x:is>
          <x:t xml:space="preserve">Referenced normative</x:t>
        </x:is>
      </x:c>
      <x:c r="R81" s="42" t="inlineStr">
        <x:is>
          <x:t xml:space="preserve">Official referenced source from GLOBALG.A.P.; included because an applicable law, permit or certification scheme may make its provisions binding within the approved scope.</x:t>
        </x:is>
      </x:c>
      <x:c r="S81" t="inlineStr">
        <x:is>
          <x:t xml:space="preserve">HIGH</x:t>
        </x:is>
      </x:c>
      <x:c r="T81" t="inlineStr">
        <x:is>
          <x:t xml:space="preserve">HIGH</x:t>
        </x:is>
      </x:c>
      <x:c r="U81" t="inlineStr">
        <x:is>
          <x:t xml:space="preserve">MEDIUM</x:t>
        </x:is>
      </x:c>
      <x:c r="V81" t="inlineStr">
        <x:is>
          <x:t xml:space="preserve">MEDIUM</x:t>
        </x:is>
      </x:c>
      <x:c r="W81" t="inlineStr">
        <x:is>
          <x:t xml:space="preserve">HIGH</x:t>
        </x:is>
      </x:c>
      <x:c r="X81" t="inlineStr">
        <x:is>
          <x:t xml:space="preserve">LOW</x:t>
        </x:is>
      </x:c>
      <x:c r="Y81" t="str">
        <x:f>IF(A81="","",IF(OR(J81="",AO81="",AP81="",AP81="UNVERIFIED",AND(AO81="OFFICIAL_WEBSITE",D81=""),AND(OR(P81="Equipment manual / OEM instruction",Q81="Asset-specific normative"),OR(O81&lt;&gt;"Manufacturer / supplier",AR81="",R81=""))),"PENDING",IF(COUNTIF(S81:W81,"LOW")&gt;0,"EXCLUDE",IF(COUNTIF(S81:W81,"MEDIUM")&gt;0,"PENDING",IF(COUNTIF(S81:W81,"HIGH")=5,"INCLUDE","PENDING")))))</x:f>
        <x:v>PENDING</x:v>
      </x:c>
      <x:c r="Z81" t="inlineStr">
        <x:is>
          <x:t xml:space="preserve">NOT_RUN</x:t>
        </x:is>
      </x:c>
      <x:c r="AA81" s="398" t="n"/>
      <x:c r="AB81" s="398" t="n"/>
      <x:c r="AC81" s="398" t="inlineStr">
        <x:is>
          <x:t xml:space="preserve">UNKNOWN</x:t>
        </x:is>
      </x:c>
      <x:c r="AD81" s="398" t="inlineStr">
        <x:is>
          <x:t xml:space="preserve">NONE</x:t>
        </x:is>
      </x:c>
      <x:c r="AE81" s="398" t="str">
        <x:f>IF(A81="","",IF(AD81="AUTO",AB81,IF(AD81="MANUAL",AF81,"")))</x:f>
      </x:c>
      <x:c r="AF81" s="397" t="n"/>
      <x:c r="AH81" t="inlineStr">
        <x:is>
          <x:t xml:space="preserve">NONE</x:t>
        </x:is>
      </x:c>
      <x:c r="AI81" s="42" t="str"/>
      <x:c r="AJ81" t="str">
        <x:f>IF(OR(AL81&lt;&gt;"CURRENT",Y81="EXCLUDE"),"NO",IF(A81="","",IF(Z81="FAIL",IF(AND(AF81&lt;&gt;"",AF81&gt;=INT(AA81),I81="STORED",AD81="MANUAL",AG81&lt;&gt;""),"NO","YES"),IF(AND(AQ81="ROLLING",AC81="CHANGED"),IF(AND(AF81&lt;&gt;"",AF81&gt;=INT(IF(AB81&lt;&gt;"",AB81,AA81)),AG81&lt;&gt;""),"NO","YES"),"NO"))))</x:f>
        <x:v>NO</x:v>
      </x:c>
      <x:c r="AL81" t="inlineStr">
        <x:is>
          <x:t xml:space="preserve">CURRENT</x:t>
        </x:is>
      </x:c>
      <x:c r="AM81" t="inlineStr">
        <x:is>
          <x:t xml:space="preserve">CS008</x:t>
        </x:is>
      </x:c>
      <x:c r="AN81" s="42" t="inlineStr">
        <x:is>
          <x:t xml:space="preserve">Official expansion. Relevant to feed-sourcing requirements under IFA aquaculture.</x:t>
        </x:is>
      </x:c>
      <x:c r="AO81" t="inlineStr">
        <x:is>
          <x:t xml:space="preserve">OFFICIAL_WEBSITE</x:t>
        </x:is>
      </x:c>
      <x:c r="AP81" t="inlineStr">
        <x:is>
          <x:t xml:space="preserve">OFFICIAL_ORIGINAL</x:t>
        </x:is>
      </x:c>
      <x:c r="AQ81" t="inlineStr">
        <x:is>
          <x:t xml:space="preserve">VERSIONED</x:t>
        </x:is>
      </x:c>
      <x:c r="AR81" s="42" t="str"/>
    </x:row>
    <x:row r="82" s="36" customFormat="1" ht="42" customHeight="1">
      <x:c r="A82" t="inlineStr">
        <x:is>
          <x:t xml:space="preserve">CS013</x:t>
        </x:is>
      </x:c>
      <x:c r="B82" t="inlineStr">
        <x:is>
          <x:t xml:space="preserve">CS013-001</x:t>
        </x:is>
      </x:c>
      <x:c r="C82" s="42" t="inlineStr">
        <x:is>
          <x:t xml:space="preserve">GLOBALG.A.P. General Regulations - Rules for individual producers</x:t>
        </x:is>
      </x:c>
      <x:c r="D82" s="669" t="inlineStr">
        <x:is>
          <x:t xml:space="preserve">https://globalgap.org/what-we-offer/solutions/ifa-aquaculture/</x:t>
        </x:is>
      </x:c>
      <x:c r="E82" s="669" t="inlineStr">
        <x:is>
          <x:t xml:space="preserve">https://documents.globalgap.org/documents/240902_GG_GR_Rules_for_IP_v6_0_Aug24_en.pdf</x:t>
        </x:is>
      </x:c>
      <x:c r="F82" t="inlineStr">
        <x:is>
          <x:t xml:space="preserve">C_Certification_Scheme</x:t>
        </x:is>
      </x:c>
      <x:c r="G82" t="inlineStr">
        <x:is>
          <x:t xml:space="preserve">pdf</x:t>
        </x:is>
      </x:c>
      <x:c r="H82" t="inlineStr">
        <x:is>
          <x:t xml:space="preserve">CS013-001_GLOBALG.A.P._General_Regulations_-_Rules_for_individual_producers.pdf</x:t>
        </x:is>
      </x:c>
      <x:c r="I82" t="inlineStr">
        <x:is>
          <x:t xml:space="preserve">STORED</x:t>
        </x:is>
      </x:c>
      <x:c r="J82" t="inlineStr">
        <x:is>
          <x:t xml:space="preserve">GLOBALG.A.P.</x:t>
        </x:is>
      </x:c>
      <x:c r="K82" t="inlineStr">
        <x:is>
          <x:t xml:space="preserve">International</x:t>
        </x:is>
      </x:c>
      <x:c r="L82" t="inlineStr">
        <x:is>
          <x:t xml:space="preserve">English</x:t>
        </x:is>
      </x:c>
      <x:c r="M82" t="inlineStr">
        <x:is>
          <x:t xml:space="preserve">6.0_Aug24</x:t>
        </x:is>
      </x:c>
      <x:c r="N82" s="397" t="n">
        <x:v>45510</x:v>
      </x:c>
      <x:c r="O82" t="inlineStr">
        <x:is>
          <x:t xml:space="preserve">Certification scheme</x:t>
        </x:is>
      </x:c>
      <x:c r="P82" t="inlineStr">
        <x:is>
          <x:t xml:space="preserve">Scheme standard</x:t>
        </x:is>
      </x:c>
      <x:c r="Q82" t="inlineStr">
        <x:is>
          <x:t xml:space="preserve">Referenced normative</x:t>
        </x:is>
      </x:c>
      <x:c r="R82" s="42" t="inlineStr">
        <x:is>
          <x:t xml:space="preserve">Official referenced source from GLOBALG.A.P.; included because an applicable law, permit or certification scheme may make its provisions binding within the approved scope.</x:t>
        </x:is>
      </x:c>
      <x:c r="S82" t="inlineStr">
        <x:is>
          <x:t xml:space="preserve">HIGH</x:t>
        </x:is>
      </x:c>
      <x:c r="T82" t="inlineStr">
        <x:is>
          <x:t xml:space="preserve">MEDIUM</x:t>
        </x:is>
      </x:c>
      <x:c r="U82" t="inlineStr">
        <x:is>
          <x:t xml:space="preserve">HIGH</x:t>
        </x:is>
      </x:c>
      <x:c r="V82" t="inlineStr">
        <x:is>
          <x:t xml:space="preserve">HIGH</x:t>
        </x:is>
      </x:c>
      <x:c r="W82" t="inlineStr">
        <x:is>
          <x:t xml:space="preserve">HIGH</x:t>
        </x:is>
      </x:c>
      <x:c r="X82" t="inlineStr">
        <x:is>
          <x:t xml:space="preserve">HIGH</x:t>
        </x:is>
      </x:c>
      <x:c r="Y82" t="str">
        <x:f>IF(A82="","",IF(OR(J82="",AO82="",AP82="",AP82="UNVERIFIED",AND(AO82="OFFICIAL_WEBSITE",D82=""),AND(OR(P82="Equipment manual / OEM instruction",Q82="Asset-specific normative"),OR(O82&lt;&gt;"Manufacturer / supplier",AR82="",R82=""))),"PENDING",IF(COUNTIF(S82:W82,"LOW")&gt;0,"EXCLUDE",IF(COUNTIF(S82:W82,"MEDIUM")&gt;0,"PENDING",IF(COUNTIF(S82:W82,"HIGH")=5,"INCLUDE","PENDING")))))</x:f>
        <x:v>PENDING</x:v>
      </x:c>
      <x:c r="Z82" t="inlineStr">
        <x:is>
          <x:t xml:space="preserve">SUCCESS</x:t>
        </x:is>
      </x:c>
      <x:c r="AA82" s="398" t="n">
        <x:v>46262.53116898148</x:v>
      </x:c>
      <x:c r="AB82" s="398" t="n">
        <x:v>46262.53118055555</x:v>
      </x:c>
      <x:c r="AC82" s="398" t="inlineStr">
        <x:is>
          <x:t xml:space="preserve">INITIAL</x:t>
        </x:is>
      </x:c>
      <x:c r="AD82" s="398" t="inlineStr">
        <x:is>
          <x:t xml:space="preserve">AUTO</x:t>
        </x:is>
      </x:c>
      <x:c r="AE82" s="398" t="n">
        <x:f>IF(A82="","",IF(AD82="AUTO",AB82,IF(AD82="MANUAL",AF82,"")))</x:f>
        <x:v>46262.53118055555</x:v>
      </x:c>
      <x:c r="AF82" s="397" t="n"/>
      <x:c r="AH82" t="inlineStr">
        <x:is>
          <x:t xml:space="preserve">NONE</x:t>
        </x:is>
      </x:c>
      <x:c r="AI82" s="42" t="str"/>
      <x:c r="AJ82" t="str">
        <x:f>IF(OR(AL82&lt;&gt;"CURRENT",Y82="EXCLUDE"),"NO",IF(A82="","",IF(Z82="FAIL",IF(AND(AF82&lt;&gt;"",AF82&gt;=INT(AA82),I82="STORED",AD82="MANUAL",AG82&lt;&gt;""),"NO","YES"),IF(AND(AQ82="ROLLING",AC82="CHANGED"),IF(AND(AF82&lt;&gt;"",AF82&gt;=INT(IF(AB82&lt;&gt;"",AB82,AA82)),AG82&lt;&gt;""),"NO","YES"),"NO"))))</x:f>
        <x:v>NO</x:v>
      </x:c>
      <x:c r="AK82" t="inlineStr">
        <x:is>
          <x:t xml:space="preserve">1015d3e9d049ce63876f8e511408e9d9e61c38598caf48442dc42be26c6d2716</x:t>
        </x:is>
      </x:c>
      <x:c r="AL82" t="inlineStr">
        <x:is>
          <x:t xml:space="preserve">CURRENT</x:t>
        </x:is>
      </x:c>
      <x:c r="AM82" t="inlineStr">
        <x:is>
          <x:t xml:space="preserve">CS008</x:t>
        </x:is>
      </x:c>
      <x:c r="AN82" s="42" t="inlineStr">
        <x:is>
          <x:t xml:space="preserve">Coverage-audit expansion. The project checklist explicitly cites these rules for individual-producer self-assessment and certification.</x:t>
        </x:is>
      </x:c>
      <x:c r="AO82" t="inlineStr">
        <x:is>
          <x:t xml:space="preserve">OFFICIAL_WEBSITE</x:t>
        </x:is>
      </x:c>
      <x:c r="AP82" t="inlineStr">
        <x:is>
          <x:t xml:space="preserve">OFFICIAL_ORIGINAL</x:t>
        </x:is>
      </x:c>
      <x:c r="AQ82" t="inlineStr">
        <x:is>
          <x:t xml:space="preserve">VERSIONED</x:t>
        </x:is>
      </x:c>
      <x:c r="AR82" s="42" t="str"/>
    </x:row>
    <x:row r="83" s="36" customFormat="1" ht="42" customHeight="1">
      <x:c r="A83" t="inlineStr">
        <x:is>
          <x:t xml:space="preserve">CS014</x:t>
        </x:is>
      </x:c>
      <x:c r="B83" t="inlineStr">
        <x:is>
          <x:t xml:space="preserve">CS014-001</x:t>
        </x:is>
      </x:c>
      <x:c r="C83" s="42" t="inlineStr">
        <x:is>
          <x:t xml:space="preserve">GLOBALG.A.P. General Regulations - Rules for producer groups and multisite producers with QMS</x:t>
        </x:is>
      </x:c>
      <x:c r="D83" s="669" t="inlineStr">
        <x:is>
          <x:t xml:space="preserve">https://globalgap.org/what-we-offer/solutions/ifa-aquaculture/</x:t>
        </x:is>
      </x:c>
      <x:c r="E83" s="669" t="inlineStr">
        <x:is>
          <x:t xml:space="preserve">https://documents.globalgap.org/documents/240902_GG_GR_Rules_for_QMS_v6_0_Aug24_en.pdf</x:t>
        </x:is>
      </x:c>
      <x:c r="F83" t="inlineStr">
        <x:is>
          <x:t xml:space="preserve">C_Certification_Scheme</x:t>
        </x:is>
      </x:c>
      <x:c r="G83" t="inlineStr">
        <x:is>
          <x:t xml:space="preserve">pdf</x:t>
        </x:is>
      </x:c>
      <x:c r="H83" t="inlineStr">
        <x:is>
          <x:t xml:space="preserve">CS014-001_GLOBALG.A.P._General_Regulations_-_Rules_for_producer_groups_and_multisite_producers_with_QMS.pdf</x:t>
        </x:is>
      </x:c>
      <x:c r="I83" t="inlineStr">
        <x:is>
          <x:t xml:space="preserve">STORED</x:t>
        </x:is>
      </x:c>
      <x:c r="J83" t="inlineStr">
        <x:is>
          <x:t xml:space="preserve">GLOBALG.A.P.</x:t>
        </x:is>
      </x:c>
      <x:c r="K83" t="inlineStr">
        <x:is>
          <x:t xml:space="preserve">International</x:t>
        </x:is>
      </x:c>
      <x:c r="L83" t="inlineStr">
        <x:is>
          <x:t xml:space="preserve">English</x:t>
        </x:is>
      </x:c>
      <x:c r="M83" t="inlineStr">
        <x:is>
          <x:t xml:space="preserve">6.0_Aug24</x:t>
        </x:is>
      </x:c>
      <x:c r="N83" s="397" t="n">
        <x:v>45510</x:v>
      </x:c>
      <x:c r="O83" t="inlineStr">
        <x:is>
          <x:t xml:space="preserve">Certification scheme</x:t>
        </x:is>
      </x:c>
      <x:c r="P83" t="inlineStr">
        <x:is>
          <x:t xml:space="preserve">Scheme standard</x:t>
        </x:is>
      </x:c>
      <x:c r="Q83" t="inlineStr">
        <x:is>
          <x:t xml:space="preserve">Referenced normative</x:t>
        </x:is>
      </x:c>
      <x:c r="R83" s="42" t="inlineStr">
        <x:is>
          <x:t xml:space="preserve">Official referenced source from GLOBALG.A.P.; included because an applicable law, permit or certification scheme may make its provisions binding within the approved scope.</x:t>
        </x:is>
      </x:c>
      <x:c r="S83" t="inlineStr">
        <x:is>
          <x:t xml:space="preserve">HIGH</x:t>
        </x:is>
      </x:c>
      <x:c r="T83" t="inlineStr">
        <x:is>
          <x:t xml:space="preserve">MEDIUM</x:t>
        </x:is>
      </x:c>
      <x:c r="U83" t="inlineStr">
        <x:is>
          <x:t xml:space="preserve">HIGH</x:t>
        </x:is>
      </x:c>
      <x:c r="V83" t="inlineStr">
        <x:is>
          <x:t xml:space="preserve">HIGH</x:t>
        </x:is>
      </x:c>
      <x:c r="W83" t="inlineStr">
        <x:is>
          <x:t xml:space="preserve">HIGH</x:t>
        </x:is>
      </x:c>
      <x:c r="X83" t="inlineStr">
        <x:is>
          <x:t xml:space="preserve">HIGH</x:t>
        </x:is>
      </x:c>
      <x:c r="Y83" t="str">
        <x:f>IF(A83="","",IF(OR(J83="",AO83="",AP83="",AP83="UNVERIFIED",AND(AO83="OFFICIAL_WEBSITE",D83=""),AND(OR(P83="Equipment manual / OEM instruction",Q83="Asset-specific normative"),OR(O83&lt;&gt;"Manufacturer / supplier",AR83="",R83=""))),"PENDING",IF(COUNTIF(S83:W83,"LOW")&gt;0,"EXCLUDE",IF(COUNTIF(S83:W83,"MEDIUM")&gt;0,"PENDING",IF(COUNTIF(S83:W83,"HIGH")=5,"INCLUDE","PENDING")))))</x:f>
        <x:v>PENDING</x:v>
      </x:c>
      <x:c r="Z83" t="inlineStr">
        <x:is>
          <x:t xml:space="preserve">SUCCESS</x:t>
        </x:is>
      </x:c>
      <x:c r="AA83" s="398" t="n">
        <x:v>46262.53118055555</x:v>
      </x:c>
      <x:c r="AB83" s="398" t="n">
        <x:v>46262.53119212963</x:v>
      </x:c>
      <x:c r="AC83" s="398" t="inlineStr">
        <x:is>
          <x:t xml:space="preserve">INITIAL</x:t>
        </x:is>
      </x:c>
      <x:c r="AD83" s="398" t="inlineStr">
        <x:is>
          <x:t xml:space="preserve">AUTO</x:t>
        </x:is>
      </x:c>
      <x:c r="AE83" s="398" t="n">
        <x:f>IF(A83="","",IF(AD83="AUTO",AB83,IF(AD83="MANUAL",AF83,"")))</x:f>
        <x:v>46262.53119212963</x:v>
      </x:c>
      <x:c r="AF83" s="397" t="n"/>
      <x:c r="AH83" t="inlineStr">
        <x:is>
          <x:t xml:space="preserve">NONE</x:t>
        </x:is>
      </x:c>
      <x:c r="AI83" s="42" t="str"/>
      <x:c r="AJ83" t="str">
        <x:f>IF(OR(AL83&lt;&gt;"CURRENT",Y83="EXCLUDE"),"NO",IF(A83="","",IF(Z83="FAIL",IF(AND(AF83&lt;&gt;"",AF83&gt;=INT(AA83),I83="STORED",AD83="MANUAL",AG83&lt;&gt;""),"NO","YES"),IF(AND(AQ83="ROLLING",AC83="CHANGED"),IF(AND(AF83&lt;&gt;"",AF83&gt;=INT(IF(AB83&lt;&gt;"",AB83,AA83)),AG83&lt;&gt;""),"NO","YES"),"NO"))))</x:f>
        <x:v>NO</x:v>
      </x:c>
      <x:c r="AK83" t="inlineStr">
        <x:is>
          <x:t xml:space="preserve">28042ea052f0ef9fe863d94d9035ef3fe4b390ef0f51c304eeb677cf22156dcf</x:t>
        </x:is>
      </x:c>
      <x:c r="AL83" t="inlineStr">
        <x:is>
          <x:t xml:space="preserve">CURRENT</x:t>
        </x:is>
      </x:c>
      <x:c r="AM83" t="inlineStr">
        <x:is>
          <x:t xml:space="preserve">CS008</x:t>
        </x:is>
      </x:c>
      <x:c r="AN83" s="42" t="inlineStr">
        <x:is>
          <x:t xml:space="preserve">Coverage-audit expansion. The project checklist explicitly cites these rules for QMS audits and group or multisite certification.</x:t>
        </x:is>
      </x:c>
      <x:c r="AO83" t="inlineStr">
        <x:is>
          <x:t xml:space="preserve">OFFICIAL_WEBSITE</x:t>
        </x:is>
      </x:c>
      <x:c r="AP83" t="inlineStr">
        <x:is>
          <x:t xml:space="preserve">OFFICIAL_ORIGINAL</x:t>
        </x:is>
      </x:c>
      <x:c r="AQ83" t="inlineStr">
        <x:is>
          <x:t xml:space="preserve">VERSIONED</x:t>
        </x:is>
      </x:c>
      <x:c r="AR83" s="42" t="str"/>
    </x:row>
    <x:row r="84" s="36" customFormat="1" ht="42" customHeight="1">
      <x:c r="A84" t="inlineStr">
        <x:is>
          <x:t xml:space="preserve">CS015</x:t>
        </x:is>
      </x:c>
      <x:c r="B84" t="inlineStr">
        <x:is>
          <x:t xml:space="preserve">CS015-001</x:t>
        </x:is>
      </x:c>
      <x:c r="C84" s="42" t="inlineStr">
        <x:is>
          <x:t xml:space="preserve">GLOBALG.A.P. trademarks use: Policy and guidelines</x:t>
        </x:is>
      </x:c>
      <x:c r="D84" s="669" t="inlineStr">
        <x:is>
          <x:t xml:space="preserve">https://globalgap.org/what-we-offer/solutions/ifa-aquaculture/</x:t>
        </x:is>
      </x:c>
      <x:c r="E84" s="669" t="inlineStr">
        <x:is>
          <x:t xml:space="preserve">https://documents.globalgap.org/documents/230523_GG_Trademarks_policy_v1_0-1_en.pdf</x:t>
        </x:is>
      </x:c>
      <x:c r="F84" t="inlineStr">
        <x:is>
          <x:t xml:space="preserve">C_Certification_Scheme</x:t>
        </x:is>
      </x:c>
      <x:c r="G84" t="inlineStr">
        <x:is>
          <x:t xml:space="preserve">pdf</x:t>
        </x:is>
      </x:c>
      <x:c r="H84" t="inlineStr">
        <x:is>
          <x:t xml:space="preserve">CS015-001_GLOBALG.A.P._trademarks_use_Policy_and_guidelines.pdf</x:t>
        </x:is>
      </x:c>
      <x:c r="I84" t="inlineStr">
        <x:is>
          <x:t xml:space="preserve">STORED</x:t>
        </x:is>
      </x:c>
      <x:c r="J84" t="inlineStr">
        <x:is>
          <x:t xml:space="preserve">GLOBALG.A.P.</x:t>
        </x:is>
      </x:c>
      <x:c r="K84" t="inlineStr">
        <x:is>
          <x:t xml:space="preserve">International</x:t>
        </x:is>
      </x:c>
      <x:c r="L84" t="inlineStr">
        <x:is>
          <x:t xml:space="preserve">English</x:t>
        </x:is>
      </x:c>
      <x:c r="M84" t="inlineStr">
        <x:is>
          <x:t xml:space="preserve">1.0-1</x:t>
        </x:is>
      </x:c>
      <x:c r="N84" s="397" t="n"/>
      <x:c r="O84" t="inlineStr">
        <x:is>
          <x:t xml:space="preserve">Certification scheme</x:t>
        </x:is>
      </x:c>
      <x:c r="P84" t="inlineStr">
        <x:is>
          <x:t xml:space="preserve">Scheme standard</x:t>
        </x:is>
      </x:c>
      <x:c r="Q84" t="inlineStr">
        <x:is>
          <x:t xml:space="preserve">Referenced normative</x:t>
        </x:is>
      </x:c>
      <x:c r="R84" s="42" t="inlineStr">
        <x:is>
          <x:t xml:space="preserve">Official referenced source from GLOBALG.A.P.; included because an applicable law, permit or certification scheme may make its provisions binding within the approved scope.</x:t>
        </x:is>
      </x:c>
      <x:c r="S84" t="inlineStr">
        <x:is>
          <x:t xml:space="preserve">HIGH</x:t>
        </x:is>
      </x:c>
      <x:c r="T84" t="inlineStr">
        <x:is>
          <x:t xml:space="preserve">HIGH</x:t>
        </x:is>
      </x:c>
      <x:c r="U84" t="inlineStr">
        <x:is>
          <x:t xml:space="preserve">HIGH</x:t>
        </x:is>
      </x:c>
      <x:c r="V84" t="inlineStr">
        <x:is>
          <x:t xml:space="preserve">HIGH</x:t>
        </x:is>
      </x:c>
      <x:c r="W84" t="inlineStr">
        <x:is>
          <x:t xml:space="preserve">HIGH</x:t>
        </x:is>
      </x:c>
      <x:c r="X84" t="inlineStr">
        <x:is>
          <x:t xml:space="preserve">HIGH</x:t>
        </x:is>
      </x:c>
      <x:c r="Y84" t="str">
        <x:f>IF(A84="","",IF(OR(J84="",AO84="",AP84="",AP84="UNVERIFIED",AND(AO84="OFFICIAL_WEBSITE",D84=""),AND(OR(P84="Equipment manual / OEM instruction",Q84="Asset-specific normative"),OR(O84&lt;&gt;"Manufacturer / supplier",AR84="",R84=""))),"PENDING",IF(COUNTIF(S84:W84,"LOW")&gt;0,"EXCLUDE",IF(COUNTIF(S84:W84,"MEDIUM")&gt;0,"PENDING",IF(COUNTIF(S84:W84,"HIGH")=5,"INCLUDE","PENDING")))))</x:f>
        <x:v>INCLUDE</x:v>
      </x:c>
      <x:c r="Z84" t="inlineStr">
        <x:is>
          <x:t xml:space="preserve">SUCCESS</x:t>
        </x:is>
      </x:c>
      <x:c r="AA84" s="398" t="n">
        <x:v>46262.53119212963</x:v>
      </x:c>
      <x:c r="AB84" s="398" t="n">
        <x:v>46262.5312037037</x:v>
      </x:c>
      <x:c r="AC84" s="398" t="inlineStr">
        <x:is>
          <x:t xml:space="preserve">INITIAL</x:t>
        </x:is>
      </x:c>
      <x:c r="AD84" s="398" t="inlineStr">
        <x:is>
          <x:t xml:space="preserve">AUTO</x:t>
        </x:is>
      </x:c>
      <x:c r="AE84" s="398" t="n">
        <x:f>IF(A84="","",IF(AD84="AUTO",AB84,IF(AD84="MANUAL",AF84,"")))</x:f>
        <x:v>46262.5312037037</x:v>
      </x:c>
      <x:c r="AF84" s="397" t="n"/>
      <x:c r="AH84" t="inlineStr">
        <x:is>
          <x:t xml:space="preserve">NONE</x:t>
        </x:is>
      </x:c>
      <x:c r="AI84" s="42" t="str"/>
      <x:c r="AJ84" t="str">
        <x:f>IF(OR(AL84&lt;&gt;"CURRENT",Y84="EXCLUDE"),"NO",IF(A84="","",IF(Z84="FAIL",IF(AND(AF84&lt;&gt;"",AF84&gt;=INT(AA84),I84="STORED",AD84="MANUAL",AG84&lt;&gt;""),"NO","YES"),IF(AND(AQ84="ROLLING",AC84="CHANGED"),IF(AND(AF84&lt;&gt;"",AF84&gt;=INT(IF(AB84&lt;&gt;"",AB84,AA84)),AG84&lt;&gt;""),"NO","YES"),"NO"))))</x:f>
        <x:v>NO</x:v>
      </x:c>
      <x:c r="AK84" t="inlineStr">
        <x:is>
          <x:t xml:space="preserve">7279130c3617610cebaaceb4ecae44014f8df742aa4a7ac741a4e4346a066096</x:t>
        </x:is>
      </x:c>
      <x:c r="AL84" t="inlineStr">
        <x:is>
          <x:t xml:space="preserve">CURRENT</x:t>
        </x:is>
      </x:c>
      <x:c r="AM84" t="inlineStr">
        <x:is>
          <x:t xml:space="preserve">CS008</x:t>
        </x:is>
      </x:c>
      <x:c r="AN84" s="42" t="inlineStr">
        <x:is>
          <x:t xml:space="preserve">Coverage-audit expansion. The project checklist cites this policy for certification claims, marks and identification numbers.</x:t>
        </x:is>
      </x:c>
      <x:c r="AO84" t="inlineStr">
        <x:is>
          <x:t xml:space="preserve">OFFICIAL_WEBSITE</x:t>
        </x:is>
      </x:c>
      <x:c r="AP84" t="inlineStr">
        <x:is>
          <x:t xml:space="preserve">OFFICIAL_ORIGINAL</x:t>
        </x:is>
      </x:c>
      <x:c r="AQ84" t="inlineStr">
        <x:is>
          <x:t xml:space="preserve">VERSIONED</x:t>
        </x:is>
      </x:c>
      <x:c r="AR84" s="42" t="str"/>
    </x:row>
    <x:row r="85" s="36" customFormat="1" ht="42" customHeight="1">
      <x:c r="A85" t="inlineStr">
        <x:is>
          <x:t xml:space="preserve">CS016</x:t>
        </x:is>
      </x:c>
      <x:c r="B85" t="inlineStr">
        <x:is>
          <x:t xml:space="preserve">CS016-001</x:t>
        </x:is>
      </x:c>
      <x:c r="C85" s="42" t="inlineStr">
        <x:is>
          <x:t xml:space="preserve">GLOBALG.A.P. GRASP - General Rules</x:t>
        </x:is>
      </x:c>
      <x:c r="D85" s="669" t="inlineStr">
        <x:is>
          <x:t xml:space="preserve">https://globalgap.org/what-we-offer/solutions/grasp/</x:t>
        </x:is>
      </x:c>
      <x:c r="E85" s="669" t="inlineStr">
        <x:is>
          <x:t xml:space="preserve">https://documents.globalgap.org/documents/220929_GRASP_general_rules_v2_0_Sep22_en.pdf</x:t>
        </x:is>
      </x:c>
      <x:c r="F85" t="inlineStr">
        <x:is>
          <x:t xml:space="preserve">C_Certification_Scheme</x:t>
        </x:is>
      </x:c>
      <x:c r="G85" t="inlineStr">
        <x:is>
          <x:t xml:space="preserve">pdf</x:t>
        </x:is>
      </x:c>
      <x:c r="H85" t="inlineStr">
        <x:is>
          <x:t xml:space="preserve">CS016-001_GLOBALG.A.P._GRASP_-_General_Rules.pdf</x:t>
        </x:is>
      </x:c>
      <x:c r="I85" t="inlineStr">
        <x:is>
          <x:t xml:space="preserve">STORED</x:t>
        </x:is>
      </x:c>
      <x:c r="J85" t="inlineStr">
        <x:is>
          <x:t xml:space="preserve">GLOBALG.A.P.</x:t>
        </x:is>
      </x:c>
      <x:c r="K85" t="inlineStr">
        <x:is>
          <x:t xml:space="preserve">International</x:t>
        </x:is>
      </x:c>
      <x:c r="L85" t="inlineStr">
        <x:is>
          <x:t xml:space="preserve">English</x:t>
        </x:is>
      </x:c>
      <x:c r="M85" t="inlineStr">
        <x:is>
          <x:t xml:space="preserve">2.0_Sep22</x:t>
        </x:is>
      </x:c>
      <x:c r="N85" s="397" t="n">
        <x:v>45292</x:v>
      </x:c>
      <x:c r="O85" t="inlineStr">
        <x:is>
          <x:t xml:space="preserve">Certification scheme</x:t>
        </x:is>
      </x:c>
      <x:c r="P85" t="inlineStr">
        <x:is>
          <x:t xml:space="preserve">Scheme standard</x:t>
        </x:is>
      </x:c>
      <x:c r="Q85" t="inlineStr">
        <x:is>
          <x:t xml:space="preserve">Referenced normative</x:t>
        </x:is>
      </x:c>
      <x:c r="R85" s="42" t="inlineStr">
        <x:is>
          <x:t xml:space="preserve">Official referenced source from GLOBALG.A.P.; included because an applicable law, permit or certification scheme may make its provisions binding within the approved scope.</x:t>
        </x:is>
      </x:c>
      <x:c r="S85" t="inlineStr">
        <x:is>
          <x:t xml:space="preserve">HIGH</x:t>
        </x:is>
      </x:c>
      <x:c r="T85" t="inlineStr">
        <x:is>
          <x:t xml:space="preserve">HIGH</x:t>
        </x:is>
      </x:c>
      <x:c r="U85" t="inlineStr">
        <x:is>
          <x:t xml:space="preserve">HIGH</x:t>
        </x:is>
      </x:c>
      <x:c r="V85" t="inlineStr">
        <x:is>
          <x:t xml:space="preserve">HIGH</x:t>
        </x:is>
      </x:c>
      <x:c r="W85" t="inlineStr">
        <x:is>
          <x:t xml:space="preserve">HIGH</x:t>
        </x:is>
      </x:c>
      <x:c r="X85" t="inlineStr">
        <x:is>
          <x:t xml:space="preserve">HIGH</x:t>
        </x:is>
      </x:c>
      <x:c r="Y85" t="str">
        <x:f>IF(A85="","",IF(OR(J85="",AO85="",AP85="",AP85="UNVERIFIED",AND(AO85="OFFICIAL_WEBSITE",D85=""),AND(OR(P85="Equipment manual / OEM instruction",Q85="Asset-specific normative"),OR(O85&lt;&gt;"Manufacturer / supplier",AR85="",R85=""))),"PENDING",IF(COUNTIF(S85:W85,"LOW")&gt;0,"EXCLUDE",IF(COUNTIF(S85:W85,"MEDIUM")&gt;0,"PENDING",IF(COUNTIF(S85:W85,"HIGH")=5,"INCLUDE","PENDING")))))</x:f>
        <x:v>INCLUDE</x:v>
      </x:c>
      <x:c r="Z85" t="inlineStr">
        <x:is>
          <x:t xml:space="preserve">SUCCESS</x:t>
        </x:is>
      </x:c>
      <x:c r="AA85" s="398" t="n">
        <x:v>46262.5312037037</x:v>
      </x:c>
      <x:c r="AB85" s="398" t="n">
        <x:v>46262.53121527778</x:v>
      </x:c>
      <x:c r="AC85" s="398" t="inlineStr">
        <x:is>
          <x:t xml:space="preserve">INITIAL</x:t>
        </x:is>
      </x:c>
      <x:c r="AD85" s="398" t="inlineStr">
        <x:is>
          <x:t xml:space="preserve">AUTO</x:t>
        </x:is>
      </x:c>
      <x:c r="AE85" s="398" t="n">
        <x:f>IF(A85="","",IF(AD85="AUTO",AB85,IF(AD85="MANUAL",AF85,"")))</x:f>
        <x:v>46262.53121527778</x:v>
      </x:c>
      <x:c r="AF85" s="397" t="n"/>
      <x:c r="AH85" t="inlineStr">
        <x:is>
          <x:t xml:space="preserve">NONE</x:t>
        </x:is>
      </x:c>
      <x:c r="AI85" s="42" t="str"/>
      <x:c r="AJ85" t="str">
        <x:f>IF(OR(AL85&lt;&gt;"CURRENT",Y85="EXCLUDE"),"NO",IF(A85="","",IF(Z85="FAIL",IF(AND(AF85&lt;&gt;"",AF85&gt;=INT(AA85),I85="STORED",AD85="MANUAL",AG85&lt;&gt;""),"NO","YES"),IF(AND(AQ85="ROLLING",AC85="CHANGED"),IF(AND(AF85&lt;&gt;"",AF85&gt;=INT(IF(AB85&lt;&gt;"",AB85,AA85)),AG85&lt;&gt;""),"NO","YES"),"NO"))))</x:f>
        <x:v>NO</x:v>
      </x:c>
      <x:c r="AK85" t="inlineStr">
        <x:is>
          <x:t xml:space="preserve">57c35d150287f8092a9af4a79842d206e1761e9428cf9201d828f9ac563a96e5</x:t>
        </x:is>
      </x:c>
      <x:c r="AL85" t="inlineStr">
        <x:is>
          <x:t xml:space="preserve">CURRENT</x:t>
        </x:is>
      </x:c>
      <x:c r="AM85" t="inlineStr">
        <x:is>
          <x:t xml:space="preserve">CS011</x:t>
        </x:is>
      </x:c>
      <x:c r="AN85" s="42" t="inlineStr">
        <x:is>
          <x:t xml:space="preserve">Coverage-audit expansion. GRASP is mandatory for IFA v6 aquaculture and these rules define its application and assessment process.</x:t>
        </x:is>
      </x:c>
      <x:c r="AO85" t="inlineStr">
        <x:is>
          <x:t xml:space="preserve">OFFICIAL_WEBSITE</x:t>
        </x:is>
      </x:c>
      <x:c r="AP85" t="inlineStr">
        <x:is>
          <x:t xml:space="preserve">OFFICIAL_ORIGINAL</x:t>
        </x:is>
      </x:c>
      <x:c r="AQ85" t="inlineStr">
        <x:is>
          <x:t xml:space="preserve">VERSIONED</x:t>
        </x:is>
      </x:c>
      <x:c r="AR85" s="42" t="str"/>
    </x:row>
    <x:row r="86" s="36" customFormat="1" ht="42" customHeight="1">
      <x:c r="A86" t="inlineStr">
        <x:is>
          <x:t xml:space="preserve">CS017</x:t>
        </x:is>
      </x:c>
      <x:c r="B86" t="inlineStr">
        <x:is>
          <x:t xml:space="preserve">CS017-001</x:t>
        </x:is>
      </x:c>
      <x:c r="C86" s="42" t="inlineStr">
        <x:is>
          <x:t xml:space="preserve">GLOBALG.A.P. GRASP v2 National Interpretation Guideline for Norway</x:t>
        </x:is>
      </x:c>
      <x:c r="D86" s="669" t="inlineStr">
        <x:is>
          <x:t xml:space="preserve">https://globalgap.org/what-we-offer/solutions/grasp/</x:t>
        </x:is>
      </x:c>
      <x:c r="E86" s="669" t="str"/>
      <x:c r="F86" t="inlineStr">
        <x:is>
          <x:t xml:space="preserve">C_Certification_Scheme</x:t>
        </x:is>
      </x:c>
      <x:c r="G86" t="inlineStr">
        <x:is>
          <x:t xml:space="preserve">pdf</x:t>
        </x:is>
      </x:c>
      <x:c r="H86" t="inlineStr">
        <x:is>
          <x:t xml:space="preserve">CS017-001_GLOBALG.A.P._GRASP_v2_National_Interpretation_Guideline_for_Norway.pdf</x:t>
        </x:is>
      </x:c>
      <x:c r="I86" t="inlineStr">
        <x:is>
          <x:t xml:space="preserve">NOT_COLLECTED</x:t>
        </x:is>
      </x:c>
      <x:c r="J86" t="inlineStr">
        <x:is>
          <x:t xml:space="preserve">GLOBALG.A.P.</x:t>
        </x:is>
      </x:c>
      <x:c r="K86" t="inlineStr">
        <x:is>
          <x:t xml:space="preserve">Norway</x:t>
        </x:is>
      </x:c>
      <x:c r="L86" t="inlineStr">
        <x:is>
          <x:t xml:space="preserve">Norwegian</x:t>
        </x:is>
      </x:c>
      <x:c r="M86" t="inlineStr">
        <x:is>
          <x:t xml:space="preserve">V2</x:t>
        </x:is>
      </x:c>
      <x:c r="N86" s="397" t="n"/>
      <x:c r="O86" t="inlineStr">
        <x:is>
          <x:t xml:space="preserve">Certification scheme</x:t>
        </x:is>
      </x:c>
      <x:c r="P86" t="inlineStr">
        <x:is>
          <x:t xml:space="preserve">Interpretation document</x:t>
        </x:is>
      </x:c>
      <x:c r="Q86" t="inlineStr">
        <x:is>
          <x:t xml:space="preserve">Referenced normative</x:t>
        </x:is>
      </x:c>
      <x:c r="R86" s="42" t="inlineStr">
        <x:is>
          <x:t xml:space="preserve">Official referenced source from GLOBALG.A.P.; included because an applicable law, permit or certification scheme may make its provisions binding within the approved scope.</x:t>
        </x:is>
      </x:c>
      <x:c r="S86" t="inlineStr">
        <x:is>
          <x:t xml:space="preserve">HIGH</x:t>
        </x:is>
      </x:c>
      <x:c r="T86" t="inlineStr">
        <x:is>
          <x:t xml:space="preserve">HIGH</x:t>
        </x:is>
      </x:c>
      <x:c r="U86" t="inlineStr">
        <x:is>
          <x:t xml:space="preserve">MEDIUM</x:t>
        </x:is>
      </x:c>
      <x:c r="V86" t="inlineStr">
        <x:is>
          <x:t xml:space="preserve">MEDIUM</x:t>
        </x:is>
      </x:c>
      <x:c r="W86" t="inlineStr">
        <x:is>
          <x:t xml:space="preserve">HIGH</x:t>
        </x:is>
      </x:c>
      <x:c r="X86" t="inlineStr">
        <x:is>
          <x:t xml:space="preserve">LOW</x:t>
        </x:is>
      </x:c>
      <x:c r="Y86" t="str">
        <x:f>IF(A86="","",IF(OR(J86="",AO86="",AP86="",AP86="UNVERIFIED",AND(AO86="OFFICIAL_WEBSITE",D86=""),AND(OR(P86="Equipment manual / OEM instruction",Q86="Asset-specific normative"),OR(O86&lt;&gt;"Manufacturer / supplier",AR86="",R86=""))),"PENDING",IF(COUNTIF(S86:W86,"LOW")&gt;0,"EXCLUDE",IF(COUNTIF(S86:W86,"MEDIUM")&gt;0,"PENDING",IF(COUNTIF(S86:W86,"HIGH")=5,"INCLUDE","PENDING")))))</x:f>
        <x:v>PENDING</x:v>
      </x:c>
      <x:c r="Z86" t="inlineStr">
        <x:is>
          <x:t xml:space="preserve">NOT_RUN</x:t>
        </x:is>
      </x:c>
      <x:c r="AA86" s="398" t="n"/>
      <x:c r="AB86" s="398" t="n"/>
      <x:c r="AC86" s="398" t="inlineStr">
        <x:is>
          <x:t xml:space="preserve">UNKNOWN</x:t>
        </x:is>
      </x:c>
      <x:c r="AD86" s="398" t="inlineStr">
        <x:is>
          <x:t xml:space="preserve">NONE</x:t>
        </x:is>
      </x:c>
      <x:c r="AE86" s="398" t="str">
        <x:f>IF(A86="","",IF(AD86="AUTO",AB86,IF(AD86="MANUAL",AF86,"")))</x:f>
      </x:c>
      <x:c r="AF86" s="397" t="n"/>
      <x:c r="AH86" t="inlineStr">
        <x:is>
          <x:t xml:space="preserve">NONE</x:t>
        </x:is>
      </x:c>
      <x:c r="AI86" s="42" t="str"/>
      <x:c r="AJ86" t="str">
        <x:f>IF(OR(AL86&lt;&gt;"CURRENT",Y86="EXCLUDE"),"NO",IF(A86="","",IF(Z86="FAIL",IF(AND(AF86&lt;&gt;"",AF86&gt;=INT(AA86),I86="STORED",AD86="MANUAL",AG86&lt;&gt;""),"NO","YES"),IF(AND(AQ86="ROLLING",AC86="CHANGED"),IF(AND(AF86&lt;&gt;"",AF86&gt;=INT(IF(AB86&lt;&gt;"",AB86,AA86)),AG86&lt;&gt;""),"NO","YES"),"NO"))))</x:f>
        <x:v>NO</x:v>
      </x:c>
      <x:c r="AL86" t="inlineStr">
        <x:is>
          <x:t xml:space="preserve">CURRENT</x:t>
        </x:is>
      </x:c>
      <x:c r="AM86" t="inlineStr">
        <x:is>
          <x:t xml:space="preserve">CS011</x:t>
        </x:is>
      </x:c>
      <x:c r="AN86" s="42" t="inlineStr">
        <x:is>
          <x:t xml:space="preserve">Coverage-audit expansion. An existing country NIG must be applied; confirm the current Norway document and direct download in the GLOBALG.A.P. document center.</x:t>
        </x:is>
      </x:c>
      <x:c r="AO86" t="inlineStr">
        <x:is>
          <x:t xml:space="preserve">OFFICIAL_WEBSITE</x:t>
        </x:is>
      </x:c>
      <x:c r="AP86" t="inlineStr">
        <x:is>
          <x:t xml:space="preserve">OFFICIAL_ORIGINAL</x:t>
        </x:is>
      </x:c>
      <x:c r="AQ86" t="inlineStr">
        <x:is>
          <x:t xml:space="preserve">VERSIONED</x:t>
        </x:is>
      </x:c>
      <x:c r="AR86" s="42" t="str"/>
    </x:row>
    <x:row r="87" s="36" customFormat="1" ht="42" customHeight="1">
      <x:c r="A87" t="inlineStr">
        <x:is>
          <x:t xml:space="preserve">CS018</x:t>
        </x:is>
      </x:c>
      <x:c r="B87" t="inlineStr">
        <x:is>
          <x:t xml:space="preserve">CS018-001</x:t>
        </x:is>
      </x:c>
      <x:c r="C87" s="42" t="inlineStr">
        <x:is>
          <x:t xml:space="preserve">ASC Vocabulary</x:t>
        </x:is>
      </x:c>
      <x:c r="D87" s="669" t="inlineStr">
        <x:is>
          <x:t xml:space="preserve">https://programme-centre.asc-aqua.org/resource-hub/?filter=farm</x:t>
        </x:is>
      </x:c>
      <x:c r="E87" s="669" t="str"/>
      <x:c r="F87" t="inlineStr">
        <x:is>
          <x:t xml:space="preserve">C_Certification_Scheme</x:t>
        </x:is>
      </x:c>
      <x:c r="G87" t="inlineStr">
        <x:is>
          <x:t xml:space="preserve">pdf</x:t>
        </x:is>
      </x:c>
      <x:c r="H87" t="inlineStr">
        <x:is>
          <x:t xml:space="preserve">CS018-001_ASC_Vocabulary.pdf</x:t>
        </x:is>
      </x:c>
      <x:c r="I87" t="inlineStr">
        <x:is>
          <x:t xml:space="preserve">NOT_COLLECTED</x:t>
        </x:is>
      </x:c>
      <x:c r="J87" t="inlineStr">
        <x:is>
          <x:t xml:space="preserve">Aquaculture Stewardship Council</x:t>
        </x:is>
      </x:c>
      <x:c r="K87" t="inlineStr">
        <x:is>
          <x:t xml:space="preserve">International</x:t>
        </x:is>
      </x:c>
      <x:c r="L87" t="inlineStr">
        <x:is>
          <x:t xml:space="preserve">English</x:t>
        </x:is>
      </x:c>
      <x:c r="N87" s="397" t="n"/>
      <x:c r="O87" t="inlineStr">
        <x:is>
          <x:t xml:space="preserve">Certification scheme</x:t>
        </x:is>
      </x:c>
      <x:c r="P87" t="inlineStr">
        <x:is>
          <x:t xml:space="preserve">Scheme standard</x:t>
        </x:is>
      </x:c>
      <x:c r="Q87" t="inlineStr">
        <x:is>
          <x:t xml:space="preserve">Referenced normative</x:t>
        </x:is>
      </x:c>
      <x:c r="R87" s="42" t="inlineStr">
        <x:is>
          <x:t xml:space="preserve">Official referenced source from Aquaculture Stewardship Council; included because an applicable law, permit or certification scheme may make its provisions binding within the approved scope.</x:t>
        </x:is>
      </x:c>
      <x:c r="S87" t="inlineStr">
        <x:is>
          <x:t xml:space="preserve">HIGH</x:t>
        </x:is>
      </x:c>
      <x:c r="T87" t="inlineStr">
        <x:is>
          <x:t xml:space="preserve">HIGH</x:t>
        </x:is>
      </x:c>
      <x:c r="U87" t="inlineStr">
        <x:is>
          <x:t xml:space="preserve">MEDIUM</x:t>
        </x:is>
      </x:c>
      <x:c r="V87" t="inlineStr">
        <x:is>
          <x:t xml:space="preserve">MEDIUM</x:t>
        </x:is>
      </x:c>
      <x:c r="W87" t="inlineStr">
        <x:is>
          <x:t xml:space="preserve">HIGH</x:t>
        </x:is>
      </x:c>
      <x:c r="X87" t="inlineStr">
        <x:is>
          <x:t xml:space="preserve">LOW</x:t>
        </x:is>
      </x:c>
      <x:c r="Y87" t="str">
        <x:f>IF(A87="","",IF(OR(J87="",AO87="",AP87="",AP87="UNVERIFIED",AND(AO87="OFFICIAL_WEBSITE",D87=""),AND(OR(P87="Equipment manual / OEM instruction",Q87="Asset-specific normative"),OR(O87&lt;&gt;"Manufacturer / supplier",AR87="",R87=""))),"PENDING",IF(COUNTIF(S87:W87,"LOW")&gt;0,"EXCLUDE",IF(COUNTIF(S87:W87,"MEDIUM")&gt;0,"PENDING",IF(COUNTIF(S87:W87,"HIGH")=5,"INCLUDE","PENDING")))))</x:f>
        <x:v>PENDING</x:v>
      </x:c>
      <x:c r="Z87" t="inlineStr">
        <x:is>
          <x:t xml:space="preserve">NOT_RUN</x:t>
        </x:is>
      </x:c>
      <x:c r="AA87" s="398" t="n"/>
      <x:c r="AB87" s="398" t="n"/>
      <x:c r="AC87" s="398" t="inlineStr">
        <x:is>
          <x:t xml:space="preserve">UNKNOWN</x:t>
        </x:is>
      </x:c>
      <x:c r="AD87" s="398" t="inlineStr">
        <x:is>
          <x:t xml:space="preserve">NONE</x:t>
        </x:is>
      </x:c>
      <x:c r="AE87" s="398" t="str">
        <x:f>IF(A87="","",IF(AD87="AUTO",AB87,IF(AD87="MANUAL",AF87,"")))</x:f>
      </x:c>
      <x:c r="AF87" s="397" t="n"/>
      <x:c r="AH87" t="inlineStr">
        <x:is>
          <x:t xml:space="preserve">NONE</x:t>
        </x:is>
      </x:c>
      <x:c r="AI87" s="42" t="str"/>
      <x:c r="AJ87" t="str">
        <x:f>IF(OR(AL87&lt;&gt;"CURRENT",Y87="EXCLUDE"),"NO",IF(A87="","",IF(Z87="FAIL",IF(AND(AF87&lt;&gt;"",AF87&gt;=INT(AA87),I87="STORED",AD87="MANUAL",AG87&lt;&gt;""),"NO","YES"),IF(AND(AQ87="ROLLING",AC87="CHANGED"),IF(AND(AF87&lt;&gt;"",AF87&gt;=INT(IF(AB87&lt;&gt;"",AB87,AA87)),AG87&lt;&gt;""),"NO","YES"),"NO"))))</x:f>
        <x:v>NO</x:v>
      </x:c>
      <x:c r="AL87" t="inlineStr">
        <x:is>
          <x:t xml:space="preserve">CURRENT</x:t>
        </x:is>
      </x:c>
      <x:c r="AM87" t="inlineStr">
        <x:is>
          <x:t xml:space="preserve">CS001</x:t>
        </x:is>
      </x:c>
      <x:c r="AN87" s="42" t="inlineStr">
        <x:is>
          <x:t xml:space="preserve">Official coverage expansion. The current ASC Farm Standard lists the vocabulary as a normative reference; direct-file traceability still requires confirmation.</x:t>
        </x:is>
      </x:c>
      <x:c r="AO87" t="inlineStr">
        <x:is>
          <x:t xml:space="preserve">OFFICIAL_WEBSITE</x:t>
        </x:is>
      </x:c>
      <x:c r="AP87" t="inlineStr">
        <x:is>
          <x:t xml:space="preserve">OFFICIAL_ORIGINAL</x:t>
        </x:is>
      </x:c>
      <x:c r="AQ87" t="inlineStr">
        <x:is>
          <x:t xml:space="preserve">VERSIONED</x:t>
        </x:is>
      </x:c>
      <x:c r="AR87" s="42" t="str"/>
    </x:row>
    <x:row r="88" s="36" customFormat="1" ht="42" customHeight="1">
      <x:c r="A88" t="inlineStr">
        <x:is>
          <x:t xml:space="preserve">CS019</x:t>
        </x:is>
      </x:c>
      <x:c r="B88" t="inlineStr">
        <x:is>
          <x:t xml:space="preserve">CS019-001</x:t>
        </x:is>
      </x:c>
      <x:c r="C88" s="42" t="inlineStr">
        <x:is>
          <x:t xml:space="preserve">ASC Data Submission Requirements</x:t>
        </x:is>
      </x:c>
      <x:c r="D88" s="669" t="inlineStr">
        <x:is>
          <x:t xml:space="preserve">https://programme-centre.asc-aqua.org/resource-hub/?filter=farm</x:t>
        </x:is>
      </x:c>
      <x:c r="E88" s="669" t="str"/>
      <x:c r="F88" t="inlineStr">
        <x:is>
          <x:t xml:space="preserve">C_Certification_Scheme</x:t>
        </x:is>
      </x:c>
      <x:c r="G88" t="inlineStr">
        <x:is>
          <x:t xml:space="preserve">pdf</x:t>
        </x:is>
      </x:c>
      <x:c r="H88" t="inlineStr">
        <x:is>
          <x:t xml:space="preserve">CS019-001_ASC_Data_Submission_Requirements.pdf</x:t>
        </x:is>
      </x:c>
      <x:c r="I88" t="inlineStr">
        <x:is>
          <x:t xml:space="preserve">NOT_COLLECTED</x:t>
        </x:is>
      </x:c>
      <x:c r="J88" t="inlineStr">
        <x:is>
          <x:t xml:space="preserve">Aquaculture Stewardship Council</x:t>
        </x:is>
      </x:c>
      <x:c r="K88" t="inlineStr">
        <x:is>
          <x:t xml:space="preserve">International</x:t>
        </x:is>
      </x:c>
      <x:c r="L88" t="inlineStr">
        <x:is>
          <x:t xml:space="preserve">English</x:t>
        </x:is>
      </x:c>
      <x:c r="N88" s="397" t="n"/>
      <x:c r="O88" t="inlineStr">
        <x:is>
          <x:t xml:space="preserve">Certification scheme</x:t>
        </x:is>
      </x:c>
      <x:c r="P88" t="inlineStr">
        <x:is>
          <x:t xml:space="preserve">Scheme standard</x:t>
        </x:is>
      </x:c>
      <x:c r="Q88" t="inlineStr">
        <x:is>
          <x:t xml:space="preserve">Referenced normative</x:t>
        </x:is>
      </x:c>
      <x:c r="R88" s="42" t="inlineStr">
        <x:is>
          <x:t xml:space="preserve">Official referenced source from Aquaculture Stewardship Council; included because an applicable law, permit or certification scheme may make its provisions binding within the approved scope.</x:t>
        </x:is>
      </x:c>
      <x:c r="S88" t="inlineStr">
        <x:is>
          <x:t xml:space="preserve">HIGH</x:t>
        </x:is>
      </x:c>
      <x:c r="T88" t="inlineStr">
        <x:is>
          <x:t xml:space="preserve">HIGH</x:t>
        </x:is>
      </x:c>
      <x:c r="U88" t="inlineStr">
        <x:is>
          <x:t xml:space="preserve">MEDIUM</x:t>
        </x:is>
      </x:c>
      <x:c r="V88" t="inlineStr">
        <x:is>
          <x:t xml:space="preserve">MEDIUM</x:t>
        </x:is>
      </x:c>
      <x:c r="W88" t="inlineStr">
        <x:is>
          <x:t xml:space="preserve">HIGH</x:t>
        </x:is>
      </x:c>
      <x:c r="X88" t="inlineStr">
        <x:is>
          <x:t xml:space="preserve">LOW</x:t>
        </x:is>
      </x:c>
      <x:c r="Y88" t="str">
        <x:f>IF(A88="","",IF(OR(J88="",AO88="",AP88="",AP88="UNVERIFIED",AND(AO88="OFFICIAL_WEBSITE",D88=""),AND(OR(P88="Equipment manual / OEM instruction",Q88="Asset-specific normative"),OR(O88&lt;&gt;"Manufacturer / supplier",AR88="",R88=""))),"PENDING",IF(COUNTIF(S88:W88,"LOW")&gt;0,"EXCLUDE",IF(COUNTIF(S88:W88,"MEDIUM")&gt;0,"PENDING",IF(COUNTIF(S88:W88,"HIGH")=5,"INCLUDE","PENDING")))))</x:f>
        <x:v>PENDING</x:v>
      </x:c>
      <x:c r="Z88" t="inlineStr">
        <x:is>
          <x:t xml:space="preserve">NOT_RUN</x:t>
        </x:is>
      </x:c>
      <x:c r="AA88" s="398" t="n"/>
      <x:c r="AB88" s="398" t="n"/>
      <x:c r="AC88" s="398" t="inlineStr">
        <x:is>
          <x:t xml:space="preserve">UNKNOWN</x:t>
        </x:is>
      </x:c>
      <x:c r="AD88" s="398" t="inlineStr">
        <x:is>
          <x:t xml:space="preserve">NONE</x:t>
        </x:is>
      </x:c>
      <x:c r="AE88" s="398" t="str">
        <x:f>IF(A88="","",IF(AD88="AUTO",AB88,IF(AD88="MANUAL",AF88,"")))</x:f>
      </x:c>
      <x:c r="AF88" s="397" t="n"/>
      <x:c r="AH88" t="inlineStr">
        <x:is>
          <x:t xml:space="preserve">NONE</x:t>
        </x:is>
      </x:c>
      <x:c r="AI88" s="42" t="str"/>
      <x:c r="AJ88" t="str">
        <x:f>IF(OR(AL88&lt;&gt;"CURRENT",Y88="EXCLUDE"),"NO",IF(A88="","",IF(Z88="FAIL",IF(AND(AF88&lt;&gt;"",AF88&gt;=INT(AA88),I88="STORED",AD88="MANUAL",AG88&lt;&gt;""),"NO","YES"),IF(AND(AQ88="ROLLING",AC88="CHANGED"),IF(AND(AF88&lt;&gt;"",AF88&gt;=INT(IF(AB88&lt;&gt;"",AB88,AA88)),AG88&lt;&gt;""),"NO","YES"),"NO"))))</x:f>
        <x:v>NO</x:v>
      </x:c>
      <x:c r="AL88" t="inlineStr">
        <x:is>
          <x:t xml:space="preserve">CURRENT</x:t>
        </x:is>
      </x:c>
      <x:c r="AM88" t="inlineStr">
        <x:is>
          <x:t xml:space="preserve">CS001</x:t>
        </x:is>
      </x:c>
      <x:c r="AN88" s="42" t="inlineStr">
        <x:is>
          <x:t xml:space="preserve">Official coverage expansion. The current ASC Farm Standard lists data submission requirements as a normative reference; direct-file traceability still requires confirmation.</x:t>
        </x:is>
      </x:c>
      <x:c r="AO88" t="inlineStr">
        <x:is>
          <x:t xml:space="preserve">OFFICIAL_WEBSITE</x:t>
        </x:is>
      </x:c>
      <x:c r="AP88" t="inlineStr">
        <x:is>
          <x:t xml:space="preserve">OFFICIAL_ORIGINAL</x:t>
        </x:is>
      </x:c>
      <x:c r="AQ88" t="inlineStr">
        <x:is>
          <x:t xml:space="preserve">VERSIONED</x:t>
        </x:is>
      </x:c>
      <x:c r="AR88" s="42" t="str"/>
    </x:row>
    <x:row r="89" s="36" customFormat="1" ht="42" customHeight="1">
      <x:c r="A89" t="inlineStr">
        <x:is>
          <x:t xml:space="preserve">CS020</x:t>
        </x:is>
      </x:c>
      <x:c r="B89" t="inlineStr">
        <x:is>
          <x:t xml:space="preserve">CS020-001</x:t>
        </x:is>
      </x:c>
      <x:c r="C89" s="42" t="inlineStr">
        <x:is>
          <x:t xml:space="preserve">GLOBALG.A.P. GRASP v2 - Checklist</x:t>
        </x:is>
      </x:c>
      <x:c r="D89" s="669" t="inlineStr">
        <x:is>
          <x:t xml:space="preserve">https://globalgap.org/what-we-offer/solutions/grasp/</x:t>
        </x:is>
      </x:c>
      <x:c r="E89" s="669" t="str"/>
      <x:c r="F89" t="inlineStr">
        <x:is>
          <x:t xml:space="preserve">C_Certification_Scheme</x:t>
        </x:is>
      </x:c>
      <x:c r="G89" t="inlineStr">
        <x:is>
          <x:t xml:space="preserve">xlsx</x:t>
        </x:is>
      </x:c>
      <x:c r="H89" t="inlineStr">
        <x:is>
          <x:t xml:space="preserve">CS020-001_GLOBALG.A.P._GRASP_v2_-_Checklist.xlsx</x:t>
        </x:is>
      </x:c>
      <x:c r="I89" t="inlineStr">
        <x:is>
          <x:t xml:space="preserve">NOT_COLLECTED</x:t>
        </x:is>
      </x:c>
      <x:c r="J89" t="inlineStr">
        <x:is>
          <x:t xml:space="preserve">GLOBALG.A.P.</x:t>
        </x:is>
      </x:c>
      <x:c r="K89" t="inlineStr">
        <x:is>
          <x:t xml:space="preserve">International</x:t>
        </x:is>
      </x:c>
      <x:c r="L89" t="inlineStr">
        <x:is>
          <x:t xml:space="preserve">English</x:t>
        </x:is>
      </x:c>
      <x:c r="M89" t="inlineStr">
        <x:is>
          <x:t xml:space="preserve">V2</x:t>
        </x:is>
      </x:c>
      <x:c r="N89" s="397" t="n"/>
      <x:c r="O89" t="inlineStr">
        <x:is>
          <x:t xml:space="preserve">Certification scheme</x:t>
        </x:is>
      </x:c>
      <x:c r="P89" t="inlineStr">
        <x:is>
          <x:t xml:space="preserve">Audit / assessment document</x:t>
        </x:is>
      </x:c>
      <x:c r="Q89" t="inlineStr">
        <x:is>
          <x:t xml:space="preserve">Audit / assessment tool</x:t>
        </x:is>
      </x:c>
      <x:c r="R89" s="42" t="inlineStr">
        <x:is>
          <x:t xml:space="preserve">Official assessment tool from GLOBALG.A.P.; included to structure compliance checks and trace evidence back to its linked normative source.</x:t>
        </x:is>
      </x:c>
      <x:c r="S89" t="inlineStr">
        <x:is>
          <x:t xml:space="preserve">HIGH</x:t>
        </x:is>
      </x:c>
      <x:c r="T89" t="inlineStr">
        <x:is>
          <x:t xml:space="preserve">HIGH</x:t>
        </x:is>
      </x:c>
      <x:c r="U89" t="inlineStr">
        <x:is>
          <x:t xml:space="preserve">HIGH</x:t>
        </x:is>
      </x:c>
      <x:c r="V89" t="inlineStr">
        <x:is>
          <x:t xml:space="preserve">MEDIUM</x:t>
        </x:is>
      </x:c>
      <x:c r="W89" t="inlineStr">
        <x:is>
          <x:t xml:space="preserve">HIGH</x:t>
        </x:is>
      </x:c>
      <x:c r="X89" t="inlineStr">
        <x:is>
          <x:t xml:space="preserve">LOW</x:t>
        </x:is>
      </x:c>
      <x:c r="Y89" t="str">
        <x:f>IF(A89="","",IF(OR(J89="",AO89="",AP89="",AP89="UNVERIFIED",AND(AO89="OFFICIAL_WEBSITE",D89=""),AND(OR(P89="Equipment manual / OEM instruction",Q89="Asset-specific normative"),OR(O89&lt;&gt;"Manufacturer / supplier",AR89="",R89=""))),"PENDING",IF(COUNTIF(S89:W89,"LOW")&gt;0,"EXCLUDE",IF(COUNTIF(S89:W89,"MEDIUM")&gt;0,"PENDING",IF(COUNTIF(S89:W89,"HIGH")=5,"INCLUDE","PENDING")))))</x:f>
        <x:v>PENDING</x:v>
      </x:c>
      <x:c r="Z89" t="inlineStr">
        <x:is>
          <x:t xml:space="preserve">NOT_RUN</x:t>
        </x:is>
      </x:c>
      <x:c r="AA89" s="398" t="n"/>
      <x:c r="AB89" s="398" t="n"/>
      <x:c r="AC89" s="398" t="inlineStr">
        <x:is>
          <x:t xml:space="preserve">UNKNOWN</x:t>
        </x:is>
      </x:c>
      <x:c r="AD89" s="398" t="inlineStr">
        <x:is>
          <x:t xml:space="preserve">NONE</x:t>
        </x:is>
      </x:c>
      <x:c r="AE89" s="398" t="str">
        <x:f>IF(A89="","",IF(AD89="AUTO",AB89,IF(AD89="MANUAL",AF89,"")))</x:f>
      </x:c>
      <x:c r="AF89" s="397" t="n"/>
      <x:c r="AH89" t="inlineStr">
        <x:is>
          <x:t xml:space="preserve">NONE</x:t>
        </x:is>
      </x:c>
      <x:c r="AI89" s="42" t="str"/>
      <x:c r="AJ89" t="str">
        <x:f>IF(OR(AL89&lt;&gt;"CURRENT",Y89="EXCLUDE"),"NO",IF(A89="","",IF(Z89="FAIL",IF(AND(AF89&lt;&gt;"",AF89&gt;=INT(AA89),I89="STORED",AD89="MANUAL",AG89&lt;&gt;""),"NO","YES"),IF(AND(AQ89="ROLLING",AC89="CHANGED"),IF(AND(AF89&lt;&gt;"",AF89&gt;=INT(IF(AB89&lt;&gt;"",AB89,AA89)),AG89&lt;&gt;""),"NO","YES"),"NO"))))</x:f>
        <x:v>NO</x:v>
      </x:c>
      <x:c r="AL89" t="inlineStr">
        <x:is>
          <x:t xml:space="preserve">CURRENT</x:t>
        </x:is>
      </x:c>
      <x:c r="AM89" t="inlineStr">
        <x:is>
          <x:t xml:space="preserve">CS011</x:t>
        </x:is>
      </x:c>
      <x:c r="AN89" s="42" t="inlineStr">
        <x:is>
          <x:t xml:space="preserve">Official coverage expansion. Assessment tool linked to CS011 and CS016; direct-file URL must be confirmed before automated retrieval.</x:t>
        </x:is>
      </x:c>
      <x:c r="AO89" t="inlineStr">
        <x:is>
          <x:t xml:space="preserve">OFFICIAL_WEBSITE</x:t>
        </x:is>
      </x:c>
      <x:c r="AP89" t="inlineStr">
        <x:is>
          <x:t xml:space="preserve">OFFICIAL_ORIGINAL</x:t>
        </x:is>
      </x:c>
      <x:c r="AQ89" t="inlineStr">
        <x:is>
          <x:t xml:space="preserve">VERSIONED</x:t>
        </x:is>
      </x:c>
      <x:c r="AR89" s="42" t="str"/>
    </x:row>
    <x:row r="90">
      <x:c r="C90" s="42" t="n"/>
      <x:c r="D90" s="669" t="n"/>
      <x:c r="E90" s="669" t="n"/>
      <x:c r="N90" s="397" t="n"/>
      <x:c r="R90" s="42" t="n"/>
      <x:c r="AA90" s="398" t="n"/>
      <x:c r="AB90" s="398" t="n"/>
      <x:c r="AC90" s="398" t="n"/>
      <x:c r="AD90" s="398" t="n"/>
      <x:c r="AE90" s="398" t="n"/>
      <x:c r="AF90" s="397" t="n"/>
      <x:c r="AI90" s="42" t="n"/>
      <x:c r="AN90" s="42" t="n"/>
      <x:c r="AR90" s="42" t="n"/>
    </x:row>
    <x:row r="91">
      <x:c r="C91" s="42" t="n"/>
      <x:c r="D91" s="669" t="n"/>
      <x:c r="E91" s="669" t="n"/>
      <x:c r="N91" s="397" t="n"/>
      <x:c r="R91" s="42" t="n"/>
      <x:c r="AA91" s="398" t="n"/>
      <x:c r="AB91" s="398" t="n"/>
      <x:c r="AC91" s="398" t="n"/>
      <x:c r="AD91" s="398" t="n"/>
      <x:c r="AE91" s="398" t="n"/>
      <x:c r="AF91" s="397" t="n"/>
      <x:c r="AI91" s="42" t="n"/>
      <x:c r="AN91" s="42" t="n"/>
      <x:c r="AR91" s="42" t="n"/>
    </x:row>
    <x:row r="92">
      <x:c r="C92" s="42" t="n"/>
      <x:c r="D92" s="669" t="n"/>
      <x:c r="E92" s="669" t="n"/>
      <x:c r="N92" s="397" t="n"/>
      <x:c r="R92" s="42" t="n"/>
      <x:c r="AA92" s="398" t="n"/>
      <x:c r="AB92" s="398" t="n"/>
      <x:c r="AC92" s="398" t="n"/>
      <x:c r="AD92" s="398" t="n"/>
      <x:c r="AE92" s="398" t="n"/>
      <x:c r="AF92" s="397" t="n"/>
      <x:c r="AI92" s="42" t="n"/>
      <x:c r="AN92" s="42" t="n"/>
      <x:c r="AR92" s="42" t="n"/>
    </x:row>
    <x:row r="93">
      <x:c r="C93" s="42" t="n"/>
      <x:c r="D93" s="669" t="n"/>
      <x:c r="E93" s="669" t="n"/>
      <x:c r="N93" s="397" t="n"/>
      <x:c r="R93" s="42" t="n"/>
      <x:c r="AA93" s="398" t="n"/>
      <x:c r="AB93" s="398" t="n"/>
      <x:c r="AC93" s="398" t="n"/>
      <x:c r="AD93" s="398" t="n"/>
      <x:c r="AE93" s="398" t="n"/>
      <x:c r="AF93" s="397" t="n"/>
      <x:c r="AI93" s="42" t="n"/>
      <x:c r="AN93" s="42" t="n"/>
      <x:c r="AR93" s="42" t="n"/>
    </x:row>
    <x:row r="94">
      <x:c r="C94" s="42" t="n"/>
      <x:c r="D94" s="669" t="n"/>
      <x:c r="E94" s="669" t="n"/>
      <x:c r="N94" s="397" t="n"/>
      <x:c r="R94" s="42" t="n"/>
      <x:c r="AA94" s="398" t="n"/>
      <x:c r="AB94" s="398" t="n"/>
      <x:c r="AC94" s="398" t="n"/>
      <x:c r="AD94" s="398" t="n"/>
      <x:c r="AE94" s="398" t="n"/>
      <x:c r="AF94" s="397" t="n"/>
      <x:c r="AI94" s="42" t="n"/>
      <x:c r="AN94" s="42" t="n"/>
      <x:c r="AR94" s="42" t="n"/>
    </x:row>
    <x:row r="95">
      <x:c r="C95" s="42" t="n"/>
      <x:c r="D95" s="669" t="n"/>
      <x:c r="E95" s="669" t="n"/>
      <x:c r="N95" s="397" t="n"/>
      <x:c r="R95" s="42" t="n"/>
      <x:c r="AA95" s="398" t="n"/>
      <x:c r="AB95" s="398" t="n"/>
      <x:c r="AC95" s="398" t="n"/>
      <x:c r="AD95" s="398" t="n"/>
      <x:c r="AE95" s="398" t="n"/>
      <x:c r="AF95" s="397" t="n"/>
      <x:c r="AI95" s="42" t="n"/>
      <x:c r="AN95" s="42" t="n"/>
      <x:c r="AR95" s="42" t="n"/>
    </x:row>
    <x:row r="96">
      <x:c r="C96" s="42" t="n"/>
      <x:c r="D96" s="669" t="n"/>
      <x:c r="E96" s="669" t="n"/>
      <x:c r="N96" s="397" t="n"/>
      <x:c r="R96" s="42" t="n"/>
      <x:c r="AA96" s="398" t="n"/>
      <x:c r="AB96" s="398" t="n"/>
      <x:c r="AC96" s="398" t="n"/>
      <x:c r="AD96" s="398" t="n"/>
      <x:c r="AE96" s="398" t="n"/>
      <x:c r="AF96" s="397" t="n"/>
      <x:c r="AI96" s="42" t="n"/>
      <x:c r="AN96" s="42" t="n"/>
      <x:c r="AR96" s="42" t="n"/>
    </x:row>
    <x:row r="97">
      <x:c r="C97" s="42" t="n"/>
      <x:c r="D97" s="669" t="n"/>
      <x:c r="E97" s="669" t="n"/>
      <x:c r="N97" s="397" t="n"/>
      <x:c r="R97" s="42" t="n"/>
      <x:c r="AA97" s="398" t="n"/>
      <x:c r="AB97" s="398" t="n"/>
      <x:c r="AC97" s="398" t="n"/>
      <x:c r="AD97" s="398" t="n"/>
      <x:c r="AE97" s="398" t="n"/>
      <x:c r="AF97" s="397" t="n"/>
      <x:c r="AI97" s="42" t="n"/>
      <x:c r="AN97" s="42" t="n"/>
      <x:c r="AR97" s="42" t="n"/>
    </x:row>
    <x:row r="98">
      <x:c r="C98" s="42" t="n"/>
      <x:c r="D98" s="669" t="n"/>
      <x:c r="E98" s="669" t="n"/>
      <x:c r="N98" s="397" t="n"/>
      <x:c r="R98" s="42" t="n"/>
      <x:c r="AA98" s="398" t="n"/>
      <x:c r="AB98" s="398" t="n"/>
      <x:c r="AC98" s="398" t="n"/>
      <x:c r="AD98" s="398" t="n"/>
      <x:c r="AE98" s="398" t="n"/>
      <x:c r="AF98" s="397" t="n"/>
      <x:c r="AI98" s="42" t="n"/>
      <x:c r="AN98" s="42" t="n"/>
      <x:c r="AR98" s="42" t="n"/>
    </x:row>
    <x:row r="99">
      <x:c r="C99" s="42" t="n"/>
      <x:c r="D99" s="669" t="n"/>
      <x:c r="E99" s="669" t="n"/>
      <x:c r="N99" s="397" t="n"/>
      <x:c r="R99" s="42" t="n"/>
      <x:c r="AA99" s="398" t="n"/>
      <x:c r="AB99" s="398" t="n"/>
      <x:c r="AC99" s="398" t="n"/>
      <x:c r="AD99" s="398" t="n"/>
      <x:c r="AE99" s="398" t="n"/>
      <x:c r="AF99" s="397" t="n"/>
      <x:c r="AI99" s="42" t="n"/>
      <x:c r="AN99" s="42" t="n"/>
      <x:c r="AR99" s="42" t="n"/>
    </x:row>
    <x:row r="100">
      <x:c r="C100" s="42" t="n"/>
      <x:c r="D100" s="669" t="n"/>
      <x:c r="E100" s="669" t="n"/>
      <x:c r="N100" s="397" t="n"/>
      <x:c r="R100" s="42" t="n"/>
      <x:c r="AA100" s="398" t="n"/>
      <x:c r="AB100" s="398" t="n"/>
      <x:c r="AC100" s="398" t="n"/>
      <x:c r="AD100" s="398" t="n"/>
      <x:c r="AE100" s="398" t="n"/>
      <x:c r="AF100" s="397" t="n"/>
      <x:c r="AI100" s="42" t="n"/>
      <x:c r="AN100" s="42" t="n"/>
      <x:c r="AR100" s="42" t="n"/>
    </x:row>
    <x:row r="101">
      <x:c r="C101" s="42" t="n"/>
      <x:c r="D101" s="669" t="n"/>
      <x:c r="E101" s="669" t="n"/>
      <x:c r="N101" s="397" t="n"/>
      <x:c r="R101" s="42" t="n"/>
      <x:c r="AA101" s="398" t="n"/>
      <x:c r="AB101" s="398" t="n"/>
      <x:c r="AC101" s="398" t="n"/>
      <x:c r="AD101" s="398" t="n"/>
      <x:c r="AE101" s="398" t="n"/>
      <x:c r="AF101" s="397" t="n"/>
      <x:c r="AI101" s="42" t="n"/>
      <x:c r="AN101" s="42" t="n"/>
      <x:c r="AR101" s="42" t="n"/>
    </x:row>
    <x:row r="102">
      <x:c r="C102" s="42" t="n"/>
      <x:c r="D102" s="669" t="n"/>
      <x:c r="E102" s="669" t="n"/>
      <x:c r="N102" s="397" t="n"/>
      <x:c r="R102" s="42" t="n"/>
      <x:c r="AA102" s="398" t="n"/>
      <x:c r="AB102" s="398" t="n"/>
      <x:c r="AC102" s="398" t="n"/>
      <x:c r="AD102" s="398" t="n"/>
      <x:c r="AE102" s="398" t="n"/>
      <x:c r="AF102" s="397" t="n"/>
      <x:c r="AI102" s="42" t="n"/>
      <x:c r="AN102" s="42" t="n"/>
      <x:c r="AR102" s="42" t="n"/>
    </x:row>
    <x:row r="103">
      <x:c r="C103" s="42" t="n"/>
      <x:c r="D103" s="669" t="n"/>
      <x:c r="E103" s="669" t="n"/>
      <x:c r="N103" s="397" t="n"/>
      <x:c r="R103" s="42" t="n"/>
      <x:c r="AA103" s="398" t="n"/>
      <x:c r="AB103" s="398" t="n"/>
      <x:c r="AC103" s="398" t="n"/>
      <x:c r="AD103" s="398" t="n"/>
      <x:c r="AE103" s="398" t="n"/>
      <x:c r="AF103" s="397" t="n"/>
      <x:c r="AI103" s="42" t="n"/>
      <x:c r="AN103" s="42" t="n"/>
      <x:c r="AR103" s="42" t="n"/>
    </x:row>
    <x:row r="104">
      <x:c r="C104" s="42" t="n"/>
      <x:c r="D104" s="669" t="n"/>
      <x:c r="E104" s="669" t="n"/>
      <x:c r="N104" s="397" t="n"/>
      <x:c r="R104" s="42" t="n"/>
      <x:c r="AA104" s="398" t="n"/>
      <x:c r="AB104" s="398" t="n"/>
      <x:c r="AC104" s="398" t="n"/>
      <x:c r="AD104" s="398" t="n"/>
      <x:c r="AE104" s="398" t="n"/>
      <x:c r="AF104" s="397" t="n"/>
      <x:c r="AI104" s="42" t="n"/>
      <x:c r="AN104" s="42" t="n"/>
      <x:c r="AR104" s="42" t="n"/>
    </x:row>
    <x:row r="105">
      <x:c r="C105" s="42" t="n"/>
      <x:c r="D105" s="669" t="n"/>
      <x:c r="E105" s="669" t="n"/>
      <x:c r="N105" s="397" t="n"/>
      <x:c r="R105" s="42" t="n"/>
      <x:c r="AA105" s="398" t="n"/>
      <x:c r="AB105" s="398" t="n"/>
      <x:c r="AC105" s="398" t="n"/>
      <x:c r="AD105" s="398" t="n"/>
      <x:c r="AE105" s="398" t="n"/>
      <x:c r="AF105" s="397" t="n"/>
      <x:c r="AI105" s="42" t="n"/>
      <x:c r="AN105" s="42" t="n"/>
      <x:c r="AR105" s="42" t="n"/>
    </x:row>
    <x:row r="106">
      <x:c r="C106" s="42" t="n"/>
      <x:c r="D106" s="669" t="n"/>
      <x:c r="E106" s="669" t="n"/>
      <x:c r="N106" s="397" t="n"/>
      <x:c r="R106" s="42" t="n"/>
      <x:c r="AA106" s="398" t="n"/>
      <x:c r="AB106" s="398" t="n"/>
      <x:c r="AC106" s="398" t="n"/>
      <x:c r="AD106" s="398" t="n"/>
      <x:c r="AE106" s="398" t="n"/>
      <x:c r="AF106" s="397" t="n"/>
      <x:c r="AI106" s="42" t="n"/>
      <x:c r="AN106" s="42" t="n"/>
      <x:c r="AR106" s="42" t="n"/>
    </x:row>
    <x:row r="107">
      <x:c r="C107" s="42" t="n"/>
      <x:c r="D107" s="669" t="n"/>
      <x:c r="E107" s="669" t="n"/>
      <x:c r="N107" s="397" t="n"/>
      <x:c r="R107" s="42" t="n"/>
      <x:c r="AA107" s="398" t="n"/>
      <x:c r="AB107" s="398" t="n"/>
      <x:c r="AC107" s="398" t="n"/>
      <x:c r="AD107" s="398" t="n"/>
      <x:c r="AE107" s="398" t="n"/>
      <x:c r="AF107" s="397" t="n"/>
      <x:c r="AI107" s="42" t="n"/>
      <x:c r="AN107" s="42" t="n"/>
      <x:c r="AR107" s="42" t="n"/>
    </x:row>
    <x:row r="108">
      <x:c r="C108" s="42" t="n"/>
      <x:c r="D108" s="669" t="n"/>
      <x:c r="E108" s="669" t="n"/>
      <x:c r="N108" s="397" t="n"/>
      <x:c r="R108" s="42" t="n"/>
      <x:c r="AA108" s="398" t="n"/>
      <x:c r="AB108" s="398" t="n"/>
      <x:c r="AC108" s="398" t="n"/>
      <x:c r="AD108" s="398" t="n"/>
      <x:c r="AE108" s="398" t="n"/>
      <x:c r="AF108" s="397" t="n"/>
      <x:c r="AI108" s="42" t="n"/>
      <x:c r="AN108" s="42" t="n"/>
      <x:c r="AR108" s="42" t="n"/>
    </x:row>
    <x:row r="109">
      <x:c r="C109" s="42" t="n"/>
      <x:c r="D109" s="669" t="n"/>
      <x:c r="E109" s="669" t="n"/>
      <x:c r="N109" s="397" t="n"/>
      <x:c r="R109" s="42" t="n"/>
      <x:c r="AA109" s="398" t="n"/>
      <x:c r="AB109" s="398" t="n"/>
      <x:c r="AC109" s="398" t="n"/>
      <x:c r="AD109" s="398" t="n"/>
      <x:c r="AE109" s="398" t="n"/>
      <x:c r="AF109" s="397" t="n"/>
      <x:c r="AI109" s="42" t="n"/>
      <x:c r="AN109" s="42" t="n"/>
      <x:c r="AR109" s="42" t="n"/>
    </x:row>
    <x:row r="110">
      <x:c r="C110" s="42" t="n"/>
      <x:c r="D110" s="669" t="n"/>
      <x:c r="E110" s="669" t="n"/>
      <x:c r="N110" s="397" t="n"/>
      <x:c r="R110" s="42" t="n"/>
      <x:c r="AA110" s="398" t="n"/>
      <x:c r="AB110" s="398" t="n"/>
      <x:c r="AC110" s="398" t="n"/>
      <x:c r="AD110" s="398" t="n"/>
      <x:c r="AE110" s="398" t="n"/>
      <x:c r="AF110" s="397" t="n"/>
      <x:c r="AI110" s="42" t="n"/>
      <x:c r="AN110" s="42" t="n"/>
      <x:c r="AR110" s="42" t="n"/>
    </x:row>
    <x:row r="111">
      <x:c r="C111" s="42" t="n"/>
      <x:c r="D111" s="669" t="n"/>
      <x:c r="E111" s="669" t="n"/>
      <x:c r="N111" s="397" t="n"/>
      <x:c r="R111" s="42" t="n"/>
      <x:c r="AA111" s="398" t="n"/>
      <x:c r="AB111" s="398" t="n"/>
      <x:c r="AC111" s="398" t="n"/>
      <x:c r="AD111" s="398" t="n"/>
      <x:c r="AE111" s="398" t="n"/>
      <x:c r="AF111" s="397" t="n"/>
      <x:c r="AI111" s="42" t="n"/>
      <x:c r="AN111" s="42" t="n"/>
      <x:c r="AR111" s="42" t="n"/>
    </x:row>
    <x:row r="112">
      <x:c r="C112" s="42" t="n"/>
      <x:c r="D112" s="669" t="n"/>
      <x:c r="E112" s="669" t="n"/>
      <x:c r="N112" s="397" t="n"/>
      <x:c r="R112" s="42" t="n"/>
      <x:c r="AA112" s="398" t="n"/>
      <x:c r="AB112" s="398" t="n"/>
      <x:c r="AC112" s="398" t="n"/>
      <x:c r="AD112" s="398" t="n"/>
      <x:c r="AE112" s="398" t="n"/>
      <x:c r="AF112" s="397" t="n"/>
      <x:c r="AI112" s="42" t="n"/>
      <x:c r="AN112" s="42" t="n"/>
      <x:c r="AR112" s="42" t="n"/>
    </x:row>
    <x:row r="113">
      <x:c r="C113" s="42" t="n"/>
      <x:c r="D113" s="669" t="n"/>
      <x:c r="E113" s="669" t="n"/>
      <x:c r="N113" s="397" t="n"/>
      <x:c r="R113" s="42" t="n"/>
      <x:c r="AA113" s="398" t="n"/>
      <x:c r="AB113" s="398" t="n"/>
      <x:c r="AC113" s="398" t="n"/>
      <x:c r="AD113" s="398" t="n"/>
      <x:c r="AE113" s="398" t="n"/>
      <x:c r="AF113" s="397" t="n"/>
      <x:c r="AI113" s="42" t="n"/>
      <x:c r="AN113" s="42" t="n"/>
      <x:c r="AR113" s="42" t="n"/>
    </x:row>
    <x:row r="114">
      <x:c r="C114" s="42" t="n"/>
      <x:c r="D114" s="669" t="n"/>
      <x:c r="E114" s="669" t="n"/>
      <x:c r="N114" s="397" t="n"/>
      <x:c r="R114" s="42" t="n"/>
      <x:c r="AA114" s="398" t="n"/>
      <x:c r="AB114" s="398" t="n"/>
      <x:c r="AC114" s="398" t="n"/>
      <x:c r="AD114" s="398" t="n"/>
      <x:c r="AE114" s="398" t="n"/>
      <x:c r="AF114" s="397" t="n"/>
      <x:c r="AI114" s="42" t="n"/>
      <x:c r="AN114" s="42" t="n"/>
      <x:c r="AR114" s="42" t="n"/>
    </x:row>
    <x:row r="115">
      <x:c r="C115" s="42" t="n"/>
      <x:c r="D115" s="669" t="n"/>
      <x:c r="E115" s="669" t="n"/>
      <x:c r="N115" s="397" t="n"/>
      <x:c r="R115" s="42" t="n"/>
      <x:c r="AA115" s="398" t="n"/>
      <x:c r="AB115" s="398" t="n"/>
      <x:c r="AC115" s="398" t="n"/>
      <x:c r="AD115" s="398" t="n"/>
      <x:c r="AE115" s="398" t="n"/>
      <x:c r="AF115" s="397" t="n"/>
      <x:c r="AI115" s="42" t="n"/>
      <x:c r="AN115" s="42" t="n"/>
      <x:c r="AR115" s="42" t="n"/>
    </x:row>
    <x:row r="116">
      <x:c r="C116" s="42" t="n"/>
      <x:c r="D116" s="669" t="n"/>
      <x:c r="E116" s="669" t="n"/>
      <x:c r="N116" s="397" t="n"/>
      <x:c r="R116" s="42" t="n"/>
      <x:c r="AA116" s="398" t="n"/>
      <x:c r="AB116" s="398" t="n"/>
      <x:c r="AC116" s="398" t="n"/>
      <x:c r="AD116" s="398" t="n"/>
      <x:c r="AE116" s="398" t="n"/>
      <x:c r="AF116" s="397" t="n"/>
      <x:c r="AI116" s="42" t="n"/>
      <x:c r="AN116" s="42" t="n"/>
      <x:c r="AR116" s="42" t="n"/>
    </x:row>
    <x:row r="117">
      <x:c r="C117" s="42" t="n"/>
      <x:c r="D117" s="669" t="n"/>
      <x:c r="E117" s="669" t="n"/>
      <x:c r="N117" s="397" t="n"/>
      <x:c r="R117" s="42" t="n"/>
      <x:c r="AA117" s="398" t="n"/>
      <x:c r="AB117" s="398" t="n"/>
      <x:c r="AC117" s="398" t="n"/>
      <x:c r="AD117" s="398" t="n"/>
      <x:c r="AE117" s="398" t="n"/>
      <x:c r="AF117" s="397" t="n"/>
      <x:c r="AI117" s="42" t="n"/>
      <x:c r="AN117" s="42" t="n"/>
      <x:c r="AR117" s="42" t="n"/>
    </x:row>
    <x:row r="118">
      <x:c r="C118" s="42" t="n"/>
      <x:c r="D118" s="669" t="n"/>
      <x:c r="E118" s="669" t="n"/>
      <x:c r="N118" s="397" t="n"/>
      <x:c r="R118" s="42" t="n"/>
      <x:c r="AA118" s="398" t="n"/>
      <x:c r="AB118" s="398" t="n"/>
      <x:c r="AC118" s="398" t="n"/>
      <x:c r="AD118" s="398" t="n"/>
      <x:c r="AE118" s="398" t="n"/>
      <x:c r="AF118" s="397" t="n"/>
      <x:c r="AI118" s="42" t="n"/>
      <x:c r="AN118" s="42" t="n"/>
      <x:c r="AR118" s="42" t="n"/>
    </x:row>
    <x:row r="119">
      <x:c r="C119" s="42" t="n"/>
      <x:c r="D119" s="669" t="n"/>
      <x:c r="E119" s="669" t="n"/>
      <x:c r="N119" s="397" t="n"/>
      <x:c r="R119" s="42" t="n"/>
      <x:c r="AA119" s="398" t="n"/>
      <x:c r="AB119" s="398" t="n"/>
      <x:c r="AC119" s="398" t="n"/>
      <x:c r="AD119" s="398" t="n"/>
      <x:c r="AE119" s="398" t="n"/>
      <x:c r="AF119" s="397" t="n"/>
      <x:c r="AI119" s="42" t="n"/>
      <x:c r="AN119" s="42" t="n"/>
      <x:c r="AR119" s="42" t="n"/>
    </x:row>
    <x:row r="120">
      <x:c r="C120" s="42" t="n"/>
      <x:c r="D120" s="669" t="n"/>
      <x:c r="E120" s="669" t="n"/>
      <x:c r="N120" s="397" t="n"/>
      <x:c r="R120" s="42" t="n"/>
      <x:c r="AA120" s="398" t="n"/>
      <x:c r="AB120" s="398" t="n"/>
      <x:c r="AC120" s="398" t="n"/>
      <x:c r="AD120" s="398" t="n"/>
      <x:c r="AE120" s="398" t="n"/>
      <x:c r="AF120" s="397" t="n"/>
      <x:c r="AI120" s="42" t="n"/>
      <x:c r="AN120" s="42" t="n"/>
      <x:c r="AR120" s="42" t="n"/>
    </x:row>
    <x:row r="121">
      <x:c r="C121" s="42" t="n"/>
      <x:c r="D121" s="669" t="n"/>
      <x:c r="E121" s="669" t="n"/>
      <x:c r="N121" s="397" t="n"/>
      <x:c r="R121" s="42" t="n"/>
      <x:c r="AA121" s="398" t="n"/>
      <x:c r="AB121" s="398" t="n"/>
      <x:c r="AC121" s="398" t="n"/>
      <x:c r="AD121" s="398" t="n"/>
      <x:c r="AE121" s="398" t="n"/>
      <x:c r="AF121" s="397" t="n"/>
      <x:c r="AI121" s="42" t="n"/>
      <x:c r="AN121" s="42" t="n"/>
      <x:c r="AR121" s="42" t="n"/>
    </x:row>
    <x:row r="122">
      <x:c r="C122" s="42" t="n"/>
      <x:c r="D122" s="669" t="n"/>
      <x:c r="E122" s="669" t="n"/>
      <x:c r="N122" s="397" t="n"/>
      <x:c r="R122" s="42" t="n"/>
      <x:c r="AA122" s="398" t="n"/>
      <x:c r="AB122" s="398" t="n"/>
      <x:c r="AC122" s="398" t="n"/>
      <x:c r="AD122" s="398" t="n"/>
      <x:c r="AE122" s="398" t="n"/>
      <x:c r="AF122" s="397" t="n"/>
      <x:c r="AI122" s="42" t="n"/>
      <x:c r="AN122" s="42" t="n"/>
      <x:c r="AR122" s="42" t="n"/>
    </x:row>
    <x:row r="123">
      <x:c r="C123" s="42" t="n"/>
      <x:c r="D123" s="669" t="n"/>
      <x:c r="E123" s="669" t="n"/>
      <x:c r="N123" s="397" t="n"/>
      <x:c r="R123" s="42" t="n"/>
      <x:c r="AA123" s="398" t="n"/>
      <x:c r="AB123" s="398" t="n"/>
      <x:c r="AC123" s="398" t="n"/>
      <x:c r="AD123" s="398" t="n"/>
      <x:c r="AE123" s="398" t="n"/>
      <x:c r="AF123" s="397" t="n"/>
      <x:c r="AI123" s="42" t="n"/>
      <x:c r="AN123" s="42" t="n"/>
      <x:c r="AR123" s="42" t="n"/>
    </x:row>
    <x:row r="124">
      <x:c r="C124" s="42" t="n"/>
      <x:c r="D124" s="669" t="n"/>
      <x:c r="E124" s="669" t="n"/>
      <x:c r="N124" s="397" t="n"/>
      <x:c r="R124" s="42" t="n"/>
      <x:c r="AA124" s="398" t="n"/>
      <x:c r="AB124" s="398" t="n"/>
      <x:c r="AC124" s="398" t="n"/>
      <x:c r="AD124" s="398" t="n"/>
      <x:c r="AE124" s="398" t="n"/>
      <x:c r="AF124" s="397" t="n"/>
      <x:c r="AI124" s="42" t="n"/>
      <x:c r="AN124" s="42" t="n"/>
      <x:c r="AR124" s="42" t="n"/>
    </x:row>
    <x:row r="125">
      <x:c r="C125" s="42" t="n"/>
      <x:c r="D125" s="669" t="n"/>
      <x:c r="E125" s="669" t="n"/>
      <x:c r="N125" s="397" t="n"/>
      <x:c r="R125" s="42" t="n"/>
      <x:c r="AA125" s="398" t="n"/>
      <x:c r="AB125" s="398" t="n"/>
      <x:c r="AC125" s="398" t="n"/>
      <x:c r="AD125" s="398" t="n"/>
      <x:c r="AE125" s="398" t="n"/>
      <x:c r="AF125" s="397" t="n"/>
      <x:c r="AI125" s="42" t="n"/>
      <x:c r="AN125" s="42" t="n"/>
      <x:c r="AR125" s="42" t="n"/>
    </x:row>
    <x:row r="126">
      <x:c r="C126" s="42" t="n"/>
      <x:c r="D126" s="669" t="n"/>
      <x:c r="E126" s="669" t="n"/>
      <x:c r="N126" s="397" t="n"/>
      <x:c r="R126" s="42" t="n"/>
      <x:c r="AA126" s="398" t="n"/>
      <x:c r="AB126" s="398" t="n"/>
      <x:c r="AC126" s="398" t="n"/>
      <x:c r="AD126" s="398" t="n"/>
      <x:c r="AE126" s="398" t="n"/>
      <x:c r="AF126" s="397" t="n"/>
      <x:c r="AI126" s="42" t="n"/>
      <x:c r="AN126" s="42" t="n"/>
      <x:c r="AR126" s="42" t="n"/>
    </x:row>
    <x:row r="127">
      <x:c r="C127" s="42" t="n"/>
      <x:c r="D127" s="669" t="n"/>
      <x:c r="E127" s="669" t="n"/>
      <x:c r="N127" s="397" t="n"/>
      <x:c r="R127" s="42" t="n"/>
      <x:c r="AA127" s="398" t="n"/>
      <x:c r="AB127" s="398" t="n"/>
      <x:c r="AC127" s="398" t="n"/>
      <x:c r="AD127" s="398" t="n"/>
      <x:c r="AE127" s="398" t="n"/>
      <x:c r="AF127" s="397" t="n"/>
      <x:c r="AI127" s="42" t="n"/>
      <x:c r="AN127" s="42" t="n"/>
      <x:c r="AR127" s="42" t="n"/>
    </x:row>
    <x:row r="128">
      <x:c r="C128" s="42" t="n"/>
      <x:c r="D128" s="669" t="n"/>
      <x:c r="E128" s="669" t="n"/>
      <x:c r="N128" s="397" t="n"/>
      <x:c r="R128" s="42" t="n"/>
      <x:c r="AA128" s="398" t="n"/>
      <x:c r="AB128" s="398" t="n"/>
      <x:c r="AC128" s="398" t="n"/>
      <x:c r="AD128" s="398" t="n"/>
      <x:c r="AE128" s="398" t="n"/>
      <x:c r="AF128" s="397" t="n"/>
      <x:c r="AI128" s="42" t="n"/>
      <x:c r="AN128" s="42" t="n"/>
      <x:c r="AR128" s="42" t="n"/>
    </x:row>
    <x:row r="129">
      <x:c r="C129" s="42" t="n"/>
      <x:c r="D129" s="669" t="n"/>
      <x:c r="E129" s="669" t="n"/>
      <x:c r="N129" s="397" t="n"/>
      <x:c r="R129" s="42" t="n"/>
      <x:c r="AA129" s="398" t="n"/>
      <x:c r="AB129" s="398" t="n"/>
      <x:c r="AC129" s="398" t="n"/>
      <x:c r="AD129" s="398" t="n"/>
      <x:c r="AE129" s="398" t="n"/>
      <x:c r="AF129" s="397" t="n"/>
      <x:c r="AI129" s="42" t="n"/>
      <x:c r="AN129" s="42" t="n"/>
      <x:c r="AR129" s="42" t="n"/>
    </x:row>
    <x:row r="130">
      <x:c r="C130" s="42" t="n"/>
      <x:c r="D130" s="669" t="n"/>
      <x:c r="E130" s="669" t="n"/>
      <x:c r="N130" s="397" t="n"/>
      <x:c r="R130" s="42" t="n"/>
      <x:c r="AA130" s="398" t="n"/>
      <x:c r="AB130" s="398" t="n"/>
      <x:c r="AC130" s="398" t="n"/>
      <x:c r="AD130" s="398" t="n"/>
      <x:c r="AE130" s="398" t="n"/>
      <x:c r="AF130" s="397" t="n"/>
      <x:c r="AI130" s="42" t="n"/>
      <x:c r="AN130" s="42" t="n"/>
      <x:c r="AR130" s="42" t="n"/>
    </x:row>
    <x:row r="131">
      <x:c r="C131" s="42" t="n"/>
      <x:c r="D131" s="669" t="n"/>
      <x:c r="E131" s="669" t="n"/>
      <x:c r="N131" s="397" t="n"/>
      <x:c r="R131" s="42" t="n"/>
      <x:c r="AA131" s="398" t="n"/>
      <x:c r="AB131" s="398" t="n"/>
      <x:c r="AC131" s="398" t="n"/>
      <x:c r="AD131" s="398" t="n"/>
      <x:c r="AE131" s="398" t="n"/>
      <x:c r="AF131" s="397" t="n"/>
      <x:c r="AI131" s="42" t="n"/>
      <x:c r="AN131" s="42" t="n"/>
      <x:c r="AR131" s="42" t="n"/>
    </x:row>
    <x:row r="132">
      <x:c r="C132" s="42" t="n"/>
      <x:c r="D132" s="669" t="n"/>
      <x:c r="E132" s="669" t="n"/>
      <x:c r="N132" s="397" t="n"/>
      <x:c r="R132" s="42" t="n"/>
      <x:c r="AA132" s="398" t="n"/>
      <x:c r="AB132" s="398" t="n"/>
      <x:c r="AC132" s="398" t="n"/>
      <x:c r="AD132" s="398" t="n"/>
      <x:c r="AE132" s="398" t="n"/>
      <x:c r="AF132" s="397" t="n"/>
      <x:c r="AI132" s="42" t="n"/>
      <x:c r="AN132" s="42" t="n"/>
      <x:c r="AR132" s="42" t="n"/>
    </x:row>
    <x:row r="133">
      <x:c r="C133" s="42" t="n"/>
      <x:c r="D133" s="669" t="n"/>
      <x:c r="E133" s="669" t="n"/>
      <x:c r="N133" s="397" t="n"/>
      <x:c r="R133" s="42" t="n"/>
      <x:c r="AA133" s="398" t="n"/>
      <x:c r="AB133" s="398" t="n"/>
      <x:c r="AC133" s="398" t="n"/>
      <x:c r="AD133" s="398" t="n"/>
      <x:c r="AE133" s="398" t="n"/>
      <x:c r="AF133" s="397" t="n"/>
      <x:c r="AI133" s="42" t="n"/>
      <x:c r="AN133" s="42" t="n"/>
      <x:c r="AR133" s="42" t="n"/>
    </x:row>
    <x:row r="134">
      <x:c r="C134" s="42" t="n"/>
      <x:c r="D134" s="669" t="n"/>
      <x:c r="E134" s="669" t="n"/>
      <x:c r="N134" s="397" t="n"/>
      <x:c r="R134" s="42" t="n"/>
      <x:c r="AA134" s="398" t="n"/>
      <x:c r="AB134" s="398" t="n"/>
      <x:c r="AC134" s="398" t="n"/>
      <x:c r="AD134" s="398" t="n"/>
      <x:c r="AE134" s="398" t="n"/>
      <x:c r="AF134" s="397" t="n"/>
      <x:c r="AI134" s="42" t="n"/>
      <x:c r="AN134" s="42" t="n"/>
      <x:c r="AR134" s="42" t="n"/>
    </x:row>
    <x:row r="135">
      <x:c r="C135" s="42" t="n"/>
      <x:c r="D135" s="669" t="n"/>
      <x:c r="E135" s="669" t="n"/>
      <x:c r="N135" s="397" t="n"/>
      <x:c r="R135" s="42" t="n"/>
      <x:c r="AA135" s="398" t="n"/>
      <x:c r="AB135" s="398" t="n"/>
      <x:c r="AC135" s="398" t="n"/>
      <x:c r="AD135" s="398" t="n"/>
      <x:c r="AE135" s="398" t="n"/>
      <x:c r="AF135" s="397" t="n"/>
      <x:c r="AI135" s="42" t="n"/>
      <x:c r="AN135" s="42" t="n"/>
      <x:c r="AR135" s="42" t="n"/>
    </x:row>
    <x:row r="136">
      <x:c r="C136" s="42" t="n"/>
      <x:c r="D136" s="669" t="n"/>
      <x:c r="E136" s="669" t="n"/>
      <x:c r="N136" s="397" t="n"/>
      <x:c r="R136" s="42" t="n"/>
      <x:c r="AA136" s="398" t="n"/>
      <x:c r="AB136" s="398" t="n"/>
      <x:c r="AC136" s="398" t="n"/>
      <x:c r="AD136" s="398" t="n"/>
      <x:c r="AE136" s="398" t="n"/>
      <x:c r="AF136" s="397" t="n"/>
      <x:c r="AI136" s="42" t="n"/>
      <x:c r="AN136" s="42" t="n"/>
      <x:c r="AR136" s="42" t="n"/>
    </x:row>
    <x:row r="137">
      <x:c r="C137" s="42" t="n"/>
      <x:c r="D137" s="669" t="n"/>
      <x:c r="E137" s="669" t="n"/>
      <x:c r="N137" s="397" t="n"/>
      <x:c r="R137" s="42" t="n"/>
      <x:c r="AA137" s="398" t="n"/>
      <x:c r="AB137" s="398" t="n"/>
      <x:c r="AC137" s="398" t="n"/>
      <x:c r="AD137" s="398" t="n"/>
      <x:c r="AE137" s="398" t="n"/>
      <x:c r="AF137" s="397" t="n"/>
      <x:c r="AI137" s="42" t="n"/>
      <x:c r="AN137" s="42" t="n"/>
      <x:c r="AR137" s="42" t="n"/>
    </x:row>
    <x:row r="138">
      <x:c r="C138" s="42" t="n"/>
      <x:c r="D138" s="669" t="n"/>
      <x:c r="E138" s="669" t="n"/>
      <x:c r="N138" s="397" t="n"/>
      <x:c r="R138" s="42" t="n"/>
      <x:c r="AA138" s="398" t="n"/>
      <x:c r="AB138" s="398" t="n"/>
      <x:c r="AC138" s="398" t="n"/>
      <x:c r="AD138" s="398" t="n"/>
      <x:c r="AE138" s="398" t="n"/>
      <x:c r="AF138" s="397" t="n"/>
      <x:c r="AI138" s="42" t="n"/>
      <x:c r="AN138" s="42" t="n"/>
      <x:c r="AR138" s="42" t="n"/>
    </x:row>
    <x:row r="139">
      <x:c r="C139" s="42" t="n"/>
      <x:c r="D139" s="669" t="n"/>
      <x:c r="E139" s="669" t="n"/>
      <x:c r="N139" s="397" t="n"/>
      <x:c r="R139" s="42" t="n"/>
      <x:c r="AA139" s="398" t="n"/>
      <x:c r="AB139" s="398" t="n"/>
      <x:c r="AC139" s="398" t="n"/>
      <x:c r="AD139" s="398" t="n"/>
      <x:c r="AE139" s="398" t="n"/>
      <x:c r="AF139" s="397" t="n"/>
      <x:c r="AI139" s="42" t="n"/>
      <x:c r="AN139" s="42" t="n"/>
      <x:c r="AR139" s="42" t="n"/>
    </x:row>
    <x:row r="140">
      <x:c r="C140" s="42" t="n"/>
      <x:c r="D140" s="669" t="n"/>
      <x:c r="E140" s="669" t="n"/>
      <x:c r="N140" s="397" t="n"/>
      <x:c r="R140" s="42" t="n"/>
      <x:c r="AA140" s="398" t="n"/>
      <x:c r="AB140" s="398" t="n"/>
      <x:c r="AC140" s="398" t="n"/>
      <x:c r="AD140" s="398" t="n"/>
      <x:c r="AE140" s="398" t="n"/>
      <x:c r="AF140" s="397" t="n"/>
      <x:c r="AI140" s="42" t="n"/>
      <x:c r="AN140" s="42" t="n"/>
      <x:c r="AR140" s="42" t="n"/>
    </x:row>
    <x:row r="141">
      <x:c r="C141" s="42" t="n"/>
      <x:c r="D141" s="669" t="n"/>
      <x:c r="E141" s="669" t="n"/>
      <x:c r="N141" s="397" t="n"/>
      <x:c r="R141" s="42" t="n"/>
      <x:c r="AA141" s="398" t="n"/>
      <x:c r="AB141" s="398" t="n"/>
      <x:c r="AC141" s="398" t="n"/>
      <x:c r="AD141" s="398" t="n"/>
      <x:c r="AE141" s="398" t="n"/>
      <x:c r="AF141" s="397" t="n"/>
      <x:c r="AI141" s="42" t="n"/>
      <x:c r="AN141" s="42" t="n"/>
      <x:c r="AR141" s="42" t="n"/>
    </x:row>
    <x:row r="142">
      <x:c r="C142" s="42" t="n"/>
      <x:c r="D142" s="669" t="n"/>
      <x:c r="E142" s="669" t="n"/>
      <x:c r="N142" s="397" t="n"/>
      <x:c r="R142" s="42" t="n"/>
      <x:c r="AA142" s="398" t="n"/>
      <x:c r="AB142" s="398" t="n"/>
      <x:c r="AC142" s="398" t="n"/>
      <x:c r="AD142" s="398" t="n"/>
      <x:c r="AE142" s="398" t="n"/>
      <x:c r="AF142" s="397" t="n"/>
      <x:c r="AI142" s="42" t="n"/>
      <x:c r="AN142" s="42" t="n"/>
      <x:c r="AR142" s="42" t="n"/>
    </x:row>
    <x:row r="143">
      <x:c r="C143" s="42" t="n"/>
      <x:c r="D143" s="669" t="n"/>
      <x:c r="E143" s="669" t="n"/>
      <x:c r="N143" s="397" t="n"/>
      <x:c r="R143" s="42" t="n"/>
      <x:c r="AA143" s="398" t="n"/>
      <x:c r="AB143" s="398" t="n"/>
      <x:c r="AC143" s="398" t="n"/>
      <x:c r="AD143" s="398" t="n"/>
      <x:c r="AE143" s="398" t="n"/>
      <x:c r="AF143" s="397" t="n"/>
      <x:c r="AI143" s="42" t="n"/>
      <x:c r="AN143" s="42" t="n"/>
      <x:c r="AR143" s="42" t="n"/>
    </x:row>
    <x:row r="144">
      <x:c r="C144" s="42" t="n"/>
      <x:c r="D144" s="669" t="n"/>
      <x:c r="E144" s="669" t="n"/>
      <x:c r="N144" s="397" t="n"/>
      <x:c r="R144" s="42" t="n"/>
      <x:c r="AA144" s="398" t="n"/>
      <x:c r="AB144" s="398" t="n"/>
      <x:c r="AC144" s="398" t="n"/>
      <x:c r="AD144" s="398" t="n"/>
      <x:c r="AE144" s="398" t="n"/>
      <x:c r="AF144" s="397" t="n"/>
      <x:c r="AI144" s="42" t="n"/>
      <x:c r="AN144" s="42" t="n"/>
      <x:c r="AR144" s="42" t="n"/>
    </x:row>
    <x:row r="145">
      <x:c r="C145" s="42" t="n"/>
      <x:c r="D145" s="669" t="n"/>
      <x:c r="E145" s="669" t="n"/>
      <x:c r="N145" s="397" t="n"/>
      <x:c r="R145" s="42" t="n"/>
      <x:c r="AA145" s="398" t="n"/>
      <x:c r="AB145" s="398" t="n"/>
      <x:c r="AC145" s="398" t="n"/>
      <x:c r="AD145" s="398" t="n"/>
      <x:c r="AE145" s="398" t="n"/>
      <x:c r="AF145" s="397" t="n"/>
      <x:c r="AI145" s="42" t="n"/>
      <x:c r="AN145" s="42" t="n"/>
      <x:c r="AR145" s="42" t="n"/>
    </x:row>
    <x:row r="146">
      <x:c r="C146" s="42" t="n"/>
      <x:c r="D146" s="669" t="n"/>
      <x:c r="E146" s="669" t="n"/>
      <x:c r="N146" s="397" t="n"/>
      <x:c r="R146" s="42" t="n"/>
      <x:c r="AA146" s="398" t="n"/>
      <x:c r="AB146" s="398" t="n"/>
      <x:c r="AC146" s="398" t="n"/>
      <x:c r="AD146" s="398" t="n"/>
      <x:c r="AE146" s="398" t="n"/>
      <x:c r="AF146" s="397" t="n"/>
      <x:c r="AI146" s="42" t="n"/>
      <x:c r="AN146" s="42" t="n"/>
      <x:c r="AR146" s="42" t="n"/>
    </x:row>
    <x:row r="147">
      <x:c r="C147" s="42" t="n"/>
      <x:c r="D147" s="669" t="n"/>
      <x:c r="E147" s="669" t="n"/>
      <x:c r="N147" s="397" t="n"/>
      <x:c r="R147" s="42" t="n"/>
      <x:c r="AA147" s="398" t="n"/>
      <x:c r="AB147" s="398" t="n"/>
      <x:c r="AC147" s="398" t="n"/>
      <x:c r="AD147" s="398" t="n"/>
      <x:c r="AE147" s="398" t="n"/>
      <x:c r="AF147" s="397" t="n"/>
      <x:c r="AI147" s="42" t="n"/>
      <x:c r="AN147" s="42" t="n"/>
      <x:c r="AR147" s="42" t="n"/>
    </x:row>
    <x:row r="148">
      <x:c r="C148" s="42" t="n"/>
      <x:c r="D148" s="669" t="n"/>
      <x:c r="E148" s="669" t="n"/>
      <x:c r="N148" s="397" t="n"/>
      <x:c r="R148" s="42" t="n"/>
      <x:c r="AA148" s="398" t="n"/>
      <x:c r="AB148" s="398" t="n"/>
      <x:c r="AC148" s="398" t="n"/>
      <x:c r="AD148" s="398" t="n"/>
      <x:c r="AE148" s="398" t="n"/>
      <x:c r="AF148" s="397" t="n"/>
      <x:c r="AI148" s="42" t="n"/>
      <x:c r="AN148" s="42" t="n"/>
      <x:c r="AR148" s="42" t="n"/>
    </x:row>
    <x:row r="149">
      <x:c r="C149" s="42" t="n"/>
      <x:c r="D149" s="669" t="n"/>
      <x:c r="E149" s="669" t="n"/>
      <x:c r="N149" s="397" t="n"/>
      <x:c r="R149" s="42" t="n"/>
      <x:c r="AA149" s="398" t="n"/>
      <x:c r="AB149" s="398" t="n"/>
      <x:c r="AC149" s="398" t="n"/>
      <x:c r="AD149" s="398" t="n"/>
      <x:c r="AE149" s="398" t="n"/>
      <x:c r="AF149" s="397" t="n"/>
      <x:c r="AI149" s="42" t="n"/>
      <x:c r="AN149" s="42" t="n"/>
      <x:c r="AR149" s="42" t="n"/>
    </x:row>
    <x:row r="150">
      <x:c r="C150" s="42" t="n"/>
      <x:c r="D150" s="669" t="n"/>
      <x:c r="E150" s="669" t="n"/>
      <x:c r="N150" s="397" t="n"/>
      <x:c r="R150" s="42" t="n"/>
      <x:c r="AA150" s="398" t="n"/>
      <x:c r="AB150" s="398" t="n"/>
      <x:c r="AC150" s="398" t="n"/>
      <x:c r="AD150" s="398" t="n"/>
      <x:c r="AE150" s="398" t="n"/>
      <x:c r="AF150" s="397" t="n"/>
      <x:c r="AI150" s="42" t="n"/>
      <x:c r="AN150" s="42" t="n"/>
      <x:c r="AR150" s="42" t="n"/>
    </x:row>
    <x:row r="151">
      <x:c r="C151" s="42" t="n"/>
      <x:c r="D151" s="669" t="n"/>
      <x:c r="E151" s="669" t="n"/>
      <x:c r="N151" s="397" t="n"/>
      <x:c r="R151" s="42" t="n"/>
      <x:c r="AA151" s="398" t="n"/>
      <x:c r="AB151" s="398" t="n"/>
      <x:c r="AC151" s="398" t="n"/>
      <x:c r="AD151" s="398" t="n"/>
      <x:c r="AE151" s="398" t="n"/>
      <x:c r="AF151" s="397" t="n"/>
      <x:c r="AI151" s="42" t="n"/>
      <x:c r="AN151" s="42" t="n"/>
      <x:c r="AR151" s="42" t="n"/>
    </x:row>
    <x:row r="152">
      <x:c r="C152" s="42" t="n"/>
      <x:c r="D152" s="669" t="n"/>
      <x:c r="E152" s="669" t="n"/>
      <x:c r="N152" s="397" t="n"/>
      <x:c r="R152" s="42" t="n"/>
      <x:c r="AA152" s="398" t="n"/>
      <x:c r="AB152" s="398" t="n"/>
      <x:c r="AC152" s="398" t="n"/>
      <x:c r="AD152" s="398" t="n"/>
      <x:c r="AE152" s="398" t="n"/>
      <x:c r="AF152" s="397" t="n"/>
      <x:c r="AI152" s="42" t="n"/>
      <x:c r="AN152" s="42" t="n"/>
      <x:c r="AR152" s="42" t="n"/>
    </x:row>
    <x:row r="153">
      <x:c r="C153" s="42" t="n"/>
      <x:c r="D153" s="669" t="n"/>
      <x:c r="E153" s="669" t="n"/>
      <x:c r="N153" s="397" t="n"/>
      <x:c r="R153" s="42" t="n"/>
      <x:c r="AA153" s="398" t="n"/>
      <x:c r="AB153" s="398" t="n"/>
      <x:c r="AC153" s="398" t="n"/>
      <x:c r="AD153" s="398" t="n"/>
      <x:c r="AE153" s="398" t="n"/>
      <x:c r="AF153" s="397" t="n"/>
      <x:c r="AI153" s="42" t="n"/>
      <x:c r="AN153" s="42" t="n"/>
      <x:c r="AR153" s="42" t="n"/>
    </x:row>
    <x:row r="154">
      <x:c r="C154" s="42" t="n"/>
      <x:c r="D154" s="669" t="n"/>
      <x:c r="E154" s="669" t="n"/>
      <x:c r="N154" s="397" t="n"/>
      <x:c r="R154" s="42" t="n"/>
      <x:c r="AA154" s="398" t="n"/>
      <x:c r="AB154" s="398" t="n"/>
      <x:c r="AC154" s="398" t="n"/>
      <x:c r="AD154" s="398" t="n"/>
      <x:c r="AE154" s="398" t="n"/>
      <x:c r="AF154" s="397" t="n"/>
      <x:c r="AI154" s="42" t="n"/>
      <x:c r="AN154" s="42" t="n"/>
      <x:c r="AR154" s="42" t="n"/>
    </x:row>
    <x:row r="155">
      <x:c r="C155" s="42" t="n"/>
      <x:c r="D155" s="669" t="n"/>
      <x:c r="E155" s="669" t="n"/>
      <x:c r="N155" s="397" t="n"/>
      <x:c r="R155" s="42" t="n"/>
      <x:c r="AA155" s="398" t="n"/>
      <x:c r="AB155" s="398" t="n"/>
      <x:c r="AC155" s="398" t="n"/>
      <x:c r="AD155" s="398" t="n"/>
      <x:c r="AE155" s="398" t="n"/>
      <x:c r="AF155" s="397" t="n"/>
      <x:c r="AI155" s="42" t="n"/>
      <x:c r="AN155" s="42" t="n"/>
      <x:c r="AR155" s="42" t="n"/>
    </x:row>
    <x:row r="156">
      <x:c r="C156" s="42" t="n"/>
      <x:c r="D156" s="669" t="n"/>
      <x:c r="E156" s="669" t="n"/>
      <x:c r="N156" s="397" t="n"/>
      <x:c r="R156" s="42" t="n"/>
      <x:c r="AA156" s="398" t="n"/>
      <x:c r="AB156" s="398" t="n"/>
      <x:c r="AC156" s="398" t="n"/>
      <x:c r="AD156" s="398" t="n"/>
      <x:c r="AE156" s="398" t="n"/>
      <x:c r="AF156" s="397" t="n"/>
      <x:c r="AI156" s="42" t="n"/>
      <x:c r="AN156" s="42" t="n"/>
      <x:c r="AR156" s="42" t="n"/>
    </x:row>
    <x:row r="157">
      <x:c r="C157" s="42" t="n"/>
      <x:c r="D157" s="669" t="n"/>
      <x:c r="E157" s="669" t="n"/>
      <x:c r="N157" s="397" t="n"/>
      <x:c r="R157" s="42" t="n"/>
      <x:c r="AA157" s="398" t="n"/>
      <x:c r="AB157" s="398" t="n"/>
      <x:c r="AC157" s="398" t="n"/>
      <x:c r="AD157" s="398" t="n"/>
      <x:c r="AE157" s="398" t="n"/>
      <x:c r="AF157" s="397" t="n"/>
      <x:c r="AI157" s="42" t="n"/>
      <x:c r="AN157" s="42" t="n"/>
      <x:c r="AR157" s="42" t="n"/>
    </x:row>
    <x:row r="158">
      <x:c r="C158" s="42" t="n"/>
      <x:c r="D158" s="669" t="n"/>
      <x:c r="E158" s="669" t="n"/>
      <x:c r="N158" s="397" t="n"/>
      <x:c r="R158" s="42" t="n"/>
      <x:c r="AA158" s="398" t="n"/>
      <x:c r="AB158" s="398" t="n"/>
      <x:c r="AC158" s="398" t="n"/>
      <x:c r="AD158" s="398" t="n"/>
      <x:c r="AE158" s="398" t="n"/>
      <x:c r="AF158" s="397" t="n"/>
      <x:c r="AI158" s="42" t="n"/>
      <x:c r="AN158" s="42" t="n"/>
      <x:c r="AR158" s="42" t="n"/>
    </x:row>
    <x:row r="159">
      <x:c r="C159" s="42" t="n"/>
      <x:c r="D159" s="669" t="n"/>
      <x:c r="E159" s="669" t="n"/>
      <x:c r="N159" s="397" t="n"/>
      <x:c r="R159" s="42" t="n"/>
      <x:c r="AA159" s="398" t="n"/>
      <x:c r="AB159" s="398" t="n"/>
      <x:c r="AC159" s="398" t="n"/>
      <x:c r="AD159" s="398" t="n"/>
      <x:c r="AE159" s="398" t="n"/>
      <x:c r="AF159" s="397" t="n"/>
      <x:c r="AI159" s="42" t="n"/>
      <x:c r="AN159" s="42" t="n"/>
      <x:c r="AR159" s="42" t="n"/>
    </x:row>
    <x:row r="160">
      <x:c r="C160" s="42" t="n"/>
      <x:c r="D160" s="669" t="n"/>
      <x:c r="E160" s="669" t="n"/>
      <x:c r="N160" s="397" t="n"/>
      <x:c r="R160" s="42" t="n"/>
      <x:c r="AA160" s="398" t="n"/>
      <x:c r="AB160" s="398" t="n"/>
      <x:c r="AC160" s="398" t="n"/>
      <x:c r="AD160" s="398" t="n"/>
      <x:c r="AE160" s="398" t="n"/>
      <x:c r="AF160" s="397" t="n"/>
      <x:c r="AI160" s="42" t="n"/>
      <x:c r="AN160" s="42" t="n"/>
      <x:c r="AR160" s="42" t="n"/>
    </x:row>
    <x:row r="161">
      <x:c r="C161" s="42" t="n"/>
      <x:c r="D161" s="669" t="n"/>
      <x:c r="E161" s="669" t="n"/>
      <x:c r="N161" s="397" t="n"/>
      <x:c r="R161" s="42" t="n"/>
      <x:c r="AA161" s="398" t="n"/>
      <x:c r="AB161" s="398" t="n"/>
      <x:c r="AC161" s="398" t="n"/>
      <x:c r="AD161" s="398" t="n"/>
      <x:c r="AE161" s="398" t="n"/>
      <x:c r="AF161" s="397" t="n"/>
      <x:c r="AI161" s="42" t="n"/>
      <x:c r="AN161" s="42" t="n"/>
      <x:c r="AR161" s="42" t="n"/>
    </x:row>
    <x:row r="162">
      <x:c r="C162" s="42" t="n"/>
      <x:c r="D162" s="669" t="n"/>
      <x:c r="E162" s="669" t="n"/>
      <x:c r="N162" s="397" t="n"/>
      <x:c r="R162" s="42" t="n"/>
      <x:c r="AA162" s="398" t="n"/>
      <x:c r="AB162" s="398" t="n"/>
      <x:c r="AC162" s="398" t="n"/>
      <x:c r="AD162" s="398" t="n"/>
      <x:c r="AE162" s="398" t="n"/>
      <x:c r="AF162" s="397" t="n"/>
      <x:c r="AI162" s="42" t="n"/>
      <x:c r="AN162" s="42" t="n"/>
      <x:c r="AR162" s="42" t="n"/>
    </x:row>
    <x:row r="163">
      <x:c r="C163" s="42" t="n"/>
      <x:c r="D163" s="669" t="n"/>
      <x:c r="E163" s="669" t="n"/>
      <x:c r="N163" s="397" t="n"/>
      <x:c r="R163" s="42" t="n"/>
      <x:c r="AA163" s="398" t="n"/>
      <x:c r="AB163" s="398" t="n"/>
      <x:c r="AC163" s="398" t="n"/>
      <x:c r="AD163" s="398" t="n"/>
      <x:c r="AE163" s="398" t="n"/>
      <x:c r="AF163" s="397" t="n"/>
      <x:c r="AI163" s="42" t="n"/>
      <x:c r="AN163" s="42" t="n"/>
      <x:c r="AR163" s="42" t="n"/>
    </x:row>
    <x:row r="164">
      <x:c r="C164" s="42" t="n"/>
      <x:c r="D164" s="669" t="n"/>
      <x:c r="E164" s="669" t="n"/>
      <x:c r="N164" s="397" t="n"/>
      <x:c r="R164" s="42" t="n"/>
      <x:c r="AA164" s="398" t="n"/>
      <x:c r="AB164" s="398" t="n"/>
      <x:c r="AC164" s="398" t="n"/>
      <x:c r="AD164" s="398" t="n"/>
      <x:c r="AE164" s="398" t="n"/>
      <x:c r="AF164" s="397" t="n"/>
      <x:c r="AI164" s="42" t="n"/>
      <x:c r="AN164" s="42" t="n"/>
      <x:c r="AR164" s="42" t="n"/>
    </x:row>
    <x:row r="165">
      <x:c r="C165" s="42" t="n"/>
      <x:c r="D165" s="669" t="n"/>
      <x:c r="E165" s="669" t="n"/>
      <x:c r="N165" s="397" t="n"/>
      <x:c r="R165" s="42" t="n"/>
      <x:c r="AA165" s="398" t="n"/>
      <x:c r="AB165" s="398" t="n"/>
      <x:c r="AC165" s="398" t="n"/>
      <x:c r="AD165" s="398" t="n"/>
      <x:c r="AE165" s="398" t="n"/>
      <x:c r="AF165" s="397" t="n"/>
      <x:c r="AI165" s="42" t="n"/>
      <x:c r="AN165" s="42" t="n"/>
      <x:c r="AR165" s="42" t="n"/>
    </x:row>
    <x:row r="166">
      <x:c r="C166" s="42" t="n"/>
      <x:c r="D166" s="669" t="n"/>
      <x:c r="E166" s="669" t="n"/>
      <x:c r="N166" s="397" t="n"/>
      <x:c r="R166" s="42" t="n"/>
      <x:c r="AA166" s="398" t="n"/>
      <x:c r="AB166" s="398" t="n"/>
      <x:c r="AC166" s="398" t="n"/>
      <x:c r="AD166" s="398" t="n"/>
      <x:c r="AE166" s="398" t="n"/>
      <x:c r="AF166" s="397" t="n"/>
      <x:c r="AI166" s="42" t="n"/>
      <x:c r="AN166" s="42" t="n"/>
      <x:c r="AR166" s="42" t="n"/>
    </x:row>
    <x:row r="167">
      <x:c r="C167" s="42" t="n"/>
      <x:c r="D167" s="669" t="n"/>
      <x:c r="E167" s="669" t="n"/>
      <x:c r="N167" s="397" t="n"/>
      <x:c r="R167" s="42" t="n"/>
      <x:c r="AA167" s="398" t="n"/>
      <x:c r="AB167" s="398" t="n"/>
      <x:c r="AC167" s="398" t="n"/>
      <x:c r="AD167" s="398" t="n"/>
      <x:c r="AE167" s="398" t="n"/>
      <x:c r="AF167" s="397" t="n"/>
      <x:c r="AI167" s="42" t="n"/>
      <x:c r="AN167" s="42" t="n"/>
      <x:c r="AR167" s="42" t="n"/>
    </x:row>
    <x:row r="168">
      <x:c r="C168" s="42" t="n"/>
      <x:c r="D168" s="669" t="n"/>
      <x:c r="E168" s="669" t="n"/>
      <x:c r="N168" s="397" t="n"/>
      <x:c r="R168" s="42" t="n"/>
      <x:c r="AA168" s="398" t="n"/>
      <x:c r="AB168" s="398" t="n"/>
      <x:c r="AC168" s="398" t="n"/>
      <x:c r="AD168" s="398" t="n"/>
      <x:c r="AE168" s="398" t="n"/>
      <x:c r="AF168" s="397" t="n"/>
      <x:c r="AI168" s="42" t="n"/>
      <x:c r="AN168" s="42" t="n"/>
      <x:c r="AR168" s="42" t="n"/>
    </x:row>
    <x:row r="169">
      <x:c r="C169" s="42" t="n"/>
      <x:c r="D169" s="669" t="n"/>
      <x:c r="E169" s="669" t="n"/>
      <x:c r="N169" s="397" t="n"/>
      <x:c r="R169" s="42" t="n"/>
      <x:c r="AA169" s="398" t="n"/>
      <x:c r="AB169" s="398" t="n"/>
      <x:c r="AC169" s="398" t="n"/>
      <x:c r="AD169" s="398" t="n"/>
      <x:c r="AE169" s="398" t="n"/>
      <x:c r="AF169" s="397" t="n"/>
      <x:c r="AI169" s="42" t="n"/>
      <x:c r="AN169" s="42" t="n"/>
      <x:c r="AR169" s="42" t="n"/>
    </x:row>
    <x:row r="170">
      <x:c r="C170" s="42" t="n"/>
      <x:c r="D170" s="669" t="n"/>
      <x:c r="E170" s="669" t="n"/>
      <x:c r="N170" s="397" t="n"/>
      <x:c r="R170" s="42" t="n"/>
      <x:c r="AA170" s="398" t="n"/>
      <x:c r="AB170" s="398" t="n"/>
      <x:c r="AC170" s="398" t="n"/>
      <x:c r="AD170" s="398" t="n"/>
      <x:c r="AE170" s="398" t="n"/>
      <x:c r="AF170" s="397" t="n"/>
      <x:c r="AI170" s="42" t="n"/>
      <x:c r="AN170" s="42" t="n"/>
      <x:c r="AR170" s="42" t="n"/>
    </x:row>
    <x:row r="171">
      <x:c r="C171" s="42" t="n"/>
      <x:c r="D171" s="669" t="n"/>
      <x:c r="E171" s="669" t="n"/>
      <x:c r="N171" s="397" t="n"/>
      <x:c r="R171" s="42" t="n"/>
      <x:c r="AA171" s="398" t="n"/>
      <x:c r="AB171" s="398" t="n"/>
      <x:c r="AC171" s="398" t="n"/>
      <x:c r="AD171" s="398" t="n"/>
      <x:c r="AE171" s="398" t="n"/>
      <x:c r="AF171" s="397" t="n"/>
      <x:c r="AI171" s="42" t="n"/>
      <x:c r="AN171" s="42" t="n"/>
      <x:c r="AR171" s="42" t="n"/>
    </x:row>
    <x:row r="172">
      <x:c r="C172" s="42" t="n"/>
      <x:c r="D172" s="669" t="n"/>
      <x:c r="E172" s="669" t="n"/>
      <x:c r="N172" s="397" t="n"/>
      <x:c r="R172" s="42" t="n"/>
      <x:c r="AA172" s="398" t="n"/>
      <x:c r="AB172" s="398" t="n"/>
      <x:c r="AC172" s="398" t="n"/>
      <x:c r="AD172" s="398" t="n"/>
      <x:c r="AE172" s="398" t="n"/>
      <x:c r="AF172" s="397" t="n"/>
      <x:c r="AI172" s="42" t="n"/>
      <x:c r="AN172" s="42" t="n"/>
      <x:c r="AR172" s="42" t="n"/>
    </x:row>
    <x:row r="173">
      <x:c r="C173" s="42" t="n"/>
      <x:c r="D173" s="669" t="n"/>
      <x:c r="E173" s="669" t="n"/>
      <x:c r="N173" s="397" t="n"/>
      <x:c r="R173" s="42" t="n"/>
      <x:c r="AA173" s="398" t="n"/>
      <x:c r="AB173" s="398" t="n"/>
      <x:c r="AC173" s="398" t="n"/>
      <x:c r="AD173" s="398" t="n"/>
      <x:c r="AE173" s="398" t="n"/>
      <x:c r="AF173" s="397" t="n"/>
      <x:c r="AI173" s="42" t="n"/>
      <x:c r="AN173" s="42" t="n"/>
      <x:c r="AR173" s="42" t="n"/>
    </x:row>
    <x:row r="174">
      <x:c r="C174" s="42" t="n"/>
      <x:c r="D174" s="669" t="n"/>
      <x:c r="E174" s="669" t="n"/>
      <x:c r="N174" s="397" t="n"/>
      <x:c r="R174" s="42" t="n"/>
      <x:c r="AA174" s="398" t="n"/>
      <x:c r="AB174" s="398" t="n"/>
      <x:c r="AC174" s="398" t="n"/>
      <x:c r="AD174" s="398" t="n"/>
      <x:c r="AE174" s="398" t="n"/>
      <x:c r="AF174" s="397" t="n"/>
      <x:c r="AI174" s="42" t="n"/>
      <x:c r="AN174" s="42" t="n"/>
      <x:c r="AR174" s="42" t="n"/>
    </x:row>
    <x:row r="175">
      <x:c r="C175" s="42" t="n"/>
      <x:c r="D175" s="669" t="n"/>
      <x:c r="E175" s="669" t="n"/>
      <x:c r="N175" s="397" t="n"/>
      <x:c r="R175" s="42" t="n"/>
      <x:c r="AA175" s="398" t="n"/>
      <x:c r="AB175" s="398" t="n"/>
      <x:c r="AC175" s="398" t="n"/>
      <x:c r="AD175" s="398" t="n"/>
      <x:c r="AE175" s="398" t="n"/>
      <x:c r="AF175" s="397" t="n"/>
      <x:c r="AI175" s="42" t="n"/>
      <x:c r="AN175" s="42" t="n"/>
      <x:c r="AR175" s="42" t="n"/>
    </x:row>
    <x:row r="176">
      <x:c r="C176" s="42" t="n"/>
      <x:c r="D176" s="669" t="n"/>
      <x:c r="E176" s="669" t="n"/>
      <x:c r="N176" s="397" t="n"/>
      <x:c r="R176" s="42" t="n"/>
      <x:c r="AA176" s="398" t="n"/>
      <x:c r="AB176" s="398" t="n"/>
      <x:c r="AC176" s="398" t="n"/>
      <x:c r="AD176" s="398" t="n"/>
      <x:c r="AE176" s="398" t="n"/>
      <x:c r="AF176" s="397" t="n"/>
      <x:c r="AI176" s="42" t="n"/>
      <x:c r="AN176" s="42" t="n"/>
      <x:c r="AR176" s="42" t="n"/>
    </x:row>
    <x:row r="177">
      <x:c r="C177" s="42" t="n"/>
      <x:c r="D177" s="669" t="n"/>
      <x:c r="E177" s="669" t="n"/>
      <x:c r="N177" s="397" t="n"/>
      <x:c r="R177" s="42" t="n"/>
      <x:c r="AA177" s="398" t="n"/>
      <x:c r="AB177" s="398" t="n"/>
      <x:c r="AC177" s="398" t="n"/>
      <x:c r="AD177" s="398" t="n"/>
      <x:c r="AE177" s="398" t="n"/>
      <x:c r="AF177" s="397" t="n"/>
      <x:c r="AI177" s="42" t="n"/>
      <x:c r="AN177" s="42" t="n"/>
      <x:c r="AR177" s="42" t="n"/>
    </x:row>
    <x:row r="178">
      <x:c r="C178" s="42" t="n"/>
      <x:c r="D178" s="669" t="n"/>
      <x:c r="E178" s="669" t="n"/>
      <x:c r="N178" s="397" t="n"/>
      <x:c r="R178" s="42" t="n"/>
      <x:c r="AA178" s="398" t="n"/>
      <x:c r="AB178" s="398" t="n"/>
      <x:c r="AC178" s="398" t="n"/>
      <x:c r="AD178" s="398" t="n"/>
      <x:c r="AE178" s="398" t="n"/>
      <x:c r="AF178" s="397" t="n"/>
      <x:c r="AI178" s="42" t="n"/>
      <x:c r="AN178" s="42" t="n"/>
      <x:c r="AR178" s="42" t="n"/>
    </x:row>
    <x:row r="179">
      <x:c r="C179" s="42" t="n"/>
      <x:c r="D179" s="669" t="n"/>
      <x:c r="E179" s="669" t="n"/>
      <x:c r="N179" s="397" t="n"/>
      <x:c r="R179" s="42" t="n"/>
      <x:c r="AA179" s="398" t="n"/>
      <x:c r="AB179" s="398" t="n"/>
      <x:c r="AC179" s="398" t="n"/>
      <x:c r="AD179" s="398" t="n"/>
      <x:c r="AE179" s="398" t="n"/>
      <x:c r="AF179" s="397" t="n"/>
      <x:c r="AI179" s="42" t="n"/>
      <x:c r="AN179" s="42" t="n"/>
      <x:c r="AR179" s="42" t="n"/>
    </x:row>
    <x:row r="180">
      <x:c r="C180" s="42" t="n"/>
      <x:c r="D180" s="669" t="n"/>
      <x:c r="E180" s="669" t="n"/>
      <x:c r="N180" s="397" t="n"/>
      <x:c r="R180" s="42" t="n"/>
      <x:c r="AA180" s="398" t="n"/>
      <x:c r="AB180" s="398" t="n"/>
      <x:c r="AC180" s="398" t="n"/>
      <x:c r="AD180" s="398" t="n"/>
      <x:c r="AE180" s="398" t="n"/>
      <x:c r="AF180" s="397" t="n"/>
      <x:c r="AI180" s="42" t="n"/>
      <x:c r="AN180" s="42" t="n"/>
      <x:c r="AR180" s="42" t="n"/>
    </x:row>
    <x:row r="181">
      <x:c r="C181" s="42" t="n"/>
      <x:c r="D181" s="669" t="n"/>
      <x:c r="E181" s="669" t="n"/>
      <x:c r="N181" s="397" t="n"/>
      <x:c r="R181" s="42" t="n"/>
      <x:c r="AA181" s="398" t="n"/>
      <x:c r="AB181" s="398" t="n"/>
      <x:c r="AC181" s="398" t="n"/>
      <x:c r="AD181" s="398" t="n"/>
      <x:c r="AE181" s="398" t="n"/>
      <x:c r="AF181" s="397" t="n"/>
      <x:c r="AI181" s="42" t="n"/>
      <x:c r="AN181" s="42" t="n"/>
      <x:c r="AR181" s="42" t="n"/>
    </x:row>
    <x:row r="182">
      <x:c r="C182" s="42" t="n"/>
      <x:c r="D182" s="669" t="n"/>
      <x:c r="E182" s="669" t="n"/>
      <x:c r="N182" s="397" t="n"/>
      <x:c r="R182" s="42" t="n"/>
      <x:c r="AA182" s="398" t="n"/>
      <x:c r="AB182" s="398" t="n"/>
      <x:c r="AC182" s="398" t="n"/>
      <x:c r="AD182" s="398" t="n"/>
      <x:c r="AE182" s="398" t="n"/>
      <x:c r="AF182" s="397" t="n"/>
      <x:c r="AI182" s="42" t="n"/>
      <x:c r="AN182" s="42" t="n"/>
      <x:c r="AR182" s="42" t="n"/>
    </x:row>
    <x:row r="183">
      <x:c r="C183" s="42" t="n"/>
      <x:c r="D183" s="669" t="n"/>
      <x:c r="E183" s="669" t="n"/>
      <x:c r="N183" s="397" t="n"/>
      <x:c r="R183" s="42" t="n"/>
      <x:c r="AA183" s="398" t="n"/>
      <x:c r="AB183" s="398" t="n"/>
      <x:c r="AC183" s="398" t="n"/>
      <x:c r="AD183" s="398" t="n"/>
      <x:c r="AE183" s="398" t="n"/>
      <x:c r="AF183" s="397" t="n"/>
      <x:c r="AI183" s="42" t="n"/>
      <x:c r="AN183" s="42" t="n"/>
      <x:c r="AR183" s="42" t="n"/>
    </x:row>
    <x:row r="184">
      <x:c r="C184" s="42" t="n"/>
      <x:c r="D184" s="669" t="n"/>
      <x:c r="E184" s="669" t="n"/>
      <x:c r="N184" s="397" t="n"/>
      <x:c r="R184" s="42" t="n"/>
      <x:c r="AA184" s="398" t="n"/>
      <x:c r="AB184" s="398" t="n"/>
      <x:c r="AC184" s="398" t="n"/>
      <x:c r="AD184" s="398" t="n"/>
      <x:c r="AE184" s="398" t="n"/>
      <x:c r="AF184" s="397" t="n"/>
      <x:c r="AI184" s="42" t="n"/>
      <x:c r="AN184" s="42" t="n"/>
      <x:c r="AR184" s="42" t="n"/>
    </x:row>
    <x:row r="185">
      <x:c r="C185" s="42" t="n"/>
      <x:c r="D185" s="669" t="n"/>
      <x:c r="E185" s="669" t="n"/>
      <x:c r="N185" s="397" t="n"/>
      <x:c r="R185" s="42" t="n"/>
      <x:c r="AA185" s="398" t="n"/>
      <x:c r="AB185" s="398" t="n"/>
      <x:c r="AC185" s="398" t="n"/>
      <x:c r="AD185" s="398" t="n"/>
      <x:c r="AE185" s="398" t="n"/>
      <x:c r="AF185" s="397" t="n"/>
      <x:c r="AI185" s="42" t="n"/>
      <x:c r="AN185" s="42" t="n"/>
      <x:c r="AR185" s="42" t="n"/>
    </x:row>
    <x:row r="186">
      <x:c r="C186" s="42" t="n"/>
      <x:c r="D186" s="669" t="n"/>
      <x:c r="E186" s="669" t="n"/>
      <x:c r="N186" s="397" t="n"/>
      <x:c r="R186" s="42" t="n"/>
      <x:c r="AA186" s="398" t="n"/>
      <x:c r="AB186" s="398" t="n"/>
      <x:c r="AC186" s="398" t="n"/>
      <x:c r="AD186" s="398" t="n"/>
      <x:c r="AE186" s="398" t="n"/>
      <x:c r="AF186" s="397" t="n"/>
      <x:c r="AI186" s="42" t="n"/>
      <x:c r="AN186" s="42" t="n"/>
      <x:c r="AR186" s="42" t="n"/>
    </x:row>
    <x:row r="187">
      <x:c r="C187" s="42" t="n"/>
      <x:c r="D187" s="669" t="n"/>
      <x:c r="E187" s="669" t="n"/>
      <x:c r="N187" s="397" t="n"/>
      <x:c r="R187" s="42" t="n"/>
      <x:c r="AA187" s="398" t="n"/>
      <x:c r="AB187" s="398" t="n"/>
      <x:c r="AC187" s="398" t="n"/>
      <x:c r="AD187" s="398" t="n"/>
      <x:c r="AE187" s="398" t="n"/>
      <x:c r="AF187" s="397" t="n"/>
      <x:c r="AI187" s="42" t="n"/>
      <x:c r="AN187" s="42" t="n"/>
      <x:c r="AR187" s="42" t="n"/>
    </x:row>
    <x:row r="188">
      <x:c r="C188" s="42" t="n"/>
      <x:c r="D188" s="669" t="n"/>
      <x:c r="E188" s="669" t="n"/>
      <x:c r="N188" s="397" t="n"/>
      <x:c r="R188" s="42" t="n"/>
      <x:c r="AA188" s="398" t="n"/>
      <x:c r="AB188" s="398" t="n"/>
      <x:c r="AC188" s="398" t="n"/>
      <x:c r="AD188" s="398" t="n"/>
      <x:c r="AE188" s="398" t="n"/>
      <x:c r="AF188" s="397" t="n"/>
      <x:c r="AI188" s="42" t="n"/>
      <x:c r="AN188" s="42" t="n"/>
      <x:c r="AR188" s="42" t="n"/>
    </x:row>
    <x:row r="189">
      <x:c r="C189" s="42" t="n"/>
      <x:c r="D189" s="669" t="n"/>
      <x:c r="E189" s="669" t="n"/>
      <x:c r="N189" s="397" t="n"/>
      <x:c r="R189" s="42" t="n"/>
      <x:c r="AA189" s="398" t="n"/>
      <x:c r="AB189" s="398" t="n"/>
      <x:c r="AC189" s="398" t="n"/>
      <x:c r="AD189" s="398" t="n"/>
      <x:c r="AE189" s="398" t="n"/>
      <x:c r="AF189" s="397" t="n"/>
      <x:c r="AI189" s="42" t="n"/>
      <x:c r="AN189" s="42" t="n"/>
      <x:c r="AR189" s="42" t="n"/>
    </x:row>
    <x:row r="190">
      <x:c r="C190" s="42" t="n"/>
      <x:c r="D190" s="669" t="n"/>
      <x:c r="E190" s="669" t="n"/>
      <x:c r="N190" s="397" t="n"/>
      <x:c r="R190" s="42" t="n"/>
      <x:c r="AA190" s="398" t="n"/>
      <x:c r="AB190" s="398" t="n"/>
      <x:c r="AC190" s="398" t="n"/>
      <x:c r="AD190" s="398" t="n"/>
      <x:c r="AE190" s="398" t="n"/>
      <x:c r="AF190" s="397" t="n"/>
      <x:c r="AI190" s="42" t="n"/>
      <x:c r="AN190" s="42" t="n"/>
      <x:c r="AR190" s="42" t="n"/>
    </x:row>
    <x:row r="191">
      <x:c r="C191" s="42" t="n"/>
      <x:c r="D191" s="669" t="n"/>
      <x:c r="E191" s="669" t="n"/>
      <x:c r="N191" s="397" t="n"/>
      <x:c r="R191" s="42" t="n"/>
      <x:c r="AA191" s="398" t="n"/>
      <x:c r="AB191" s="398" t="n"/>
      <x:c r="AC191" s="398" t="n"/>
      <x:c r="AD191" s="398" t="n"/>
      <x:c r="AE191" s="398" t="n"/>
      <x:c r="AF191" s="397" t="n"/>
      <x:c r="AI191" s="42" t="n"/>
      <x:c r="AN191" s="42" t="n"/>
      <x:c r="AR191" s="42" t="n"/>
    </x:row>
    <x:row r="192">
      <x:c r="C192" s="42" t="n"/>
      <x:c r="D192" s="669" t="n"/>
      <x:c r="E192" s="669" t="n"/>
      <x:c r="N192" s="397" t="n"/>
      <x:c r="R192" s="42" t="n"/>
      <x:c r="AA192" s="398" t="n"/>
      <x:c r="AB192" s="398" t="n"/>
      <x:c r="AC192" s="398" t="n"/>
      <x:c r="AD192" s="398" t="n"/>
      <x:c r="AE192" s="398" t="n"/>
      <x:c r="AF192" s="397" t="n"/>
      <x:c r="AI192" s="42" t="n"/>
      <x:c r="AN192" s="42" t="n"/>
      <x:c r="AR192" s="42" t="n"/>
    </x:row>
    <x:row r="193">
      <x:c r="C193" s="42" t="n"/>
      <x:c r="D193" s="669" t="n"/>
      <x:c r="E193" s="669" t="n"/>
      <x:c r="N193" s="397" t="n"/>
      <x:c r="R193" s="42" t="n"/>
      <x:c r="AA193" s="398" t="n"/>
      <x:c r="AB193" s="398" t="n"/>
      <x:c r="AC193" s="398" t="n"/>
      <x:c r="AD193" s="398" t="n"/>
      <x:c r="AE193" s="398" t="n"/>
      <x:c r="AF193" s="397" t="n"/>
      <x:c r="AI193" s="42" t="n"/>
      <x:c r="AN193" s="42" t="n"/>
      <x:c r="AR193" s="42" t="n"/>
    </x:row>
    <x:row r="194">
      <x:c r="C194" s="42" t="n"/>
      <x:c r="D194" s="669" t="n"/>
      <x:c r="E194" s="669" t="n"/>
      <x:c r="N194" s="397" t="n"/>
      <x:c r="R194" s="42" t="n"/>
      <x:c r="AA194" s="398" t="n"/>
      <x:c r="AB194" s="398" t="n"/>
      <x:c r="AC194" s="398" t="n"/>
      <x:c r="AD194" s="398" t="n"/>
      <x:c r="AE194" s="398" t="n"/>
      <x:c r="AF194" s="397" t="n"/>
      <x:c r="AI194" s="42" t="n"/>
      <x:c r="AN194" s="42" t="n"/>
      <x:c r="AR194" s="42" t="n"/>
    </x:row>
    <x:row r="195">
      <x:c r="C195" s="42" t="n"/>
      <x:c r="D195" s="669" t="n"/>
      <x:c r="E195" s="669" t="n"/>
      <x:c r="N195" s="397" t="n"/>
      <x:c r="R195" s="42" t="n"/>
      <x:c r="AA195" s="398" t="n"/>
      <x:c r="AB195" s="398" t="n"/>
      <x:c r="AC195" s="398" t="n"/>
      <x:c r="AD195" s="398" t="n"/>
      <x:c r="AE195" s="398" t="n"/>
      <x:c r="AF195" s="397" t="n"/>
      <x:c r="AI195" s="42" t="n"/>
      <x:c r="AN195" s="42" t="n"/>
      <x:c r="AR195" s="42" t="n"/>
    </x:row>
    <x:row r="196">
      <x:c r="C196" s="42" t="n"/>
      <x:c r="D196" s="669" t="n"/>
      <x:c r="E196" s="669" t="n"/>
      <x:c r="N196" s="397" t="n"/>
      <x:c r="R196" s="42" t="n"/>
      <x:c r="AA196" s="398" t="n"/>
      <x:c r="AB196" s="398" t="n"/>
      <x:c r="AC196" s="398" t="n"/>
      <x:c r="AD196" s="398" t="n"/>
      <x:c r="AE196" s="398" t="n"/>
      <x:c r="AF196" s="397" t="n"/>
      <x:c r="AI196" s="42" t="n"/>
      <x:c r="AN196" s="42" t="n"/>
      <x:c r="AR196" s="42" t="n"/>
    </x:row>
    <x:row r="197">
      <x:c r="C197" s="42" t="n"/>
      <x:c r="D197" s="669" t="n"/>
      <x:c r="E197" s="669" t="n"/>
      <x:c r="N197" s="397" t="n"/>
      <x:c r="R197" s="42" t="n"/>
      <x:c r="AA197" s="398" t="n"/>
      <x:c r="AB197" s="398" t="n"/>
      <x:c r="AC197" s="398" t="n"/>
      <x:c r="AD197" s="398" t="n"/>
      <x:c r="AE197" s="398" t="n"/>
      <x:c r="AF197" s="397" t="n"/>
      <x:c r="AI197" s="42" t="n"/>
      <x:c r="AN197" s="42" t="n"/>
      <x:c r="AR197" s="42" t="n"/>
    </x:row>
    <x:row r="198">
      <x:c r="C198" s="42" t="n"/>
      <x:c r="D198" s="669" t="n"/>
      <x:c r="E198" s="669" t="n"/>
      <x:c r="N198" s="397" t="n"/>
      <x:c r="R198" s="42" t="n"/>
      <x:c r="AA198" s="398" t="n"/>
      <x:c r="AB198" s="398" t="n"/>
      <x:c r="AC198" s="398" t="n"/>
      <x:c r="AD198" s="398" t="n"/>
      <x:c r="AE198" s="398" t="n"/>
      <x:c r="AF198" s="397" t="n"/>
      <x:c r="AI198" s="42" t="n"/>
      <x:c r="AN198" s="42" t="n"/>
      <x:c r="AR198" s="42" t="n"/>
    </x:row>
    <x:row r="199">
      <x:c r="C199" s="42" t="n"/>
      <x:c r="D199" s="669" t="n"/>
      <x:c r="E199" s="669" t="n"/>
      <x:c r="N199" s="397" t="n"/>
      <x:c r="R199" s="42" t="n"/>
      <x:c r="AA199" s="398" t="n"/>
      <x:c r="AB199" s="398" t="n"/>
      <x:c r="AC199" s="398" t="n"/>
      <x:c r="AD199" s="398" t="n"/>
      <x:c r="AE199" s="398" t="n"/>
      <x:c r="AF199" s="397" t="n"/>
      <x:c r="AI199" s="42" t="n"/>
      <x:c r="AN199" s="42" t="n"/>
      <x:c r="AR199" s="42" t="n"/>
    </x:row>
    <x:row r="200">
      <x:c r="C200" s="42" t="n"/>
      <x:c r="D200" s="669" t="n"/>
      <x:c r="E200" s="669" t="n"/>
      <x:c r="N200" s="397" t="n"/>
      <x:c r="R200" s="42" t="n"/>
      <x:c r="AA200" s="398" t="n"/>
      <x:c r="AB200" s="398" t="n"/>
      <x:c r="AC200" s="398" t="n"/>
      <x:c r="AD200" s="398" t="n"/>
      <x:c r="AE200" s="398" t="n"/>
      <x:c r="AF200" s="397" t="n"/>
      <x:c r="AI200" s="42" t="n"/>
      <x:c r="AN200" s="42" t="n"/>
      <x:c r="AR200" s="42" t="n"/>
    </x:row>
    <x:row r="201">
      <x:c r="C201" s="42" t="n"/>
      <x:c r="D201" s="669" t="n"/>
      <x:c r="E201" s="669" t="n"/>
      <x:c r="N201" s="397" t="n"/>
      <x:c r="R201" s="42" t="n"/>
      <x:c r="AA201" s="398" t="n"/>
      <x:c r="AB201" s="398" t="n"/>
      <x:c r="AC201" s="398" t="n"/>
      <x:c r="AD201" s="398" t="n"/>
      <x:c r="AE201" s="398" t="n"/>
      <x:c r="AF201" s="397" t="n"/>
      <x:c r="AI201" s="42" t="n"/>
      <x:c r="AN201" s="42" t="n"/>
      <x:c r="AR201" s="42" t="n"/>
    </x:row>
    <x:row r="202">
      <x:c r="C202" s="42" t="n"/>
      <x:c r="D202" s="669" t="n"/>
      <x:c r="E202" s="669" t="n"/>
      <x:c r="N202" s="397" t="n"/>
      <x:c r="R202" s="42" t="n"/>
      <x:c r="AA202" s="398" t="n"/>
      <x:c r="AB202" s="398" t="n"/>
      <x:c r="AC202" s="398" t="n"/>
      <x:c r="AD202" s="398" t="n"/>
      <x:c r="AE202" s="398" t="n"/>
      <x:c r="AF202" s="397" t="n"/>
      <x:c r="AI202" s="42" t="n"/>
      <x:c r="AN202" s="42" t="n"/>
      <x:c r="AR202" s="42" t="n"/>
    </x:row>
    <x:row r="203">
      <x:c r="C203" s="42" t="n"/>
      <x:c r="D203" s="669" t="n"/>
      <x:c r="E203" s="669" t="n"/>
      <x:c r="N203" s="397" t="n"/>
      <x:c r="R203" s="42" t="n"/>
      <x:c r="AA203" s="398" t="n"/>
      <x:c r="AB203" s="398" t="n"/>
      <x:c r="AC203" s="398" t="n"/>
      <x:c r="AD203" s="398" t="n"/>
      <x:c r="AE203" s="398" t="n"/>
      <x:c r="AF203" s="397" t="n"/>
      <x:c r="AI203" s="42" t="n"/>
      <x:c r="AN203" s="42" t="n"/>
      <x:c r="AR203" s="42" t="n"/>
    </x:row>
    <x:row r="204">
      <x:c r="C204" s="42" t="n"/>
      <x:c r="D204" s="669" t="n"/>
      <x:c r="E204" s="669" t="n"/>
      <x:c r="N204" s="397" t="n"/>
      <x:c r="R204" s="42" t="n"/>
      <x:c r="AA204" s="398" t="n"/>
      <x:c r="AB204" s="398" t="n"/>
      <x:c r="AC204" s="398" t="n"/>
      <x:c r="AD204" s="398" t="n"/>
      <x:c r="AE204" s="398" t="n"/>
      <x:c r="AF204" s="397" t="n"/>
      <x:c r="AI204" s="42" t="n"/>
      <x:c r="AN204" s="42" t="n"/>
      <x:c r="AR204" s="42" t="n"/>
    </x:row>
    <x:row r="205">
      <x:c r="C205" s="42" t="n"/>
      <x:c r="D205" s="669" t="n"/>
      <x:c r="E205" s="669" t="n"/>
      <x:c r="N205" s="397" t="n"/>
      <x:c r="R205" s="42" t="n"/>
      <x:c r="AA205" s="398" t="n"/>
      <x:c r="AB205" s="398" t="n"/>
      <x:c r="AC205" s="398" t="n"/>
      <x:c r="AD205" s="398" t="n"/>
      <x:c r="AE205" s="398" t="n"/>
      <x:c r="AF205" s="397" t="n"/>
      <x:c r="AI205" s="42" t="n"/>
      <x:c r="AN205" s="42" t="n"/>
      <x:c r="AR205" s="42" t="n"/>
    </x:row>
    <x:row r="206">
      <x:c r="C206" s="42" t="n"/>
      <x:c r="D206" s="669" t="n"/>
      <x:c r="E206" s="669" t="n"/>
      <x:c r="N206" s="397" t="n"/>
      <x:c r="R206" s="42" t="n"/>
      <x:c r="AA206" s="398" t="n"/>
      <x:c r="AB206" s="398" t="n"/>
      <x:c r="AC206" s="398" t="n"/>
      <x:c r="AD206" s="398" t="n"/>
      <x:c r="AE206" s="398" t="n"/>
      <x:c r="AF206" s="397" t="n"/>
      <x:c r="AI206" s="42" t="n"/>
      <x:c r="AN206" s="42" t="n"/>
      <x:c r="AR206" s="42" t="n"/>
    </x:row>
    <x:row r="207">
      <x:c r="C207" s="42" t="n"/>
      <x:c r="D207" s="669" t="n"/>
      <x:c r="E207" s="669" t="n"/>
      <x:c r="N207" s="397" t="n"/>
      <x:c r="R207" s="42" t="n"/>
      <x:c r="AA207" s="398" t="n"/>
      <x:c r="AB207" s="398" t="n"/>
      <x:c r="AC207" s="398" t="n"/>
      <x:c r="AD207" s="398" t="n"/>
      <x:c r="AE207" s="398" t="n"/>
      <x:c r="AF207" s="397" t="n"/>
      <x:c r="AI207" s="42" t="n"/>
      <x:c r="AN207" s="42" t="n"/>
      <x:c r="AR207" s="42" t="n"/>
    </x:row>
    <x:row r="208">
      <x:c r="C208" s="42" t="n"/>
      <x:c r="D208" s="669" t="n"/>
      <x:c r="E208" s="669" t="n"/>
      <x:c r="N208" s="397" t="n"/>
      <x:c r="R208" s="42" t="n"/>
      <x:c r="AA208" s="398" t="n"/>
      <x:c r="AB208" s="398" t="n"/>
      <x:c r="AC208" s="398" t="n"/>
      <x:c r="AD208" s="398" t="n"/>
      <x:c r="AE208" s="398" t="n"/>
      <x:c r="AF208" s="397" t="n"/>
      <x:c r="AI208" s="42" t="n"/>
      <x:c r="AN208" s="42" t="n"/>
      <x:c r="AR208" s="42" t="n"/>
    </x:row>
    <x:row r="209">
      <x:c r="C209" s="42" t="n"/>
      <x:c r="D209" s="669" t="n"/>
      <x:c r="E209" s="669" t="n"/>
      <x:c r="N209" s="397" t="n"/>
      <x:c r="R209" s="42" t="n"/>
      <x:c r="AA209" s="398" t="n"/>
      <x:c r="AB209" s="398" t="n"/>
      <x:c r="AC209" s="398" t="n"/>
      <x:c r="AD209" s="398" t="n"/>
      <x:c r="AE209" s="398" t="n"/>
      <x:c r="AF209" s="397" t="n"/>
      <x:c r="AI209" s="42" t="n"/>
      <x:c r="AN209" s="42" t="n"/>
      <x:c r="AR209" s="42" t="n"/>
    </x:row>
    <x:row r="210">
      <x:c r="C210" s="42" t="n"/>
      <x:c r="D210" s="669" t="n"/>
      <x:c r="E210" s="669" t="n"/>
      <x:c r="N210" s="397" t="n"/>
      <x:c r="R210" s="42" t="n"/>
      <x:c r="AA210" s="398" t="n"/>
      <x:c r="AB210" s="398" t="n"/>
      <x:c r="AC210" s="398" t="n"/>
      <x:c r="AD210" s="398" t="n"/>
      <x:c r="AE210" s="398" t="n"/>
      <x:c r="AF210" s="397" t="n"/>
      <x:c r="AI210" s="42" t="n"/>
      <x:c r="AN210" s="42" t="n"/>
      <x:c r="AR210" s="42" t="n"/>
    </x:row>
    <x:row r="211">
      <x:c r="C211" s="42" t="n"/>
      <x:c r="D211" s="669" t="n"/>
      <x:c r="E211" s="669" t="n"/>
      <x:c r="N211" s="397" t="n"/>
      <x:c r="R211" s="42" t="n"/>
      <x:c r="AA211" s="398" t="n"/>
      <x:c r="AB211" s="398" t="n"/>
      <x:c r="AC211" s="398" t="n"/>
      <x:c r="AD211" s="398" t="n"/>
      <x:c r="AE211" s="398" t="n"/>
      <x:c r="AF211" s="397" t="n"/>
      <x:c r="AI211" s="42" t="n"/>
      <x:c r="AN211" s="42" t="n"/>
      <x:c r="AR211" s="42" t="n"/>
    </x:row>
    <x:row r="212">
      <x:c r="C212" s="42" t="n"/>
      <x:c r="D212" s="669" t="n"/>
      <x:c r="E212" s="669" t="n"/>
      <x:c r="N212" s="397" t="n"/>
      <x:c r="R212" s="42" t="n"/>
      <x:c r="AA212" s="398" t="n"/>
      <x:c r="AB212" s="398" t="n"/>
      <x:c r="AC212" s="398" t="n"/>
      <x:c r="AD212" s="398" t="n"/>
      <x:c r="AE212" s="398" t="n"/>
      <x:c r="AF212" s="397" t="n"/>
      <x:c r="AI212" s="42" t="n"/>
      <x:c r="AN212" s="42" t="n"/>
      <x:c r="AR212" s="42" t="n"/>
    </x:row>
    <x:row r="213">
      <x:c r="C213" s="42" t="n"/>
      <x:c r="D213" s="669" t="n"/>
      <x:c r="E213" s="669" t="n"/>
      <x:c r="N213" s="397" t="n"/>
      <x:c r="R213" s="42" t="n"/>
      <x:c r="AA213" s="398" t="n"/>
      <x:c r="AB213" s="398" t="n"/>
      <x:c r="AC213" s="398" t="n"/>
      <x:c r="AD213" s="398" t="n"/>
      <x:c r="AE213" s="398" t="n"/>
      <x:c r="AF213" s="397" t="n"/>
      <x:c r="AI213" s="42" t="n"/>
      <x:c r="AN213" s="42" t="n"/>
      <x:c r="AR213" s="42" t="n"/>
    </x:row>
    <x:row r="214">
      <x:c r="C214" s="42" t="n"/>
      <x:c r="D214" s="669" t="n"/>
      <x:c r="E214" s="669" t="n"/>
      <x:c r="N214" s="397" t="n"/>
      <x:c r="R214" s="42" t="n"/>
      <x:c r="AA214" s="398" t="n"/>
      <x:c r="AB214" s="398" t="n"/>
      <x:c r="AC214" s="398" t="n"/>
      <x:c r="AD214" s="398" t="n"/>
      <x:c r="AE214" s="398" t="n"/>
      <x:c r="AF214" s="397" t="n"/>
      <x:c r="AI214" s="42" t="n"/>
      <x:c r="AN214" s="42" t="n"/>
      <x:c r="AR214" s="42" t="n"/>
    </x:row>
    <x:row r="215">
      <x:c r="C215" s="42" t="n"/>
      <x:c r="D215" s="669" t="n"/>
      <x:c r="E215" s="669" t="n"/>
      <x:c r="N215" s="397" t="n"/>
      <x:c r="R215" s="42" t="n"/>
      <x:c r="AA215" s="398" t="n"/>
      <x:c r="AB215" s="398" t="n"/>
      <x:c r="AC215" s="398" t="n"/>
      <x:c r="AD215" s="398" t="n"/>
      <x:c r="AE215" s="398" t="n"/>
      <x:c r="AF215" s="397" t="n"/>
      <x:c r="AI215" s="42" t="n"/>
      <x:c r="AN215" s="42" t="n"/>
      <x:c r="AR215" s="42" t="n"/>
    </x:row>
    <x:row r="216">
      <x:c r="C216" s="42" t="n"/>
      <x:c r="D216" s="669" t="n"/>
      <x:c r="E216" s="669" t="n"/>
      <x:c r="N216" s="397" t="n"/>
      <x:c r="R216" s="42" t="n"/>
      <x:c r="AA216" s="398" t="n"/>
      <x:c r="AB216" s="398" t="n"/>
      <x:c r="AC216" s="398" t="n"/>
      <x:c r="AD216" s="398" t="n"/>
      <x:c r="AE216" s="398" t="n"/>
      <x:c r="AF216" s="397" t="n"/>
      <x:c r="AI216" s="42" t="n"/>
      <x:c r="AN216" s="42" t="n"/>
      <x:c r="AR216" s="42" t="n"/>
    </x:row>
    <x:row r="217">
      <x:c r="C217" s="42" t="n"/>
      <x:c r="D217" s="669" t="n"/>
      <x:c r="E217" s="669" t="n"/>
      <x:c r="N217" s="397" t="n"/>
      <x:c r="R217" s="42" t="n"/>
      <x:c r="AA217" s="398" t="n"/>
      <x:c r="AB217" s="398" t="n"/>
      <x:c r="AC217" s="398" t="n"/>
      <x:c r="AD217" s="398" t="n"/>
      <x:c r="AE217" s="398" t="n"/>
      <x:c r="AF217" s="397" t="n"/>
      <x:c r="AI217" s="42" t="n"/>
      <x:c r="AN217" s="42" t="n"/>
      <x:c r="AR217" s="42" t="n"/>
    </x:row>
    <x:row r="218">
      <x:c r="C218" s="42" t="n"/>
      <x:c r="D218" s="669" t="n"/>
      <x:c r="E218" s="669" t="n"/>
      <x:c r="N218" s="397" t="n"/>
      <x:c r="R218" s="42" t="n"/>
      <x:c r="AA218" s="398" t="n"/>
      <x:c r="AB218" s="398" t="n"/>
      <x:c r="AC218" s="398" t="n"/>
      <x:c r="AD218" s="398" t="n"/>
      <x:c r="AE218" s="398" t="n"/>
      <x:c r="AF218" s="397" t="n"/>
      <x:c r="AI218" s="42" t="n"/>
      <x:c r="AN218" s="42" t="n"/>
      <x:c r="AR218" s="42" t="n"/>
    </x:row>
    <x:row r="219">
      <x:c r="C219" s="42" t="n"/>
      <x:c r="D219" s="669" t="n"/>
      <x:c r="E219" s="669" t="n"/>
      <x:c r="N219" s="397" t="n"/>
      <x:c r="R219" s="42" t="n"/>
      <x:c r="AA219" s="398" t="n"/>
      <x:c r="AB219" s="398" t="n"/>
      <x:c r="AC219" s="398" t="n"/>
      <x:c r="AD219" s="398" t="n"/>
      <x:c r="AE219" s="398" t="n"/>
      <x:c r="AF219" s="397" t="n"/>
      <x:c r="AI219" s="42" t="n"/>
      <x:c r="AN219" s="42" t="n"/>
      <x:c r="AR219" s="42" t="n"/>
    </x:row>
    <x:row r="220">
      <x:c r="C220" s="42" t="n"/>
      <x:c r="D220" s="669" t="n"/>
      <x:c r="E220" s="669" t="n"/>
      <x:c r="N220" s="397" t="n"/>
      <x:c r="R220" s="42" t="n"/>
      <x:c r="AA220" s="398" t="n"/>
      <x:c r="AB220" s="398" t="n"/>
      <x:c r="AC220" s="398" t="n"/>
      <x:c r="AD220" s="398" t="n"/>
      <x:c r="AE220" s="398" t="n"/>
      <x:c r="AF220" s="397" t="n"/>
      <x:c r="AI220" s="42" t="n"/>
      <x:c r="AN220" s="42" t="n"/>
      <x:c r="AR220" s="42" t="n"/>
    </x:row>
    <x:row r="221">
      <x:c r="C221" s="42" t="n"/>
      <x:c r="D221" s="669" t="n"/>
      <x:c r="E221" s="669" t="n"/>
      <x:c r="N221" s="397" t="n"/>
      <x:c r="R221" s="42" t="n"/>
      <x:c r="AA221" s="398" t="n"/>
      <x:c r="AB221" s="398" t="n"/>
      <x:c r="AC221" s="398" t="n"/>
      <x:c r="AD221" s="398" t="n"/>
      <x:c r="AE221" s="398" t="n"/>
      <x:c r="AF221" s="397" t="n"/>
      <x:c r="AI221" s="42" t="n"/>
      <x:c r="AN221" s="42" t="n"/>
      <x:c r="AR221" s="42" t="n"/>
    </x:row>
    <x:row r="222">
      <x:c r="C222" s="42" t="n"/>
      <x:c r="D222" s="669" t="n"/>
      <x:c r="E222" s="669" t="n"/>
      <x:c r="N222" s="397" t="n"/>
      <x:c r="R222" s="42" t="n"/>
      <x:c r="AA222" s="398" t="n"/>
      <x:c r="AB222" s="398" t="n"/>
      <x:c r="AC222" s="398" t="n"/>
      <x:c r="AD222" s="398" t="n"/>
      <x:c r="AE222" s="398" t="n"/>
      <x:c r="AF222" s="397" t="n"/>
      <x:c r="AI222" s="42" t="n"/>
      <x:c r="AN222" s="42" t="n"/>
      <x:c r="AR222" s="42" t="n"/>
    </x:row>
    <x:row r="223">
      <x:c r="C223" s="42" t="n"/>
      <x:c r="D223" s="669" t="n"/>
      <x:c r="E223" s="669" t="n"/>
      <x:c r="N223" s="397" t="n"/>
      <x:c r="R223" s="42" t="n"/>
      <x:c r="AA223" s="398" t="n"/>
      <x:c r="AB223" s="398" t="n"/>
      <x:c r="AC223" s="398" t="n"/>
      <x:c r="AD223" s="398" t="n"/>
      <x:c r="AE223" s="398" t="n"/>
      <x:c r="AF223" s="397" t="n"/>
      <x:c r="AI223" s="42" t="n"/>
      <x:c r="AN223" s="42" t="n"/>
      <x:c r="AR223" s="42" t="n"/>
    </x:row>
    <x:row r="224">
      <x:c r="C224" s="42" t="n"/>
      <x:c r="D224" s="669" t="n"/>
      <x:c r="E224" s="669" t="n"/>
      <x:c r="N224" s="397" t="n"/>
      <x:c r="R224" s="42" t="n"/>
      <x:c r="AA224" s="398" t="n"/>
      <x:c r="AB224" s="398" t="n"/>
      <x:c r="AC224" s="398" t="n"/>
      <x:c r="AD224" s="398" t="n"/>
      <x:c r="AE224" s="398" t="n"/>
      <x:c r="AF224" s="397" t="n"/>
      <x:c r="AI224" s="42" t="n"/>
      <x:c r="AN224" s="42" t="n"/>
      <x:c r="AR224" s="42" t="n"/>
    </x:row>
    <x:row r="225">
      <x:c r="C225" s="42" t="n"/>
      <x:c r="D225" s="669" t="n"/>
      <x:c r="E225" s="669" t="n"/>
      <x:c r="N225" s="397" t="n"/>
      <x:c r="R225" s="42" t="n"/>
      <x:c r="AA225" s="398" t="n"/>
      <x:c r="AB225" s="398" t="n"/>
      <x:c r="AC225" s="398" t="n"/>
      <x:c r="AD225" s="398" t="n"/>
      <x:c r="AE225" s="398" t="n"/>
      <x:c r="AF225" s="397" t="n"/>
      <x:c r="AI225" s="42" t="n"/>
      <x:c r="AN225" s="42" t="n"/>
      <x:c r="AR225" s="42" t="n"/>
    </x:row>
    <x:row r="226">
      <x:c r="C226" s="42" t="n"/>
      <x:c r="D226" s="669" t="n"/>
      <x:c r="E226" s="669" t="n"/>
      <x:c r="N226" s="397" t="n"/>
      <x:c r="R226" s="42" t="n"/>
      <x:c r="AA226" s="398" t="n"/>
      <x:c r="AB226" s="398" t="n"/>
      <x:c r="AC226" s="398" t="n"/>
      <x:c r="AD226" s="398" t="n"/>
      <x:c r="AE226" s="398" t="n"/>
      <x:c r="AF226" s="397" t="n"/>
      <x:c r="AI226" s="42" t="n"/>
      <x:c r="AN226" s="42" t="n"/>
      <x:c r="AR226" s="42" t="n"/>
    </x:row>
    <x:row r="227">
      <x:c r="C227" s="42" t="n"/>
      <x:c r="D227" s="669" t="n"/>
      <x:c r="E227" s="669" t="n"/>
      <x:c r="N227" s="397" t="n"/>
      <x:c r="R227" s="42" t="n"/>
      <x:c r="AA227" s="398" t="n"/>
      <x:c r="AB227" s="398" t="n"/>
      <x:c r="AC227" s="398" t="n"/>
      <x:c r="AD227" s="398" t="n"/>
      <x:c r="AE227" s="398" t="n"/>
      <x:c r="AF227" s="397" t="n"/>
      <x:c r="AI227" s="42" t="n"/>
      <x:c r="AN227" s="42" t="n"/>
      <x:c r="AR227" s="42" t="n"/>
    </x:row>
    <x:row r="228">
      <x:c r="C228" s="42" t="n"/>
      <x:c r="D228" s="669" t="n"/>
      <x:c r="E228" s="669" t="n"/>
      <x:c r="N228" s="397" t="n"/>
      <x:c r="R228" s="42" t="n"/>
      <x:c r="AA228" s="398" t="n"/>
      <x:c r="AB228" s="398" t="n"/>
      <x:c r="AC228" s="398" t="n"/>
      <x:c r="AD228" s="398" t="n"/>
      <x:c r="AE228" s="398" t="n"/>
      <x:c r="AF228" s="397" t="n"/>
      <x:c r="AI228" s="42" t="n"/>
      <x:c r="AN228" s="42" t="n"/>
      <x:c r="AR228" s="42" t="n"/>
    </x:row>
    <x:row r="229">
      <x:c r="C229" s="42" t="n"/>
      <x:c r="D229" s="669" t="n"/>
      <x:c r="E229" s="669" t="n"/>
      <x:c r="N229" s="397" t="n"/>
      <x:c r="R229" s="42" t="n"/>
      <x:c r="AA229" s="398" t="n"/>
      <x:c r="AB229" s="398" t="n"/>
      <x:c r="AC229" s="398" t="n"/>
      <x:c r="AD229" s="398" t="n"/>
      <x:c r="AE229" s="398" t="n"/>
      <x:c r="AF229" s="397" t="n"/>
      <x:c r="AI229" s="42" t="n"/>
      <x:c r="AN229" s="42" t="n"/>
      <x:c r="AR229" s="42" t="n"/>
    </x:row>
    <x:row r="230">
      <x:c r="C230" s="42" t="n"/>
      <x:c r="D230" s="669" t="n"/>
      <x:c r="E230" s="669" t="n"/>
      <x:c r="N230" s="397" t="n"/>
      <x:c r="R230" s="42" t="n"/>
      <x:c r="AA230" s="398" t="n"/>
      <x:c r="AB230" s="398" t="n"/>
      <x:c r="AC230" s="398" t="n"/>
      <x:c r="AD230" s="398" t="n"/>
      <x:c r="AE230" s="398" t="n"/>
      <x:c r="AF230" s="397" t="n"/>
      <x:c r="AI230" s="42" t="n"/>
      <x:c r="AN230" s="42" t="n"/>
      <x:c r="AR230" s="42" t="n"/>
    </x:row>
    <x:row r="231">
      <x:c r="C231" s="42" t="n"/>
      <x:c r="D231" s="669" t="n"/>
      <x:c r="E231" s="669" t="n"/>
      <x:c r="N231" s="397" t="n"/>
      <x:c r="R231" s="42" t="n"/>
      <x:c r="AA231" s="398" t="n"/>
      <x:c r="AB231" s="398" t="n"/>
      <x:c r="AC231" s="398" t="n"/>
      <x:c r="AD231" s="398" t="n"/>
      <x:c r="AE231" s="398" t="n"/>
      <x:c r="AF231" s="397" t="n"/>
      <x:c r="AI231" s="42" t="n"/>
      <x:c r="AN231" s="42" t="n"/>
      <x:c r="AR231" s="42" t="n"/>
    </x:row>
    <x:row r="232">
      <x:c r="C232" s="42" t="n"/>
      <x:c r="D232" s="669" t="n"/>
      <x:c r="E232" s="669" t="n"/>
      <x:c r="N232" s="397" t="n"/>
      <x:c r="R232" s="42" t="n"/>
      <x:c r="AA232" s="398" t="n"/>
      <x:c r="AB232" s="398" t="n"/>
      <x:c r="AC232" s="398" t="n"/>
      <x:c r="AD232" s="398" t="n"/>
      <x:c r="AE232" s="398" t="n"/>
      <x:c r="AF232" s="397" t="n"/>
      <x:c r="AI232" s="42" t="n"/>
      <x:c r="AN232" s="42" t="n"/>
      <x:c r="AR232" s="42" t="n"/>
    </x:row>
    <x:row r="233">
      <x:c r="C233" s="42" t="n"/>
      <x:c r="D233" s="669" t="n"/>
      <x:c r="E233" s="669" t="n"/>
      <x:c r="N233" s="397" t="n"/>
      <x:c r="R233" s="42" t="n"/>
      <x:c r="AA233" s="398" t="n"/>
      <x:c r="AB233" s="398" t="n"/>
      <x:c r="AC233" s="398" t="n"/>
      <x:c r="AD233" s="398" t="n"/>
      <x:c r="AE233" s="398" t="n"/>
      <x:c r="AF233" s="397" t="n"/>
      <x:c r="AI233" s="42" t="n"/>
      <x:c r="AN233" s="42" t="n"/>
      <x:c r="AR233" s="42" t="n"/>
    </x:row>
    <x:row r="234">
      <x:c r="C234" s="42" t="n"/>
      <x:c r="D234" s="669" t="n"/>
      <x:c r="E234" s="669" t="n"/>
      <x:c r="N234" s="397" t="n"/>
      <x:c r="R234" s="42" t="n"/>
      <x:c r="AA234" s="398" t="n"/>
      <x:c r="AB234" s="398" t="n"/>
      <x:c r="AC234" s="398" t="n"/>
      <x:c r="AD234" s="398" t="n"/>
      <x:c r="AE234" s="398" t="n"/>
      <x:c r="AF234" s="397" t="n"/>
      <x:c r="AI234" s="42" t="n"/>
      <x:c r="AN234" s="42" t="n"/>
      <x:c r="AR234" s="42" t="n"/>
    </x:row>
    <x:row r="235">
      <x:c r="C235" s="42" t="n"/>
      <x:c r="D235" s="669" t="n"/>
      <x:c r="E235" s="669" t="n"/>
      <x:c r="N235" s="397" t="n"/>
      <x:c r="R235" s="42" t="n"/>
      <x:c r="AA235" s="398" t="n"/>
      <x:c r="AB235" s="398" t="n"/>
      <x:c r="AC235" s="398" t="n"/>
      <x:c r="AD235" s="398" t="n"/>
      <x:c r="AE235" s="398" t="n"/>
      <x:c r="AF235" s="397" t="n"/>
      <x:c r="AI235" s="42" t="n"/>
      <x:c r="AN235" s="42" t="n"/>
      <x:c r="AR235" s="42" t="n"/>
    </x:row>
    <x:row r="236">
      <x:c r="C236" s="42" t="n"/>
      <x:c r="D236" s="669" t="n"/>
      <x:c r="E236" s="669" t="n"/>
      <x:c r="N236" s="397" t="n"/>
      <x:c r="R236" s="42" t="n"/>
      <x:c r="AA236" s="398" t="n"/>
      <x:c r="AB236" s="398" t="n"/>
      <x:c r="AC236" s="398" t="n"/>
      <x:c r="AD236" s="398" t="n"/>
      <x:c r="AE236" s="398" t="n"/>
      <x:c r="AF236" s="397" t="n"/>
      <x:c r="AI236" s="42" t="n"/>
      <x:c r="AN236" s="42" t="n"/>
      <x:c r="AR236" s="42" t="n"/>
    </x:row>
    <x:row r="237">
      <x:c r="C237" s="42" t="n"/>
      <x:c r="D237" s="669" t="n"/>
      <x:c r="E237" s="669" t="n"/>
      <x:c r="N237" s="397" t="n"/>
      <x:c r="R237" s="42" t="n"/>
      <x:c r="AA237" s="398" t="n"/>
      <x:c r="AB237" s="398" t="n"/>
      <x:c r="AC237" s="398" t="n"/>
      <x:c r="AD237" s="398" t="n"/>
      <x:c r="AE237" s="398" t="n"/>
      <x:c r="AF237" s="397" t="n"/>
      <x:c r="AI237" s="42" t="n"/>
      <x:c r="AN237" s="42" t="n"/>
      <x:c r="AR237" s="42" t="n"/>
    </x:row>
    <x:row r="238">
      <x:c r="C238" s="42" t="n"/>
      <x:c r="D238" s="669" t="n"/>
      <x:c r="E238" s="669" t="n"/>
      <x:c r="N238" s="397" t="n"/>
      <x:c r="R238" s="42" t="n"/>
      <x:c r="AA238" s="398" t="n"/>
      <x:c r="AB238" s="398" t="n"/>
      <x:c r="AC238" s="398" t="n"/>
      <x:c r="AD238" s="398" t="n"/>
      <x:c r="AE238" s="398" t="n"/>
      <x:c r="AF238" s="397" t="n"/>
      <x:c r="AI238" s="42" t="n"/>
      <x:c r="AN238" s="42" t="n"/>
      <x:c r="AR238" s="42" t="n"/>
    </x:row>
    <x:row r="239">
      <x:c r="C239" s="42" t="n"/>
      <x:c r="D239" s="669" t="n"/>
      <x:c r="E239" s="669" t="n"/>
      <x:c r="N239" s="397" t="n"/>
      <x:c r="R239" s="42" t="n"/>
      <x:c r="AA239" s="398" t="n"/>
      <x:c r="AB239" s="398" t="n"/>
      <x:c r="AC239" s="398" t="n"/>
      <x:c r="AD239" s="398" t="n"/>
      <x:c r="AE239" s="398" t="n"/>
      <x:c r="AF239" s="397" t="n"/>
      <x:c r="AI239" s="42" t="n"/>
      <x:c r="AN239" s="42" t="n"/>
      <x:c r="AR239" s="42" t="n"/>
    </x:row>
    <x:row r="240">
      <x:c r="C240" s="42" t="n"/>
      <x:c r="D240" s="669" t="n"/>
      <x:c r="E240" s="669" t="n"/>
      <x:c r="N240" s="397" t="n"/>
      <x:c r="R240" s="42" t="n"/>
      <x:c r="AA240" s="398" t="n"/>
      <x:c r="AB240" s="398" t="n"/>
      <x:c r="AC240" s="398" t="n"/>
      <x:c r="AD240" s="398" t="n"/>
      <x:c r="AE240" s="398" t="n"/>
      <x:c r="AF240" s="397" t="n"/>
      <x:c r="AI240" s="42" t="n"/>
      <x:c r="AN240" s="42" t="n"/>
      <x:c r="AR240" s="42" t="n"/>
    </x:row>
    <x:row r="241">
      <x:c r="C241" s="42" t="n"/>
      <x:c r="D241" s="669" t="n"/>
      <x:c r="E241" s="669" t="n"/>
      <x:c r="N241" s="397" t="n"/>
      <x:c r="R241" s="42" t="n"/>
      <x:c r="AA241" s="398" t="n"/>
      <x:c r="AB241" s="398" t="n"/>
      <x:c r="AC241" s="398" t="n"/>
      <x:c r="AD241" s="398" t="n"/>
      <x:c r="AE241" s="398" t="n"/>
      <x:c r="AF241" s="397" t="n"/>
      <x:c r="AI241" s="42" t="n"/>
      <x:c r="AN241" s="42" t="n"/>
      <x:c r="AR241" s="42" t="n"/>
    </x:row>
    <x:row r="242">
      <x:c r="C242" s="42" t="n"/>
      <x:c r="D242" s="669" t="n"/>
      <x:c r="E242" s="669" t="n"/>
      <x:c r="N242" s="397" t="n"/>
      <x:c r="R242" s="42" t="n"/>
      <x:c r="AA242" s="398" t="n"/>
      <x:c r="AB242" s="398" t="n"/>
      <x:c r="AC242" s="398" t="n"/>
      <x:c r="AD242" s="398" t="n"/>
      <x:c r="AE242" s="398" t="n"/>
      <x:c r="AF242" s="397" t="n"/>
      <x:c r="AI242" s="42" t="n"/>
      <x:c r="AN242" s="42" t="n"/>
      <x:c r="AR242" s="42" t="n"/>
    </x:row>
    <x:row r="243">
      <x:c r="C243" s="42" t="n"/>
      <x:c r="D243" s="669" t="n"/>
      <x:c r="E243" s="669" t="n"/>
      <x:c r="N243" s="397" t="n"/>
      <x:c r="R243" s="42" t="n"/>
      <x:c r="AA243" s="398" t="n"/>
      <x:c r="AB243" s="398" t="n"/>
      <x:c r="AC243" s="398" t="n"/>
      <x:c r="AD243" s="398" t="n"/>
      <x:c r="AE243" s="398" t="n"/>
      <x:c r="AF243" s="397" t="n"/>
      <x:c r="AI243" s="42" t="n"/>
      <x:c r="AN243" s="42" t="n"/>
      <x:c r="AR243" s="42" t="n"/>
    </x:row>
    <x:row r="244">
      <x:c r="C244" s="42" t="n"/>
      <x:c r="D244" s="669" t="n"/>
      <x:c r="E244" s="669" t="n"/>
      <x:c r="N244" s="397" t="n"/>
      <x:c r="R244" s="42" t="n"/>
      <x:c r="AA244" s="398" t="n"/>
      <x:c r="AB244" s="398" t="n"/>
      <x:c r="AC244" s="398" t="n"/>
      <x:c r="AD244" s="398" t="n"/>
      <x:c r="AE244" s="398" t="n"/>
      <x:c r="AF244" s="397" t="n"/>
      <x:c r="AI244" s="42" t="n"/>
      <x:c r="AN244" s="42" t="n"/>
      <x:c r="AR244" s="42" t="n"/>
    </x:row>
    <x:row r="245">
      <x:c r="C245" s="42" t="n"/>
      <x:c r="D245" s="669" t="n"/>
      <x:c r="E245" s="669" t="n"/>
      <x:c r="N245" s="397" t="n"/>
      <x:c r="R245" s="42" t="n"/>
      <x:c r="AA245" s="398" t="n"/>
      <x:c r="AB245" s="398" t="n"/>
      <x:c r="AC245" s="398" t="n"/>
      <x:c r="AD245" s="398" t="n"/>
      <x:c r="AE245" s="398" t="n"/>
      <x:c r="AF245" s="397" t="n"/>
      <x:c r="AI245" s="42" t="n"/>
      <x:c r="AN245" s="42" t="n"/>
      <x:c r="AR245" s="42" t="n"/>
    </x:row>
    <x:row r="246">
      <x:c r="C246" s="42" t="n"/>
      <x:c r="D246" s="669" t="n"/>
      <x:c r="E246" s="669" t="n"/>
      <x:c r="N246" s="397" t="n"/>
      <x:c r="R246" s="42" t="n"/>
      <x:c r="AA246" s="398" t="n"/>
      <x:c r="AB246" s="398" t="n"/>
      <x:c r="AC246" s="398" t="n"/>
      <x:c r="AD246" s="398" t="n"/>
      <x:c r="AE246" s="398" t="n"/>
      <x:c r="AF246" s="397" t="n"/>
      <x:c r="AI246" s="42" t="n"/>
      <x:c r="AN246" s="42" t="n"/>
      <x:c r="AR246" s="42" t="n"/>
    </x:row>
    <x:row r="247">
      <x:c r="C247" s="42" t="n"/>
      <x:c r="D247" s="669" t="n"/>
      <x:c r="E247" s="669" t="n"/>
      <x:c r="N247" s="397" t="n"/>
      <x:c r="R247" s="42" t="n"/>
      <x:c r="AA247" s="398" t="n"/>
      <x:c r="AB247" s="398" t="n"/>
      <x:c r="AC247" s="398" t="n"/>
      <x:c r="AD247" s="398" t="n"/>
      <x:c r="AE247" s="398" t="n"/>
      <x:c r="AF247" s="397" t="n"/>
      <x:c r="AI247" s="42" t="n"/>
      <x:c r="AN247" s="42" t="n"/>
      <x:c r="AR247" s="42" t="n"/>
    </x:row>
    <x:row r="248">
      <x:c r="C248" s="42" t="n"/>
      <x:c r="D248" s="669" t="n"/>
      <x:c r="E248" s="669" t="n"/>
      <x:c r="N248" s="397" t="n"/>
      <x:c r="R248" s="42" t="n"/>
      <x:c r="AA248" s="398" t="n"/>
      <x:c r="AB248" s="398" t="n"/>
      <x:c r="AC248" s="398" t="n"/>
      <x:c r="AD248" s="398" t="n"/>
      <x:c r="AE248" s="398" t="n"/>
      <x:c r="AF248" s="397" t="n"/>
      <x:c r="AI248" s="42" t="n"/>
      <x:c r="AN248" s="42" t="n"/>
      <x:c r="AR248" s="42" t="n"/>
    </x:row>
    <x:row r="249">
      <x:c r="C249" s="42" t="n"/>
      <x:c r="D249" s="669" t="n"/>
      <x:c r="E249" s="669" t="n"/>
      <x:c r="N249" s="397" t="n"/>
      <x:c r="R249" s="42" t="n"/>
      <x:c r="AA249" s="398" t="n"/>
      <x:c r="AB249" s="398" t="n"/>
      <x:c r="AC249" s="398" t="n"/>
      <x:c r="AD249" s="398" t="n"/>
      <x:c r="AE249" s="398" t="n"/>
      <x:c r="AF249" s="397" t="n"/>
      <x:c r="AI249" s="42" t="n"/>
      <x:c r="AN249" s="42" t="n"/>
      <x:c r="AR249" s="42" t="n"/>
    </x:row>
    <x:row r="250">
      <x:c r="C250" s="42" t="n"/>
      <x:c r="D250" s="669" t="n"/>
      <x:c r="E250" s="669" t="n"/>
      <x:c r="N250" s="397" t="n"/>
      <x:c r="R250" s="42" t="n"/>
      <x:c r="AA250" s="398" t="n"/>
      <x:c r="AB250" s="398" t="n"/>
      <x:c r="AC250" s="398" t="n"/>
      <x:c r="AD250" s="398" t="n"/>
      <x:c r="AE250" s="398" t="n"/>
      <x:c r="AF250" s="397" t="n"/>
      <x:c r="AI250" s="42" t="n"/>
      <x:c r="AN250" s="42" t="n"/>
      <x:c r="AR250" s="42" t="n"/>
    </x:row>
    <x:row r="251">
      <x:c r="C251" s="42" t="n"/>
      <x:c r="D251" s="669" t="n"/>
      <x:c r="E251" s="669" t="n"/>
      <x:c r="N251" s="397" t="n"/>
      <x:c r="R251" s="42" t="n"/>
      <x:c r="AA251" s="398" t="n"/>
      <x:c r="AB251" s="398" t="n"/>
      <x:c r="AC251" s="398" t="n"/>
      <x:c r="AD251" s="398" t="n"/>
      <x:c r="AE251" s="398" t="n"/>
      <x:c r="AF251" s="397" t="n"/>
      <x:c r="AI251" s="42" t="n"/>
      <x:c r="AN251" s="42" t="n"/>
      <x:c r="AR251" s="42" t="n"/>
    </x:row>
    <x:row r="252">
      <x:c r="C252" s="42" t="n"/>
      <x:c r="D252" s="669" t="n"/>
      <x:c r="E252" s="669" t="n"/>
      <x:c r="N252" s="397" t="n"/>
      <x:c r="R252" s="42" t="n"/>
      <x:c r="AA252" s="398" t="n"/>
      <x:c r="AB252" s="398" t="n"/>
      <x:c r="AC252" s="398" t="n"/>
      <x:c r="AD252" s="398" t="n"/>
      <x:c r="AE252" s="398" t="n"/>
      <x:c r="AF252" s="397" t="n"/>
      <x:c r="AI252" s="42" t="n"/>
      <x:c r="AN252" s="42" t="n"/>
      <x:c r="AR252" s="42" t="n"/>
    </x:row>
    <x:row r="253">
      <x:c r="C253" s="42" t="n"/>
      <x:c r="D253" s="669" t="n"/>
      <x:c r="E253" s="669" t="n"/>
      <x:c r="N253" s="397" t="n"/>
      <x:c r="R253" s="42" t="n"/>
      <x:c r="AA253" s="398" t="n"/>
      <x:c r="AB253" s="398" t="n"/>
      <x:c r="AC253" s="398" t="n"/>
      <x:c r="AD253" s="398" t="n"/>
      <x:c r="AE253" s="398" t="n"/>
      <x:c r="AF253" s="397" t="n"/>
      <x:c r="AI253" s="42" t="n"/>
      <x:c r="AN253" s="42" t="n"/>
      <x:c r="AR253" s="42" t="n"/>
    </x:row>
    <x:row r="254">
      <x:c r="C254" s="42" t="n"/>
      <x:c r="D254" s="669" t="n"/>
      <x:c r="E254" s="669" t="n"/>
      <x:c r="N254" s="397" t="n"/>
      <x:c r="R254" s="42" t="n"/>
      <x:c r="AA254" s="398" t="n"/>
      <x:c r="AB254" s="398" t="n"/>
      <x:c r="AC254" s="398" t="n"/>
      <x:c r="AD254" s="398" t="n"/>
      <x:c r="AE254" s="398" t="n"/>
      <x:c r="AF254" s="397" t="n"/>
      <x:c r="AI254" s="42" t="n"/>
      <x:c r="AN254" s="42" t="n"/>
      <x:c r="AR254" s="42" t="n"/>
    </x:row>
    <x:row r="255">
      <x:c r="C255" s="42" t="n"/>
      <x:c r="D255" s="669" t="n"/>
      <x:c r="E255" s="669" t="n"/>
      <x:c r="N255" s="397" t="n"/>
      <x:c r="R255" s="42" t="n"/>
      <x:c r="AA255" s="398" t="n"/>
      <x:c r="AB255" s="398" t="n"/>
      <x:c r="AC255" s="398" t="n"/>
      <x:c r="AD255" s="398" t="n"/>
      <x:c r="AE255" s="398" t="n"/>
      <x:c r="AF255" s="397" t="n"/>
      <x:c r="AI255" s="42" t="n"/>
      <x:c r="AN255" s="42" t="n"/>
      <x:c r="AR255" s="42" t="n"/>
    </x:row>
    <x:row r="256">
      <x:c r="C256" s="42" t="n"/>
      <x:c r="D256" s="669" t="n"/>
      <x:c r="E256" s="669" t="n"/>
      <x:c r="N256" s="397" t="n"/>
      <x:c r="R256" s="42" t="n"/>
      <x:c r="AA256" s="398" t="n"/>
      <x:c r="AB256" s="398" t="n"/>
      <x:c r="AC256" s="398" t="n"/>
      <x:c r="AD256" s="398" t="n"/>
      <x:c r="AE256" s="398" t="n"/>
      <x:c r="AF256" s="397" t="n"/>
      <x:c r="AI256" s="42" t="n"/>
      <x:c r="AN256" s="42" t="n"/>
      <x:c r="AR256" s="42" t="n"/>
    </x:row>
    <x:row r="257">
      <x:c r="C257" s="42" t="n"/>
      <x:c r="D257" s="669" t="n"/>
      <x:c r="E257" s="669" t="n"/>
      <x:c r="N257" s="397" t="n"/>
      <x:c r="R257" s="42" t="n"/>
      <x:c r="AA257" s="398" t="n"/>
      <x:c r="AB257" s="398" t="n"/>
      <x:c r="AC257" s="398" t="n"/>
      <x:c r="AD257" s="398" t="n"/>
      <x:c r="AE257" s="398" t="n"/>
      <x:c r="AF257" s="397" t="n"/>
      <x:c r="AI257" s="42" t="n"/>
      <x:c r="AN257" s="42" t="n"/>
      <x:c r="AR257" s="42" t="n"/>
    </x:row>
    <x:row r="258">
      <x:c r="C258" s="42" t="n"/>
      <x:c r="D258" s="669" t="n"/>
      <x:c r="E258" s="669" t="n"/>
      <x:c r="N258" s="397" t="n"/>
      <x:c r="R258" s="42" t="n"/>
      <x:c r="AA258" s="398" t="n"/>
      <x:c r="AB258" s="398" t="n"/>
      <x:c r="AC258" s="398" t="n"/>
      <x:c r="AD258" s="398" t="n"/>
      <x:c r="AE258" s="398" t="n"/>
      <x:c r="AF258" s="397" t="n"/>
      <x:c r="AI258" s="42" t="n"/>
      <x:c r="AN258" s="42" t="n"/>
      <x:c r="AR258" s="42" t="n"/>
    </x:row>
    <x:row r="259">
      <x:c r="C259" s="42" t="n"/>
      <x:c r="D259" s="669" t="n"/>
      <x:c r="E259" s="669" t="n"/>
      <x:c r="N259" s="397" t="n"/>
      <x:c r="R259" s="42" t="n"/>
      <x:c r="AA259" s="398" t="n"/>
      <x:c r="AB259" s="398" t="n"/>
      <x:c r="AC259" s="398" t="n"/>
      <x:c r="AD259" s="398" t="n"/>
      <x:c r="AE259" s="398" t="n"/>
      <x:c r="AF259" s="397" t="n"/>
      <x:c r="AI259" s="42" t="n"/>
      <x:c r="AN259" s="42" t="n"/>
      <x:c r="AR259" s="42" t="n"/>
    </x:row>
    <x:row r="260">
      <x:c r="C260" s="42" t="n"/>
      <x:c r="D260" s="669" t="n"/>
      <x:c r="E260" s="669" t="n"/>
      <x:c r="N260" s="397" t="n"/>
      <x:c r="R260" s="42" t="n"/>
      <x:c r="AA260" s="398" t="n"/>
      <x:c r="AB260" s="398" t="n"/>
      <x:c r="AC260" s="398" t="n"/>
      <x:c r="AD260" s="398" t="n"/>
      <x:c r="AE260" s="398" t="n"/>
      <x:c r="AF260" s="397" t="n"/>
      <x:c r="AI260" s="42" t="n"/>
      <x:c r="AN260" s="42" t="n"/>
      <x:c r="AR260" s="42" t="n"/>
    </x:row>
    <x:row r="261">
      <x:c r="C261" s="42" t="n"/>
      <x:c r="D261" s="669" t="n"/>
      <x:c r="E261" s="669" t="n"/>
      <x:c r="N261" s="397" t="n"/>
      <x:c r="R261" s="42" t="n"/>
      <x:c r="AA261" s="398" t="n"/>
      <x:c r="AB261" s="398" t="n"/>
      <x:c r="AC261" s="398" t="n"/>
      <x:c r="AD261" s="398" t="n"/>
      <x:c r="AE261" s="398" t="n"/>
      <x:c r="AF261" s="397" t="n"/>
      <x:c r="AI261" s="42" t="n"/>
      <x:c r="AN261" s="42" t="n"/>
      <x:c r="AR261" s="42" t="n"/>
    </x:row>
    <x:row r="262">
      <x:c r="C262" s="42" t="n"/>
      <x:c r="D262" s="669" t="n"/>
      <x:c r="E262" s="669" t="n"/>
      <x:c r="N262" s="397" t="n"/>
      <x:c r="R262" s="42" t="n"/>
      <x:c r="AA262" s="398" t="n"/>
      <x:c r="AB262" s="398" t="n"/>
      <x:c r="AC262" s="398" t="n"/>
      <x:c r="AD262" s="398" t="n"/>
      <x:c r="AE262" s="398" t="n"/>
      <x:c r="AF262" s="397" t="n"/>
      <x:c r="AI262" s="42" t="n"/>
      <x:c r="AN262" s="42" t="n"/>
      <x:c r="AR262" s="42" t="n"/>
    </x:row>
    <x:row r="263">
      <x:c r="C263" s="42" t="n"/>
      <x:c r="D263" s="669" t="n"/>
      <x:c r="E263" s="669" t="n"/>
      <x:c r="N263" s="397" t="n"/>
      <x:c r="R263" s="42" t="n"/>
      <x:c r="AA263" s="398" t="n"/>
      <x:c r="AB263" s="398" t="n"/>
      <x:c r="AC263" s="398" t="n"/>
      <x:c r="AD263" s="398" t="n"/>
      <x:c r="AE263" s="398" t="n"/>
      <x:c r="AF263" s="397" t="n"/>
      <x:c r="AI263" s="42" t="n"/>
      <x:c r="AN263" s="42" t="n"/>
      <x:c r="AR263" s="42" t="n"/>
    </x:row>
    <x:row r="264">
      <x:c r="C264" s="42" t="n"/>
      <x:c r="D264" s="669" t="n"/>
      <x:c r="E264" s="669" t="n"/>
      <x:c r="N264" s="397" t="n"/>
      <x:c r="R264" s="42" t="n"/>
      <x:c r="AA264" s="398" t="n"/>
      <x:c r="AB264" s="398" t="n"/>
      <x:c r="AC264" s="398" t="n"/>
      <x:c r="AD264" s="398" t="n"/>
      <x:c r="AE264" s="398" t="n"/>
      <x:c r="AF264" s="397" t="n"/>
      <x:c r="AI264" s="42" t="n"/>
      <x:c r="AN264" s="42" t="n"/>
      <x:c r="AR264" s="42" t="n"/>
    </x:row>
    <x:row r="265">
      <x:c r="C265" s="42" t="n"/>
      <x:c r="D265" s="669" t="n"/>
      <x:c r="E265" s="669" t="n"/>
      <x:c r="N265" s="397" t="n"/>
      <x:c r="R265" s="42" t="n"/>
      <x:c r="AA265" s="398" t="n"/>
      <x:c r="AB265" s="398" t="n"/>
      <x:c r="AC265" s="398" t="n"/>
      <x:c r="AD265" s="398" t="n"/>
      <x:c r="AE265" s="398" t="n"/>
      <x:c r="AF265" s="397" t="n"/>
      <x:c r="AI265" s="42" t="n"/>
      <x:c r="AN265" s="42" t="n"/>
      <x:c r="AR265" s="42" t="n"/>
    </x:row>
    <x:row r="266">
      <x:c r="C266" s="42" t="n"/>
      <x:c r="D266" s="669" t="n"/>
      <x:c r="E266" s="669" t="n"/>
      <x:c r="N266" s="397" t="n"/>
      <x:c r="R266" s="42" t="n"/>
      <x:c r="AA266" s="398" t="n"/>
      <x:c r="AB266" s="398" t="n"/>
      <x:c r="AC266" s="398" t="n"/>
      <x:c r="AD266" s="398" t="n"/>
      <x:c r="AE266" s="398" t="n"/>
      <x:c r="AF266" s="397" t="n"/>
      <x:c r="AI266" s="42" t="n"/>
      <x:c r="AN266" s="42" t="n"/>
      <x:c r="AR266" s="42" t="n"/>
    </x:row>
    <x:row r="267">
      <x:c r="C267" s="42" t="n"/>
      <x:c r="D267" s="669" t="n"/>
      <x:c r="E267" s="669" t="n"/>
      <x:c r="N267" s="397" t="n"/>
      <x:c r="R267" s="42" t="n"/>
      <x:c r="AA267" s="398" t="n"/>
      <x:c r="AB267" s="398" t="n"/>
      <x:c r="AC267" s="398" t="n"/>
      <x:c r="AD267" s="398" t="n"/>
      <x:c r="AE267" s="398" t="n"/>
      <x:c r="AF267" s="397" t="n"/>
      <x:c r="AI267" s="42" t="n"/>
      <x:c r="AN267" s="42" t="n"/>
      <x:c r="AR267" s="42" t="n"/>
    </x:row>
    <x:row r="268">
      <x:c r="C268" s="42" t="n"/>
      <x:c r="D268" s="669" t="n"/>
      <x:c r="E268" s="669" t="n"/>
      <x:c r="N268" s="397" t="n"/>
      <x:c r="R268" s="42" t="n"/>
      <x:c r="AA268" s="398" t="n"/>
      <x:c r="AB268" s="398" t="n"/>
      <x:c r="AC268" s="398" t="n"/>
      <x:c r="AD268" s="398" t="n"/>
      <x:c r="AE268" s="398" t="n"/>
      <x:c r="AF268" s="397" t="n"/>
      <x:c r="AI268" s="42" t="n"/>
      <x:c r="AN268" s="42" t="n"/>
      <x:c r="AR268" s="42" t="n"/>
    </x:row>
    <x:row r="269">
      <x:c r="C269" s="42" t="n"/>
      <x:c r="D269" s="669" t="n"/>
      <x:c r="E269" s="669" t="n"/>
      <x:c r="N269" s="397" t="n"/>
      <x:c r="R269" s="42" t="n"/>
      <x:c r="AA269" s="398" t="n"/>
      <x:c r="AB269" s="398" t="n"/>
      <x:c r="AC269" s="398" t="n"/>
      <x:c r="AD269" s="398" t="n"/>
      <x:c r="AE269" s="398" t="n"/>
      <x:c r="AF269" s="397" t="n"/>
      <x:c r="AI269" s="42" t="n"/>
      <x:c r="AN269" s="42" t="n"/>
      <x:c r="AR269" s="42" t="n"/>
    </x:row>
    <x:row r="270">
      <x:c r="C270" s="42" t="n"/>
      <x:c r="D270" s="669" t="n"/>
      <x:c r="E270" s="669" t="n"/>
      <x:c r="N270" s="397" t="n"/>
      <x:c r="R270" s="42" t="n"/>
      <x:c r="AA270" s="398" t="n"/>
      <x:c r="AB270" s="398" t="n"/>
      <x:c r="AC270" s="398" t="n"/>
      <x:c r="AD270" s="398" t="n"/>
      <x:c r="AE270" s="398" t="n"/>
      <x:c r="AF270" s="397" t="n"/>
      <x:c r="AI270" s="42" t="n"/>
      <x:c r="AN270" s="42" t="n"/>
      <x:c r="AR270" s="42" t="n"/>
    </x:row>
    <x:row r="271">
      <x:c r="C271" s="42" t="n"/>
      <x:c r="D271" s="669" t="n"/>
      <x:c r="E271" s="669" t="n"/>
      <x:c r="N271" s="397" t="n"/>
      <x:c r="R271" s="42" t="n"/>
      <x:c r="AA271" s="398" t="n"/>
      <x:c r="AB271" s="398" t="n"/>
      <x:c r="AC271" s="398" t="n"/>
      <x:c r="AD271" s="398" t="n"/>
      <x:c r="AE271" s="398" t="n"/>
      <x:c r="AF271" s="397" t="n"/>
      <x:c r="AI271" s="42" t="n"/>
      <x:c r="AN271" s="42" t="n"/>
      <x:c r="AR271" s="42" t="n"/>
    </x:row>
    <x:row r="272">
      <x:c r="C272" s="42" t="n"/>
      <x:c r="D272" s="669" t="n"/>
      <x:c r="E272" s="669" t="n"/>
      <x:c r="N272" s="397" t="n"/>
      <x:c r="R272" s="42" t="n"/>
      <x:c r="AA272" s="398" t="n"/>
      <x:c r="AB272" s="398" t="n"/>
      <x:c r="AC272" s="398" t="n"/>
      <x:c r="AD272" s="398" t="n"/>
      <x:c r="AE272" s="398" t="n"/>
      <x:c r="AF272" s="397" t="n"/>
      <x:c r="AI272" s="42" t="n"/>
      <x:c r="AN272" s="42" t="n"/>
      <x:c r="AR272" s="42" t="n"/>
    </x:row>
    <x:row r="273">
      <x:c r="C273" s="42" t="n"/>
      <x:c r="D273" s="669" t="n"/>
      <x:c r="E273" s="669" t="n"/>
      <x:c r="N273" s="397" t="n"/>
      <x:c r="R273" s="42" t="n"/>
      <x:c r="AA273" s="398" t="n"/>
      <x:c r="AB273" s="398" t="n"/>
      <x:c r="AC273" s="398" t="n"/>
      <x:c r="AD273" s="398" t="n"/>
      <x:c r="AE273" s="398" t="n"/>
      <x:c r="AF273" s="397" t="n"/>
      <x:c r="AI273" s="42" t="n"/>
      <x:c r="AN273" s="42" t="n"/>
      <x:c r="AR273" s="42" t="n"/>
    </x:row>
    <x:row r="274">
      <x:c r="C274" s="42" t="n"/>
      <x:c r="D274" s="669" t="n"/>
      <x:c r="E274" s="669" t="n"/>
      <x:c r="N274" s="397" t="n"/>
      <x:c r="R274" s="42" t="n"/>
      <x:c r="AA274" s="398" t="n"/>
      <x:c r="AB274" s="398" t="n"/>
      <x:c r="AC274" s="398" t="n"/>
      <x:c r="AD274" s="398" t="n"/>
      <x:c r="AE274" s="398" t="n"/>
      <x:c r="AF274" s="397" t="n"/>
      <x:c r="AI274" s="42" t="n"/>
      <x:c r="AN274" s="42" t="n"/>
      <x:c r="AR274" s="42" t="n"/>
    </x:row>
    <x:row r="275">
      <x:c r="C275" s="42" t="n"/>
      <x:c r="D275" s="669" t="n"/>
      <x:c r="E275" s="669" t="n"/>
      <x:c r="N275" s="397" t="n"/>
      <x:c r="R275" s="42" t="n"/>
      <x:c r="AA275" s="398" t="n"/>
      <x:c r="AB275" s="398" t="n"/>
      <x:c r="AC275" s="398" t="n"/>
      <x:c r="AD275" s="398" t="n"/>
      <x:c r="AE275" s="398" t="n"/>
      <x:c r="AF275" s="397" t="n"/>
      <x:c r="AI275" s="42" t="n"/>
      <x:c r="AN275" s="42" t="n"/>
      <x:c r="AR275" s="42" t="n"/>
    </x:row>
    <x:row r="276">
      <x:c r="C276" s="42" t="n"/>
      <x:c r="D276" s="669" t="n"/>
      <x:c r="E276" s="669" t="n"/>
      <x:c r="N276" s="397" t="n"/>
      <x:c r="R276" s="42" t="n"/>
      <x:c r="AA276" s="398" t="n"/>
      <x:c r="AB276" s="398" t="n"/>
      <x:c r="AC276" s="398" t="n"/>
      <x:c r="AD276" s="398" t="n"/>
      <x:c r="AE276" s="398" t="n"/>
      <x:c r="AF276" s="397" t="n"/>
      <x:c r="AI276" s="42" t="n"/>
      <x:c r="AN276" s="42" t="n"/>
      <x:c r="AR276" s="42" t="n"/>
    </x:row>
    <x:row r="277">
      <x:c r="C277" s="42" t="n"/>
      <x:c r="D277" s="669" t="n"/>
      <x:c r="E277" s="669" t="n"/>
      <x:c r="N277" s="397" t="n"/>
      <x:c r="R277" s="42" t="n"/>
      <x:c r="AA277" s="398" t="n"/>
      <x:c r="AB277" s="398" t="n"/>
      <x:c r="AC277" s="398" t="n"/>
      <x:c r="AD277" s="398" t="n"/>
      <x:c r="AE277" s="398" t="n"/>
      <x:c r="AF277" s="397" t="n"/>
      <x:c r="AI277" s="42" t="n"/>
      <x:c r="AN277" s="42" t="n"/>
      <x:c r="AR277" s="42" t="n"/>
    </x:row>
    <x:row r="278">
      <x:c r="C278" s="42" t="n"/>
      <x:c r="D278" s="669" t="n"/>
      <x:c r="E278" s="669" t="n"/>
      <x:c r="N278" s="397" t="n"/>
      <x:c r="R278" s="42" t="n"/>
      <x:c r="AA278" s="398" t="n"/>
      <x:c r="AB278" s="398" t="n"/>
      <x:c r="AC278" s="398" t="n"/>
      <x:c r="AD278" s="398" t="n"/>
      <x:c r="AE278" s="398" t="n"/>
      <x:c r="AF278" s="397" t="n"/>
      <x:c r="AI278" s="42" t="n"/>
      <x:c r="AN278" s="42" t="n"/>
      <x:c r="AR278" s="42" t="n"/>
    </x:row>
    <x:row r="279">
      <x:c r="C279" s="42" t="n"/>
      <x:c r="D279" s="669" t="n"/>
      <x:c r="E279" s="669" t="n"/>
      <x:c r="N279" s="397" t="n"/>
      <x:c r="R279" s="42" t="n"/>
      <x:c r="AA279" s="398" t="n"/>
      <x:c r="AB279" s="398" t="n"/>
      <x:c r="AC279" s="398" t="n"/>
      <x:c r="AD279" s="398" t="n"/>
      <x:c r="AE279" s="398" t="n"/>
      <x:c r="AF279" s="397" t="n"/>
      <x:c r="AI279" s="42" t="n"/>
      <x:c r="AN279" s="42" t="n"/>
      <x:c r="AR279" s="42" t="n"/>
    </x:row>
    <x:row r="280">
      <x:c r="C280" s="42" t="n"/>
      <x:c r="D280" s="669" t="n"/>
      <x:c r="E280" s="669" t="n"/>
      <x:c r="N280" s="397" t="n"/>
      <x:c r="R280" s="42" t="n"/>
      <x:c r="AA280" s="398" t="n"/>
      <x:c r="AB280" s="398" t="n"/>
      <x:c r="AC280" s="398" t="n"/>
      <x:c r="AD280" s="398" t="n"/>
      <x:c r="AE280" s="398" t="n"/>
      <x:c r="AF280" s="397" t="n"/>
      <x:c r="AI280" s="42" t="n"/>
      <x:c r="AN280" s="42" t="n"/>
      <x:c r="AR280" s="42" t="n"/>
    </x:row>
    <x:row r="281">
      <x:c r="C281" s="42" t="n"/>
      <x:c r="D281" s="669" t="n"/>
      <x:c r="E281" s="669" t="n"/>
      <x:c r="N281" s="397" t="n"/>
      <x:c r="R281" s="42" t="n"/>
      <x:c r="AA281" s="398" t="n"/>
      <x:c r="AB281" s="398" t="n"/>
      <x:c r="AC281" s="398" t="n"/>
      <x:c r="AD281" s="398" t="n"/>
      <x:c r="AE281" s="398" t="n"/>
      <x:c r="AF281" s="397" t="n"/>
      <x:c r="AI281" s="42" t="n"/>
      <x:c r="AN281" s="42" t="n"/>
      <x:c r="AR281" s="42" t="n"/>
    </x:row>
    <x:row r="282">
      <x:c r="C282" s="42" t="n"/>
      <x:c r="D282" s="669" t="n"/>
      <x:c r="E282" s="669" t="n"/>
      <x:c r="N282" s="397" t="n"/>
      <x:c r="R282" s="42" t="n"/>
      <x:c r="AA282" s="398" t="n"/>
      <x:c r="AB282" s="398" t="n"/>
      <x:c r="AC282" s="398" t="n"/>
      <x:c r="AD282" s="398" t="n"/>
      <x:c r="AE282" s="398" t="n"/>
      <x:c r="AF282" s="397" t="n"/>
      <x:c r="AI282" s="42" t="n"/>
      <x:c r="AN282" s="42" t="n"/>
      <x:c r="AR282" s="42" t="n"/>
    </x:row>
    <x:row r="283">
      <x:c r="C283" s="42" t="n"/>
      <x:c r="D283" s="669" t="n"/>
      <x:c r="E283" s="669" t="n"/>
      <x:c r="N283" s="397" t="n"/>
      <x:c r="R283" s="42" t="n"/>
      <x:c r="AA283" s="398" t="n"/>
      <x:c r="AB283" s="398" t="n"/>
      <x:c r="AC283" s="398" t="n"/>
      <x:c r="AD283" s="398" t="n"/>
      <x:c r="AE283" s="398" t="n"/>
      <x:c r="AF283" s="397" t="n"/>
      <x:c r="AI283" s="42" t="n"/>
      <x:c r="AN283" s="42" t="n"/>
      <x:c r="AR283" s="42" t="n"/>
    </x:row>
    <x:row r="284">
      <x:c r="C284" s="42" t="n"/>
      <x:c r="D284" s="669" t="n"/>
      <x:c r="E284" s="669" t="n"/>
      <x:c r="N284" s="397" t="n"/>
      <x:c r="R284" s="42" t="n"/>
      <x:c r="AA284" s="398" t="n"/>
      <x:c r="AB284" s="398" t="n"/>
      <x:c r="AC284" s="398" t="n"/>
      <x:c r="AD284" s="398" t="n"/>
      <x:c r="AE284" s="398" t="n"/>
      <x:c r="AF284" s="397" t="n"/>
      <x:c r="AI284" s="42" t="n"/>
      <x:c r="AN284" s="42" t="n"/>
      <x:c r="AR284" s="42" t="n"/>
    </x:row>
    <x:row r="285">
      <x:c r="C285" s="42" t="n"/>
      <x:c r="D285" s="669" t="n"/>
      <x:c r="E285" s="669" t="n"/>
      <x:c r="N285" s="397" t="n"/>
      <x:c r="R285" s="42" t="n"/>
      <x:c r="AA285" s="398" t="n"/>
      <x:c r="AB285" s="398" t="n"/>
      <x:c r="AC285" s="398" t="n"/>
      <x:c r="AD285" s="398" t="n"/>
      <x:c r="AE285" s="398" t="n"/>
      <x:c r="AF285" s="397" t="n"/>
      <x:c r="AI285" s="42" t="n"/>
      <x:c r="AN285" s="42" t="n"/>
      <x:c r="AR285" s="42" t="n"/>
    </x:row>
    <x:row r="286">
      <x:c r="C286" s="42" t="n"/>
      <x:c r="D286" s="669" t="n"/>
      <x:c r="E286" s="669" t="n"/>
      <x:c r="N286" s="397" t="n"/>
      <x:c r="R286" s="42" t="n"/>
      <x:c r="AA286" s="398" t="n"/>
      <x:c r="AB286" s="398" t="n"/>
      <x:c r="AC286" s="398" t="n"/>
      <x:c r="AD286" s="398" t="n"/>
      <x:c r="AE286" s="398" t="n"/>
      <x:c r="AF286" s="397" t="n"/>
      <x:c r="AI286" s="42" t="n"/>
      <x:c r="AN286" s="42" t="n"/>
      <x:c r="AR286" s="42" t="n"/>
    </x:row>
    <x:row r="287">
      <x:c r="C287" s="42" t="n"/>
      <x:c r="D287" s="669" t="n"/>
      <x:c r="E287" s="669" t="n"/>
      <x:c r="N287" s="397" t="n"/>
      <x:c r="R287" s="42" t="n"/>
      <x:c r="AA287" s="398" t="n"/>
      <x:c r="AB287" s="398" t="n"/>
      <x:c r="AC287" s="398" t="n"/>
      <x:c r="AD287" s="398" t="n"/>
      <x:c r="AE287" s="398" t="n"/>
      <x:c r="AF287" s="397" t="n"/>
      <x:c r="AI287" s="42" t="n"/>
      <x:c r="AN287" s="42" t="n"/>
      <x:c r="AR287" s="42" t="n"/>
    </x:row>
    <x:row r="288">
      <x:c r="C288" s="42" t="n"/>
      <x:c r="D288" s="669" t="n"/>
      <x:c r="E288" s="669" t="n"/>
      <x:c r="N288" s="397" t="n"/>
      <x:c r="R288" s="42" t="n"/>
      <x:c r="AA288" s="398" t="n"/>
      <x:c r="AB288" s="398" t="n"/>
      <x:c r="AC288" s="398" t="n"/>
      <x:c r="AD288" s="398" t="n"/>
      <x:c r="AE288" s="398" t="n"/>
      <x:c r="AF288" s="397" t="n"/>
      <x:c r="AI288" s="42" t="n"/>
      <x:c r="AN288" s="42" t="n"/>
      <x:c r="AR288" s="42" t="n"/>
    </x:row>
    <x:row r="289">
      <x:c r="C289" s="42" t="n"/>
      <x:c r="D289" s="669" t="n"/>
      <x:c r="E289" s="669" t="n"/>
      <x:c r="N289" s="397" t="n"/>
      <x:c r="R289" s="42" t="n"/>
      <x:c r="AA289" s="398" t="n"/>
      <x:c r="AB289" s="398" t="n"/>
      <x:c r="AC289" s="398" t="n"/>
      <x:c r="AD289" s="398" t="n"/>
      <x:c r="AE289" s="398" t="n"/>
      <x:c r="AF289" s="397" t="n"/>
      <x:c r="AI289" s="42" t="n"/>
      <x:c r="AN289" s="42" t="n"/>
      <x:c r="AR289" s="42" t="n"/>
    </x:row>
    <x:row r="290">
      <x:c r="C290" s="42" t="n"/>
      <x:c r="D290" s="669" t="n"/>
      <x:c r="E290" s="669" t="n"/>
      <x:c r="N290" s="397" t="n"/>
      <x:c r="R290" s="42" t="n"/>
      <x:c r="AA290" s="398" t="n"/>
      <x:c r="AB290" s="398" t="n"/>
      <x:c r="AC290" s="398" t="n"/>
      <x:c r="AD290" s="398" t="n"/>
      <x:c r="AE290" s="398" t="n"/>
      <x:c r="AF290" s="397" t="n"/>
      <x:c r="AI290" s="42" t="n"/>
      <x:c r="AN290" s="42" t="n"/>
      <x:c r="AR290" s="42" t="n"/>
    </x:row>
    <x:row r="291">
      <x:c r="C291" s="42" t="n"/>
      <x:c r="D291" s="669" t="n"/>
      <x:c r="E291" s="669" t="n"/>
      <x:c r="N291" s="397" t="n"/>
      <x:c r="R291" s="42" t="n"/>
      <x:c r="AA291" s="398" t="n"/>
      <x:c r="AB291" s="398" t="n"/>
      <x:c r="AC291" s="398" t="n"/>
      <x:c r="AD291" s="398" t="n"/>
      <x:c r="AE291" s="398" t="n"/>
      <x:c r="AF291" s="397" t="n"/>
      <x:c r="AI291" s="42" t="n"/>
      <x:c r="AN291" s="42" t="n"/>
      <x:c r="AR291" s="42" t="n"/>
    </x:row>
    <x:row r="292">
      <x:c r="C292" s="42" t="n"/>
      <x:c r="D292" s="669" t="n"/>
      <x:c r="E292" s="669" t="n"/>
      <x:c r="N292" s="397" t="n"/>
      <x:c r="R292" s="42" t="n"/>
      <x:c r="AA292" s="398" t="n"/>
      <x:c r="AB292" s="398" t="n"/>
      <x:c r="AC292" s="398" t="n"/>
      <x:c r="AD292" s="398" t="n"/>
      <x:c r="AE292" s="398" t="n"/>
      <x:c r="AF292" s="397" t="n"/>
      <x:c r="AI292" s="42" t="n"/>
      <x:c r="AN292" s="42" t="n"/>
      <x:c r="AR292" s="42" t="n"/>
    </x:row>
    <x:row r="293">
      <x:c r="C293" s="42" t="n"/>
      <x:c r="D293" s="669" t="n"/>
      <x:c r="E293" s="669" t="n"/>
      <x:c r="N293" s="397" t="n"/>
      <x:c r="R293" s="42" t="n"/>
      <x:c r="AA293" s="398" t="n"/>
      <x:c r="AB293" s="398" t="n"/>
      <x:c r="AC293" s="398" t="n"/>
      <x:c r="AD293" s="398" t="n"/>
      <x:c r="AE293" s="398" t="n"/>
      <x:c r="AF293" s="397" t="n"/>
      <x:c r="AI293" s="42" t="n"/>
      <x:c r="AN293" s="42" t="n"/>
      <x:c r="AR293" s="42" t="n"/>
    </x:row>
    <x:row r="294">
      <x:c r="C294" s="42" t="n"/>
      <x:c r="D294" s="669" t="n"/>
      <x:c r="E294" s="669" t="n"/>
      <x:c r="N294" s="397" t="n"/>
      <x:c r="R294" s="42" t="n"/>
      <x:c r="AA294" s="398" t="n"/>
      <x:c r="AB294" s="398" t="n"/>
      <x:c r="AC294" s="398" t="n"/>
      <x:c r="AD294" s="398" t="n"/>
      <x:c r="AE294" s="398" t="n"/>
      <x:c r="AF294" s="397" t="n"/>
      <x:c r="AI294" s="42" t="n"/>
      <x:c r="AN294" s="42" t="n"/>
      <x:c r="AR294" s="42" t="n"/>
    </x:row>
    <x:row r="295">
      <x:c r="C295" s="42" t="n"/>
      <x:c r="D295" s="669" t="n"/>
      <x:c r="E295" s="669" t="n"/>
      <x:c r="N295" s="397" t="n"/>
      <x:c r="R295" s="42" t="n"/>
      <x:c r="AA295" s="398" t="n"/>
      <x:c r="AB295" s="398" t="n"/>
      <x:c r="AC295" s="398" t="n"/>
      <x:c r="AD295" s="398" t="n"/>
      <x:c r="AE295" s="398" t="n"/>
      <x:c r="AF295" s="397" t="n"/>
      <x:c r="AI295" s="42" t="n"/>
      <x:c r="AN295" s="42" t="n"/>
      <x:c r="AR295" s="42" t="n"/>
    </x:row>
    <x:row r="296">
      <x:c r="C296" s="42" t="n"/>
      <x:c r="D296" s="669" t="n"/>
      <x:c r="E296" s="669" t="n"/>
      <x:c r="N296" s="397" t="n"/>
      <x:c r="R296" s="42" t="n"/>
      <x:c r="AA296" s="398" t="n"/>
      <x:c r="AB296" s="398" t="n"/>
      <x:c r="AC296" s="398" t="n"/>
      <x:c r="AD296" s="398" t="n"/>
      <x:c r="AE296" s="398" t="n"/>
      <x:c r="AF296" s="397" t="n"/>
      <x:c r="AI296" s="42" t="n"/>
      <x:c r="AN296" s="42" t="n"/>
      <x:c r="AR296" s="42" t="n"/>
    </x:row>
    <x:row r="297">
      <x:c r="C297" s="42" t="n"/>
      <x:c r="D297" s="669" t="n"/>
      <x:c r="E297" s="669" t="n"/>
      <x:c r="N297" s="397" t="n"/>
      <x:c r="R297" s="42" t="n"/>
      <x:c r="AA297" s="398" t="n"/>
      <x:c r="AB297" s="398" t="n"/>
      <x:c r="AC297" s="398" t="n"/>
      <x:c r="AD297" s="398" t="n"/>
      <x:c r="AE297" s="398" t="n"/>
      <x:c r="AF297" s="397" t="n"/>
      <x:c r="AI297" s="42" t="n"/>
      <x:c r="AN297" s="42" t="n"/>
      <x:c r="AR297" s="42" t="n"/>
    </x:row>
    <x:row r="298">
      <x:c r="C298" s="42" t="n"/>
      <x:c r="D298" s="669" t="n"/>
      <x:c r="E298" s="669" t="n"/>
      <x:c r="N298" s="397" t="n"/>
      <x:c r="R298" s="42" t="n"/>
      <x:c r="AA298" s="398" t="n"/>
      <x:c r="AB298" s="398" t="n"/>
      <x:c r="AC298" s="398" t="n"/>
      <x:c r="AD298" s="398" t="n"/>
      <x:c r="AE298" s="398" t="n"/>
      <x:c r="AF298" s="397" t="n"/>
      <x:c r="AI298" s="42" t="n"/>
      <x:c r="AN298" s="42" t="n"/>
      <x:c r="AR298" s="42" t="n"/>
    </x:row>
    <x:row r="299">
      <x:c r="C299" s="42" t="n"/>
      <x:c r="D299" s="669" t="n"/>
      <x:c r="E299" s="669" t="n"/>
      <x:c r="N299" s="397" t="n"/>
      <x:c r="R299" s="42" t="n"/>
      <x:c r="AA299" s="398" t="n"/>
      <x:c r="AB299" s="398" t="n"/>
      <x:c r="AC299" s="398" t="n"/>
      <x:c r="AD299" s="398" t="n"/>
      <x:c r="AE299" s="398" t="n"/>
      <x:c r="AF299" s="397" t="n"/>
      <x:c r="AI299" s="42" t="n"/>
      <x:c r="AN299" s="42" t="n"/>
      <x:c r="AR299" s="42" t="n"/>
    </x:row>
    <x:row r="300">
      <x:c r="C300" s="42" t="n"/>
      <x:c r="D300" s="669" t="n"/>
      <x:c r="E300" s="669" t="n"/>
      <x:c r="N300" s="397" t="n"/>
      <x:c r="R300" s="42" t="n"/>
      <x:c r="AA300" s="398" t="n"/>
      <x:c r="AB300" s="398" t="n"/>
      <x:c r="AC300" s="398" t="n"/>
      <x:c r="AD300" s="398" t="n"/>
      <x:c r="AE300" s="398" t="n"/>
      <x:c r="AF300" s="397" t="n"/>
      <x:c r="AI300" s="42" t="n"/>
      <x:c r="AN300" s="42" t="n"/>
      <x:c r="AR300" s="42" t="n"/>
    </x:row>
    <x:row r="301">
      <x:c r="C301" s="42" t="n"/>
      <x:c r="D301" s="669" t="n"/>
      <x:c r="E301" s="669" t="n"/>
      <x:c r="N301" s="397" t="n"/>
      <x:c r="R301" s="42" t="n"/>
      <x:c r="AA301" s="398" t="n"/>
      <x:c r="AB301" s="398" t="n"/>
      <x:c r="AC301" s="398" t="n"/>
      <x:c r="AD301" s="398" t="n"/>
      <x:c r="AE301" s="398" t="n"/>
      <x:c r="AF301" s="397" t="n"/>
      <x:c r="AI301" s="42" t="n"/>
      <x:c r="AN301" s="42" t="n"/>
      <x:c r="AR301" s="42" t="n"/>
    </x:row>
    <x:row r="302">
      <x:c r="C302" s="42" t="n"/>
      <x:c r="D302" s="669" t="n"/>
      <x:c r="E302" s="669" t="n"/>
      <x:c r="N302" s="397" t="n"/>
      <x:c r="R302" s="42" t="n"/>
      <x:c r="AA302" s="398" t="n"/>
      <x:c r="AB302" s="398" t="n"/>
      <x:c r="AC302" s="398" t="n"/>
      <x:c r="AD302" s="398" t="n"/>
      <x:c r="AE302" s="398" t="n"/>
      <x:c r="AF302" s="397" t="n"/>
      <x:c r="AI302" s="42" t="n"/>
      <x:c r="AN302" s="42" t="n"/>
      <x:c r="AR302" s="42" t="n"/>
    </x:row>
  </x:sheetData>
  <x:mergeCells>
    <x:mergeCell ref="O1:Q1"/>
    <x:mergeCell ref="R1:Y1"/>
    <x:mergeCell ref="Z1:AK1"/>
    <x:mergeCell ref="AL1:AN1"/>
    <x:mergeCell ref="A1:I1"/>
    <x:mergeCell ref="J1:N1"/>
    <x:mergeCell ref="AO1:AR1"/>
  </x:mergeCells>
  <x:conditionalFormatting sqref="A3:A302">
    <x:cfRule type="duplicateValues" dxfId="0" priority="1"/>
  </x:conditionalFormatting>
  <x:conditionalFormatting sqref="B3:B302">
    <x:cfRule type="duplicateValues" dxfId="0" priority="2"/>
  </x:conditionalFormatting>
  <x:conditionalFormatting sqref="S3:X302">
    <x:cfRule type="containsText" dxfId="0" priority="3" operator="containsText" text="LOW"/>
    <x:cfRule type="containsText" dxfId="3" priority="4" operator="containsText" text="MEDIUM"/>
    <x:cfRule type="containsText" dxfId="4" priority="5" operator="containsText" text="HIGH"/>
  </x:conditionalFormatting>
  <x:conditionalFormatting sqref="Y3:Y302">
    <x:cfRule type="containsText" dxfId="4" priority="6" operator="containsText" text="INCLUDE"/>
    <x:cfRule type="containsText" dxfId="3" priority="7" operator="containsText" text="PENDING"/>
    <x:cfRule type="containsText" dxfId="0" priority="8" operator="containsText" text="EXCLUDE"/>
  </x:conditionalFormatting>
  <x:conditionalFormatting sqref="Z3:Z302">
    <x:cfRule type="containsText" dxfId="4" priority="9" operator="containsText" text="SUCCESS"/>
    <x:cfRule type="containsText" dxfId="9" priority="10" operator="containsText" text="RUNNING"/>
    <x:cfRule type="containsText" dxfId="0" priority="11" operator="containsText" text="FAIL"/>
  </x:conditionalFormatting>
  <x:conditionalFormatting sqref="AC3:AC302">
    <x:cfRule type="containsText" dxfId="3" priority="12" operator="containsText" text="CHANGED"/>
  </x:conditionalFormatting>
  <x:conditionalFormatting sqref="AJ3:AJ302">
    <x:cfRule type="containsText" dxfId="0" priority="13" operator="containsText" text="YES"/>
    <x:cfRule type="containsText" dxfId="13" priority="14" operator="containsText" text="NO"/>
  </x:conditionalFormatting>
  <x:conditionalFormatting sqref="AP3:AP302">
    <x:cfRule type="containsText" dxfId="0" priority="15" operator="containsText" text="UNVERIFIED"/>
  </x:conditionalFormatting>
  <x:conditionalFormatting sqref="AQ3:AQ302">
    <x:cfRule type="containsText" dxfId="3" priority="16" operator="containsText" text="UNKNOWN"/>
  </x:conditionalFormatting>
  <x:dataValidations count="17">
    <x:dataValidation type="list" allowBlank="0" showDropDown="0" showInputMessage="0" showErrorMessage="0" sqref="F3:F302">
      <x:formula1>'Categories'!$D$6:$D$12</x:formula1>
    </x:dataValidation>
    <x:dataValidation type="list" allowBlank="0" showDropDown="0" showInputMessage="0" showErrorMessage="0" sqref="G3:G302">
      <x:formula1>'Categories'!$B$55:$B$58</x:formula1>
    </x:dataValidation>
    <x:dataValidation type="list" allowBlank="0" showDropDown="0" showInputMessage="0" showErrorMessage="0" sqref="I3:I302">
      <x:formula1>'Categories'!$B$74:$B$76</x:formula1>
    </x:dataValidation>
    <x:dataValidation type="list" allowBlank="0" showDropDown="0" showInputMessage="0" showErrorMessage="0" sqref="K3:K302">
      <x:formula1>'Categories'!$B$46:$B$51</x:formula1>
    </x:dataValidation>
    <x:dataValidation type="list" allowBlank="0" showDropDown="0" showInputMessage="0" showErrorMessage="0" sqref="L3:L302">
      <x:formula1>'Categories'!$B$40:$B$42</x:formula1>
    </x:dataValidation>
    <x:dataValidation type="list" allowBlank="0" showDropDown="0" showInputMessage="0" showErrorMessage="0" sqref="O3:O302">
      <x:formula1>'Categories'!$B$6:$B$12</x:formula1>
    </x:dataValidation>
    <x:dataValidation type="list" allowBlank="0" showDropDown="0" showInputMessage="0" showErrorMessage="0" sqref="P3:P302">
      <x:formula1>'Categories'!$B$16:$B$26</x:formula1>
    </x:dataValidation>
    <x:dataValidation type="list" allowBlank="0" showDropDown="0" showInputMessage="0" showErrorMessage="0" sqref="Q3:Q302">
      <x:formula1>'Categories'!$B$30:$B$36</x:formula1>
    </x:dataValidation>
    <x:dataValidation type="list" allowBlank="0" showDropDown="0" showInputMessage="0" showErrorMessage="0" sqref="S3:X302">
      <x:formula1>'Categories'!$B$62:$B$64</x:formula1>
    </x:dataValidation>
    <x:dataValidation type="list" allowBlank="0" showDropDown="0" showInputMessage="0" showErrorMessage="0" sqref="Z3:Z302">
      <x:formula1>'Categories'!$B$80:$B$83</x:formula1>
    </x:dataValidation>
    <x:dataValidation type="list" allowBlank="0" showDropDown="0" showInputMessage="0" showErrorMessage="0" sqref="AC3:AC302">
      <x:formula1>'Categories'!$B$87:$B$90</x:formula1>
    </x:dataValidation>
    <x:dataValidation type="list" allowBlank="0" showDropDown="0" showInputMessage="0" showErrorMessage="0" sqref="AD3:AD302">
      <x:formula1>'Categories'!$B$94:$B$96</x:formula1>
    </x:dataValidation>
    <x:dataValidation type="list" allowBlank="0" showDropDown="0" showInputMessage="0" showErrorMessage="0" sqref="AH3:AH302">
      <x:formula1>'Categories'!$B$100:$B$108</x:formula1>
    </x:dataValidation>
    <x:dataValidation type="list" allowBlank="0" showDropDown="0" showInputMessage="0" showErrorMessage="0" sqref="AL3:AL302">
      <x:formula1>'Categories'!$B$112:$B$114</x:formula1>
    </x:dataValidation>
    <x:dataValidation type="list" allowBlank="0" showDropDown="0" showInputMessage="0" showErrorMessage="0" sqref="AO3:AO302">
      <x:formula1>'Categories'!$B$118:$B$122</x:formula1>
    </x:dataValidation>
    <x:dataValidation type="list" allowBlank="0" showDropDown="0" showInputMessage="0" showErrorMessage="0" sqref="AP3:AP302">
      <x:formula1>'Categories'!$B$126:$B$129</x:formula1>
    </x:dataValidation>
    <x:dataValidation type="list" allowBlank="0" showDropDown="0" showInputMessage="0" showErrorMessage="0" sqref="AQ3:AQ302">
      <x:formula1>'Categories'!$B$133:$B$135</x:formula1>
    </x:dataValidation>
  </x:dataValidations>
  <x:pageMargins left="0.7" right="0.7" top="0.75" bottom="0.75" header="0.3" footer="0.3"/>
  <x:tableParts count="1">
    <x:tablePart xmlns:r="http://schemas.openxmlformats.org/officeDocument/2006/relationships" r:id="Rb71533c613aa459b"/>
  </x:tableParts>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14" style="36" customWidth="1"/>
    <x:col min="2" max="2" width="30" style="36" customWidth="1"/>
    <x:col min="3" max="3" width="22" style="36" customWidth="1"/>
    <x:col min="4" max="4" width="16" style="36" customWidth="1"/>
    <x:col min="5" max="5" width="12" style="36" customWidth="1"/>
    <x:col min="6" max="6" width="16" style="36" customWidth="1"/>
    <x:col min="7" max="7" width="15" style="36" customWidth="1"/>
    <x:col min="8" max="8" width="13" style="36" customWidth="1"/>
    <x:col min="9" max="9" width="15" style="36" customWidth="1"/>
    <x:col min="10" max="10" width="13" style="36" customWidth="1"/>
    <x:col min="11" max="11" width="46" style="36" customWidth="1"/>
    <x:col min="14" max="14" width="2" style="36" customWidth="1"/>
  </x:cols>
  <x:sheetData>
    <x:row r="1" s="36" customFormat="1" ht="30" customHeight="1">
      <x:c r="A1" s="132" t="inlineStr">
        <x:is>
          <x:t xml:space="preserve">SOURCE LIBRARY SNAPSHOT</x:t>
        </x:is>
      </x:c>
    </x:row>
    <x:row r="2">
      <x:c r="A2" s="133" t="n"/>
      <x:c r="B2" s="133" t="n"/>
      <x:c r="C2" s="133" t="n"/>
      <x:c r="D2" s="133" t="n"/>
      <x:c r="E2" s="133" t="n"/>
      <x:c r="F2" s="133" t="n"/>
      <x:c r="G2" s="133" t="n"/>
      <x:c r="H2" s="133" t="n"/>
      <x:c r="I2" s="133" t="n"/>
      <x:c r="J2" s="133" t="n"/>
      <x:c r="K2" s="133" t="n"/>
      <x:c r="N2" s="381" t="n"/>
    </x:row>
    <x:row r="3">
      <x:c r="A3" s="399" t="inlineStr">
        <x:is>
          <x:t xml:space="preserve">TOTAL SOURCES</x:t>
        </x:is>
      </x:c>
      <x:c r="B3" s="400" t="n"/>
      <x:c r="C3" s="401" t="n"/>
      <x:c r="D3" s="133" t="n"/>
      <x:c r="E3" s="402" t="inlineStr">
        <x:is>
          <x:t xml:space="preserve">INCLUDED</x:t>
        </x:is>
      </x:c>
      <x:c r="F3" s="400" t="n"/>
      <x:c r="G3" s="401" t="n"/>
      <x:c r="H3" s="133" t="n"/>
      <x:c r="I3" s="403" t="inlineStr">
        <x:is>
          <x:t xml:space="preserve">NEEDS ACTION</x:t>
        </x:is>
      </x:c>
      <x:c r="J3" s="400" t="n"/>
      <x:c r="K3" s="401" t="n"/>
      <x:c r="N3" s="381" t="n"/>
    </x:row>
    <x:row r="4">
      <x:c r="A4" s="404" t="n">
        <x:f>COUNTA('Source Register'!A3:A302)</x:f>
        <x:v>87</x:v>
      </x:c>
      <x:c r="B4" s="405" t="n"/>
      <x:c r="C4" s="57" t="n"/>
      <x:c r="D4" s="133" t="n"/>
      <x:c r="E4" s="406" t="n">
        <x:f>COUNTIF('Source Register'!Y3:Y302,"INCLUDE")</x:f>
        <x:v>44</x:v>
      </x:c>
      <x:c r="F4" s="405" t="n"/>
      <x:c r="G4" s="57" t="n"/>
      <x:c r="H4" s="133" t="n"/>
      <x:c r="I4" s="407" t="n">
        <x:f>COUNTIF('Source Register'!AJ3:AJ302,"YES")</x:f>
        <x:v>0</x:v>
      </x:c>
      <x:c r="J4" s="405" t="n"/>
      <x:c r="K4" s="57" t="n"/>
      <x:c r="N4" s="381" t="n"/>
    </x:row>
    <x:row r="5">
      <x:c r="A5" s="38" t="n"/>
      <x:c r="B5" s="39" t="n"/>
      <x:c r="C5" s="40" t="n"/>
      <x:c r="D5" s="133" t="n"/>
      <x:c r="E5" s="38" t="n"/>
      <x:c r="F5" s="39" t="n"/>
      <x:c r="G5" s="40" t="n"/>
      <x:c r="H5" s="133" t="n"/>
      <x:c r="I5" s="38" t="n"/>
      <x:c r="J5" s="39" t="n"/>
      <x:c r="K5" s="40" t="n"/>
      <x:c r="N5" s="381" t="n"/>
    </x:row>
    <x:row r="6">
      <x:c r="A6" s="133" t="n"/>
      <x:c r="B6" s="133" t="n"/>
      <x:c r="C6" s="133" t="n"/>
      <x:c r="D6" s="133" t="n"/>
      <x:c r="E6" s="133" t="n"/>
      <x:c r="F6" s="133" t="n"/>
      <x:c r="G6" s="133" t="n"/>
      <x:c r="H6" s="133" t="n"/>
      <x:c r="I6" s="133" t="n"/>
      <x:c r="J6" s="133" t="n"/>
      <x:c r="K6" s="133" t="n"/>
      <x:c r="N6" s="381" t="n"/>
    </x:row>
    <x:row r="7">
      <x:c r="A7" s="408" t="inlineStr">
        <x:is>
          <x:t xml:space="preserve">PDF FILES</x:t>
        </x:is>
      </x:c>
      <x:c r="B7" s="400" t="n"/>
      <x:c r="C7" s="401" t="n"/>
      <x:c r="D7" s="133" t="n"/>
      <x:c r="E7" s="408" t="inlineStr">
        <x:is>
          <x:t xml:space="preserve">HTML SOURCES</x:t>
        </x:is>
      </x:c>
      <x:c r="F7" s="400" t="n"/>
      <x:c r="G7" s="401" t="n"/>
      <x:c r="H7" s="133" t="n"/>
      <x:c r="I7" s="409" t="inlineStr">
        <x:is>
          <x:t xml:space="preserve">AUTO FAILURES</x:t>
        </x:is>
      </x:c>
      <x:c r="J7" s="400" t="n"/>
      <x:c r="K7" s="401" t="n"/>
      <x:c r="N7" s="381" t="n"/>
    </x:row>
    <x:row r="8">
      <x:c r="A8" s="410" t="n">
        <x:f>COUNTIF('Source Register'!G3:G302,"pdf")</x:f>
        <x:v>24</x:v>
      </x:c>
      <x:c r="B8" s="405" t="n"/>
      <x:c r="C8" s="57" t="n"/>
      <x:c r="D8" s="133" t="n"/>
      <x:c r="E8" s="411" t="n">
        <x:f>COUNTIF('Source Register'!G3:G302,"html")</x:f>
        <x:v>61</x:v>
      </x:c>
      <x:c r="F8" s="405" t="n"/>
      <x:c r="G8" s="57" t="n"/>
      <x:c r="H8" s="133" t="n"/>
      <x:c r="I8" s="412" t="n">
        <x:f>COUNTIFS('Source Register'!$Z$3:$Z$502,"FAIL",'Source Register'!$AL$3:$AL$502,"CURRENT",'Source Register'!$Y$3:$Y$502,"&lt;&gt;EXCLUDE")</x:f>
        <x:v>0</x:v>
      </x:c>
      <x:c r="J8" s="405" t="n"/>
      <x:c r="K8" s="57" t="n"/>
      <x:c r="N8" s="381" t="n"/>
    </x:row>
    <x:row r="9">
      <x:c r="A9" s="38" t="n"/>
      <x:c r="B9" s="39" t="n"/>
      <x:c r="C9" s="40" t="n"/>
      <x:c r="D9" s="133" t="n"/>
      <x:c r="E9" s="38" t="n"/>
      <x:c r="F9" s="39" t="n"/>
      <x:c r="G9" s="40" t="n"/>
      <x:c r="H9" s="133" t="n"/>
      <x:c r="I9" s="38" t="n"/>
      <x:c r="J9" s="39" t="n"/>
      <x:c r="K9" s="40" t="n"/>
      <x:c r="N9" s="381" t="n"/>
    </x:row>
    <x:row r="10">
      <x:c r="A10" s="133" t="n"/>
      <x:c r="B10" s="133" t="n"/>
      <x:c r="C10" s="133" t="n"/>
      <x:c r="D10" s="133" t="n"/>
      <x:c r="E10" s="133" t="n"/>
      <x:c r="F10" s="133" t="n"/>
      <x:c r="G10" s="133" t="n"/>
      <x:c r="H10" s="133" t="n"/>
      <x:c r="I10" s="133" t="n"/>
      <x:c r="J10" s="133" t="n"/>
      <x:c r="K10" s="133" t="n"/>
      <x:c r="N10" s="381" t="n"/>
    </x:row>
    <x:row r="11" s="36" customFormat="1" ht="32" customHeight="1">
      <x:c r="A11" s="347" t="inlineStr">
        <x:is>
          <x:t xml:space="preserve">DOCUMENT TYPE</x:t>
        </x:is>
      </x:c>
      <x:c r="B11" s="348" t="inlineStr">
        <x:is>
          <x:t xml:space="preserve">COUNT</x:t>
        </x:is>
      </x:c>
      <x:c r="C11" s="133" t="n"/>
      <x:c r="D11" s="133" t="n"/>
      <x:c r="E11" s="133" t="n"/>
      <x:c r="F11" s="133" t="n"/>
      <x:c r="G11" s="133" t="n"/>
      <x:c r="H11" s="133" t="n"/>
      <x:c r="I11" s="133" t="n"/>
      <x:c r="J11" s="133" t="n"/>
      <x:c r="K11" s="133" t="n"/>
      <x:c r="N11" s="381" t="n"/>
    </x:row>
    <x:row r="12">
      <x:c r="A12" s="344" t="inlineStr">
        <x:is>
          <x:t xml:space="preserve">Law</x:t>
        </x:is>
      </x:c>
      <x:c r="B12" s="413" t="n">
        <x:f>COUNTIF('Source Register'!$P$3:$P$302,"Law")</x:f>
        <x:v>14</x:v>
      </x:c>
      <x:c r="C12" s="133" t="n"/>
      <x:c r="D12" s="133" t="n"/>
      <x:c r="E12" s="133" t="n"/>
      <x:c r="F12" s="133" t="n"/>
      <x:c r="G12" s="133" t="n"/>
      <x:c r="H12" s="133" t="n"/>
      <x:c r="I12" s="133" t="n"/>
      <x:c r="J12" s="133" t="n"/>
      <x:c r="K12" s="133" t="n"/>
      <x:c r="N12" s="381" t="n"/>
    </x:row>
    <x:row r="13">
      <x:c r="A13" s="344" t="inlineStr">
        <x:is>
          <x:t xml:space="preserve">Regulation</x:t>
        </x:is>
      </x:c>
      <x:c r="B13" s="413" t="n">
        <x:f>COUNTIF('Source Register'!$P$3:$P$302,"Regulation")</x:f>
        <x:v>37</x:v>
      </x:c>
      <x:c r="C13" s="133" t="n"/>
      <x:c r="D13" s="133" t="n"/>
      <x:c r="E13" s="133" t="n"/>
      <x:c r="F13" s="133" t="n"/>
      <x:c r="G13" s="133" t="n"/>
      <x:c r="H13" s="133" t="n"/>
      <x:c r="I13" s="133" t="n"/>
      <x:c r="J13" s="133" t="n"/>
      <x:c r="K13" s="133" t="n"/>
      <x:c r="N13" s="381" t="n"/>
    </x:row>
    <x:row r="14">
      <x:c r="A14" s="344" t="inlineStr">
        <x:is>
          <x:t xml:space="preserve">Permit / authority</x:t>
        </x:is>
      </x:c>
      <x:c r="B14" s="413" t="n">
        <x:f>COUNTIF('Source Register'!$P$3:$P$302,"Permit / authority decision")</x:f>
        <x:v>0</x:v>
      </x:c>
      <x:c r="C14" s="133" t="n"/>
      <x:c r="D14" s="133" t="n"/>
      <x:c r="E14" s="133" t="n"/>
      <x:c r="F14" s="133" t="n"/>
      <x:c r="G14" s="133" t="n"/>
      <x:c r="H14" s="133" t="n"/>
      <x:c r="I14" s="133" t="n"/>
      <x:c r="J14" s="133" t="n"/>
      <x:c r="K14" s="133" t="n"/>
      <x:c r="N14" s="381" t="n"/>
    </x:row>
    <x:row r="15">
      <x:c r="A15" s="344" t="inlineStr">
        <x:is>
          <x:t xml:space="preserve">Technical standard</x:t>
        </x:is>
      </x:c>
      <x:c r="B15" s="413" t="n">
        <x:f>COUNTIF('Source Register'!$P$3:$P$302,"Technical standard")</x:f>
        <x:v>7</x:v>
      </x:c>
      <x:c r="C15" s="133" t="n"/>
      <x:c r="D15" s="133" t="n"/>
      <x:c r="E15" s="133" t="n"/>
      <x:c r="F15" s="133" t="n"/>
      <x:c r="G15" s="133" t="n"/>
      <x:c r="H15" s="133" t="n"/>
      <x:c r="I15" s="133" t="n"/>
      <x:c r="J15" s="133" t="n"/>
      <x:c r="K15" s="133" t="n"/>
      <x:c r="N15" s="381" t="n"/>
    </x:row>
    <x:row r="16">
      <x:c r="A16" s="344" t="inlineStr">
        <x:is>
          <x:t xml:space="preserve">Scheme standard</x:t>
        </x:is>
      </x:c>
      <x:c r="B16" s="413" t="n">
        <x:f>COUNTIF('Source Register'!$P$3:$P$302,"Scheme standard")</x:f>
        <x:v>15</x:v>
      </x:c>
      <x:c r="C16" s="133" t="n"/>
      <x:c r="D16" s="133" t="n"/>
      <x:c r="E16" s="133" t="n"/>
      <x:c r="F16" s="133" t="n"/>
      <x:c r="G16" s="133" t="n"/>
      <x:c r="H16" s="133" t="n"/>
      <x:c r="I16" s="133" t="n"/>
      <x:c r="J16" s="133" t="n"/>
      <x:c r="K16" s="133" t="n"/>
      <x:c r="N16" s="381" t="n"/>
    </x:row>
    <x:row r="17">
      <x:c r="A17" s="344" t="inlineStr">
        <x:is>
          <x:t xml:space="preserve">Interpretation</x:t>
        </x:is>
      </x:c>
      <x:c r="B17" s="413" t="n">
        <x:f>COUNTIF('Source Register'!$P$3:$P$302,"Interpretation document")</x:f>
        <x:v>9</x:v>
      </x:c>
      <x:c r="C17" s="133" t="n"/>
      <x:c r="D17" s="133" t="n"/>
      <x:c r="E17" s="133" t="n"/>
      <x:c r="F17" s="133" t="n"/>
      <x:c r="G17" s="133" t="n"/>
      <x:c r="H17" s="133" t="n"/>
      <x:c r="I17" s="133" t="n"/>
      <x:c r="J17" s="133" t="n"/>
      <x:c r="K17" s="133" t="n"/>
      <x:c r="N17" s="381" t="n"/>
    </x:row>
    <x:row r="18">
      <x:c r="A18" s="344" t="inlineStr">
        <x:is>
          <x:t xml:space="preserve">Audit / assessment</x:t>
        </x:is>
      </x:c>
      <x:c r="B18" s="413" t="n">
        <x:f>COUNTIF('Source Register'!$P$3:$P$302,"Audit / assessment document")</x:f>
        <x:v>3</x:v>
      </x:c>
      <x:c r="C18" s="133" t="n"/>
      <x:c r="D18" s="133" t="n"/>
      <x:c r="E18" s="133" t="n"/>
      <x:c r="F18" s="133" t="n"/>
      <x:c r="G18" s="133" t="n"/>
      <x:c r="H18" s="133" t="n"/>
      <x:c r="I18" s="133" t="n"/>
      <x:c r="J18" s="133" t="n"/>
      <x:c r="K18" s="133" t="n"/>
      <x:c r="N18" s="381" t="n"/>
    </x:row>
    <x:row r="19">
      <x:c r="A19" s="344" t="inlineStr">
        <x:is>
          <x:t xml:space="preserve">Equipment manual</x:t>
        </x:is>
      </x:c>
      <x:c r="B19" s="413" t="n">
        <x:f>COUNTIF('Source Register'!$P$3:$P$302,"Equipment manual / OEM instruction")</x:f>
        <x:v>0</x:v>
      </x:c>
      <x:c r="C19" s="133" t="n"/>
      <x:c r="D19" s="133" t="n"/>
      <x:c r="E19" s="133" t="n"/>
      <x:c r="F19" s="133" t="n"/>
      <x:c r="G19" s="133" t="n"/>
      <x:c r="H19" s="133" t="n"/>
      <x:c r="I19" s="133" t="n"/>
      <x:c r="J19" s="133" t="n"/>
      <x:c r="K19" s="133" t="n"/>
      <x:c r="N19" s="381" t="n"/>
    </x:row>
    <x:row r="20">
      <x:c r="A20" s="344" t="inlineStr">
        <x:is>
          <x:t xml:space="preserve">Design / engineering</x:t>
        </x:is>
      </x:c>
      <x:c r="B20" s="413" t="n">
        <x:f>COUNTIF('Source Register'!$P$3:$P$302,"Design / engineering document")</x:f>
        <x:v>0</x:v>
      </x:c>
      <x:c r="C20" s="133" t="n"/>
      <x:c r="D20" s="133" t="n"/>
      <x:c r="E20" s="133" t="n"/>
      <x:c r="F20" s="133" t="n"/>
      <x:c r="G20" s="133" t="n"/>
      <x:c r="H20" s="133" t="n"/>
      <x:c r="I20" s="133" t="n"/>
      <x:c r="J20" s="133" t="n"/>
      <x:c r="K20" s="133" t="n"/>
      <x:c r="N20" s="381" t="n"/>
    </x:row>
    <x:row r="21">
      <x:c r="A21" s="344" t="inlineStr">
        <x:is>
          <x:t xml:space="preserve">Policy / contract</x:t>
        </x:is>
      </x:c>
      <x:c r="B21" s="413" t="n">
        <x:f>COUNTIF('Source Register'!$P$3:$P$302,"Internal policy / contract")</x:f>
        <x:v>0</x:v>
      </x:c>
      <x:c r="C21" s="133" t="n"/>
      <x:c r="D21" s="133" t="n"/>
      <x:c r="E21" s="133" t="n"/>
      <x:c r="F21" s="133" t="n"/>
      <x:c r="G21" s="133" t="n"/>
      <x:c r="H21" s="133" t="n"/>
      <x:c r="I21" s="133" t="n"/>
      <x:c r="J21" s="133" t="n"/>
      <x:c r="K21" s="133" t="n"/>
      <x:c r="N21" s="381" t="n"/>
    </x:row>
    <x:row r="22">
      <x:c r="A22" s="344" t="inlineStr">
        <x:is>
          <x:t xml:space="preserve">Other</x:t>
        </x:is>
      </x:c>
      <x:c r="B22" s="413" t="n">
        <x:f>COUNTIF('Source Register'!$P$3:$P$302,"Other")</x:f>
        <x:v>2</x:v>
      </x:c>
      <x:c r="C22" s="133" t="n"/>
      <x:c r="D22" s="133" t="n"/>
      <x:c r="E22" s="133" t="n"/>
      <x:c r="F22" s="133" t="n"/>
      <x:c r="G22" s="133" t="n"/>
      <x:c r="H22" s="133" t="n"/>
      <x:c r="I22" s="133" t="n"/>
      <x:c r="J22" s="133" t="n"/>
      <x:c r="K22" s="133" t="n"/>
      <x:c r="N22" s="381" t="n"/>
    </x:row>
    <x:row r="23">
      <x:c r="A23" s="133" t="n"/>
      <x:c r="B23" s="133" t="n"/>
      <x:c r="C23" s="133" t="n"/>
      <x:c r="D23" s="133" t="n"/>
      <x:c r="E23" s="133" t="n"/>
      <x:c r="F23" s="133" t="n"/>
      <x:c r="G23" s="133" t="n"/>
      <x:c r="H23" s="133" t="n"/>
      <x:c r="I23" s="133" t="n"/>
      <x:c r="J23" s="133" t="n"/>
      <x:c r="K23" s="133" t="n"/>
      <x:c r="N23" s="381" t="n"/>
    </x:row>
    <x:row r="24">
      <x:c r="A24" s="133" t="n"/>
      <x:c r="B24" s="133" t="n"/>
      <x:c r="C24" s="133" t="n"/>
      <x:c r="D24" s="133" t="n"/>
      <x:c r="E24" s="133" t="n"/>
      <x:c r="F24" s="133" t="n"/>
      <x:c r="G24" s="133" t="n"/>
      <x:c r="H24" s="133" t="n"/>
      <x:c r="I24" s="133" t="n"/>
      <x:c r="J24" s="133" t="n"/>
      <x:c r="K24" s="133" t="n"/>
      <x:c r="N24" s="381" t="n"/>
    </x:row>
    <x:row r="25">
      <x:c r="A25" s="133" t="n"/>
      <x:c r="B25" s="133" t="n"/>
      <x:c r="C25" s="133" t="n"/>
      <x:c r="D25" s="133" t="n"/>
      <x:c r="E25" s="133" t="n"/>
      <x:c r="F25" s="133" t="n"/>
      <x:c r="G25" s="133" t="n"/>
      <x:c r="H25" s="133" t="n"/>
      <x:c r="I25" s="133" t="n"/>
      <x:c r="J25" s="133" t="n"/>
      <x:c r="K25" s="133" t="n"/>
      <x:c r="N25" s="381" t="n"/>
    </x:row>
    <x:row r="26">
      <x:c r="A26" s="133" t="n"/>
      <x:c r="B26" s="133" t="n"/>
      <x:c r="C26" s="133" t="n"/>
      <x:c r="D26" s="133" t="n"/>
      <x:c r="E26" s="133" t="n"/>
      <x:c r="F26" s="133" t="n"/>
      <x:c r="G26" s="133" t="n"/>
      <x:c r="H26" s="133" t="n"/>
      <x:c r="I26" s="133" t="n"/>
      <x:c r="J26" s="133" t="n"/>
      <x:c r="K26" s="133" t="n"/>
      <x:c r="N26" s="381" t="n"/>
    </x:row>
    <x:row r="27">
      <x:c r="A27" s="133" t="n"/>
      <x:c r="B27" s="133" t="n"/>
      <x:c r="C27" s="133" t="n"/>
      <x:c r="D27" s="133" t="n"/>
      <x:c r="E27" s="133" t="n"/>
      <x:c r="F27" s="133" t="n"/>
      <x:c r="G27" s="133" t="n"/>
      <x:c r="H27" s="133" t="n"/>
      <x:c r="I27" s="133" t="n"/>
      <x:c r="J27" s="133" t="n"/>
      <x:c r="K27" s="133" t="n"/>
      <x:c r="N27" s="381" t="n"/>
    </x:row>
    <x:row r="28" s="36" customFormat="1" ht="32" customHeight="1">
      <x:c r="A28" s="347" t="inlineStr">
        <x:is>
          <x:t xml:space="preserve">FILE FORMAT</x:t>
        </x:is>
      </x:c>
      <x:c r="B28" s="348" t="inlineStr">
        <x:is>
          <x:t xml:space="preserve">COUNT</x:t>
        </x:is>
      </x:c>
      <x:c r="C28" s="133" t="n"/>
      <x:c r="D28" s="133" t="n"/>
      <x:c r="E28" s="133" t="n"/>
      <x:c r="F28" s="133" t="n"/>
      <x:c r="G28" s="133" t="n"/>
      <x:c r="H28" s="133" t="n"/>
      <x:c r="I28" s="133" t="n"/>
      <x:c r="J28" s="133" t="n"/>
      <x:c r="K28" s="133" t="n"/>
      <x:c r="N28" s="381" t="n"/>
    </x:row>
    <x:row r="29">
      <x:c r="A29" s="344" t="inlineStr">
        <x:is>
          <x:t xml:space="preserve">pdf</x:t>
        </x:is>
      </x:c>
      <x:c r="B29" s="344" t="n">
        <x:f>COUNTIF('Source Register'!$G$3:$G$302,A29)</x:f>
        <x:v>24</x:v>
      </x:c>
      <x:c r="C29" s="133" t="n"/>
      <x:c r="D29" s="133" t="n"/>
      <x:c r="E29" s="133" t="n"/>
      <x:c r="F29" s="133" t="n"/>
      <x:c r="G29" s="133" t="n"/>
      <x:c r="H29" s="133" t="n"/>
      <x:c r="I29" s="133" t="n"/>
      <x:c r="J29" s="133" t="n"/>
      <x:c r="K29" s="133" t="n"/>
      <x:c r="N29" s="381" t="n"/>
    </x:row>
    <x:row r="30">
      <x:c r="A30" s="344" t="inlineStr">
        <x:is>
          <x:t xml:space="preserve">html</x:t>
        </x:is>
      </x:c>
      <x:c r="B30" s="344" t="n">
        <x:f>COUNTIF('Source Register'!$G$3:$G$302,A30)</x:f>
        <x:v>61</x:v>
      </x:c>
      <x:c r="C30" s="133" t="n"/>
      <x:c r="D30" s="133" t="n"/>
      <x:c r="E30" s="133" t="n"/>
      <x:c r="F30" s="133" t="n"/>
      <x:c r="G30" s="133" t="n"/>
      <x:c r="H30" s="133" t="n"/>
      <x:c r="I30" s="133" t="n"/>
      <x:c r="J30" s="133" t="n"/>
      <x:c r="K30" s="133" t="n"/>
      <x:c r="N30" s="381" t="n"/>
    </x:row>
    <x:row r="31">
      <x:c r="A31" s="344" t="inlineStr">
        <x:is>
          <x:t xml:space="preserve">xlsx</x:t>
        </x:is>
      </x:c>
      <x:c r="B31" s="344" t="n">
        <x:f>COUNTIF('Source Register'!$G$3:$G$302,A31)</x:f>
        <x:v>2</x:v>
      </x:c>
      <x:c r="C31" s="133" t="n"/>
      <x:c r="D31" s="133" t="n"/>
      <x:c r="E31" s="133" t="n"/>
      <x:c r="F31" s="133" t="n"/>
      <x:c r="G31" s="133" t="n"/>
      <x:c r="H31" s="133" t="n"/>
      <x:c r="I31" s="133" t="n"/>
      <x:c r="J31" s="133" t="n"/>
      <x:c r="K31" s="133" t="n"/>
      <x:c r="N31" s="381" t="n"/>
    </x:row>
    <x:row r="32">
      <x:c r="A32" s="344" t="inlineStr">
        <x:is>
          <x:t xml:space="preserve">zip</x:t>
        </x:is>
      </x:c>
      <x:c r="B32" s="344" t="n">
        <x:f>COUNTIF('Source Register'!$G$3:$G$302,A32)</x:f>
        <x:v>0</x:v>
      </x:c>
      <x:c r="C32" s="133" t="n"/>
      <x:c r="D32" s="133" t="n"/>
      <x:c r="E32" s="133" t="n"/>
      <x:c r="F32" s="133" t="n"/>
      <x:c r="G32" s="133" t="n"/>
      <x:c r="H32" s="133" t="n"/>
      <x:c r="I32" s="133" t="n"/>
      <x:c r="J32" s="133" t="n"/>
      <x:c r="K32" s="133" t="n"/>
      <x:c r="N32" s="381" t="n"/>
    </x:row>
    <x:row r="33">
      <x:c r="A33" s="133" t="n"/>
      <x:c r="B33" s="133" t="n"/>
      <x:c r="C33" s="133" t="n"/>
      <x:c r="D33" s="133" t="n"/>
      <x:c r="E33" s="133" t="n"/>
      <x:c r="F33" s="133" t="n"/>
      <x:c r="G33" s="133" t="n"/>
      <x:c r="H33" s="133" t="n"/>
      <x:c r="I33" s="133" t="n"/>
      <x:c r="J33" s="133" t="n"/>
      <x:c r="K33" s="133" t="n"/>
      <x:c r="N33" s="381" t="n"/>
    </x:row>
    <x:row r="34">
      <x:c r="A34" s="133" t="n"/>
      <x:c r="B34" s="133" t="n"/>
      <x:c r="C34" s="133" t="n"/>
      <x:c r="D34" s="133" t="n"/>
      <x:c r="E34" s="133" t="n"/>
      <x:c r="F34" s="133" t="n"/>
      <x:c r="G34" s="133" t="n"/>
      <x:c r="H34" s="133" t="n"/>
      <x:c r="I34" s="133" t="n"/>
      <x:c r="J34" s="133" t="n"/>
      <x:c r="K34" s="133" t="n"/>
      <x:c r="N34" s="381" t="n"/>
    </x:row>
    <x:row r="35" s="36" customFormat="1" ht="32" customHeight="1">
      <x:c r="A35" s="347" t="inlineStr">
        <x:is>
          <x:t xml:space="preserve">SELECTION STATUS</x:t>
        </x:is>
      </x:c>
      <x:c r="B35" s="348" t="inlineStr">
        <x:is>
          <x:t xml:space="preserve">COUNT</x:t>
        </x:is>
      </x:c>
      <x:c r="C35" s="133" t="n"/>
      <x:c r="D35" s="133" t="n"/>
      <x:c r="E35" s="133" t="n"/>
      <x:c r="F35" s="133" t="n"/>
      <x:c r="G35" s="133" t="n"/>
      <x:c r="H35" s="133" t="n"/>
      <x:c r="I35" s="133" t="n"/>
      <x:c r="J35" s="133" t="n"/>
      <x:c r="K35" s="133" t="n"/>
      <x:c r="N35" s="381" t="n"/>
    </x:row>
    <x:row r="36">
      <x:c r="A36" s="344" t="inlineStr">
        <x:is>
          <x:t xml:space="preserve">INCLUDE</x:t>
        </x:is>
      </x:c>
      <x:c r="B36" s="344" t="n">
        <x:f>COUNTIF('Source Register'!$Y$3:$Y$302,A36)</x:f>
        <x:v>44</x:v>
      </x:c>
      <x:c r="C36" s="133" t="n"/>
      <x:c r="D36" s="133" t="n"/>
      <x:c r="E36" s="133" t="n"/>
      <x:c r="F36" s="133" t="n"/>
      <x:c r="G36" s="133" t="n"/>
      <x:c r="H36" s="133" t="n"/>
      <x:c r="I36" s="133" t="n"/>
      <x:c r="J36" s="133" t="n"/>
      <x:c r="K36" s="133" t="n"/>
      <x:c r="N36" s="381" t="n"/>
    </x:row>
    <x:row r="37">
      <x:c r="A37" s="344" t="inlineStr">
        <x:is>
          <x:t xml:space="preserve">PENDING</x:t>
        </x:is>
      </x:c>
      <x:c r="B37" s="344" t="n">
        <x:f>COUNTIF('Source Register'!$Y$3:$Y$302,A37)</x:f>
        <x:v>42</x:v>
      </x:c>
      <x:c r="C37" s="133" t="n"/>
      <x:c r="D37" s="133" t="n"/>
      <x:c r="E37" s="133" t="n"/>
      <x:c r="F37" s="133" t="n"/>
      <x:c r="G37" s="133" t="n"/>
      <x:c r="H37" s="133" t="n"/>
      <x:c r="I37" s="133" t="n"/>
      <x:c r="J37" s="133" t="n"/>
      <x:c r="K37" s="133" t="n"/>
      <x:c r="N37" s="381" t="n"/>
    </x:row>
    <x:row r="38">
      <x:c r="A38" s="344" t="inlineStr">
        <x:is>
          <x:t xml:space="preserve">EXCLUDE</x:t>
        </x:is>
      </x:c>
      <x:c r="B38" s="344" t="n">
        <x:f>COUNTIF('Source Register'!$Y$3:$Y$302,A38)</x:f>
        <x:v>1</x:v>
      </x:c>
      <x:c r="C38" s="133" t="n"/>
      <x:c r="D38" s="133" t="n"/>
      <x:c r="E38" s="133" t="n"/>
      <x:c r="F38" s="133" t="n"/>
      <x:c r="G38" s="133" t="n"/>
      <x:c r="H38" s="133" t="n"/>
      <x:c r="I38" s="133" t="n"/>
      <x:c r="J38" s="133" t="n"/>
      <x:c r="K38" s="133" t="n"/>
      <x:c r="N38" s="381" t="n"/>
    </x:row>
    <x:row r="39">
      <x:c r="A39" s="133" t="n"/>
      <x:c r="B39" s="133" t="n"/>
      <x:c r="C39" s="133" t="n"/>
      <x:c r="D39" s="133" t="n"/>
      <x:c r="E39" s="133" t="n"/>
      <x:c r="F39" s="133" t="n"/>
      <x:c r="G39" s="133" t="n"/>
      <x:c r="H39" s="133" t="n"/>
      <x:c r="I39" s="133" t="n"/>
      <x:c r="J39" s="133" t="n"/>
      <x:c r="K39" s="133" t="n"/>
      <x:c r="N39" s="381" t="n"/>
    </x:row>
    <x:row r="40">
      <x:c r="A40" s="133" t="n"/>
      <x:c r="B40" s="133" t="n"/>
      <x:c r="C40" s="133" t="n"/>
      <x:c r="D40" s="133" t="n"/>
      <x:c r="E40" s="133" t="n"/>
      <x:c r="F40" s="133" t="n"/>
      <x:c r="G40" s="133" t="n"/>
      <x:c r="H40" s="133" t="n"/>
      <x:c r="I40" s="133" t="n"/>
      <x:c r="J40" s="133" t="n"/>
      <x:c r="K40" s="133" t="n"/>
      <x:c r="N40" s="381" t="n"/>
    </x:row>
    <x:row r="41">
      <x:c r="A41" s="133" t="n"/>
      <x:c r="B41" s="133" t="n"/>
      <x:c r="C41" s="133" t="n"/>
      <x:c r="D41" s="133" t="n"/>
      <x:c r="E41" s="133" t="n"/>
      <x:c r="F41" s="133" t="n"/>
      <x:c r="G41" s="133" t="n"/>
      <x:c r="H41" s="133" t="n"/>
      <x:c r="I41" s="133" t="n"/>
      <x:c r="J41" s="133" t="n"/>
      <x:c r="K41" s="133" t="n"/>
      <x:c r="N41" s="381" t="n"/>
    </x:row>
    <x:row r="42">
      <x:c r="A42" s="133" t="n"/>
      <x:c r="B42" s="133" t="n"/>
      <x:c r="C42" s="133" t="n"/>
      <x:c r="D42" s="133" t="n"/>
      <x:c r="E42" s="133" t="n"/>
      <x:c r="F42" s="133" t="n"/>
      <x:c r="G42" s="133" t="n"/>
      <x:c r="H42" s="133" t="n"/>
      <x:c r="I42" s="133" t="n"/>
      <x:c r="J42" s="133" t="n"/>
      <x:c r="K42" s="133" t="n"/>
      <x:c r="N42" s="381" t="n"/>
    </x:row>
    <x:row r="43" s="36" customFormat="1" ht="28" customHeight="1">
      <x:c r="A43" s="517" t="inlineStr">
        <x:is>
          <x:t xml:space="preserve">RANDOM HUMAN QA</x:t>
        </x:is>
      </x:c>
      <x:c r="N43" s="381" t="n"/>
    </x:row>
    <x:row r="44">
      <x:c r="A44" s="504" t="n"/>
      <x:c r="B44" s="504" t="n"/>
      <x:c r="C44" s="504" t="n"/>
      <x:c r="D44" s="504" t="n"/>
      <x:c r="E44" s="504" t="n"/>
      <x:c r="F44" s="504" t="n"/>
      <x:c r="G44" s="504" t="n"/>
      <x:c r="H44" s="504" t="n"/>
      <x:c r="I44" s="504" t="n"/>
      <x:c r="J44" s="504" t="n"/>
      <x:c r="K44" s="504" t="n"/>
      <x:c r="N44" s="381" t="n"/>
    </x:row>
    <x:row r="45">
      <x:c r="A45" s="523" t="inlineStr">
        <x:is>
          <x:t xml:space="preserve">REQUEST NEW SAMPLE</x:t>
        </x:is>
      </x:c>
      <x:c r="B45" s="400" t="n"/>
      <x:c r="C45" s="401" t="n"/>
      <x:c r="D45" s="504" t="n"/>
      <x:c r="E45" s="523" t="inlineStr">
        <x:is>
          <x:t xml:space="preserve">SAMPLE SIZE</x:t>
        </x:is>
      </x:c>
      <x:c r="F45" s="400" t="n"/>
      <x:c r="G45" s="401" t="n"/>
      <x:c r="H45" s="504" t="n"/>
      <x:c r="I45" s="523" t="inlineStr">
        <x:is>
          <x:t xml:space="preserve">LAST QA CHECK</x:t>
        </x:is>
      </x:c>
      <x:c r="J45" s="400" t="n"/>
      <x:c r="K45" s="401" t="n"/>
      <x:c r="N45" s="381" t="n"/>
    </x:row>
    <x:row r="46">
      <x:c r="A46" s="536" t="inlineStr">
        <x:is>
          <x:t xml:space="preserve">NO</x:t>
        </x:is>
      </x:c>
      <x:c r="B46" s="405" t="n"/>
      <x:c r="C46" s="57" t="n"/>
      <x:c r="D46" s="504" t="n"/>
      <x:c r="E46" s="536" t="n">
        <x:v>5</x:v>
      </x:c>
      <x:c r="F46" s="405" t="n"/>
      <x:c r="G46" s="57" t="n"/>
      <x:c r="H46" s="504" t="n"/>
      <x:c r="I46" s="728" t="n">
        <x:f>IF(COUNTIF('QA Inspection Log'!$A$3:$A$502,"&lt;&gt;")=0,"",MAX('QA Inspection Log'!$B$3:$B$502))</x:f>
        <x:v>46265</x:v>
      </x:c>
      <x:c r="J46" s="405" t="n"/>
      <x:c r="K46" s="57" t="n"/>
      <x:c r="N46" s="381" t="n"/>
    </x:row>
    <x:row r="47">
      <x:c r="A47" s="38" t="n"/>
      <x:c r="B47" s="39" t="n"/>
      <x:c r="C47" s="40" t="n"/>
      <x:c r="D47" s="504" t="n"/>
      <x:c r="E47" s="38" t="n"/>
      <x:c r="F47" s="39" t="n"/>
      <x:c r="G47" s="40" t="n"/>
      <x:c r="H47" s="504" t="n"/>
      <x:c r="I47" s="38" t="n"/>
      <x:c r="J47" s="39" t="n"/>
      <x:c r="K47" s="40" t="n"/>
      <x:c r="N47" s="381" t="n"/>
    </x:row>
    <x:row r="48">
      <x:c r="A48" s="504" t="n"/>
      <x:c r="B48" s="504" t="n"/>
      <x:c r="C48" s="504" t="n"/>
      <x:c r="D48" s="504" t="n"/>
      <x:c r="E48" s="504" t="n"/>
      <x:c r="F48" s="504" t="n"/>
      <x:c r="G48" s="504" t="n"/>
      <x:c r="H48" s="504" t="n"/>
      <x:c r="I48" s="504" t="n"/>
      <x:c r="J48" s="504" t="n"/>
      <x:c r="K48" s="504" t="n"/>
      <x:c r="N48" s="381" t="n"/>
    </x:row>
    <x:row r="49">
      <x:c r="A49" s="564" t="str">
        <x:v>Set REQUEST NEW SAMPLE to YES, choose SAMPLE SIZE, save and close Excel, then run 07_process_human_operations.command or the Leader. Completed batch results are retained in QA Inspection Log.</x:v>
      </x:c>
      <x:c r="B49" s="405" t="n"/>
      <x:c r="C49" s="405" t="n"/>
      <x:c r="D49" s="405" t="n"/>
      <x:c r="E49" s="405" t="n"/>
      <x:c r="F49" s="405" t="n"/>
      <x:c r="G49" s="405" t="n"/>
      <x:c r="H49" s="405" t="n"/>
      <x:c r="I49" s="405" t="n"/>
      <x:c r="J49" s="405" t="n"/>
      <x:c r="K49" s="57" t="n"/>
      <x:c r="N49" s="381" t="n"/>
    </x:row>
    <x:row r="50">
      <x:c r="A50" s="38" t="n"/>
      <x:c r="B50" s="39" t="n"/>
      <x:c r="C50" s="39" t="n"/>
      <x:c r="D50" s="39" t="n"/>
      <x:c r="E50" s="39" t="n"/>
      <x:c r="F50" s="39" t="n"/>
      <x:c r="G50" s="39" t="n"/>
      <x:c r="H50" s="39" t="n"/>
      <x:c r="I50" s="39" t="n"/>
      <x:c r="J50" s="39" t="n"/>
      <x:c r="K50" s="40" t="n"/>
      <x:c r="N50" s="381" t="n"/>
    </x:row>
    <x:row r="51">
      <x:c r="A51" s="504" t="n"/>
      <x:c r="B51" s="504" t="n"/>
      <x:c r="C51" s="504" t="n"/>
      <x:c r="D51" s="504" t="n"/>
      <x:c r="E51" s="504" t="n"/>
      <x:c r="F51" s="504" t="n"/>
      <x:c r="G51" s="504" t="n"/>
      <x:c r="H51" s="504" t="n"/>
      <x:c r="I51" s="504" t="n"/>
      <x:c r="J51" s="504" t="n"/>
      <x:c r="K51" s="504" t="n"/>
      <x:c r="N51" s="381" t="n"/>
    </x:row>
    <x:row r="52">
      <x:c r="A52" s="575" t="str">
        <x:v>LATEST QA RESULTS</x:v>
      </x:c>
      <x:c r="N52" s="381" t="n"/>
    </x:row>
    <x:row r="53" s="36" customFormat="1" ht="32" customHeight="1">
      <x:c r="A53" s="664" t="inlineStr">
        <x:is>
          <x:t xml:space="preserve">CORRECT / CHECKED</x:t>
        </x:is>
      </x:c>
      <x:c r="B53" s="400" t="n"/>
      <x:c r="C53" s="671" t="n"/>
      <x:c r="D53" s="501" t="n"/>
      <x:c r="E53" s="664" t="inlineStr">
        <x:is>
          <x:t xml:space="preserve">ACCURACY</x:t>
        </x:is>
      </x:c>
      <x:c r="F53" s="400" t="n"/>
      <x:c r="G53" s="671" t="n"/>
      <x:c r="H53" s="501" t="n"/>
      <x:c r="I53" s="664" t="inlineStr">
        <x:is>
          <x:t xml:space="preserve">OPEN QA ITEMS</x:t>
        </x:is>
      </x:c>
      <x:c r="J53" s="400" t="n"/>
      <x:c r="K53" s="671" t="n"/>
      <x:c r="N53" s="381" t="n"/>
    </x:row>
    <x:row r="54" s="36" customFormat="1" ht="34" customHeight="1">
      <x:c r="A54" s="592" t="str">
        <x:f>IFERROR(INDEX('QA Inspection Log'!$F$3:$F$502,MATCH(MAX('QA Inspection Log'!$B$3:$B$502),'QA Inspection Log'!$B$3:$B$502,0))&amp;"/"&amp;INDEX('QA Inspection Log'!$E$3:$E$502,MATCH(MAX('QA Inspection Log'!$B$3:$B$502),'QA Inspection Log'!$B$3:$B$502,0)),"0/0")</x:f>
        <x:v>7/7</x:v>
      </x:c>
      <x:c r="B54" s="405" t="n"/>
      <x:c r="C54" s="57" t="n"/>
      <x:c r="D54" s="488" t="n"/>
      <x:c r="E54" s="729" t="n">
        <x:f>IFERROR(INDEX('QA Inspection Log'!$H$3:$H$502,MATCH(MAX('QA Inspection Log'!$B$3:$B$502),'QA Inspection Log'!$B$3:$B$502,0)),0)</x:f>
        <x:v>1</x:v>
      </x:c>
      <x:c r="F54" s="405" t="n"/>
      <x:c r="G54" s="57" t="n"/>
      <x:c r="H54" s="469" t="n"/>
      <x:c r="I54" s="603" t="n">
        <x:f>COUNTIFS('Human Operation Desktop'!$B$3:$B$502,"RANDOM_QA_CHECK",'Human Operation Desktop'!$K$3:$K$502,"PENDING")+COUNTIFS('Human Operation Desktop'!$B$3:$B$502,"RANDOM_QA_CHECK",'Human Operation Desktop'!$K$3:$K$502,"WAITING_FOR_HUMAN")</x:f>
        <x:v>0</x:v>
      </x:c>
      <x:c r="J54" s="405" t="n"/>
      <x:c r="K54" s="57" t="n"/>
      <x:c r="N54" s="381" t="n"/>
    </x:row>
    <x:row r="55" s="36" customFormat="1" ht="34" customHeight="1">
      <x:c r="A55" s="38" t="n"/>
      <x:c r="B55" s="39" t="n"/>
      <x:c r="C55" s="40" t="n"/>
      <x:c r="D55" s="488" t="n"/>
      <x:c r="E55" s="38" t="n"/>
      <x:c r="F55" s="39" t="n"/>
      <x:c r="G55" s="40" t="n"/>
      <x:c r="H55" s="469" t="n"/>
      <x:c r="I55" s="38" t="n"/>
      <x:c r="J55" s="39" t="n"/>
      <x:c r="K55" s="40" t="n"/>
      <x:c r="N55" s="381" t="n"/>
    </x:row>
    <x:row r="56" s="36" customFormat="1" ht="34" customHeight="1">
      <x:c r="A56" s="469" t="n"/>
      <x:c r="B56" s="469" t="n"/>
      <x:c r="C56" s="469" t="n"/>
      <x:c r="D56" s="488" t="n"/>
      <x:c r="E56" s="489" t="n"/>
      <x:c r="F56" s="469" t="n"/>
      <x:c r="G56" s="469" t="n"/>
      <x:c r="H56" s="469" t="n"/>
      <x:c r="I56" s="469" t="n"/>
      <x:c r="J56" s="469" t="n"/>
      <x:c r="K56" s="469" t="n"/>
      <x:c r="N56" s="381" t="n"/>
    </x:row>
    <x:row r="57" s="36" customFormat="1" ht="26" customHeight="1">
      <x:c r="A57" s="613" t="inlineStr">
        <x:is>
          <x:t xml:space="preserve">HUMAN REVIEW STATUS</x:t>
        </x:is>
      </x:c>
      <x:c r="B57" s="400" t="n"/>
      <x:c r="C57" s="400" t="n"/>
      <x:c r="D57" s="400" t="n"/>
      <x:c r="E57" s="400" t="n"/>
      <x:c r="F57" s="400" t="n"/>
      <x:c r="G57" s="400" t="n"/>
      <x:c r="H57" s="400" t="n"/>
      <x:c r="I57" s="400" t="n"/>
      <x:c r="J57" s="400" t="n"/>
      <x:c r="K57" s="401" t="n"/>
      <x:c r="N57" s="381" t="n"/>
    </x:row>
    <x:row r="58" s="36" customFormat="1" ht="34" customHeight="1">
      <x:c r="A58" s="667" t="inlineStr">
        <x:is>
          <x:t xml:space="preserve">OPEN OPERATIONS</x:t>
        </x:is>
      </x:c>
      <x:c r="B58" s="400" t="n"/>
      <x:c r="C58" s="401" t="n"/>
      <x:c r="D58" s="488" t="n"/>
      <x:c r="E58" s="668" t="inlineStr">
        <x:is>
          <x:t xml:space="preserve">OLDEST OPEN (DAYS)</x:t>
        </x:is>
      </x:c>
      <x:c r="F58" s="400" t="n"/>
      <x:c r="G58" s="401" t="n"/>
      <x:c r="H58" s="469" t="n"/>
      <x:c r="I58" s="667" t="inlineStr">
        <x:is>
          <x:t xml:space="preserve">ACTION</x:t>
        </x:is>
      </x:c>
      <x:c r="J58" s="400" t="n"/>
      <x:c r="K58" s="401" t="n"/>
      <x:c r="N58" s="381" t="n"/>
    </x:row>
    <x:row r="59" s="36" customFormat="1" ht="34" customHeight="1">
      <x:c r="A59" s="603" t="n">
        <x:f>COUNTIF('Human Operation Desktop'!$K$3:$K$502,"PENDING")+COUNTIF('Human Operation Desktop'!$K$3:$K$502,"WAITING_FOR_HUMAN")+COUNTIF('Human Operation Desktop'!$K$3:$K$502,"NEEDS_REPLAN")+COUNTIF('Human Operation Desktop'!$K$3:$K$502,"QUEUED")</x:f>
        <x:v>0</x:v>
      </x:c>
      <x:c r="B59" s="405" t="n"/>
      <x:c r="C59" s="57" t="n"/>
      <x:c r="D59" s="488" t="n"/>
      <x:c r="E59" s="626" t="n">
        <x:f>IF(A59=0,0,TODAY()-INT(MINIFS('Human Operation Desktop'!$V$3:$V$502,'Human Operation Desktop'!$A$3:$A$502,"&lt;&gt;",'Human Operation Desktop'!$K$3:$K$502,"&lt;&gt;APPLIED",'Human Operation Desktop'!$K$3:$K$502,"&lt;&gt;REJECTED")))</x:f>
        <x:v>0</x:v>
      </x:c>
      <x:c r="F59" s="405" t="n"/>
      <x:c r="G59" s="57" t="n"/>
      <x:c r="H59" s="469" t="n"/>
      <x:c r="I59" s="630" t="str">
        <x:f>IF(A59=0,"ALL CLEAR",IF(E59&gt;60,"REVIEW OVERDUE","OPEN DESKTOP"))</x:f>
        <x:v>ALL CLEAR</x:v>
      </x:c>
      <x:c r="J59" s="405" t="n"/>
      <x:c r="K59" s="57" t="n"/>
      <x:c r="N59" s="381" t="n"/>
    </x:row>
    <x:row r="60" s="36" customFormat="1" ht="34" customHeight="1">
      <x:c r="A60" s="38" t="n"/>
      <x:c r="B60" s="39" t="n"/>
      <x:c r="C60" s="40" t="n"/>
      <x:c r="D60" s="488" t="n"/>
      <x:c r="E60" s="38" t="n"/>
      <x:c r="F60" s="39" t="n"/>
      <x:c r="G60" s="40" t="n"/>
      <x:c r="H60" s="469" t="n"/>
      <x:c r="I60" s="38" t="n"/>
      <x:c r="J60" s="39" t="n"/>
      <x:c r="K60" s="40" t="n"/>
      <x:c r="N60" s="381" t="n"/>
    </x:row>
    <x:row r="61" s="36" customFormat="1" ht="34" customHeight="1">
      <x:c r="A61" s="469" t="n"/>
      <x:c r="B61" s="469" t="n"/>
      <x:c r="C61" s="469" t="n"/>
      <x:c r="D61" s="488" t="n"/>
      <x:c r="E61" s="489" t="n"/>
      <x:c r="F61" s="469" t="n"/>
      <x:c r="G61" s="469" t="n"/>
      <x:c r="H61" s="469" t="n"/>
      <x:c r="I61" s="469" t="n"/>
      <x:c r="J61" s="469" t="n"/>
      <x:c r="K61" s="469" t="n"/>
      <x:c r="N61" s="381" t="n"/>
    </x:row>
    <x:row r="62" s="36" customFormat="1" ht="34" customHeight="1">
      <x:c r="A62" s="637" t="inlineStr">
        <x:is>
          <x:t xml:space="preserve">Open Human Operation Desktop to review visible items. Completed APPLIED and REJECTED rows remain in the audit trail but are hidden automatically. Any item older than 60 days should be reviewed immediately.</x:t>
        </x:is>
      </x:c>
      <x:c r="B62" s="405" t="n"/>
      <x:c r="C62" s="405" t="n"/>
      <x:c r="D62" s="405" t="n"/>
      <x:c r="E62" s="405" t="n"/>
      <x:c r="F62" s="405" t="n"/>
      <x:c r="G62" s="405" t="n"/>
      <x:c r="H62" s="405" t="n"/>
      <x:c r="I62" s="405" t="n"/>
      <x:c r="J62" s="405" t="n"/>
      <x:c r="K62" s="57" t="n"/>
      <x:c r="N62" s="381" t="n"/>
    </x:row>
    <x:row r="63" s="36" customFormat="1" ht="34" customHeight="1">
      <x:c r="A63" s="38" t="n"/>
      <x:c r="B63" s="39" t="n"/>
      <x:c r="C63" s="39" t="n"/>
      <x:c r="D63" s="39" t="n"/>
      <x:c r="E63" s="39" t="n"/>
      <x:c r="F63" s="39" t="n"/>
      <x:c r="G63" s="39" t="n"/>
      <x:c r="H63" s="39" t="n"/>
      <x:c r="I63" s="39" t="n"/>
      <x:c r="J63" s="39" t="n"/>
      <x:c r="K63" s="40" t="n"/>
      <x:c r="N63" s="381" t="n"/>
    </x:row>
    <x:row r="64" s="36" customFormat="1" ht="34" customHeight="1">
      <x:c r="A64" s="385" t="n"/>
      <x:c r="B64" s="385" t="n"/>
      <x:c r="C64" s="385" t="n"/>
      <x:c r="D64" s="414" t="n"/>
      <x:c r="E64" s="415" t="n"/>
      <x:c r="F64" s="385" t="n"/>
      <x:c r="G64" s="385" t="n"/>
      <x:c r="H64" s="385" t="n"/>
      <x:c r="I64" s="385" t="n"/>
      <x:c r="J64" s="385" t="n"/>
      <x:c r="K64" s="385" t="n"/>
      <x:c r="N64" s="381" t="n"/>
    </x:row>
    <x:row r="65" s="36" customFormat="1" ht="34" customHeight="1">
      <x:c r="A65" s="385" t="n"/>
      <x:c r="B65" s="385" t="n"/>
      <x:c r="C65" s="385" t="n"/>
      <x:c r="D65" s="414" t="n"/>
      <x:c r="E65" s="415" t="n"/>
      <x:c r="F65" s="385" t="n"/>
      <x:c r="G65" s="385" t="n"/>
      <x:c r="H65" s="385" t="n"/>
      <x:c r="I65" s="385" t="n"/>
      <x:c r="J65" s="385" t="n"/>
      <x:c r="K65" s="385" t="n"/>
      <x:c r="N65" s="381" t="n"/>
    </x:row>
    <x:row r="66" s="36" customFormat="1" ht="34" customHeight="1">
      <x:c r="A66" s="385" t="n"/>
      <x:c r="B66" s="385" t="n"/>
      <x:c r="C66" s="385" t="n"/>
      <x:c r="D66" s="414" t="n"/>
      <x:c r="E66" s="415" t="n"/>
      <x:c r="F66" s="385" t="n"/>
      <x:c r="G66" s="385" t="n"/>
      <x:c r="H66" s="385" t="n"/>
      <x:c r="I66" s="385" t="n"/>
      <x:c r="J66" s="385" t="n"/>
      <x:c r="K66" s="385" t="n"/>
      <x:c r="N66" s="381" t="n"/>
    </x:row>
    <x:row r="67" s="36" customFormat="1" ht="34" customHeight="1">
      <x:c r="A67" s="385" t="n"/>
      <x:c r="B67" s="385" t="n"/>
      <x:c r="C67" s="385" t="n"/>
      <x:c r="D67" s="414" t="n"/>
      <x:c r="E67" s="415" t="n"/>
      <x:c r="F67" s="385" t="n"/>
      <x:c r="G67" s="385" t="n"/>
      <x:c r="H67" s="385" t="n"/>
      <x:c r="I67" s="385" t="n"/>
      <x:c r="J67" s="385" t="n"/>
      <x:c r="K67" s="385" t="n"/>
      <x:c r="N67" s="381" t="n"/>
    </x:row>
    <x:row r="68" s="36" customFormat="1" ht="34" customHeight="1">
      <x:c r="A68" s="385" t="n"/>
      <x:c r="B68" s="385" t="n"/>
      <x:c r="C68" s="385" t="n"/>
      <x:c r="D68" s="414" t="n"/>
      <x:c r="E68" s="415" t="n"/>
      <x:c r="F68" s="385" t="n"/>
      <x:c r="G68" s="385" t="n"/>
      <x:c r="H68" s="385" t="n"/>
      <x:c r="I68" s="385" t="n"/>
      <x:c r="J68" s="385" t="n"/>
      <x:c r="K68" s="385" t="n"/>
      <x:c r="N68" s="381" t="n"/>
    </x:row>
    <x:row r="69" s="36" customFormat="1" ht="34" customHeight="1">
      <x:c r="A69" s="385" t="n"/>
      <x:c r="B69" s="385" t="n"/>
      <x:c r="C69" s="385" t="n"/>
      <x:c r="D69" s="414" t="n"/>
      <x:c r="E69" s="415" t="n"/>
      <x:c r="F69" s="385" t="n"/>
      <x:c r="G69" s="385" t="n"/>
      <x:c r="H69" s="385" t="n"/>
      <x:c r="I69" s="385" t="n"/>
      <x:c r="J69" s="385" t="n"/>
      <x:c r="K69" s="385" t="n"/>
      <x:c r="N69" s="381" t="n"/>
    </x:row>
    <x:row r="70" s="36" customFormat="1" ht="34" customHeight="1">
      <x:c r="A70" s="385" t="n"/>
      <x:c r="B70" s="385" t="n"/>
      <x:c r="C70" s="385" t="n"/>
      <x:c r="D70" s="414" t="n"/>
      <x:c r="E70" s="415" t="n"/>
      <x:c r="F70" s="385" t="n"/>
      <x:c r="G70" s="385" t="n"/>
      <x:c r="H70" s="385" t="n"/>
      <x:c r="I70" s="385" t="n"/>
      <x:c r="J70" s="385" t="n"/>
      <x:c r="K70" s="385" t="n"/>
      <x:c r="N70" s="381" t="n"/>
    </x:row>
    <x:row r="71" s="36" customFormat="1" ht="34" customHeight="1">
      <x:c r="A71" s="385" t="n"/>
      <x:c r="B71" s="385" t="n"/>
      <x:c r="C71" s="385" t="n"/>
      <x:c r="D71" s="414" t="n"/>
      <x:c r="E71" s="415" t="n"/>
      <x:c r="F71" s="385" t="n"/>
      <x:c r="G71" s="385" t="n"/>
      <x:c r="H71" s="385" t="n"/>
      <x:c r="I71" s="385" t="n"/>
      <x:c r="J71" s="385" t="n"/>
      <x:c r="K71" s="385" t="n"/>
      <x:c r="N71" s="381" t="n"/>
    </x:row>
    <x:row r="72" s="36" customFormat="1" ht="34" customHeight="1">
      <x:c r="A72" s="385" t="n"/>
      <x:c r="B72" s="385" t="n"/>
      <x:c r="C72" s="385" t="n"/>
      <x:c r="D72" s="414" t="n"/>
      <x:c r="E72" s="415" t="n"/>
      <x:c r="F72" s="385" t="n"/>
      <x:c r="G72" s="385" t="n"/>
      <x:c r="H72" s="385" t="n"/>
      <x:c r="I72" s="385" t="n"/>
      <x:c r="J72" s="385" t="n"/>
      <x:c r="K72" s="385" t="n"/>
      <x:c r="N72" s="381" t="n"/>
    </x:row>
    <x:row r="73" s="36" customFormat="1" ht="34" customHeight="1">
      <x:c r="A73" s="385" t="n"/>
      <x:c r="B73" s="385" t="n"/>
      <x:c r="C73" s="385" t="n"/>
      <x:c r="D73" s="414" t="n"/>
      <x:c r="E73" s="415" t="n"/>
      <x:c r="F73" s="385" t="n"/>
      <x:c r="G73" s="385" t="n"/>
      <x:c r="H73" s="385" t="n"/>
      <x:c r="I73" s="385" t="n"/>
      <x:c r="J73" s="385" t="n"/>
      <x:c r="K73" s="385" t="n"/>
      <x:c r="N73" s="381" t="n"/>
    </x:row>
    <x:row r="74" s="36" customFormat="1" ht="34" customHeight="1">
      <x:c r="A74" s="385" t="n"/>
      <x:c r="B74" s="385" t="n"/>
      <x:c r="C74" s="385" t="n"/>
      <x:c r="D74" s="414" t="n"/>
      <x:c r="E74" s="415" t="n"/>
      <x:c r="F74" s="385" t="n"/>
      <x:c r="G74" s="385" t="n"/>
      <x:c r="H74" s="385" t="n"/>
      <x:c r="I74" s="385" t="n"/>
      <x:c r="J74" s="385" t="n"/>
      <x:c r="K74" s="385" t="n"/>
      <x:c r="N74" s="381" t="n"/>
    </x:row>
    <x:row r="75" s="36" customFormat="1" ht="34" customHeight="1">
      <x:c r="A75" s="385" t="n"/>
      <x:c r="B75" s="385" t="n"/>
      <x:c r="C75" s="385" t="n"/>
      <x:c r="D75" s="414" t="n"/>
      <x:c r="E75" s="415" t="n"/>
      <x:c r="F75" s="385" t="n"/>
      <x:c r="G75" s="385" t="n"/>
      <x:c r="H75" s="385" t="n"/>
      <x:c r="I75" s="385" t="n"/>
      <x:c r="J75" s="385" t="n"/>
      <x:c r="K75" s="385" t="n"/>
      <x:c r="N75" s="381" t="n"/>
    </x:row>
    <x:row r="76" s="36" customFormat="1" ht="34" customHeight="1">
      <x:c r="A76" s="385" t="n"/>
      <x:c r="B76" s="385" t="n"/>
      <x:c r="C76" s="385" t="n"/>
      <x:c r="D76" s="414" t="n"/>
      <x:c r="E76" s="415" t="n"/>
      <x:c r="F76" s="385" t="n"/>
      <x:c r="G76" s="385" t="n"/>
      <x:c r="H76" s="385" t="n"/>
      <x:c r="I76" s="385" t="n"/>
      <x:c r="J76" s="385" t="n"/>
      <x:c r="K76" s="385" t="n"/>
      <x:c r="N76" s="381" t="n"/>
    </x:row>
    <x:row r="77" s="36" customFormat="1" ht="34" customHeight="1">
      <x:c r="A77" s="385" t="n"/>
      <x:c r="B77" s="385" t="n"/>
      <x:c r="C77" s="385" t="n"/>
      <x:c r="D77" s="414" t="n"/>
      <x:c r="E77" s="415" t="n"/>
      <x:c r="F77" s="385" t="n"/>
      <x:c r="G77" s="385" t="n"/>
      <x:c r="H77" s="385" t="n"/>
      <x:c r="I77" s="385" t="n"/>
      <x:c r="J77" s="385" t="n"/>
      <x:c r="K77" s="385" t="n"/>
      <x:c r="N77" s="381" t="n"/>
    </x:row>
    <x:row r="78" s="36" customFormat="1" ht="34" customHeight="1">
      <x:c r="A78" s="385" t="n"/>
      <x:c r="B78" s="385" t="n"/>
      <x:c r="C78" s="385" t="n"/>
      <x:c r="D78" s="414" t="n"/>
      <x:c r="E78" s="415" t="n"/>
      <x:c r="F78" s="385" t="n"/>
      <x:c r="G78" s="385" t="n"/>
      <x:c r="H78" s="385" t="n"/>
      <x:c r="I78" s="385" t="n"/>
      <x:c r="J78" s="385" t="n"/>
      <x:c r="K78" s="385" t="n"/>
      <x:c r="N78" s="381" t="n"/>
    </x:row>
    <x:row r="79" s="36" customFormat="1" ht="34" customHeight="1">
      <x:c r="A79" s="385" t="n"/>
      <x:c r="B79" s="385" t="n"/>
      <x:c r="C79" s="385" t="n"/>
      <x:c r="D79" s="414" t="n"/>
      <x:c r="E79" s="415" t="n"/>
      <x:c r="F79" s="385" t="n"/>
      <x:c r="G79" s="385" t="n"/>
      <x:c r="H79" s="385" t="n"/>
      <x:c r="I79" s="385" t="n"/>
      <x:c r="J79" s="385" t="n"/>
      <x:c r="K79" s="385" t="n"/>
      <x:c r="N79" s="381" t="n"/>
    </x:row>
    <x:row r="80" s="36" customFormat="1" ht="34" customHeight="1">
      <x:c r="A80" s="385" t="n"/>
      <x:c r="B80" s="385" t="n"/>
      <x:c r="C80" s="385" t="n"/>
      <x:c r="D80" s="414" t="n"/>
      <x:c r="E80" s="415" t="n"/>
      <x:c r="F80" s="385" t="n"/>
      <x:c r="G80" s="385" t="n"/>
      <x:c r="H80" s="385" t="n"/>
      <x:c r="I80" s="385" t="n"/>
      <x:c r="J80" s="385" t="n"/>
      <x:c r="K80" s="385" t="n"/>
      <x:c r="N80" s="381" t="n"/>
    </x:row>
    <x:row r="81" s="36" customFormat="1" ht="34" customHeight="1">
      <x:c r="A81" s="385" t="n"/>
      <x:c r="B81" s="385" t="n"/>
      <x:c r="C81" s="385" t="n"/>
      <x:c r="D81" s="414" t="n"/>
      <x:c r="E81" s="415" t="n"/>
      <x:c r="F81" s="385" t="n"/>
      <x:c r="G81" s="385" t="n"/>
      <x:c r="H81" s="385" t="n"/>
      <x:c r="I81" s="385" t="n"/>
      <x:c r="J81" s="385" t="n"/>
      <x:c r="K81" s="385" t="n"/>
      <x:c r="N81" s="381" t="n"/>
    </x:row>
    <x:row r="82" s="36" customFormat="1" ht="34" customHeight="1">
      <x:c r="A82" s="385" t="n"/>
      <x:c r="B82" s="385" t="n"/>
      <x:c r="C82" s="385" t="n"/>
      <x:c r="D82" s="414" t="n"/>
      <x:c r="E82" s="415" t="n"/>
      <x:c r="F82" s="385" t="n"/>
      <x:c r="G82" s="385" t="n"/>
      <x:c r="H82" s="385" t="n"/>
      <x:c r="I82" s="385" t="n"/>
      <x:c r="J82" s="385" t="n"/>
      <x:c r="K82" s="385" t="n"/>
      <x:c r="N82" s="381" t="n"/>
    </x:row>
    <x:row r="83" s="36" customFormat="1" ht="34" customHeight="1">
      <x:c r="A83" s="385" t="n"/>
      <x:c r="B83" s="385" t="n"/>
      <x:c r="C83" s="385" t="n"/>
      <x:c r="D83" s="414" t="n"/>
      <x:c r="E83" s="415" t="n"/>
      <x:c r="F83" s="385" t="n"/>
      <x:c r="G83" s="385" t="n"/>
      <x:c r="H83" s="385" t="n"/>
      <x:c r="I83" s="385" t="n"/>
      <x:c r="J83" s="385" t="n"/>
      <x:c r="K83" s="385" t="n"/>
      <x:c r="N83" s="381" t="n"/>
    </x:row>
    <x:row r="84" s="36" customFormat="1" ht="34" customHeight="1">
      <x:c r="A84" s="385" t="n"/>
      <x:c r="B84" s="385" t="n"/>
      <x:c r="C84" s="385" t="n"/>
      <x:c r="D84" s="414" t="n"/>
      <x:c r="E84" s="415" t="n"/>
      <x:c r="F84" s="385" t="n"/>
      <x:c r="G84" s="385" t="n"/>
      <x:c r="H84" s="385" t="n"/>
      <x:c r="I84" s="385" t="n"/>
      <x:c r="J84" s="385" t="n"/>
      <x:c r="K84" s="385" t="n"/>
      <x:c r="N84" s="381" t="n"/>
    </x:row>
    <x:row r="85" s="36" customFormat="1" ht="34" customHeight="1">
      <x:c r="A85" s="385" t="n"/>
      <x:c r="B85" s="385" t="n"/>
      <x:c r="C85" s="385" t="n"/>
      <x:c r="D85" s="414" t="n"/>
      <x:c r="E85" s="415" t="n"/>
      <x:c r="F85" s="385" t="n"/>
      <x:c r="G85" s="385" t="n"/>
      <x:c r="H85" s="385" t="n"/>
      <x:c r="I85" s="385" t="n"/>
      <x:c r="J85" s="385" t="n"/>
      <x:c r="K85" s="385" t="n"/>
      <x:c r="N85" s="381" t="n"/>
    </x:row>
    <x:row r="86" s="36" customFormat="1" ht="34" customHeight="1">
      <x:c r="A86" s="385" t="n"/>
      <x:c r="B86" s="385" t="n"/>
      <x:c r="C86" s="385" t="n"/>
      <x:c r="D86" s="414" t="n"/>
      <x:c r="E86" s="415" t="n"/>
      <x:c r="F86" s="385" t="n"/>
      <x:c r="G86" s="385" t="n"/>
      <x:c r="H86" s="385" t="n"/>
      <x:c r="I86" s="385" t="n"/>
      <x:c r="J86" s="385" t="n"/>
      <x:c r="K86" s="385" t="n"/>
      <x:c r="N86" s="381" t="n"/>
    </x:row>
    <x:row r="87" s="36" customFormat="1" ht="34" customHeight="1">
      <x:c r="A87" s="385" t="n"/>
      <x:c r="B87" s="385" t="n"/>
      <x:c r="C87" s="385" t="n"/>
      <x:c r="D87" s="414" t="n"/>
      <x:c r="E87" s="415" t="n"/>
      <x:c r="F87" s="385" t="n"/>
      <x:c r="G87" s="385" t="n"/>
      <x:c r="H87" s="385" t="n"/>
      <x:c r="I87" s="385" t="n"/>
      <x:c r="J87" s="385" t="n"/>
      <x:c r="K87" s="385" t="n"/>
      <x:c r="N87" s="381" t="n"/>
    </x:row>
    <x:row r="88" s="36" customFormat="1" ht="34" customHeight="1">
      <x:c r="A88" s="385" t="n"/>
      <x:c r="B88" s="385" t="n"/>
      <x:c r="C88" s="385" t="n"/>
      <x:c r="D88" s="414" t="n"/>
      <x:c r="E88" s="415" t="n"/>
      <x:c r="F88" s="385" t="n"/>
      <x:c r="G88" s="385" t="n"/>
      <x:c r="H88" s="385" t="n"/>
      <x:c r="I88" s="385" t="n"/>
      <x:c r="J88" s="385" t="n"/>
      <x:c r="K88" s="385" t="n"/>
      <x:c r="N88" s="381" t="n"/>
    </x:row>
    <x:row r="89" s="36" customFormat="1" ht="34" customHeight="1">
      <x:c r="A89" s="385" t="n"/>
      <x:c r="B89" s="385" t="n"/>
      <x:c r="C89" s="385" t="n"/>
      <x:c r="D89" s="414" t="n"/>
      <x:c r="E89" s="415" t="n"/>
      <x:c r="F89" s="385" t="n"/>
      <x:c r="G89" s="385" t="n"/>
      <x:c r="H89" s="385" t="n"/>
      <x:c r="I89" s="385" t="n"/>
      <x:c r="J89" s="385" t="n"/>
      <x:c r="K89" s="385" t="n"/>
      <x:c r="N89" s="381" t="n"/>
    </x:row>
    <x:row r="90" s="36" customFormat="1" ht="34" customHeight="1">
      <x:c r="A90" s="385" t="n"/>
      <x:c r="B90" s="385" t="n"/>
      <x:c r="C90" s="385" t="n"/>
      <x:c r="D90" s="414" t="n"/>
      <x:c r="E90" s="415" t="n"/>
      <x:c r="F90" s="385" t="n"/>
      <x:c r="G90" s="385" t="n"/>
      <x:c r="H90" s="385" t="n"/>
      <x:c r="I90" s="385" t="n"/>
      <x:c r="J90" s="385" t="n"/>
      <x:c r="K90" s="385" t="n"/>
      <x:c r="N90" s="381" t="n"/>
    </x:row>
    <x:row r="91" s="36" customFormat="1" ht="34" customHeight="1">
      <x:c r="A91" s="385" t="n"/>
      <x:c r="B91" s="385" t="n"/>
      <x:c r="C91" s="385" t="n"/>
      <x:c r="D91" s="414" t="n"/>
      <x:c r="E91" s="415" t="n"/>
      <x:c r="F91" s="385" t="n"/>
      <x:c r="G91" s="385" t="n"/>
      <x:c r="H91" s="385" t="n"/>
      <x:c r="I91" s="385" t="n"/>
      <x:c r="J91" s="385" t="n"/>
      <x:c r="K91" s="385" t="n"/>
      <x:c r="N91" s="381" t="n"/>
    </x:row>
    <x:row r="92" s="36" customFormat="1" ht="34" customHeight="1">
      <x:c r="A92" s="385" t="n"/>
      <x:c r="B92" s="385" t="n"/>
      <x:c r="C92" s="385" t="n"/>
      <x:c r="D92" s="414" t="n"/>
      <x:c r="E92" s="415" t="n"/>
      <x:c r="F92" s="385" t="n"/>
      <x:c r="G92" s="385" t="n"/>
      <x:c r="H92" s="385" t="n"/>
      <x:c r="I92" s="385" t="n"/>
      <x:c r="J92" s="385" t="n"/>
      <x:c r="K92" s="385" t="n"/>
      <x:c r="N92" s="381" t="n"/>
    </x:row>
    <x:row r="93" s="36" customFormat="1" ht="34" customHeight="1">
      <x:c r="A93" s="385" t="n"/>
      <x:c r="B93" s="385" t="n"/>
      <x:c r="C93" s="385" t="n"/>
      <x:c r="D93" s="414" t="n"/>
      <x:c r="E93" s="415" t="n"/>
      <x:c r="F93" s="385" t="n"/>
      <x:c r="G93" s="385" t="n"/>
      <x:c r="H93" s="385" t="n"/>
      <x:c r="I93" s="385" t="n"/>
      <x:c r="J93" s="385" t="n"/>
      <x:c r="K93" s="385" t="n"/>
      <x:c r="N93" s="381" t="n"/>
    </x:row>
    <x:row r="94" s="36" customFormat="1" ht="34" customHeight="1">
      <x:c r="A94" s="385" t="n"/>
      <x:c r="B94" s="385" t="n"/>
      <x:c r="C94" s="385" t="n"/>
      <x:c r="D94" s="414" t="n"/>
      <x:c r="E94" s="415" t="n"/>
      <x:c r="F94" s="385" t="n"/>
      <x:c r="G94" s="385" t="n"/>
      <x:c r="H94" s="385" t="n"/>
      <x:c r="I94" s="385" t="n"/>
      <x:c r="J94" s="385" t="n"/>
      <x:c r="K94" s="385" t="n"/>
      <x:c r="N94" s="381" t="n"/>
    </x:row>
    <x:row r="95" s="36" customFormat="1" ht="34" customHeight="1">
      <x:c r="A95" s="385" t="n"/>
      <x:c r="B95" s="385" t="n"/>
      <x:c r="C95" s="385" t="n"/>
      <x:c r="D95" s="414" t="n"/>
      <x:c r="E95" s="415" t="n"/>
      <x:c r="F95" s="385" t="n"/>
      <x:c r="G95" s="385" t="n"/>
      <x:c r="H95" s="385" t="n"/>
      <x:c r="I95" s="385" t="n"/>
      <x:c r="J95" s="385" t="n"/>
      <x:c r="K95" s="385" t="n"/>
      <x:c r="N95" s="381" t="n"/>
    </x:row>
    <x:row r="96" s="36" customFormat="1" ht="34" customHeight="1">
      <x:c r="A96" s="385" t="n"/>
      <x:c r="B96" s="385" t="n"/>
      <x:c r="C96" s="385" t="n"/>
      <x:c r="D96" s="414" t="n"/>
      <x:c r="E96" s="415" t="n"/>
      <x:c r="F96" s="385" t="n"/>
      <x:c r="G96" s="385" t="n"/>
      <x:c r="H96" s="385" t="n"/>
      <x:c r="I96" s="385" t="n"/>
      <x:c r="J96" s="385" t="n"/>
      <x:c r="K96" s="385" t="n"/>
      <x:c r="N96" s="381" t="n"/>
    </x:row>
    <x:row r="97" s="36" customFormat="1" ht="34" customHeight="1">
      <x:c r="A97" s="385" t="n"/>
      <x:c r="B97" s="385" t="n"/>
      <x:c r="C97" s="385" t="n"/>
      <x:c r="D97" s="414" t="n"/>
      <x:c r="E97" s="415" t="n"/>
      <x:c r="F97" s="385" t="n"/>
      <x:c r="G97" s="385" t="n"/>
      <x:c r="H97" s="385" t="n"/>
      <x:c r="I97" s="385" t="n"/>
      <x:c r="J97" s="385" t="n"/>
      <x:c r="K97" s="385" t="n"/>
      <x:c r="N97" s="381" t="n"/>
    </x:row>
    <x:row r="98" s="36" customFormat="1" ht="34" customHeight="1">
      <x:c r="A98" s="385" t="n"/>
      <x:c r="B98" s="385" t="n"/>
      <x:c r="C98" s="385" t="n"/>
      <x:c r="D98" s="414" t="n"/>
      <x:c r="E98" s="415" t="n"/>
      <x:c r="F98" s="385" t="n"/>
      <x:c r="G98" s="385" t="n"/>
      <x:c r="H98" s="385" t="n"/>
      <x:c r="I98" s="385" t="n"/>
      <x:c r="J98" s="385" t="n"/>
      <x:c r="K98" s="385" t="n"/>
      <x:c r="N98" s="381" t="n"/>
    </x:row>
    <x:row r="99" s="36" customFormat="1" ht="34" customHeight="1">
      <x:c r="A99" s="385" t="n"/>
      <x:c r="B99" s="385" t="n"/>
      <x:c r="C99" s="385" t="n"/>
      <x:c r="D99" s="414" t="n"/>
      <x:c r="E99" s="415" t="n"/>
      <x:c r="F99" s="385" t="n"/>
      <x:c r="G99" s="385" t="n"/>
      <x:c r="H99" s="385" t="n"/>
      <x:c r="I99" s="385" t="n"/>
      <x:c r="J99" s="385" t="n"/>
      <x:c r="K99" s="385" t="n"/>
      <x:c r="N99" s="381" t="n"/>
    </x:row>
    <x:row r="100" s="36" customFormat="1" ht="34" customHeight="1">
      <x:c r="A100" s="385" t="n"/>
      <x:c r="B100" s="385" t="n"/>
      <x:c r="C100" s="385" t="n"/>
      <x:c r="D100" s="414" t="n"/>
      <x:c r="E100" s="415" t="n"/>
      <x:c r="F100" s="385" t="n"/>
      <x:c r="G100" s="385" t="n"/>
      <x:c r="H100" s="385" t="n"/>
      <x:c r="I100" s="385" t="n"/>
      <x:c r="J100" s="385" t="n"/>
      <x:c r="K100" s="385" t="n"/>
      <x:c r="N100" s="381" t="n"/>
    </x:row>
    <x:row r="101" s="36" customFormat="1" ht="34" customHeight="1">
      <x:c r="A101" s="385" t="n"/>
      <x:c r="B101" s="385" t="n"/>
      <x:c r="C101" s="385" t="n"/>
      <x:c r="D101" s="414" t="n"/>
      <x:c r="E101" s="415" t="n"/>
      <x:c r="F101" s="385" t="n"/>
      <x:c r="G101" s="385" t="n"/>
      <x:c r="H101" s="385" t="n"/>
      <x:c r="I101" s="385" t="n"/>
      <x:c r="J101" s="385" t="n"/>
      <x:c r="K101" s="385" t="n"/>
      <x:c r="N101" s="381" t="n"/>
    </x:row>
    <x:row r="102" s="36" customFormat="1" ht="34" customHeight="1">
      <x:c r="A102" s="385" t="n"/>
      <x:c r="B102" s="385" t="n"/>
      <x:c r="C102" s="385" t="n"/>
      <x:c r="D102" s="414" t="n"/>
      <x:c r="E102" s="415" t="n"/>
      <x:c r="F102" s="385" t="n"/>
      <x:c r="G102" s="385" t="n"/>
      <x:c r="H102" s="385" t="n"/>
      <x:c r="I102" s="385" t="n"/>
      <x:c r="J102" s="385" t="n"/>
      <x:c r="K102" s="385" t="n"/>
      <x:c r="N102" s="381" t="n"/>
    </x:row>
    <x:row r="103" s="36" customFormat="1" ht="34" customHeight="1">
      <x:c r="A103" s="385" t="n"/>
      <x:c r="B103" s="385" t="n"/>
      <x:c r="C103" s="385" t="n"/>
      <x:c r="D103" s="414" t="n"/>
      <x:c r="E103" s="415" t="n"/>
      <x:c r="F103" s="385" t="n"/>
      <x:c r="G103" s="385" t="n"/>
      <x:c r="H103" s="385" t="n"/>
      <x:c r="I103" s="385" t="n"/>
      <x:c r="J103" s="385" t="n"/>
      <x:c r="K103" s="385" t="n"/>
      <x:c r="N103" s="381" t="n"/>
    </x:row>
    <x:row r="104" s="36" customFormat="1" ht="34" customHeight="1">
      <x:c r="A104" s="385" t="n"/>
      <x:c r="B104" s="385" t="n"/>
      <x:c r="C104" s="385" t="n"/>
      <x:c r="D104" s="414" t="n"/>
      <x:c r="E104" s="415" t="n"/>
      <x:c r="F104" s="385" t="n"/>
      <x:c r="G104" s="385" t="n"/>
      <x:c r="H104" s="385" t="n"/>
      <x:c r="I104" s="385" t="n"/>
      <x:c r="J104" s="385" t="n"/>
      <x:c r="K104" s="385" t="n"/>
      <x:c r="N104" s="381" t="n"/>
    </x:row>
    <x:row r="105" s="36" customFormat="1" ht="34" customHeight="1">
      <x:c r="A105" s="385" t="n"/>
      <x:c r="B105" s="385" t="n"/>
      <x:c r="C105" s="385" t="n"/>
      <x:c r="D105" s="414" t="n"/>
      <x:c r="E105" s="415" t="n"/>
      <x:c r="F105" s="385" t="n"/>
      <x:c r="G105" s="385" t="n"/>
      <x:c r="H105" s="385" t="n"/>
      <x:c r="I105" s="385" t="n"/>
      <x:c r="J105" s="385" t="n"/>
      <x:c r="K105" s="385" t="n"/>
      <x:c r="N105" s="381" t="n"/>
    </x:row>
    <x:row r="106" s="36" customFormat="1" ht="34" customHeight="1">
      <x:c r="A106" s="385" t="n"/>
      <x:c r="B106" s="385" t="n"/>
      <x:c r="C106" s="385" t="n"/>
      <x:c r="D106" s="414" t="n"/>
      <x:c r="E106" s="415" t="n"/>
      <x:c r="F106" s="385" t="n"/>
      <x:c r="G106" s="385" t="n"/>
      <x:c r="H106" s="385" t="n"/>
      <x:c r="I106" s="385" t="n"/>
      <x:c r="J106" s="385" t="n"/>
      <x:c r="K106" s="385" t="n"/>
      <x:c r="N106" s="381" t="n"/>
    </x:row>
    <x:row r="107" s="36" customFormat="1" ht="34" customHeight="1">
      <x:c r="A107" s="385" t="n"/>
      <x:c r="B107" s="385" t="n"/>
      <x:c r="C107" s="385" t="n"/>
      <x:c r="D107" s="414" t="n"/>
      <x:c r="E107" s="415" t="n"/>
      <x:c r="F107" s="385" t="n"/>
      <x:c r="G107" s="385" t="n"/>
      <x:c r="H107" s="385" t="n"/>
      <x:c r="I107" s="385" t="n"/>
      <x:c r="J107" s="385" t="n"/>
      <x:c r="K107" s="385" t="n"/>
      <x:c r="N107" s="381" t="n"/>
    </x:row>
    <x:row r="108" s="36" customFormat="1" ht="34" customHeight="1">
      <x:c r="A108" s="385" t="n"/>
      <x:c r="B108" s="385" t="n"/>
      <x:c r="C108" s="385" t="n"/>
      <x:c r="D108" s="414" t="n"/>
      <x:c r="E108" s="415" t="n"/>
      <x:c r="F108" s="385" t="n"/>
      <x:c r="G108" s="385" t="n"/>
      <x:c r="H108" s="385" t="n"/>
      <x:c r="I108" s="385" t="n"/>
      <x:c r="J108" s="385" t="n"/>
      <x:c r="K108" s="385" t="n"/>
      <x:c r="N108" s="381" t="n"/>
    </x:row>
    <x:row r="109" s="36" customFormat="1" ht="34" customHeight="1">
      <x:c r="A109" s="385" t="n"/>
      <x:c r="B109" s="385" t="n"/>
      <x:c r="C109" s="385" t="n"/>
      <x:c r="D109" s="414" t="n"/>
      <x:c r="E109" s="415" t="n"/>
      <x:c r="F109" s="385" t="n"/>
      <x:c r="G109" s="385" t="n"/>
      <x:c r="H109" s="385" t="n"/>
      <x:c r="I109" s="385" t="n"/>
      <x:c r="J109" s="385" t="n"/>
      <x:c r="K109" s="385" t="n"/>
      <x:c r="N109" s="381" t="n"/>
    </x:row>
    <x:row r="110" s="36" customFormat="1" ht="34" customHeight="1">
      <x:c r="A110" s="385" t="n"/>
      <x:c r="B110" s="385" t="n"/>
      <x:c r="C110" s="385" t="n"/>
      <x:c r="D110" s="414" t="n"/>
      <x:c r="E110" s="415" t="n"/>
      <x:c r="F110" s="385" t="n"/>
      <x:c r="G110" s="385" t="n"/>
      <x:c r="H110" s="385" t="n"/>
      <x:c r="I110" s="385" t="n"/>
      <x:c r="J110" s="385" t="n"/>
      <x:c r="K110" s="385" t="n"/>
      <x:c r="N110" s="381" t="n"/>
    </x:row>
    <x:row r="111" s="36" customFormat="1" ht="34" customHeight="1">
      <x:c r="A111" s="385" t="n"/>
      <x:c r="B111" s="385" t="n"/>
      <x:c r="C111" s="385" t="n"/>
      <x:c r="D111" s="414" t="n"/>
      <x:c r="E111" s="415" t="n"/>
      <x:c r="F111" s="385" t="n"/>
      <x:c r="G111" s="385" t="n"/>
      <x:c r="H111" s="385" t="n"/>
      <x:c r="I111" s="385" t="n"/>
      <x:c r="J111" s="385" t="n"/>
      <x:c r="K111" s="385" t="n"/>
      <x:c r="N111" s="381" t="n"/>
    </x:row>
    <x:row r="112" s="36" customFormat="1" ht="34" customHeight="1">
      <x:c r="A112" s="385" t="n"/>
      <x:c r="B112" s="385" t="n"/>
      <x:c r="C112" s="385" t="n"/>
      <x:c r="D112" s="414" t="n"/>
      <x:c r="E112" s="415" t="n"/>
      <x:c r="F112" s="385" t="n"/>
      <x:c r="G112" s="385" t="n"/>
      <x:c r="H112" s="385" t="n"/>
      <x:c r="I112" s="385" t="n"/>
      <x:c r="J112" s="385" t="n"/>
      <x:c r="K112" s="385" t="n"/>
      <x:c r="N112" s="381" t="n"/>
    </x:row>
    <x:row r="113" s="36" customFormat="1" ht="34" customHeight="1">
      <x:c r="A113" s="385" t="n"/>
      <x:c r="B113" s="385" t="n"/>
      <x:c r="C113" s="385" t="n"/>
      <x:c r="D113" s="414" t="n"/>
      <x:c r="E113" s="415" t="n"/>
      <x:c r="F113" s="385" t="n"/>
      <x:c r="G113" s="385" t="n"/>
      <x:c r="H113" s="385" t="n"/>
      <x:c r="I113" s="385" t="n"/>
      <x:c r="J113" s="385" t="n"/>
      <x:c r="K113" s="385" t="n"/>
      <x:c r="N113" s="381" t="n"/>
    </x:row>
    <x:row r="114" s="36" customFormat="1" ht="34" customHeight="1">
      <x:c r="A114" s="385" t="n"/>
      <x:c r="B114" s="385" t="n"/>
      <x:c r="C114" s="385" t="n"/>
      <x:c r="D114" s="414" t="n"/>
      <x:c r="E114" s="415" t="n"/>
      <x:c r="F114" s="385" t="n"/>
      <x:c r="G114" s="385" t="n"/>
      <x:c r="H114" s="385" t="n"/>
      <x:c r="I114" s="385" t="n"/>
      <x:c r="J114" s="385" t="n"/>
      <x:c r="K114" s="385" t="n"/>
      <x:c r="N114" s="381" t="n"/>
    </x:row>
    <x:row r="115" s="36" customFormat="1" ht="34" customHeight="1">
      <x:c r="A115" s="385" t="n"/>
      <x:c r="B115" s="385" t="n"/>
      <x:c r="C115" s="385" t="n"/>
      <x:c r="D115" s="414" t="n"/>
      <x:c r="E115" s="415" t="n"/>
      <x:c r="F115" s="385" t="n"/>
      <x:c r="G115" s="385" t="n"/>
      <x:c r="H115" s="385" t="n"/>
      <x:c r="I115" s="385" t="n"/>
      <x:c r="J115" s="385" t="n"/>
      <x:c r="K115" s="385" t="n"/>
      <x:c r="N115" s="381" t="n"/>
    </x:row>
    <x:row r="116" s="36" customFormat="1" ht="34" customHeight="1">
      <x:c r="A116" s="385" t="n"/>
      <x:c r="B116" s="385" t="n"/>
      <x:c r="C116" s="385" t="n"/>
      <x:c r="D116" s="414" t="n"/>
      <x:c r="E116" s="415" t="n"/>
      <x:c r="F116" s="385" t="n"/>
      <x:c r="G116" s="385" t="n"/>
      <x:c r="H116" s="385" t="n"/>
      <x:c r="I116" s="385" t="n"/>
      <x:c r="J116" s="385" t="n"/>
      <x:c r="K116" s="385" t="n"/>
      <x:c r="N116" s="381" t="n"/>
    </x:row>
    <x:row r="117" s="36" customFormat="1" ht="34" customHeight="1">
      <x:c r="A117" s="385" t="n"/>
      <x:c r="B117" s="385" t="n"/>
      <x:c r="C117" s="385" t="n"/>
      <x:c r="D117" s="414" t="n"/>
      <x:c r="E117" s="415" t="n"/>
      <x:c r="F117" s="385" t="n"/>
      <x:c r="G117" s="385" t="n"/>
      <x:c r="H117" s="385" t="n"/>
      <x:c r="I117" s="385" t="n"/>
      <x:c r="J117" s="385" t="n"/>
      <x:c r="K117" s="385" t="n"/>
      <x:c r="N117" s="381" t="n"/>
    </x:row>
    <x:row r="118" s="36" customFormat="1" ht="34" customHeight="1">
      <x:c r="A118" s="385" t="n"/>
      <x:c r="B118" s="385" t="n"/>
      <x:c r="C118" s="385" t="n"/>
      <x:c r="D118" s="414" t="n"/>
      <x:c r="E118" s="415" t="n"/>
      <x:c r="F118" s="385" t="n"/>
      <x:c r="G118" s="385" t="n"/>
      <x:c r="H118" s="385" t="n"/>
      <x:c r="I118" s="385" t="n"/>
      <x:c r="J118" s="385" t="n"/>
      <x:c r="K118" s="385" t="n"/>
      <x:c r="N118" s="381" t="n"/>
    </x:row>
    <x:row r="119" s="36" customFormat="1" ht="34" customHeight="1">
      <x:c r="A119" s="385" t="n"/>
      <x:c r="B119" s="385" t="n"/>
      <x:c r="C119" s="385" t="n"/>
      <x:c r="D119" s="414" t="n"/>
      <x:c r="E119" s="415" t="n"/>
      <x:c r="F119" s="385" t="n"/>
      <x:c r="G119" s="385" t="n"/>
      <x:c r="H119" s="385" t="n"/>
      <x:c r="I119" s="385" t="n"/>
      <x:c r="J119" s="385" t="n"/>
      <x:c r="K119" s="385" t="n"/>
      <x:c r="N119" s="381" t="n"/>
    </x:row>
    <x:row r="120" s="36" customFormat="1" ht="34" customHeight="1">
      <x:c r="A120" s="385" t="n"/>
      <x:c r="B120" s="385" t="n"/>
      <x:c r="C120" s="385" t="n"/>
      <x:c r="D120" s="414" t="n"/>
      <x:c r="E120" s="415" t="n"/>
      <x:c r="F120" s="385" t="n"/>
      <x:c r="G120" s="385" t="n"/>
      <x:c r="H120" s="385" t="n"/>
      <x:c r="I120" s="385" t="n"/>
      <x:c r="J120" s="385" t="n"/>
      <x:c r="K120" s="385" t="n"/>
      <x:c r="N120" s="381" t="n"/>
    </x:row>
    <x:row r="121" s="36" customFormat="1" ht="34" customHeight="1">
      <x:c r="A121" s="385" t="n"/>
      <x:c r="B121" s="385" t="n"/>
      <x:c r="C121" s="385" t="n"/>
      <x:c r="D121" s="414" t="n"/>
      <x:c r="E121" s="415" t="n"/>
      <x:c r="F121" s="385" t="n"/>
      <x:c r="G121" s="385" t="n"/>
      <x:c r="H121" s="385" t="n"/>
      <x:c r="I121" s="385" t="n"/>
      <x:c r="J121" s="385" t="n"/>
      <x:c r="K121" s="385" t="n"/>
      <x:c r="N121" s="381" t="n"/>
    </x:row>
    <x:row r="122" s="36" customFormat="1" ht="34" customHeight="1">
      <x:c r="A122" s="385" t="n"/>
      <x:c r="B122" s="385" t="n"/>
      <x:c r="C122" s="385" t="n"/>
      <x:c r="D122" s="414" t="n"/>
      <x:c r="E122" s="415" t="n"/>
      <x:c r="F122" s="385" t="n"/>
      <x:c r="G122" s="385" t="n"/>
      <x:c r="H122" s="385" t="n"/>
      <x:c r="I122" s="385" t="n"/>
      <x:c r="J122" s="385" t="n"/>
      <x:c r="K122" s="385" t="n"/>
      <x:c r="N122" s="381" t="n"/>
    </x:row>
    <x:row r="123" s="36" customFormat="1" ht="34" customHeight="1">
      <x:c r="A123" s="385" t="n"/>
      <x:c r="B123" s="385" t="n"/>
      <x:c r="C123" s="385" t="n"/>
      <x:c r="D123" s="414" t="n"/>
      <x:c r="E123" s="415" t="n"/>
      <x:c r="F123" s="385" t="n"/>
      <x:c r="G123" s="385" t="n"/>
      <x:c r="H123" s="385" t="n"/>
      <x:c r="I123" s="385" t="n"/>
      <x:c r="J123" s="385" t="n"/>
      <x:c r="K123" s="385" t="n"/>
      <x:c r="N123" s="381" t="n"/>
    </x:row>
    <x:row r="124" s="36" customFormat="1" ht="34" customHeight="1">
      <x:c r="A124" s="385" t="n"/>
      <x:c r="B124" s="385" t="n"/>
      <x:c r="C124" s="385" t="n"/>
      <x:c r="D124" s="414" t="n"/>
      <x:c r="E124" s="415" t="n"/>
      <x:c r="F124" s="385" t="n"/>
      <x:c r="G124" s="385" t="n"/>
      <x:c r="H124" s="385" t="n"/>
      <x:c r="I124" s="385" t="n"/>
      <x:c r="J124" s="385" t="n"/>
      <x:c r="K124" s="385" t="n"/>
      <x:c r="N124" s="381" t="n"/>
    </x:row>
    <x:row r="125" s="36" customFormat="1" ht="34" customHeight="1">
      <x:c r="A125" s="385" t="n"/>
      <x:c r="B125" s="385" t="n"/>
      <x:c r="C125" s="385" t="n"/>
      <x:c r="D125" s="414" t="n"/>
      <x:c r="E125" s="415" t="n"/>
      <x:c r="F125" s="385" t="n"/>
      <x:c r="G125" s="385" t="n"/>
      <x:c r="H125" s="385" t="n"/>
      <x:c r="I125" s="385" t="n"/>
      <x:c r="J125" s="385" t="n"/>
      <x:c r="K125" s="385" t="n"/>
      <x:c r="N125" s="381" t="n"/>
    </x:row>
    <x:row r="126" s="36" customFormat="1" ht="34" customHeight="1">
      <x:c r="A126" s="385" t="n"/>
      <x:c r="B126" s="385" t="n"/>
      <x:c r="C126" s="385" t="n"/>
      <x:c r="D126" s="414" t="n"/>
      <x:c r="E126" s="415" t="n"/>
      <x:c r="F126" s="385" t="n"/>
      <x:c r="G126" s="385" t="n"/>
      <x:c r="H126" s="385" t="n"/>
      <x:c r="I126" s="385" t="n"/>
      <x:c r="J126" s="385" t="n"/>
      <x:c r="K126" s="385" t="n"/>
      <x:c r="N126" s="381" t="n"/>
    </x:row>
    <x:row r="127" s="36" customFormat="1" ht="34" customHeight="1">
      <x:c r="A127" s="385" t="n"/>
      <x:c r="B127" s="385" t="n"/>
      <x:c r="C127" s="385" t="n"/>
      <x:c r="D127" s="414" t="n"/>
      <x:c r="E127" s="415" t="n"/>
      <x:c r="F127" s="385" t="n"/>
      <x:c r="G127" s="385" t="n"/>
      <x:c r="H127" s="385" t="n"/>
      <x:c r="I127" s="385" t="n"/>
      <x:c r="J127" s="385" t="n"/>
      <x:c r="K127" s="385" t="n"/>
      <x:c r="N127" s="381" t="n"/>
    </x:row>
    <x:row r="128" s="36" customFormat="1" ht="34" customHeight="1">
      <x:c r="A128" s="385" t="n"/>
      <x:c r="B128" s="385" t="n"/>
      <x:c r="C128" s="385" t="n"/>
      <x:c r="D128" s="414" t="n"/>
      <x:c r="E128" s="415" t="n"/>
      <x:c r="F128" s="385" t="n"/>
      <x:c r="G128" s="385" t="n"/>
      <x:c r="H128" s="385" t="n"/>
      <x:c r="I128" s="385" t="n"/>
      <x:c r="J128" s="385" t="n"/>
      <x:c r="K128" s="385" t="n"/>
      <x:c r="N128" s="381" t="n"/>
    </x:row>
    <x:row r="129" s="36" customFormat="1" ht="34" customHeight="1">
      <x:c r="A129" s="385" t="n"/>
      <x:c r="B129" s="385" t="n"/>
      <x:c r="C129" s="385" t="n"/>
      <x:c r="D129" s="414" t="n"/>
      <x:c r="E129" s="415" t="n"/>
      <x:c r="F129" s="385" t="n"/>
      <x:c r="G129" s="385" t="n"/>
      <x:c r="H129" s="385" t="n"/>
      <x:c r="I129" s="385" t="n"/>
      <x:c r="J129" s="385" t="n"/>
      <x:c r="K129" s="385" t="n"/>
      <x:c r="N129" s="381" t="n"/>
    </x:row>
    <x:row r="130" s="36" customFormat="1" ht="34" customHeight="1">
      <x:c r="A130" s="385" t="n"/>
      <x:c r="B130" s="385" t="n"/>
      <x:c r="C130" s="385" t="n"/>
      <x:c r="D130" s="414" t="n"/>
      <x:c r="E130" s="415" t="n"/>
      <x:c r="F130" s="385" t="n"/>
      <x:c r="G130" s="385" t="n"/>
      <x:c r="H130" s="385" t="n"/>
      <x:c r="I130" s="385" t="n"/>
      <x:c r="J130" s="385" t="n"/>
      <x:c r="K130" s="385" t="n"/>
      <x:c r="N130" s="381" t="n"/>
    </x:row>
    <x:row r="131" s="36" customFormat="1" ht="34" customHeight="1">
      <x:c r="A131" s="385" t="n"/>
      <x:c r="B131" s="385" t="n"/>
      <x:c r="C131" s="385" t="n"/>
      <x:c r="D131" s="414" t="n"/>
      <x:c r="E131" s="415" t="n"/>
      <x:c r="F131" s="385" t="n"/>
      <x:c r="G131" s="385" t="n"/>
      <x:c r="H131" s="385" t="n"/>
      <x:c r="I131" s="385" t="n"/>
      <x:c r="J131" s="385" t="n"/>
      <x:c r="K131" s="385" t="n"/>
      <x:c r="N131" s="381" t="n"/>
    </x:row>
    <x:row r="132" s="36" customFormat="1" ht="34" customHeight="1">
      <x:c r="A132" s="385" t="n"/>
      <x:c r="B132" s="385" t="n"/>
      <x:c r="C132" s="385" t="n"/>
      <x:c r="D132" s="414" t="n"/>
      <x:c r="E132" s="415" t="n"/>
      <x:c r="F132" s="385" t="n"/>
      <x:c r="G132" s="385" t="n"/>
      <x:c r="H132" s="385" t="n"/>
      <x:c r="I132" s="385" t="n"/>
      <x:c r="J132" s="385" t="n"/>
      <x:c r="K132" s="385" t="n"/>
      <x:c r="N132" s="381" t="n"/>
    </x:row>
    <x:row r="133" s="36" customFormat="1" ht="34" customHeight="1">
      <x:c r="A133" s="385" t="n"/>
      <x:c r="B133" s="385" t="n"/>
      <x:c r="C133" s="385" t="n"/>
      <x:c r="D133" s="414" t="n"/>
      <x:c r="E133" s="415" t="n"/>
      <x:c r="F133" s="385" t="n"/>
      <x:c r="G133" s="385" t="n"/>
      <x:c r="H133" s="385" t="n"/>
      <x:c r="I133" s="385" t="n"/>
      <x:c r="J133" s="385" t="n"/>
      <x:c r="K133" s="385" t="n"/>
      <x:c r="N133" s="381" t="n"/>
    </x:row>
    <x:row r="134" s="36" customFormat="1" ht="34" customHeight="1">
      <x:c r="A134" s="385" t="n"/>
      <x:c r="B134" s="385" t="n"/>
      <x:c r="C134" s="385" t="n"/>
      <x:c r="D134" s="414" t="n"/>
      <x:c r="E134" s="415" t="n"/>
      <x:c r="F134" s="385" t="n"/>
      <x:c r="G134" s="385" t="n"/>
      <x:c r="H134" s="385" t="n"/>
      <x:c r="I134" s="385" t="n"/>
      <x:c r="J134" s="385" t="n"/>
      <x:c r="K134" s="385" t="n"/>
      <x:c r="N134" s="381" t="n"/>
    </x:row>
    <x:row r="135" s="36" customFormat="1" ht="34" customHeight="1">
      <x:c r="A135" s="385" t="n"/>
      <x:c r="B135" s="385" t="n"/>
      <x:c r="C135" s="385" t="n"/>
      <x:c r="D135" s="414" t="n"/>
      <x:c r="E135" s="415" t="n"/>
      <x:c r="F135" s="385" t="n"/>
      <x:c r="G135" s="385" t="n"/>
      <x:c r="H135" s="385" t="n"/>
      <x:c r="I135" s="385" t="n"/>
      <x:c r="J135" s="385" t="n"/>
      <x:c r="K135" s="385" t="n"/>
      <x:c r="N135" s="381" t="n"/>
    </x:row>
    <x:row r="136" s="36" customFormat="1" ht="34" customHeight="1">
      <x:c r="A136" s="385" t="n"/>
      <x:c r="B136" s="385" t="n"/>
      <x:c r="C136" s="385" t="n"/>
      <x:c r="D136" s="414" t="n"/>
      <x:c r="E136" s="415" t="n"/>
      <x:c r="F136" s="385" t="n"/>
      <x:c r="G136" s="385" t="n"/>
      <x:c r="H136" s="385" t="n"/>
      <x:c r="I136" s="385" t="n"/>
      <x:c r="J136" s="385" t="n"/>
      <x:c r="K136" s="385" t="n"/>
      <x:c r="N136" s="381" t="n"/>
    </x:row>
    <x:row r="137" s="36" customFormat="1" ht="34" customHeight="1">
      <x:c r="A137" s="385" t="n"/>
      <x:c r="B137" s="385" t="n"/>
      <x:c r="C137" s="385" t="n"/>
      <x:c r="D137" s="414" t="n"/>
      <x:c r="E137" s="415" t="n"/>
      <x:c r="F137" s="385" t="n"/>
      <x:c r="G137" s="385" t="n"/>
      <x:c r="H137" s="385" t="n"/>
      <x:c r="I137" s="385" t="n"/>
      <x:c r="J137" s="385" t="n"/>
      <x:c r="K137" s="385" t="n"/>
      <x:c r="N137" s="381" t="n"/>
    </x:row>
    <x:row r="138" s="36" customFormat="1" ht="34" customHeight="1">
      <x:c r="A138" s="385" t="n"/>
      <x:c r="B138" s="385" t="n"/>
      <x:c r="C138" s="385" t="n"/>
      <x:c r="D138" s="414" t="n"/>
      <x:c r="E138" s="415" t="n"/>
      <x:c r="F138" s="385" t="n"/>
      <x:c r="G138" s="385" t="n"/>
      <x:c r="H138" s="385" t="n"/>
      <x:c r="I138" s="385" t="n"/>
      <x:c r="J138" s="385" t="n"/>
      <x:c r="K138" s="385" t="n"/>
      <x:c r="N138" s="381" t="n"/>
    </x:row>
    <x:row r="139" s="36" customFormat="1" ht="34" customHeight="1">
      <x:c r="A139" s="385" t="n"/>
      <x:c r="B139" s="385" t="n"/>
      <x:c r="C139" s="385" t="n"/>
      <x:c r="D139" s="414" t="n"/>
      <x:c r="E139" s="415" t="n"/>
      <x:c r="F139" s="385" t="n"/>
      <x:c r="G139" s="385" t="n"/>
      <x:c r="H139" s="385" t="n"/>
      <x:c r="I139" s="385" t="n"/>
      <x:c r="J139" s="385" t="n"/>
      <x:c r="K139" s="385" t="n"/>
      <x:c r="N139" s="381" t="n"/>
    </x:row>
    <x:row r="140" s="36" customFormat="1" ht="34" customHeight="1">
      <x:c r="A140" s="385" t="n"/>
      <x:c r="B140" s="385" t="n"/>
      <x:c r="C140" s="385" t="n"/>
      <x:c r="D140" s="414" t="n"/>
      <x:c r="E140" s="415" t="n"/>
      <x:c r="F140" s="385" t="n"/>
      <x:c r="G140" s="385" t="n"/>
      <x:c r="H140" s="385" t="n"/>
      <x:c r="I140" s="385" t="n"/>
      <x:c r="J140" s="385" t="n"/>
      <x:c r="K140" s="385" t="n"/>
      <x:c r="N140" s="381" t="n"/>
    </x:row>
    <x:row r="141" s="36" customFormat="1" ht="34" customHeight="1">
      <x:c r="A141" s="385" t="n"/>
      <x:c r="B141" s="385" t="n"/>
      <x:c r="C141" s="385" t="n"/>
      <x:c r="D141" s="414" t="n"/>
      <x:c r="E141" s="415" t="n"/>
      <x:c r="F141" s="385" t="n"/>
      <x:c r="G141" s="385" t="n"/>
      <x:c r="H141" s="385" t="n"/>
      <x:c r="I141" s="385" t="n"/>
      <x:c r="J141" s="385" t="n"/>
      <x:c r="K141" s="385" t="n"/>
      <x:c r="N141" s="381" t="n"/>
    </x:row>
    <x:row r="142" s="36" customFormat="1" ht="34" customHeight="1">
      <x:c r="A142" s="385" t="n"/>
      <x:c r="B142" s="385" t="n"/>
      <x:c r="C142" s="385" t="n"/>
      <x:c r="D142" s="414" t="n"/>
      <x:c r="E142" s="415" t="n"/>
      <x:c r="F142" s="385" t="n"/>
      <x:c r="G142" s="385" t="n"/>
      <x:c r="H142" s="385" t="n"/>
      <x:c r="I142" s="385" t="n"/>
      <x:c r="J142" s="385" t="n"/>
      <x:c r="K142" s="385" t="n"/>
      <x:c r="N142" s="381" t="n"/>
    </x:row>
    <x:row r="143" s="36" customFormat="1" ht="34" customHeight="1">
      <x:c r="A143" s="385" t="n"/>
      <x:c r="B143" s="385" t="n"/>
      <x:c r="C143" s="385" t="n"/>
      <x:c r="D143" s="414" t="n"/>
      <x:c r="E143" s="415" t="n"/>
      <x:c r="F143" s="385" t="n"/>
      <x:c r="G143" s="385" t="n"/>
      <x:c r="H143" s="385" t="n"/>
      <x:c r="I143" s="385" t="n"/>
      <x:c r="J143" s="385" t="n"/>
      <x:c r="K143" s="385" t="n"/>
      <x:c r="N143" s="381" t="n"/>
    </x:row>
    <x:row r="144" s="36" customFormat="1" ht="34" customHeight="1">
      <x:c r="A144" s="385" t="n"/>
      <x:c r="B144" s="385" t="n"/>
      <x:c r="C144" s="385" t="n"/>
      <x:c r="D144" s="414" t="n"/>
      <x:c r="E144" s="415" t="n"/>
      <x:c r="F144" s="385" t="n"/>
      <x:c r="G144" s="385" t="n"/>
      <x:c r="H144" s="385" t="n"/>
      <x:c r="I144" s="385" t="n"/>
      <x:c r="J144" s="385" t="n"/>
      <x:c r="K144" s="385" t="n"/>
      <x:c r="N144" s="381" t="n"/>
    </x:row>
    <x:row r="145" s="36" customFormat="1" ht="34" customHeight="1">
      <x:c r="A145" s="385" t="n"/>
      <x:c r="B145" s="385" t="n"/>
      <x:c r="C145" s="385" t="n"/>
      <x:c r="D145" s="414" t="n"/>
      <x:c r="E145" s="415" t="n"/>
      <x:c r="F145" s="385" t="n"/>
      <x:c r="G145" s="385" t="n"/>
      <x:c r="H145" s="385" t="n"/>
      <x:c r="I145" s="385" t="n"/>
      <x:c r="J145" s="385" t="n"/>
      <x:c r="K145" s="385" t="n"/>
      <x:c r="N145" s="381" t="n"/>
    </x:row>
    <x:row r="146" s="36" customFormat="1" ht="34" customHeight="1">
      <x:c r="A146" s="385" t="n"/>
      <x:c r="B146" s="385" t="n"/>
      <x:c r="C146" s="385" t="n"/>
      <x:c r="D146" s="414" t="n"/>
      <x:c r="E146" s="415" t="n"/>
      <x:c r="F146" s="385" t="n"/>
      <x:c r="G146" s="385" t="n"/>
      <x:c r="H146" s="385" t="n"/>
      <x:c r="I146" s="385" t="n"/>
      <x:c r="J146" s="385" t="n"/>
      <x:c r="K146" s="385" t="n"/>
      <x:c r="N146" s="381" t="n"/>
    </x:row>
    <x:row r="147" s="36" customFormat="1" ht="34" customHeight="1">
      <x:c r="A147" s="385" t="n"/>
      <x:c r="B147" s="385" t="n"/>
      <x:c r="C147" s="385" t="n"/>
      <x:c r="D147" s="414" t="n"/>
      <x:c r="E147" s="415" t="n"/>
      <x:c r="F147" s="385" t="n"/>
      <x:c r="G147" s="385" t="n"/>
      <x:c r="H147" s="385" t="n"/>
      <x:c r="I147" s="385" t="n"/>
      <x:c r="J147" s="385" t="n"/>
      <x:c r="K147" s="385" t="n"/>
      <x:c r="N147" s="381" t="n"/>
    </x:row>
    <x:row r="148" s="36" customFormat="1" ht="34" customHeight="1">
      <x:c r="A148" s="385" t="n"/>
      <x:c r="B148" s="385" t="n"/>
      <x:c r="C148" s="385" t="n"/>
      <x:c r="D148" s="414" t="n"/>
      <x:c r="E148" s="415" t="n"/>
      <x:c r="F148" s="385" t="n"/>
      <x:c r="G148" s="385" t="n"/>
      <x:c r="H148" s="385" t="n"/>
      <x:c r="I148" s="385" t="n"/>
      <x:c r="J148" s="385" t="n"/>
      <x:c r="K148" s="385" t="n"/>
      <x:c r="N148" s="381" t="n"/>
    </x:row>
    <x:row r="149" s="36" customFormat="1" ht="34" customHeight="1">
      <x:c r="A149" s="385" t="n"/>
      <x:c r="B149" s="385" t="n"/>
      <x:c r="C149" s="385" t="n"/>
      <x:c r="D149" s="414" t="n"/>
      <x:c r="E149" s="415" t="n"/>
      <x:c r="F149" s="385" t="n"/>
      <x:c r="G149" s="385" t="n"/>
      <x:c r="H149" s="385" t="n"/>
      <x:c r="I149" s="385" t="n"/>
      <x:c r="J149" s="385" t="n"/>
      <x:c r="K149" s="385" t="n"/>
      <x:c r="N149" s="381" t="n"/>
    </x:row>
    <x:row r="150" s="36" customFormat="1" ht="34" customHeight="1">
      <x:c r="A150" s="385" t="n"/>
      <x:c r="B150" s="385" t="n"/>
      <x:c r="C150" s="385" t="n"/>
      <x:c r="D150" s="414" t="n"/>
      <x:c r="E150" s="415" t="n"/>
      <x:c r="F150" s="385" t="n"/>
      <x:c r="G150" s="385" t="n"/>
      <x:c r="H150" s="385" t="n"/>
      <x:c r="I150" s="385" t="n"/>
      <x:c r="J150" s="385" t="n"/>
      <x:c r="K150" s="385" t="n"/>
      <x:c r="N150" s="381" t="n"/>
    </x:row>
    <x:row r="151" s="36" customFormat="1" ht="34" customHeight="1">
      <x:c r="A151" s="385" t="n"/>
      <x:c r="B151" s="385" t="n"/>
      <x:c r="C151" s="385" t="n"/>
      <x:c r="D151" s="414" t="n"/>
      <x:c r="E151" s="415" t="n"/>
      <x:c r="F151" s="385" t="n"/>
      <x:c r="G151" s="385" t="n"/>
      <x:c r="H151" s="385" t="n"/>
      <x:c r="I151" s="385" t="n"/>
      <x:c r="J151" s="385" t="n"/>
      <x:c r="K151" s="385" t="n"/>
      <x:c r="N151" s="381" t="n"/>
    </x:row>
    <x:row r="152" s="36" customFormat="1" ht="34" customHeight="1">
      <x:c r="A152" s="385" t="n"/>
      <x:c r="B152" s="385" t="n"/>
      <x:c r="C152" s="385" t="n"/>
      <x:c r="D152" s="414" t="n"/>
      <x:c r="E152" s="415" t="n"/>
      <x:c r="F152" s="385" t="n"/>
      <x:c r="G152" s="385" t="n"/>
      <x:c r="H152" s="385" t="n"/>
      <x:c r="I152" s="385" t="n"/>
      <x:c r="J152" s="385" t="n"/>
      <x:c r="K152" s="385" t="n"/>
      <x:c r="N152" s="381" t="n"/>
    </x:row>
    <x:row r="153" s="36" customFormat="1" ht="34" customHeight="1">
      <x:c r="A153" s="385" t="n"/>
      <x:c r="B153" s="385" t="n"/>
      <x:c r="C153" s="385" t="n"/>
      <x:c r="D153" s="414" t="n"/>
      <x:c r="E153" s="415" t="n"/>
      <x:c r="F153" s="385" t="n"/>
      <x:c r="G153" s="385" t="n"/>
      <x:c r="H153" s="385" t="n"/>
      <x:c r="I153" s="385" t="n"/>
      <x:c r="J153" s="385" t="n"/>
      <x:c r="K153" s="385" t="n"/>
      <x:c r="N153" s="381" t="n"/>
    </x:row>
    <x:row r="154">
      <x:c r="A154" s="133" t="n"/>
      <x:c r="B154" s="133" t="n"/>
      <x:c r="C154" s="133" t="n"/>
      <x:c r="D154" s="133" t="n"/>
      <x:c r="E154" s="133" t="n"/>
      <x:c r="F154" s="133" t="n"/>
      <x:c r="G154" s="133" t="n"/>
      <x:c r="H154" s="133" t="n"/>
      <x:c r="I154" s="133" t="n"/>
      <x:c r="J154" s="133" t="n"/>
      <x:c r="K154" s="133" t="n"/>
      <x:c r="N154" s="381" t="n"/>
    </x:row>
    <x:row r="155">
      <x:c r="N155" s="381" t="n"/>
    </x:row>
    <x:row r="156">
      <x:c r="N156" s="381" t="n"/>
    </x:row>
    <x:row r="157">
      <x:c r="N157" s="381" t="n"/>
    </x:row>
    <x:row r="158">
      <x:c r="N158" s="381" t="n"/>
    </x:row>
    <x:row r="159">
      <x:c r="N159" s="381" t="n"/>
    </x:row>
    <x:row r="160">
      <x:c r="N160" s="381" t="n"/>
    </x:row>
    <x:row r="161">
      <x:c r="N161" s="381" t="n"/>
    </x:row>
    <x:row r="162">
      <x:c r="N162" s="381" t="n"/>
    </x:row>
    <x:row r="163">
      <x:c r="N163" s="381" t="n"/>
    </x:row>
    <x:row r="164">
      <x:c r="N164" s="381" t="n"/>
    </x:row>
    <x:row r="165">
      <x:c r="N165" s="381" t="n"/>
    </x:row>
    <x:row r="166">
      <x:c r="N166" s="381" t="n"/>
    </x:row>
    <x:row r="167">
      <x:c r="N167" s="381" t="n"/>
    </x:row>
    <x:row r="168">
      <x:c r="N168" s="381" t="n"/>
    </x:row>
    <x:row r="169">
      <x:c r="N169" s="381" t="n"/>
    </x:row>
    <x:row r="170">
      <x:c r="N170" s="381" t="n"/>
    </x:row>
    <x:row r="171">
      <x:c r="N171" s="381" t="n"/>
    </x:row>
    <x:row r="172">
      <x:c r="N172" s="381" t="n"/>
    </x:row>
    <x:row r="173">
      <x:c r="N173" s="381" t="n"/>
    </x:row>
    <x:row r="174">
      <x:c r="N174" s="381" t="n"/>
    </x:row>
    <x:row r="175">
      <x:c r="N175" s="381" t="n"/>
    </x:row>
    <x:row r="176">
      <x:c r="N176" s="381" t="n"/>
    </x:row>
    <x:row r="177">
      <x:c r="N177" s="381" t="n"/>
    </x:row>
    <x:row r="178">
      <x:c r="N178" s="381" t="n"/>
    </x:row>
    <x:row r="179">
      <x:c r="N179" s="381" t="n"/>
    </x:row>
    <x:row r="180">
      <x:c r="N180" s="381" t="n"/>
    </x:row>
    <x:row r="181">
      <x:c r="N181" s="381" t="n"/>
    </x:row>
    <x:row r="182">
      <x:c r="N182" s="381" t="n"/>
    </x:row>
    <x:row r="183">
      <x:c r="N183" s="381" t="n"/>
    </x:row>
    <x:row r="184">
      <x:c r="N184" s="381" t="n"/>
    </x:row>
    <x:row r="185">
      <x:c r="N185" s="381" t="n"/>
    </x:row>
    <x:row r="186">
      <x:c r="N186" s="381" t="n"/>
    </x:row>
    <x:row r="187">
      <x:c r="N187" s="381" t="n"/>
    </x:row>
    <x:row r="188">
      <x:c r="N188" s="381" t="n"/>
    </x:row>
    <x:row r="189">
      <x:c r="N189" s="381" t="n"/>
    </x:row>
    <x:row r="190">
      <x:c r="N190" s="381" t="n"/>
    </x:row>
    <x:row r="191">
      <x:c r="N191" s="381" t="n"/>
    </x:row>
    <x:row r="192">
      <x:c r="N192" s="381" t="n"/>
    </x:row>
    <x:row r="193">
      <x:c r="N193" s="381" t="n"/>
    </x:row>
    <x:row r="194">
      <x:c r="N194" s="381" t="n"/>
    </x:row>
    <x:row r="195">
      <x:c r="N195" s="381" t="n"/>
    </x:row>
    <x:row r="196">
      <x:c r="N196" s="381" t="n"/>
    </x:row>
    <x:row r="197">
      <x:c r="N197" s="381" t="n"/>
    </x:row>
    <x:row r="198">
      <x:c r="N198" s="381" t="n"/>
    </x:row>
    <x:row r="199">
      <x:c r="N199" s="381" t="n"/>
    </x:row>
    <x:row r="200">
      <x:c r="N200" s="381" t="n"/>
    </x:row>
    <x:row r="201">
      <x:c r="N201" s="381" t="str">
        <x:f>IF('Source Register'!AJ201="YES",COUNTIF('Source Register'!$AJ$3:'Source Register'!AJ201,"YES"),"")</x:f>
      </x:c>
    </x:row>
    <x:row r="202">
      <x:c r="N202" s="381" t="str">
        <x:f>IF('Source Register'!AJ202="YES",COUNTIF('Source Register'!$AJ$3:'Source Register'!AJ202,"YES"),"")</x:f>
      </x:c>
    </x:row>
    <x:row r="203">
      <x:c r="N203" s="381" t="str">
        <x:f>IF('Source Register'!AJ203="YES",COUNTIF('Source Register'!$AJ$3:'Source Register'!AJ203,"YES"),"")</x:f>
      </x:c>
    </x:row>
    <x:row r="204">
      <x:c r="N204" s="381" t="str">
        <x:f>IF('Source Register'!AJ204="YES",COUNTIF('Source Register'!$AJ$3:'Source Register'!AJ204,"YES"),"")</x:f>
      </x:c>
    </x:row>
    <x:row r="205">
      <x:c r="N205" s="381" t="str">
        <x:f>IF('Source Register'!AJ205="YES",COUNTIF('Source Register'!$AJ$3:'Source Register'!AJ205,"YES"),"")</x:f>
      </x:c>
    </x:row>
    <x:row r="206">
      <x:c r="N206" s="381" t="str">
        <x:f>IF('Source Register'!AJ206="YES",COUNTIF('Source Register'!$AJ$3:'Source Register'!AJ206,"YES"),"")</x:f>
      </x:c>
    </x:row>
    <x:row r="207">
      <x:c r="N207" s="381" t="str">
        <x:f>IF('Source Register'!AJ207="YES",COUNTIF('Source Register'!$AJ$3:'Source Register'!AJ207,"YES"),"")</x:f>
      </x:c>
    </x:row>
    <x:row r="208">
      <x:c r="N208" s="381" t="str">
        <x:f>IF('Source Register'!AJ208="YES",COUNTIF('Source Register'!$AJ$3:'Source Register'!AJ208,"YES"),"")</x:f>
      </x:c>
    </x:row>
    <x:row r="209">
      <x:c r="N209" s="381" t="str">
        <x:f>IF('Source Register'!AJ209="YES",COUNTIF('Source Register'!$AJ$3:'Source Register'!AJ209,"YES"),"")</x:f>
      </x:c>
    </x:row>
    <x:row r="210">
      <x:c r="N210" s="381" t="str">
        <x:f>IF('Source Register'!AJ210="YES",COUNTIF('Source Register'!$AJ$3:'Source Register'!AJ210,"YES"),"")</x:f>
      </x:c>
    </x:row>
    <x:row r="211">
      <x:c r="N211" s="381" t="str">
        <x:f>IF('Source Register'!AJ211="YES",COUNTIF('Source Register'!$AJ$3:'Source Register'!AJ211,"YES"),"")</x:f>
      </x:c>
    </x:row>
    <x:row r="212">
      <x:c r="N212" s="381" t="str">
        <x:f>IF('Source Register'!AJ212="YES",COUNTIF('Source Register'!$AJ$3:'Source Register'!AJ212,"YES"),"")</x:f>
      </x:c>
    </x:row>
    <x:row r="213">
      <x:c r="N213" s="381" t="str">
        <x:f>IF('Source Register'!AJ213="YES",COUNTIF('Source Register'!$AJ$3:'Source Register'!AJ213,"YES"),"")</x:f>
      </x:c>
    </x:row>
    <x:row r="214">
      <x:c r="N214" s="381" t="str">
        <x:f>IF('Source Register'!AJ214="YES",COUNTIF('Source Register'!$AJ$3:'Source Register'!AJ214,"YES"),"")</x:f>
      </x:c>
    </x:row>
    <x:row r="215">
      <x:c r="N215" s="381" t="str">
        <x:f>IF('Source Register'!AJ215="YES",COUNTIF('Source Register'!$AJ$3:'Source Register'!AJ215,"YES"),"")</x:f>
      </x:c>
    </x:row>
    <x:row r="216">
      <x:c r="N216" s="381" t="str">
        <x:f>IF('Source Register'!AJ216="YES",COUNTIF('Source Register'!$AJ$3:'Source Register'!AJ216,"YES"),"")</x:f>
      </x:c>
    </x:row>
    <x:row r="217">
      <x:c r="N217" s="381" t="str">
        <x:f>IF('Source Register'!AJ217="YES",COUNTIF('Source Register'!$AJ$3:'Source Register'!AJ217,"YES"),"")</x:f>
      </x:c>
    </x:row>
    <x:row r="218">
      <x:c r="N218" s="381" t="str">
        <x:f>IF('Source Register'!AJ218="YES",COUNTIF('Source Register'!$AJ$3:'Source Register'!AJ218,"YES"),"")</x:f>
      </x:c>
    </x:row>
    <x:row r="219">
      <x:c r="N219" s="381" t="str">
        <x:f>IF('Source Register'!AJ219="YES",COUNTIF('Source Register'!$AJ$3:'Source Register'!AJ219,"YES"),"")</x:f>
      </x:c>
    </x:row>
    <x:row r="220">
      <x:c r="N220" s="381" t="str">
        <x:f>IF('Source Register'!AJ220="YES",COUNTIF('Source Register'!$AJ$3:'Source Register'!AJ220,"YES"),"")</x:f>
      </x:c>
    </x:row>
    <x:row r="221">
      <x:c r="N221" s="381" t="str">
        <x:f>IF('Source Register'!AJ221="YES",COUNTIF('Source Register'!$AJ$3:'Source Register'!AJ221,"YES"),"")</x:f>
      </x:c>
    </x:row>
    <x:row r="222">
      <x:c r="N222" s="381" t="str">
        <x:f>IF('Source Register'!AJ222="YES",COUNTIF('Source Register'!$AJ$3:'Source Register'!AJ222,"YES"),"")</x:f>
      </x:c>
    </x:row>
    <x:row r="223">
      <x:c r="N223" s="381" t="str">
        <x:f>IF('Source Register'!AJ223="YES",COUNTIF('Source Register'!$AJ$3:'Source Register'!AJ223,"YES"),"")</x:f>
      </x:c>
    </x:row>
    <x:row r="224">
      <x:c r="N224" s="381" t="str">
        <x:f>IF('Source Register'!AJ224="YES",COUNTIF('Source Register'!$AJ$3:'Source Register'!AJ224,"YES"),"")</x:f>
      </x:c>
    </x:row>
    <x:row r="225">
      <x:c r="N225" s="381" t="str">
        <x:f>IF('Source Register'!AJ225="YES",COUNTIF('Source Register'!$AJ$3:'Source Register'!AJ225,"YES"),"")</x:f>
      </x:c>
    </x:row>
    <x:row r="226">
      <x:c r="N226" s="381" t="str">
        <x:f>IF('Source Register'!AJ226="YES",COUNTIF('Source Register'!$AJ$3:'Source Register'!AJ226,"YES"),"")</x:f>
      </x:c>
    </x:row>
    <x:row r="227">
      <x:c r="N227" s="381" t="str">
        <x:f>IF('Source Register'!AJ227="YES",COUNTIF('Source Register'!$AJ$3:'Source Register'!AJ227,"YES"),"")</x:f>
      </x:c>
    </x:row>
    <x:row r="228">
      <x:c r="N228" s="381" t="str">
        <x:f>IF('Source Register'!AJ228="YES",COUNTIF('Source Register'!$AJ$3:'Source Register'!AJ228,"YES"),"")</x:f>
      </x:c>
    </x:row>
    <x:row r="229">
      <x:c r="N229" s="381" t="str">
        <x:f>IF('Source Register'!AJ229="YES",COUNTIF('Source Register'!$AJ$3:'Source Register'!AJ229,"YES"),"")</x:f>
      </x:c>
    </x:row>
    <x:row r="230">
      <x:c r="N230" s="381" t="str">
        <x:f>IF('Source Register'!AJ230="YES",COUNTIF('Source Register'!$AJ$3:'Source Register'!AJ230,"YES"),"")</x:f>
      </x:c>
    </x:row>
    <x:row r="231">
      <x:c r="N231" s="381" t="str">
        <x:f>IF('Source Register'!AJ231="YES",COUNTIF('Source Register'!$AJ$3:'Source Register'!AJ231,"YES"),"")</x:f>
      </x:c>
    </x:row>
    <x:row r="232">
      <x:c r="N232" s="381" t="str">
        <x:f>IF('Source Register'!AJ232="YES",COUNTIF('Source Register'!$AJ$3:'Source Register'!AJ232,"YES"),"")</x:f>
      </x:c>
    </x:row>
    <x:row r="233">
      <x:c r="N233" s="381" t="str">
        <x:f>IF('Source Register'!AJ233="YES",COUNTIF('Source Register'!$AJ$3:'Source Register'!AJ233,"YES"),"")</x:f>
      </x:c>
    </x:row>
    <x:row r="234">
      <x:c r="N234" s="381" t="str">
        <x:f>IF('Source Register'!AJ234="YES",COUNTIF('Source Register'!$AJ$3:'Source Register'!AJ234,"YES"),"")</x:f>
      </x:c>
    </x:row>
    <x:row r="235">
      <x:c r="N235" s="381" t="str">
        <x:f>IF('Source Register'!AJ235="YES",COUNTIF('Source Register'!$AJ$3:'Source Register'!AJ235,"YES"),"")</x:f>
      </x:c>
    </x:row>
    <x:row r="236">
      <x:c r="N236" s="381" t="str">
        <x:f>IF('Source Register'!AJ236="YES",COUNTIF('Source Register'!$AJ$3:'Source Register'!AJ236,"YES"),"")</x:f>
      </x:c>
    </x:row>
    <x:row r="237">
      <x:c r="N237" s="381" t="str">
        <x:f>IF('Source Register'!AJ237="YES",COUNTIF('Source Register'!$AJ$3:'Source Register'!AJ237,"YES"),"")</x:f>
      </x:c>
    </x:row>
    <x:row r="238">
      <x:c r="N238" s="381" t="str">
        <x:f>IF('Source Register'!AJ238="YES",COUNTIF('Source Register'!$AJ$3:'Source Register'!AJ238,"YES"),"")</x:f>
      </x:c>
    </x:row>
    <x:row r="239">
      <x:c r="N239" s="381" t="str">
        <x:f>IF('Source Register'!AJ239="YES",COUNTIF('Source Register'!$AJ$3:'Source Register'!AJ239,"YES"),"")</x:f>
      </x:c>
    </x:row>
    <x:row r="240">
      <x:c r="N240" s="381" t="str">
        <x:f>IF('Source Register'!AJ240="YES",COUNTIF('Source Register'!$AJ$3:'Source Register'!AJ240,"YES"),"")</x:f>
      </x:c>
    </x:row>
    <x:row r="241">
      <x:c r="N241" s="381" t="str">
        <x:f>IF('Source Register'!AJ241="YES",COUNTIF('Source Register'!$AJ$3:'Source Register'!AJ241,"YES"),"")</x:f>
      </x:c>
    </x:row>
    <x:row r="242">
      <x:c r="N242" s="381" t="str">
        <x:f>IF('Source Register'!AJ242="YES",COUNTIF('Source Register'!$AJ$3:'Source Register'!AJ242,"YES"),"")</x:f>
      </x:c>
    </x:row>
    <x:row r="243">
      <x:c r="N243" s="381" t="str">
        <x:f>IF('Source Register'!AJ243="YES",COUNTIF('Source Register'!$AJ$3:'Source Register'!AJ243,"YES"),"")</x:f>
      </x:c>
    </x:row>
    <x:row r="244">
      <x:c r="N244" s="381" t="str">
        <x:f>IF('Source Register'!AJ244="YES",COUNTIF('Source Register'!$AJ$3:'Source Register'!AJ244,"YES"),"")</x:f>
      </x:c>
    </x:row>
    <x:row r="245">
      <x:c r="N245" s="381" t="str">
        <x:f>IF('Source Register'!AJ245="YES",COUNTIF('Source Register'!$AJ$3:'Source Register'!AJ245,"YES"),"")</x:f>
      </x:c>
    </x:row>
    <x:row r="246">
      <x:c r="N246" s="381" t="str">
        <x:f>IF('Source Register'!AJ246="YES",COUNTIF('Source Register'!$AJ$3:'Source Register'!AJ246,"YES"),"")</x:f>
      </x:c>
    </x:row>
    <x:row r="247">
      <x:c r="N247" s="381" t="str">
        <x:f>IF('Source Register'!AJ247="YES",COUNTIF('Source Register'!$AJ$3:'Source Register'!AJ247,"YES"),"")</x:f>
      </x:c>
    </x:row>
    <x:row r="248">
      <x:c r="N248" s="381" t="str">
        <x:f>IF('Source Register'!AJ248="YES",COUNTIF('Source Register'!$AJ$3:'Source Register'!AJ248,"YES"),"")</x:f>
      </x:c>
    </x:row>
    <x:row r="249">
      <x:c r="N249" s="381" t="str">
        <x:f>IF('Source Register'!AJ249="YES",COUNTIF('Source Register'!$AJ$3:'Source Register'!AJ249,"YES"),"")</x:f>
      </x:c>
    </x:row>
    <x:row r="250">
      <x:c r="N250" s="381" t="str">
        <x:f>IF('Source Register'!AJ250="YES",COUNTIF('Source Register'!$AJ$3:'Source Register'!AJ250,"YES"),"")</x:f>
      </x:c>
    </x:row>
    <x:row r="251">
      <x:c r="N251" s="381" t="str">
        <x:f>IF('Source Register'!AJ251="YES",COUNTIF('Source Register'!$AJ$3:'Source Register'!AJ251,"YES"),"")</x:f>
      </x:c>
    </x:row>
    <x:row r="252">
      <x:c r="N252" s="381" t="str">
        <x:f>IF('Source Register'!AJ252="YES",COUNTIF('Source Register'!$AJ$3:'Source Register'!AJ252,"YES"),"")</x:f>
      </x:c>
    </x:row>
    <x:row r="253">
      <x:c r="N253" s="381" t="str">
        <x:f>IF('Source Register'!AJ253="YES",COUNTIF('Source Register'!$AJ$3:'Source Register'!AJ253,"YES"),"")</x:f>
      </x:c>
    </x:row>
    <x:row r="254">
      <x:c r="N254" s="381" t="str">
        <x:f>IF('Source Register'!AJ254="YES",COUNTIF('Source Register'!$AJ$3:'Source Register'!AJ254,"YES"),"")</x:f>
      </x:c>
    </x:row>
    <x:row r="255">
      <x:c r="N255" s="381" t="str">
        <x:f>IF('Source Register'!AJ255="YES",COUNTIF('Source Register'!$AJ$3:'Source Register'!AJ255,"YES"),"")</x:f>
      </x:c>
    </x:row>
    <x:row r="256">
      <x:c r="N256" s="381" t="str">
        <x:f>IF('Source Register'!AJ256="YES",COUNTIF('Source Register'!$AJ$3:'Source Register'!AJ256,"YES"),"")</x:f>
      </x:c>
    </x:row>
    <x:row r="257">
      <x:c r="N257" s="381" t="str">
        <x:f>IF('Source Register'!AJ257="YES",COUNTIF('Source Register'!$AJ$3:'Source Register'!AJ257,"YES"),"")</x:f>
      </x:c>
    </x:row>
    <x:row r="258">
      <x:c r="N258" s="381" t="str">
        <x:f>IF('Source Register'!AJ258="YES",COUNTIF('Source Register'!$AJ$3:'Source Register'!AJ258,"YES"),"")</x:f>
      </x:c>
    </x:row>
    <x:row r="259">
      <x:c r="N259" s="381" t="str">
        <x:f>IF('Source Register'!AJ259="YES",COUNTIF('Source Register'!$AJ$3:'Source Register'!AJ259,"YES"),"")</x:f>
      </x:c>
    </x:row>
    <x:row r="260">
      <x:c r="N260" s="381" t="str">
        <x:f>IF('Source Register'!AJ260="YES",COUNTIF('Source Register'!$AJ$3:'Source Register'!AJ260,"YES"),"")</x:f>
      </x:c>
    </x:row>
    <x:row r="261">
      <x:c r="N261" s="381" t="str">
        <x:f>IF('Source Register'!AJ261="YES",COUNTIF('Source Register'!$AJ$3:'Source Register'!AJ261,"YES"),"")</x:f>
      </x:c>
    </x:row>
    <x:row r="262">
      <x:c r="N262" s="381" t="str">
        <x:f>IF('Source Register'!AJ262="YES",COUNTIF('Source Register'!$AJ$3:'Source Register'!AJ262,"YES"),"")</x:f>
      </x:c>
    </x:row>
    <x:row r="263">
      <x:c r="N263" s="381" t="str">
        <x:f>IF('Source Register'!AJ263="YES",COUNTIF('Source Register'!$AJ$3:'Source Register'!AJ263,"YES"),"")</x:f>
      </x:c>
    </x:row>
    <x:row r="264">
      <x:c r="N264" s="381" t="str">
        <x:f>IF('Source Register'!AJ264="YES",COUNTIF('Source Register'!$AJ$3:'Source Register'!AJ264,"YES"),"")</x:f>
      </x:c>
    </x:row>
    <x:row r="265">
      <x:c r="N265" s="381" t="str">
        <x:f>IF('Source Register'!AJ265="YES",COUNTIF('Source Register'!$AJ$3:'Source Register'!AJ265,"YES"),"")</x:f>
      </x:c>
    </x:row>
    <x:row r="266">
      <x:c r="N266" s="381" t="str">
        <x:f>IF('Source Register'!AJ266="YES",COUNTIF('Source Register'!$AJ$3:'Source Register'!AJ266,"YES"),"")</x:f>
      </x:c>
    </x:row>
    <x:row r="267">
      <x:c r="N267" s="381" t="str">
        <x:f>IF('Source Register'!AJ267="YES",COUNTIF('Source Register'!$AJ$3:'Source Register'!AJ267,"YES"),"")</x:f>
      </x:c>
    </x:row>
    <x:row r="268">
      <x:c r="N268" s="381" t="str">
        <x:f>IF('Source Register'!AJ268="YES",COUNTIF('Source Register'!$AJ$3:'Source Register'!AJ268,"YES"),"")</x:f>
      </x:c>
    </x:row>
    <x:row r="269">
      <x:c r="N269" s="381" t="str">
        <x:f>IF('Source Register'!AJ269="YES",COUNTIF('Source Register'!$AJ$3:'Source Register'!AJ269,"YES"),"")</x:f>
      </x:c>
    </x:row>
    <x:row r="270">
      <x:c r="N270" s="381" t="str">
        <x:f>IF('Source Register'!AJ270="YES",COUNTIF('Source Register'!$AJ$3:'Source Register'!AJ270,"YES"),"")</x:f>
      </x:c>
    </x:row>
    <x:row r="271">
      <x:c r="N271" s="381" t="str">
        <x:f>IF('Source Register'!AJ271="YES",COUNTIF('Source Register'!$AJ$3:'Source Register'!AJ271,"YES"),"")</x:f>
      </x:c>
    </x:row>
    <x:row r="272">
      <x:c r="N272" s="381" t="str">
        <x:f>IF('Source Register'!AJ272="YES",COUNTIF('Source Register'!$AJ$3:'Source Register'!AJ272,"YES"),"")</x:f>
      </x:c>
    </x:row>
    <x:row r="273">
      <x:c r="N273" s="381" t="str">
        <x:f>IF('Source Register'!AJ273="YES",COUNTIF('Source Register'!$AJ$3:'Source Register'!AJ273,"YES"),"")</x:f>
      </x:c>
    </x:row>
    <x:row r="274">
      <x:c r="N274" s="381" t="str">
        <x:f>IF('Source Register'!AJ274="YES",COUNTIF('Source Register'!$AJ$3:'Source Register'!AJ274,"YES"),"")</x:f>
      </x:c>
    </x:row>
    <x:row r="275">
      <x:c r="N275" s="381" t="str">
        <x:f>IF('Source Register'!AJ275="YES",COUNTIF('Source Register'!$AJ$3:'Source Register'!AJ275,"YES"),"")</x:f>
      </x:c>
    </x:row>
    <x:row r="276">
      <x:c r="N276" s="381" t="str">
        <x:f>IF('Source Register'!AJ276="YES",COUNTIF('Source Register'!$AJ$3:'Source Register'!AJ276,"YES"),"")</x:f>
      </x:c>
    </x:row>
    <x:row r="277">
      <x:c r="N277" s="381" t="str">
        <x:f>IF('Source Register'!AJ277="YES",COUNTIF('Source Register'!$AJ$3:'Source Register'!AJ277,"YES"),"")</x:f>
      </x:c>
    </x:row>
    <x:row r="278">
      <x:c r="N278" s="381" t="str">
        <x:f>IF('Source Register'!AJ278="YES",COUNTIF('Source Register'!$AJ$3:'Source Register'!AJ278,"YES"),"")</x:f>
      </x:c>
    </x:row>
    <x:row r="279">
      <x:c r="N279" s="381" t="str">
        <x:f>IF('Source Register'!AJ279="YES",COUNTIF('Source Register'!$AJ$3:'Source Register'!AJ279,"YES"),"")</x:f>
      </x:c>
    </x:row>
    <x:row r="280">
      <x:c r="N280" s="381" t="str">
        <x:f>IF('Source Register'!AJ280="YES",COUNTIF('Source Register'!$AJ$3:'Source Register'!AJ280,"YES"),"")</x:f>
      </x:c>
    </x:row>
    <x:row r="281">
      <x:c r="N281" s="381" t="str">
        <x:f>IF('Source Register'!AJ281="YES",COUNTIF('Source Register'!$AJ$3:'Source Register'!AJ281,"YES"),"")</x:f>
      </x:c>
    </x:row>
    <x:row r="282">
      <x:c r="N282" s="381" t="str">
        <x:f>IF('Source Register'!AJ282="YES",COUNTIF('Source Register'!$AJ$3:'Source Register'!AJ282,"YES"),"")</x:f>
      </x:c>
    </x:row>
    <x:row r="283">
      <x:c r="N283" s="381" t="str">
        <x:f>IF('Source Register'!AJ283="YES",COUNTIF('Source Register'!$AJ$3:'Source Register'!AJ283,"YES"),"")</x:f>
      </x:c>
    </x:row>
    <x:row r="284">
      <x:c r="N284" s="381" t="str">
        <x:f>IF('Source Register'!AJ284="YES",COUNTIF('Source Register'!$AJ$3:'Source Register'!AJ284,"YES"),"")</x:f>
      </x:c>
    </x:row>
    <x:row r="285">
      <x:c r="N285" s="381" t="str">
        <x:f>IF('Source Register'!AJ285="YES",COUNTIF('Source Register'!$AJ$3:'Source Register'!AJ285,"YES"),"")</x:f>
      </x:c>
    </x:row>
    <x:row r="286">
      <x:c r="N286" s="381" t="str">
        <x:f>IF('Source Register'!AJ286="YES",COUNTIF('Source Register'!$AJ$3:'Source Register'!AJ286,"YES"),"")</x:f>
      </x:c>
    </x:row>
    <x:row r="287">
      <x:c r="N287" s="381" t="str">
        <x:f>IF('Source Register'!AJ287="YES",COUNTIF('Source Register'!$AJ$3:'Source Register'!AJ287,"YES"),"")</x:f>
      </x:c>
    </x:row>
    <x:row r="288">
      <x:c r="N288" s="381" t="str">
        <x:f>IF('Source Register'!AJ288="YES",COUNTIF('Source Register'!$AJ$3:'Source Register'!AJ288,"YES"),"")</x:f>
      </x:c>
    </x:row>
    <x:row r="289">
      <x:c r="N289" s="381" t="str">
        <x:f>IF('Source Register'!AJ289="YES",COUNTIF('Source Register'!$AJ$3:'Source Register'!AJ289,"YES"),"")</x:f>
      </x:c>
    </x:row>
    <x:row r="290">
      <x:c r="N290" s="381" t="str">
        <x:f>IF('Source Register'!AJ290="YES",COUNTIF('Source Register'!$AJ$3:'Source Register'!AJ290,"YES"),"")</x:f>
      </x:c>
    </x:row>
    <x:row r="291">
      <x:c r="N291" s="381" t="str">
        <x:f>IF('Source Register'!AJ291="YES",COUNTIF('Source Register'!$AJ$3:'Source Register'!AJ291,"YES"),"")</x:f>
      </x:c>
    </x:row>
    <x:row r="292">
      <x:c r="N292" s="381" t="str">
        <x:f>IF('Source Register'!AJ292="YES",COUNTIF('Source Register'!$AJ$3:'Source Register'!AJ292,"YES"),"")</x:f>
      </x:c>
    </x:row>
    <x:row r="293">
      <x:c r="N293" s="381" t="str">
        <x:f>IF('Source Register'!AJ293="YES",COUNTIF('Source Register'!$AJ$3:'Source Register'!AJ293,"YES"),"")</x:f>
      </x:c>
    </x:row>
    <x:row r="294">
      <x:c r="N294" s="381" t="str">
        <x:f>IF('Source Register'!AJ294="YES",COUNTIF('Source Register'!$AJ$3:'Source Register'!AJ294,"YES"),"")</x:f>
      </x:c>
    </x:row>
    <x:row r="295">
      <x:c r="N295" s="381" t="str">
        <x:f>IF('Source Register'!AJ295="YES",COUNTIF('Source Register'!$AJ$3:'Source Register'!AJ295,"YES"),"")</x:f>
      </x:c>
    </x:row>
    <x:row r="296">
      <x:c r="N296" s="381" t="str">
        <x:f>IF('Source Register'!AJ296="YES",COUNTIF('Source Register'!$AJ$3:'Source Register'!AJ296,"YES"),"")</x:f>
      </x:c>
    </x:row>
    <x:row r="297">
      <x:c r="N297" s="381" t="str">
        <x:f>IF('Source Register'!AJ297="YES",COUNTIF('Source Register'!$AJ$3:'Source Register'!AJ297,"YES"),"")</x:f>
      </x:c>
    </x:row>
    <x:row r="298">
      <x:c r="N298" s="381" t="str">
        <x:f>IF('Source Register'!AJ298="YES",COUNTIF('Source Register'!$AJ$3:'Source Register'!AJ298,"YES"),"")</x:f>
      </x:c>
    </x:row>
    <x:row r="299">
      <x:c r="N299" s="381" t="str">
        <x:f>IF('Source Register'!AJ299="YES",COUNTIF('Source Register'!$AJ$3:'Source Register'!AJ299,"YES"),"")</x:f>
      </x:c>
    </x:row>
    <x:row r="300">
      <x:c r="N300" s="381" t="str">
        <x:f>IF('Source Register'!AJ300="YES",COUNTIF('Source Register'!$AJ$3:'Source Register'!AJ300,"YES"),"")</x:f>
      </x:c>
    </x:row>
    <x:row r="301">
      <x:c r="N301" s="381" t="str">
        <x:f>IF('Source Register'!AJ301="YES",COUNTIF('Source Register'!$AJ$3:'Source Register'!AJ301,"YES"),"")</x:f>
      </x:c>
    </x:row>
    <x:row r="302">
      <x:c r="N302" s="381" t="str">
        <x:f>IF('Source Register'!AJ302="YES",COUNTIF('Source Register'!$AJ$3:'Source Register'!AJ302,"YES"),"")</x:f>
      </x:c>
    </x:row>
  </x:sheetData>
  <x:mergeCells>
    <x:mergeCell ref="I59:K60"/>
    <x:mergeCell ref="I53:K53"/>
    <x:mergeCell ref="A3:C3"/>
    <x:mergeCell ref="I58:K58"/>
    <x:mergeCell ref="I3:K3"/>
    <x:mergeCell ref="A1:K1"/>
    <x:mergeCell ref="A59:C60"/>
    <x:mergeCell ref="I46:K47"/>
    <x:mergeCell ref="E45:G45"/>
    <x:mergeCell ref="I54:K55"/>
    <x:mergeCell ref="E8:G9"/>
    <x:mergeCell ref="A53:C53"/>
    <x:mergeCell ref="E4:G5"/>
    <x:mergeCell ref="A62:K63"/>
    <x:mergeCell ref="E7:G7"/>
    <x:mergeCell ref="A54:C55"/>
    <x:mergeCell ref="E59:G60"/>
    <x:mergeCell ref="E53:G53"/>
    <x:mergeCell ref="A57:K57"/>
    <x:mergeCell ref="A58:C58"/>
    <x:mergeCell ref="E58:G58"/>
    <x:mergeCell ref="A49:K50"/>
    <x:mergeCell ref="A7:C7"/>
    <x:mergeCell ref="E3:G3"/>
    <x:mergeCell ref="A46:C47"/>
    <x:mergeCell ref="E46:G47"/>
    <x:mergeCell ref="A45:C45"/>
    <x:mergeCell ref="E54:G55"/>
    <x:mergeCell ref="I45:K45"/>
    <x:mergeCell ref="A43:K43"/>
    <x:mergeCell ref="A8:C9"/>
    <x:mergeCell ref="A52:K52"/>
    <x:mergeCell ref="I8:K9"/>
    <x:mergeCell ref="A4:C5"/>
    <x:mergeCell ref="I4:K5"/>
    <x:mergeCell ref="I7:K7"/>
  </x:mergeCells>
  <x:conditionalFormatting sqref="A49:K50">
    <x:cfRule type="containsText" dxfId="0" priority="1" operator="containsText" text="REVIEW OVERDUE"/>
  </x:conditionalFormatting>
  <x:conditionalFormatting sqref="J54:J153">
    <x:cfRule type="containsText" dxfId="0" priority="2" operator="containsText" text="OVERDUE"/>
    <x:cfRule type="containsText" dxfId="3" priority="3" operator="containsText" text="OPEN"/>
  </x:conditionalFormatting>
  <x:conditionalFormatting sqref="A46:C47">
    <x:cfRule type="containsText" dxfId="3" priority="4" operator="containsText" text="YES"/>
  </x:conditionalFormatting>
  <x:dataValidations count="2">
    <x:dataValidation type="list" allowBlank="0" showDropDown="0" showInputMessage="0" showErrorMessage="0" sqref="A46:C47">
      <x:formula1>"NO,YES"</x:formula1>
    </x:dataValidation>
    <x:dataValidation operator="between" allowBlank="0" showDropDown="0" showInputMessage="0" showErrorMessage="0" sqref="E46:G47">
      <x:formula1>1</x:formula1>
      <x:formula2>20</x:formula2>
    </x:dataValidation>
  </x:dataValidations>
  <x:pageMargins left="0.7" right="0.7" top="0.75" bottom="0.75" header="0.3" footer="0.3"/>
  <x:drawing xmlns:r="http://schemas.openxmlformats.org/officeDocument/2006/relationships" r:id="Rf244f669feef4ddd"/>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27" style="36" customWidth="1"/>
    <x:col min="2" max="2" width="23" style="36" customWidth="1"/>
    <x:col min="3" max="3" width="12" style="36" customWidth="1"/>
    <x:col min="4" max="4" width="34" style="36" customWidth="1"/>
    <x:col min="5" max="5" width="22" style="36" customWidth="1"/>
    <x:col min="6" max="6" width="23" style="36" customWidth="1"/>
    <x:col min="7" max="7" width="14" style="36" customWidth="1"/>
    <x:col min="8" max="8" width="18" style="36" customWidth="1"/>
    <x:col min="9" max="9" width="20" style="36" customWidth="1"/>
    <x:col min="10" max="10" width="42" style="36" customWidth="1"/>
    <x:col min="11" max="11" width="21" style="36" customWidth="1"/>
    <x:col min="12" max="12" width="21" style="36" customWidth="1"/>
    <x:col min="13" max="13" width="44" style="36" customWidth="1"/>
    <x:col min="14" max="14" width="42" style="36" customWidth="1"/>
    <x:col min="15" max="15" width="30" style="36" customWidth="1"/>
    <x:col min="16" max="16" width="16" style="36" customWidth="1"/>
    <x:col min="17" max="17" width="22" style="36" customWidth="1"/>
    <x:col min="18" max="18" width="26" style="36" customWidth="1"/>
    <x:col min="19" max="19" width="25" style="36" customWidth="1"/>
    <x:col min="20" max="20" width="20" style="36" customWidth="1"/>
    <x:col min="21" max="21" width="12" style="36" customWidth="1"/>
    <x:col min="22" max="22" width="20" style="36" customWidth="1"/>
    <x:col min="23" max="23" width="14" style="36" customWidth="1"/>
  </x:cols>
  <x:sheetData>
    <x:row r="1" s="36" customFormat="1" ht="28" customHeight="1">
      <x:c r="A1" s="660" t="inlineStr">
        <x:is>
          <x:t xml:space="preserve">OPERATION</x:t>
        </x:is>
      </x:c>
      <x:c r="B1" s="400" t="n"/>
      <x:c r="C1" s="400" t="n"/>
      <x:c r="D1" s="400" t="n"/>
      <x:c r="E1" s="400" t="n"/>
      <x:c r="F1" s="401" t="n"/>
      <x:c r="G1" s="661" t="inlineStr">
        <x:is>
          <x:t xml:space="preserve">HUMAN DECISION</x:t>
        </x:is>
      </x:c>
      <x:c r="H1" s="400" t="n"/>
      <x:c r="I1" s="400" t="n"/>
      <x:c r="J1" s="401" t="n"/>
      <x:c r="K1" s="662" t="inlineStr">
        <x:is>
          <x:t xml:space="preserve">PROGRAM EXECUTION</x:t>
        </x:is>
      </x:c>
      <x:c r="L1" s="400" t="n"/>
      <x:c r="M1" s="401" t="n"/>
      <x:c r="N1" s="663" t="inlineStr">
        <x:is>
          <x:t xml:space="preserve">SOURCE / CANDIDATE CONTEXT</x:t>
        </x:is>
      </x:c>
      <x:c r="O1" s="400" t="n"/>
      <x:c r="P1" s="400" t="n"/>
      <x:c r="Q1" s="400" t="n"/>
      <x:c r="R1" s="400" t="n"/>
      <x:c r="S1" s="400" t="n"/>
      <x:c r="T1" s="400" t="n"/>
      <x:c r="U1" s="400" t="n"/>
      <x:c r="V1" s="400" t="n"/>
      <x:c r="W1" s="401" t="n"/>
    </x:row>
    <x:row r="2" s="36" customFormat="1" ht="36" customHeight="1">
      <x:c r="A2" s="464" t="inlineStr">
        <x:is>
          <x:t xml:space="preserve">operation_id</x:t>
        </x:is>
      </x:c>
      <x:c r="B2" s="464" t="inlineStr">
        <x:is>
          <x:t xml:space="preserve">operation_type</x:t>
        </x:is>
      </x:c>
      <x:c r="C2" s="464" t="inlineStr">
        <x:is>
          <x:t xml:space="preserve">source_id</x:t>
        </x:is>
      </x:c>
      <x:c r="D2" s="464" t="inlineStr">
        <x:is>
          <x:t xml:space="preserve">source_title</x:t>
        </x:is>
      </x:c>
      <x:c r="E2" s="464" t="inlineStr">
        <x:is>
          <x:t xml:space="preserve">trigger</x:t>
        </x:is>
      </x:c>
      <x:c r="F2" s="464" t="inlineStr">
        <x:is>
          <x:t xml:space="preserve">proposed_action</x:t>
        </x:is>
      </x:c>
      <x:c r="G2" s="464" t="inlineStr">
        <x:is>
          <x:t xml:space="preserve">decision</x:t>
        </x:is>
      </x:c>
      <x:c r="H2" s="464" t="inlineStr">
        <x:is>
          <x:t xml:space="preserve">operator</x:t>
        </x:is>
      </x:c>
      <x:c r="I2" s="464" t="inlineStr">
        <x:is>
          <x:t xml:space="preserve">checked_at</x:t>
        </x:is>
      </x:c>
      <x:c r="J2" s="464" t="inlineStr">
        <x:is>
          <x:t xml:space="preserve">operator_note</x:t>
        </x:is>
      </x:c>
      <x:c r="K2" s="464" t="inlineStr">
        <x:is>
          <x:t xml:space="preserve">program_status</x:t>
        </x:is>
      </x:c>
      <x:c r="L2" s="464" t="inlineStr">
        <x:is>
          <x:t xml:space="preserve">program_operated_at</x:t>
        </x:is>
      </x:c>
      <x:c r="M2" s="464" t="inlineStr">
        <x:is>
          <x:t xml:space="preserve">program_note</x:t>
        </x:is>
      </x:c>
      <x:c r="N2" s="464" t="inlineStr">
        <x:is>
          <x:t xml:space="preserve">official_url</x:t>
        </x:is>
      </x:c>
      <x:c r="O2" s="464" t="inlineStr">
        <x:is>
          <x:t xml:space="preserve">issuer</x:t>
        </x:is>
      </x:c>
      <x:c r="P2" s="464" t="inlineStr">
        <x:is>
          <x:t xml:space="preserve">jurisdiction</x:t>
        </x:is>
      </x:c>
      <x:c r="Q2" s="464" t="inlineStr">
        <x:is>
          <x:t xml:space="preserve">document_type</x:t>
        </x:is>
      </x:c>
      <x:c r="R2" s="464" t="inlineStr">
        <x:is>
          <x:t xml:space="preserve">source_family</x:t>
        </x:is>
      </x:c>
      <x:c r="S2" s="464" t="inlineStr">
        <x:is>
          <x:t xml:space="preserve">requirement_role</x:t>
        </x:is>
      </x:c>
      <x:c r="T2" s="464" t="inlineStr">
        <x:is>
          <x:t xml:space="preserve">authoritative_language</x:t>
        </x:is>
      </x:c>
      <x:c r="U2" s="464" t="inlineStr">
        <x:is>
          <x:t xml:space="preserve">file_format</x:t>
        </x:is>
      </x:c>
      <x:c r="V2" s="464" t="inlineStr">
        <x:is>
          <x:t xml:space="preserve">created_at</x:t>
        </x:is>
      </x:c>
      <x:c r="W2" s="464" t="inlineStr">
        <x:is>
          <x:t xml:space="preserve">payload_json</x:t>
        </x:is>
      </x:c>
    </x:row>
    <x:row r="3" s="36" customFormat="1" ht="42" hidden="1" customHeight="1">
      <x:c r="A3" s="469" t="inlineStr">
        <x:is>
          <x:t xml:space="preserve">REV-PA029-WITHDRAW-20260831</x:t>
        </x:is>
      </x:c>
      <x:c r="B3" s="469" t="inlineStr">
        <x:is>
          <x:t xml:space="preserve">SOURCE_REVIEW</x:t>
        </x:is>
      </x:c>
      <x:c r="C3" s="469" t="inlineStr">
        <x:is>
          <x:t xml:space="preserve">PA029</x:t>
        </x:is>
      </x:c>
      <x:c r="D3" s="469" t="inlineStr">
        <x:is>
          <x:t xml:space="preserve">Yggdrasil aquaculture map and portal</x:t>
        </x:is>
      </x:c>
      <x:c r="E3" s="469" t="inlineStr">
        <x:is>
          <x:t xml:space="preserve">SCOPE_REVIEW</x:t>
        </x:is>
      </x:c>
      <x:c r="F3" s="469" t="inlineStr">
        <x:is>
          <x:t xml:space="preserve">WITHDRAW_SOURCE</x:t>
        </x:is>
      </x:c>
      <x:c r="G3" s="469" t="inlineStr">
        <x:is>
          <x:t xml:space="preserve">ACCEPT</x:t>
        </x:is>
      </x:c>
      <x:c r="H3" s="469" t="inlineStr">
        <x:is>
          <x:t xml:space="preserve">Jay</x:t>
        </x:is>
      </x:c>
      <x:c r="I3" s="470" t="n">
        <x:v>46265.29166666666</x:v>
      </x:c>
      <x:c r="J3" s="469" t="inlineStr">
        <x:is>
          <x:t xml:space="preserve">Confirmed that Yggdrasil is an interactive map and not a Requirement source.</x:t>
        </x:is>
      </x:c>
      <x:c r="K3" s="469" t="inlineStr">
        <x:is>
          <x:t xml:space="preserve">APPLIED</x:t>
        </x:is>
      </x:c>
      <x:c r="L3" s="470" t="n">
        <x:v>46265.29166666666</x:v>
      </x:c>
      <x:c r="M3" s="469" t="inlineStr">
        <x:is>
          <x:t xml:space="preserve">scope_relevance set to LOW; source_status set to WITHDRAWN.</x:t>
        </x:is>
      </x:c>
      <x:c r="N3" s="469" t="inlineStr">
        <x:is>
          <x:t xml:space="preserve">https://portal.fiskeridir.no/portal/apps/sites/#/yggdrasil</x:t>
        </x:is>
      </x:c>
      <x:c r="O3" s="469" t="inlineStr">
        <x:is>
          <x:t xml:space="preserve">Norwegian Directorate of Fisheries</x:t>
        </x:is>
      </x:c>
      <x:c r="P3" s="469" t="inlineStr">
        <x:is>
          <x:t xml:space="preserve">Norway</x:t>
        </x:is>
      </x:c>
      <x:c r="Q3" s="469" t="inlineStr">
        <x:is>
          <x:t xml:space="preserve">Interactive portal / map</x:t>
        </x:is>
      </x:c>
      <x:c r="R3" s="469" t="inlineStr">
        <x:is>
          <x:t xml:space="preserve">Spatial and environmental evidence platform</x:t>
        </x:is>
      </x:c>
      <x:c r="S3" s="469" t="inlineStr">
        <x:is>
          <x:t xml:space="preserve">Supporting / orientation</x:t>
        </x:is>
      </x:c>
      <x:c r="T3" s="469" t="inlineStr">
        <x:is>
          <x:t xml:space="preserve">Norwegian</x:t>
        </x:is>
      </x:c>
      <x:c r="U3" s="469" t="inlineStr">
        <x:is>
          <x:t xml:space="preserve">html</x:t>
        </x:is>
      </x:c>
      <x:c r="V3" s="470" t="n">
        <x:v>46265.29166666666</x:v>
      </x:c>
      <x:c r="W3" s="469" t="inlineStr">
        <x:is>
          <x:t xml:space="preserve">{"action":"WITHDRAW_SOURCE","source_id":"PA029"}</x:t>
        </x:is>
      </x:c>
    </x:row>
    <x:row r="4" s="36" customFormat="1" ht="42" hidden="1" customHeight="1">
      <x:c r="A4" s="469" t="inlineStr">
        <x:is>
          <x:t xml:space="preserve">REV-e789712a4df3b25e</x:t>
        </x:is>
      </x:c>
      <x:c r="B4" s="469" t="inlineStr">
        <x:is>
          <x:t xml:space="preserve">SOURCE_REVIEW</x:t>
        </x:is>
      </x:c>
      <x:c r="C4" s="469" t="inlineStr">
        <x:is>
          <x:t xml:space="preserve">PA010</x:t>
        </x:is>
      </x:c>
      <x:c r="D4" s="469" t="inlineStr">
        <x:is>
          <x:t xml:space="preserve">Regulation (EU) 2016/429 on transmissible animal diseases (Animal Health Law)</x:t>
        </x:is>
      </x:c>
      <x:c r="E4" s="469" t="inlineStr">
        <x:is>
          <x:t xml:space="preserve">DOWNLOAD_FAILURE</x:t>
        </x:is>
      </x:c>
      <x:c r="F4" s="469" t="inlineStr">
        <x:is>
          <x:t xml:space="preserve">RETRY_SOURCE</x:t>
        </x:is>
      </x:c>
      <x:c r="G4" s="469" t="inlineStr">
        <x:is>
          <x:t xml:space="preserve">PENDING</x:t>
        </x:is>
      </x:c>
      <x:c r="H4" s="469" t="n"/>
      <x:c r="I4" s="470" t="n"/>
      <x:c r="J4" s="469" t="n"/>
      <x:c r="K4" s="469" t="inlineStr">
        <x:is>
          <x:t xml:space="preserve">APPLIED</x:t>
        </x:is>
      </x:c>
      <x:c r="L4" s="470" t="n">
        <x:v>46265.44850694444</x:v>
      </x:c>
      <x:c r="M4" s="469" t="inlineStr">
        <x:is>
          <x:t xml:space="preserve">The underlying source state was resolved automatically; no human decision was required.</x:t>
        </x:is>
      </x:c>
      <x:c r="N4" s="670" t="inlineStr">
        <x:is>
          <x:t xml:space="preserve">https://eur-lex.europa.eu/legal-content/EN/TXT/?uri=CELEX:32016R0429</x:t>
        </x:is>
      </x:c>
      <x:c r="O4" s="469" t="inlineStr">
        <x:is>
          <x:t xml:space="preserve">European Parliament and Council of the European Union</x:t>
        </x:is>
      </x:c>
      <x:c r="P4" s="469" t="inlineStr">
        <x:is>
          <x:t xml:space="preserve">EU / EEA</x:t>
        </x:is>
      </x:c>
      <x:c r="Q4" s="469" t="inlineStr">
        <x:is>
          <x:t xml:space="preserve">Regulation</x:t>
        </x:is>
      </x:c>
      <x:c r="R4" s="469" t="inlineStr">
        <x:is>
          <x:t xml:space="preserve">Public authority</x:t>
        </x:is>
      </x:c>
      <x:c r="S4" s="469" t="inlineStr">
        <x:is>
          <x:t xml:space="preserve">Referenced normative</x:t>
        </x:is>
      </x:c>
      <x:c r="T4" s="469" t="inlineStr">
        <x:is>
          <x:t xml:space="preserve">English</x:t>
        </x:is>
      </x:c>
      <x:c r="U4" s="469" t="inlineStr">
        <x:is>
          <x:t xml:space="preserve">html</x:t>
        </x:is>
      </x:c>
      <x:c r="V4" s="470" t="n">
        <x:v>46265.41292824074</x:v>
      </x:c>
      <x:c r="W4" s="469" t="inlineStr">
        <x:is>
          <x:t xml:space="preserve">{"action": "RETRY_SOURCE", "source_id": "PA010", "updates": {}}</x:t>
        </x:is>
      </x:c>
    </x:row>
    <x:row r="5" s="36" customFormat="1" ht="42" customHeight="1">
      <x:c r="A5" s="469" t="n"/>
      <x:c r="B5" s="469" t="n"/>
      <x:c r="C5" s="469" t="n"/>
      <x:c r="D5" s="469" t="n"/>
      <x:c r="E5" s="469" t="n"/>
      <x:c r="F5" s="469" t="n"/>
      <x:c r="G5" s="469" t="n"/>
      <x:c r="H5" s="469" t="n"/>
      <x:c r="I5" s="470" t="n"/>
      <x:c r="J5" s="469" t="n"/>
      <x:c r="K5" s="469" t="n"/>
      <x:c r="L5" s="470" t="n"/>
      <x:c r="M5" s="469" t="n"/>
      <x:c r="N5" s="469" t="n"/>
      <x:c r="O5" s="469" t="n"/>
      <x:c r="P5" s="469" t="n"/>
      <x:c r="Q5" s="469" t="n"/>
      <x:c r="R5" s="469" t="n"/>
      <x:c r="S5" s="469" t="n"/>
      <x:c r="T5" s="469" t="n"/>
      <x:c r="U5" s="469" t="n"/>
      <x:c r="V5" s="470" t="n"/>
      <x:c r="W5" s="469" t="n"/>
    </x:row>
    <x:row r="6" s="36" customFormat="1" ht="42" customHeight="1">
      <x:c r="A6" s="469" t="n"/>
      <x:c r="B6" s="469" t="n"/>
      <x:c r="C6" s="469" t="n"/>
      <x:c r="D6" s="469" t="n"/>
      <x:c r="E6" s="469" t="n"/>
      <x:c r="F6" s="469" t="n"/>
      <x:c r="G6" s="469" t="n"/>
      <x:c r="H6" s="469" t="n"/>
      <x:c r="I6" s="470" t="n"/>
      <x:c r="J6" s="469" t="n"/>
      <x:c r="K6" s="469" t="n"/>
      <x:c r="L6" s="470" t="n"/>
      <x:c r="M6" s="469" t="n"/>
      <x:c r="N6" s="469" t="n"/>
      <x:c r="O6" s="469" t="n"/>
      <x:c r="P6" s="469" t="n"/>
      <x:c r="Q6" s="469" t="n"/>
      <x:c r="R6" s="469" t="n"/>
      <x:c r="S6" s="469" t="n"/>
      <x:c r="T6" s="469" t="n"/>
      <x:c r="U6" s="469" t="n"/>
      <x:c r="V6" s="470" t="n"/>
      <x:c r="W6" s="469" t="n"/>
    </x:row>
    <x:row r="7" s="36" customFormat="1" ht="42" customHeight="1">
      <x:c r="A7" s="469" t="n"/>
      <x:c r="B7" s="469" t="n"/>
      <x:c r="C7" s="469" t="n"/>
      <x:c r="D7" s="469" t="n"/>
      <x:c r="E7" s="469" t="n"/>
      <x:c r="F7" s="469" t="n"/>
      <x:c r="G7" s="469" t="n"/>
      <x:c r="H7" s="469" t="n"/>
      <x:c r="I7" s="470" t="n"/>
      <x:c r="J7" s="469" t="n"/>
      <x:c r="K7" s="469" t="n"/>
      <x:c r="L7" s="470" t="n"/>
      <x:c r="M7" s="469" t="n"/>
      <x:c r="N7" s="469" t="n"/>
      <x:c r="O7" s="469" t="n"/>
      <x:c r="P7" s="469" t="n"/>
      <x:c r="Q7" s="469" t="n"/>
      <x:c r="R7" s="469" t="n"/>
      <x:c r="S7" s="469" t="n"/>
      <x:c r="T7" s="469" t="n"/>
      <x:c r="U7" s="469" t="n"/>
      <x:c r="V7" s="470" t="n"/>
      <x:c r="W7" s="469" t="n"/>
    </x:row>
    <x:row r="8" s="36" customFormat="1" ht="42" customHeight="1">
      <x:c r="A8" s="469" t="n"/>
      <x:c r="B8" s="469" t="n"/>
      <x:c r="C8" s="469" t="n"/>
      <x:c r="D8" s="469" t="n"/>
      <x:c r="E8" s="469" t="n"/>
      <x:c r="F8" s="469" t="n"/>
      <x:c r="G8" s="469" t="n"/>
      <x:c r="H8" s="469" t="n"/>
      <x:c r="I8" s="470" t="n"/>
      <x:c r="J8" s="469" t="n"/>
      <x:c r="K8" s="469" t="n"/>
      <x:c r="L8" s="470" t="n"/>
      <x:c r="M8" s="469" t="n"/>
      <x:c r="N8" s="469" t="n"/>
      <x:c r="O8" s="469" t="n"/>
      <x:c r="P8" s="469" t="n"/>
      <x:c r="Q8" s="469" t="n"/>
      <x:c r="R8" s="469" t="n"/>
      <x:c r="S8" s="469" t="n"/>
      <x:c r="T8" s="469" t="n"/>
      <x:c r="U8" s="469" t="n"/>
      <x:c r="V8" s="470" t="n"/>
      <x:c r="W8" s="469" t="n"/>
    </x:row>
    <x:row r="9" s="36" customFormat="1" ht="42" customHeight="1">
      <x:c r="A9" s="469" t="n"/>
      <x:c r="B9" s="469" t="n"/>
      <x:c r="C9" s="469" t="n"/>
      <x:c r="D9" s="469" t="n"/>
      <x:c r="E9" s="469" t="n"/>
      <x:c r="F9" s="469" t="n"/>
      <x:c r="G9" s="469" t="n"/>
      <x:c r="H9" s="469" t="n"/>
      <x:c r="I9" s="470" t="n"/>
      <x:c r="J9" s="469" t="n"/>
      <x:c r="K9" s="469" t="n"/>
      <x:c r="L9" s="470" t="n"/>
      <x:c r="M9" s="469" t="n"/>
      <x:c r="N9" s="469" t="n"/>
      <x:c r="O9" s="469" t="n"/>
      <x:c r="P9" s="469" t="n"/>
      <x:c r="Q9" s="469" t="n"/>
      <x:c r="R9" s="469" t="n"/>
      <x:c r="S9" s="469" t="n"/>
      <x:c r="T9" s="469" t="n"/>
      <x:c r="U9" s="469" t="n"/>
      <x:c r="V9" s="470" t="n"/>
      <x:c r="W9" s="469" t="n"/>
    </x:row>
    <x:row r="10" s="36" customFormat="1" ht="42" customHeight="1">
      <x:c r="A10" s="469" t="n"/>
      <x:c r="B10" s="469" t="n"/>
      <x:c r="C10" s="469" t="n"/>
      <x:c r="D10" s="469" t="n"/>
      <x:c r="E10" s="469" t="n"/>
      <x:c r="F10" s="469" t="n"/>
      <x:c r="G10" s="469" t="n"/>
      <x:c r="H10" s="469" t="n"/>
      <x:c r="I10" s="470" t="n"/>
      <x:c r="J10" s="469" t="n"/>
      <x:c r="K10" s="469" t="n"/>
      <x:c r="L10" s="470" t="n"/>
      <x:c r="M10" s="469" t="n"/>
      <x:c r="N10" s="469" t="n"/>
      <x:c r="O10" s="469" t="n"/>
      <x:c r="P10" s="469" t="n"/>
      <x:c r="Q10" s="469" t="n"/>
      <x:c r="R10" s="469" t="n"/>
      <x:c r="S10" s="469" t="n"/>
      <x:c r="T10" s="469" t="n"/>
      <x:c r="U10" s="469" t="n"/>
      <x:c r="V10" s="470" t="n"/>
      <x:c r="W10" s="469" t="n"/>
    </x:row>
    <x:row r="11" s="36" customFormat="1" ht="42" customHeight="1">
      <x:c r="A11" s="469" t="n"/>
      <x:c r="B11" s="469" t="n"/>
      <x:c r="C11" s="469" t="n"/>
      <x:c r="D11" s="469" t="n"/>
      <x:c r="E11" s="469" t="n"/>
      <x:c r="F11" s="469" t="n"/>
      <x:c r="G11" s="469" t="n"/>
      <x:c r="H11" s="469" t="n"/>
      <x:c r="I11" s="470" t="n"/>
      <x:c r="J11" s="469" t="n"/>
      <x:c r="K11" s="469" t="n"/>
      <x:c r="L11" s="470" t="n"/>
      <x:c r="M11" s="469" t="n"/>
      <x:c r="N11" s="469" t="n"/>
      <x:c r="O11" s="469" t="n"/>
      <x:c r="P11" s="469" t="n"/>
      <x:c r="Q11" s="469" t="n"/>
      <x:c r="R11" s="469" t="n"/>
      <x:c r="S11" s="469" t="n"/>
      <x:c r="T11" s="469" t="n"/>
      <x:c r="U11" s="469" t="n"/>
      <x:c r="V11" s="470" t="n"/>
      <x:c r="W11" s="469" t="n"/>
    </x:row>
    <x:row r="12" s="36" customFormat="1" ht="42" customHeight="1">
      <x:c r="A12" s="469" t="n"/>
      <x:c r="B12" s="469" t="n"/>
      <x:c r="C12" s="469" t="n"/>
      <x:c r="D12" s="469" t="n"/>
      <x:c r="E12" s="469" t="n"/>
      <x:c r="F12" s="469" t="n"/>
      <x:c r="G12" s="469" t="n"/>
      <x:c r="H12" s="469" t="n"/>
      <x:c r="I12" s="470" t="n"/>
      <x:c r="J12" s="469" t="n"/>
      <x:c r="K12" s="469" t="n"/>
      <x:c r="L12" s="470" t="n"/>
      <x:c r="M12" s="469" t="n"/>
      <x:c r="N12" s="469" t="n"/>
      <x:c r="O12" s="469" t="n"/>
      <x:c r="P12" s="469" t="n"/>
      <x:c r="Q12" s="469" t="n"/>
      <x:c r="R12" s="469" t="n"/>
      <x:c r="S12" s="469" t="n"/>
      <x:c r="T12" s="469" t="n"/>
      <x:c r="U12" s="469" t="n"/>
      <x:c r="V12" s="470" t="n"/>
      <x:c r="W12" s="469" t="n"/>
    </x:row>
    <x:row r="13" s="36" customFormat="1" ht="42" customHeight="1">
      <x:c r="A13" s="469" t="n"/>
      <x:c r="B13" s="469" t="n"/>
      <x:c r="C13" s="469" t="n"/>
      <x:c r="D13" s="469" t="n"/>
      <x:c r="E13" s="469" t="n"/>
      <x:c r="F13" s="469" t="n"/>
      <x:c r="G13" s="469" t="n"/>
      <x:c r="H13" s="469" t="n"/>
      <x:c r="I13" s="470" t="n"/>
      <x:c r="J13" s="469" t="n"/>
      <x:c r="K13" s="469" t="n"/>
      <x:c r="L13" s="470" t="n"/>
      <x:c r="M13" s="469" t="n"/>
      <x:c r="N13" s="469" t="n"/>
      <x:c r="O13" s="469" t="n"/>
      <x:c r="P13" s="469" t="n"/>
      <x:c r="Q13" s="469" t="n"/>
      <x:c r="R13" s="469" t="n"/>
      <x:c r="S13" s="469" t="n"/>
      <x:c r="T13" s="469" t="n"/>
      <x:c r="U13" s="469" t="n"/>
      <x:c r="V13" s="470" t="n"/>
      <x:c r="W13" s="469" t="n"/>
    </x:row>
    <x:row r="14" s="36" customFormat="1" ht="42" customHeight="1">
      <x:c r="A14" s="469" t="n"/>
      <x:c r="B14" s="469" t="n"/>
      <x:c r="C14" s="469" t="n"/>
      <x:c r="D14" s="469" t="n"/>
      <x:c r="E14" s="469" t="n"/>
      <x:c r="F14" s="469" t="n"/>
      <x:c r="G14" s="469" t="n"/>
      <x:c r="H14" s="469" t="n"/>
      <x:c r="I14" s="470" t="n"/>
      <x:c r="J14" s="469" t="n"/>
      <x:c r="K14" s="469" t="n"/>
      <x:c r="L14" s="470" t="n"/>
      <x:c r="M14" s="469" t="n"/>
      <x:c r="N14" s="469" t="n"/>
      <x:c r="O14" s="469" t="n"/>
      <x:c r="P14" s="469" t="n"/>
      <x:c r="Q14" s="469" t="n"/>
      <x:c r="R14" s="469" t="n"/>
      <x:c r="S14" s="469" t="n"/>
      <x:c r="T14" s="469" t="n"/>
      <x:c r="U14" s="469" t="n"/>
      <x:c r="V14" s="470" t="n"/>
      <x:c r="W14" s="469" t="n"/>
    </x:row>
    <x:row r="15" s="36" customFormat="1" ht="42" customHeight="1">
      <x:c r="A15" s="469" t="n"/>
      <x:c r="B15" s="469" t="n"/>
      <x:c r="C15" s="469" t="n"/>
      <x:c r="D15" s="469" t="n"/>
      <x:c r="E15" s="469" t="n"/>
      <x:c r="F15" s="469" t="n"/>
      <x:c r="G15" s="469" t="n"/>
      <x:c r="H15" s="469" t="n"/>
      <x:c r="I15" s="470" t="n"/>
      <x:c r="J15" s="469" t="n"/>
      <x:c r="K15" s="469" t="n"/>
      <x:c r="L15" s="470" t="n"/>
      <x:c r="M15" s="469" t="n"/>
      <x:c r="N15" s="469" t="n"/>
      <x:c r="O15" s="469" t="n"/>
      <x:c r="P15" s="469" t="n"/>
      <x:c r="Q15" s="469" t="n"/>
      <x:c r="R15" s="469" t="n"/>
      <x:c r="S15" s="469" t="n"/>
      <x:c r="T15" s="469" t="n"/>
      <x:c r="U15" s="469" t="n"/>
      <x:c r="V15" s="470" t="n"/>
      <x:c r="W15" s="469" t="n"/>
    </x:row>
    <x:row r="16" s="36" customFormat="1" ht="42" customHeight="1">
      <x:c r="A16" s="469" t="n"/>
      <x:c r="B16" s="469" t="n"/>
      <x:c r="C16" s="469" t="n"/>
      <x:c r="D16" s="469" t="n"/>
      <x:c r="E16" s="469" t="n"/>
      <x:c r="F16" s="469" t="n"/>
      <x:c r="G16" s="469" t="n"/>
      <x:c r="H16" s="469" t="n"/>
      <x:c r="I16" s="470" t="n"/>
      <x:c r="J16" s="469" t="n"/>
      <x:c r="K16" s="469" t="n"/>
      <x:c r="L16" s="470" t="n"/>
      <x:c r="M16" s="469" t="n"/>
      <x:c r="N16" s="469" t="n"/>
      <x:c r="O16" s="469" t="n"/>
      <x:c r="P16" s="469" t="n"/>
      <x:c r="Q16" s="469" t="n"/>
      <x:c r="R16" s="469" t="n"/>
      <x:c r="S16" s="469" t="n"/>
      <x:c r="T16" s="469" t="n"/>
      <x:c r="U16" s="469" t="n"/>
      <x:c r="V16" s="470" t="n"/>
      <x:c r="W16" s="469" t="n"/>
    </x:row>
    <x:row r="17" s="36" customFormat="1" ht="42" customHeight="1">
      <x:c r="A17" s="469" t="n"/>
      <x:c r="B17" s="469" t="n"/>
      <x:c r="C17" s="469" t="n"/>
      <x:c r="D17" s="469" t="n"/>
      <x:c r="E17" s="469" t="n"/>
      <x:c r="F17" s="469" t="n"/>
      <x:c r="G17" s="469" t="n"/>
      <x:c r="H17" s="469" t="n"/>
      <x:c r="I17" s="470" t="n"/>
      <x:c r="J17" s="469" t="n"/>
      <x:c r="K17" s="469" t="n"/>
      <x:c r="L17" s="470" t="n"/>
      <x:c r="M17" s="469" t="n"/>
      <x:c r="N17" s="469" t="n"/>
      <x:c r="O17" s="469" t="n"/>
      <x:c r="P17" s="469" t="n"/>
      <x:c r="Q17" s="469" t="n"/>
      <x:c r="R17" s="469" t="n"/>
      <x:c r="S17" s="469" t="n"/>
      <x:c r="T17" s="469" t="n"/>
      <x:c r="U17" s="469" t="n"/>
      <x:c r="V17" s="470" t="n"/>
      <x:c r="W17" s="469" t="n"/>
    </x:row>
    <x:row r="18" s="36" customFormat="1" ht="42" customHeight="1">
      <x:c r="A18" s="469" t="n"/>
      <x:c r="B18" s="469" t="n"/>
      <x:c r="C18" s="469" t="n"/>
      <x:c r="D18" s="469" t="n"/>
      <x:c r="E18" s="469" t="n"/>
      <x:c r="F18" s="469" t="n"/>
      <x:c r="G18" s="469" t="n"/>
      <x:c r="H18" s="469" t="n"/>
      <x:c r="I18" s="470" t="n"/>
      <x:c r="J18" s="469" t="n"/>
      <x:c r="K18" s="469" t="n"/>
      <x:c r="L18" s="470" t="n"/>
      <x:c r="M18" s="469" t="n"/>
      <x:c r="N18" s="469" t="n"/>
      <x:c r="O18" s="469" t="n"/>
      <x:c r="P18" s="469" t="n"/>
      <x:c r="Q18" s="469" t="n"/>
      <x:c r="R18" s="469" t="n"/>
      <x:c r="S18" s="469" t="n"/>
      <x:c r="T18" s="469" t="n"/>
      <x:c r="U18" s="469" t="n"/>
      <x:c r="V18" s="470" t="n"/>
      <x:c r="W18" s="469" t="n"/>
    </x:row>
    <x:row r="19" s="36" customFormat="1" ht="42" customHeight="1">
      <x:c r="A19" s="469" t="n"/>
      <x:c r="B19" s="469" t="n"/>
      <x:c r="C19" s="469" t="n"/>
      <x:c r="D19" s="469" t="n"/>
      <x:c r="E19" s="469" t="n"/>
      <x:c r="F19" s="469" t="n"/>
      <x:c r="G19" s="469" t="n"/>
      <x:c r="H19" s="469" t="n"/>
      <x:c r="I19" s="470" t="n"/>
      <x:c r="J19" s="469" t="n"/>
      <x:c r="K19" s="469" t="n"/>
      <x:c r="L19" s="470" t="n"/>
      <x:c r="M19" s="469" t="n"/>
      <x:c r="N19" s="469" t="n"/>
      <x:c r="O19" s="469" t="n"/>
      <x:c r="P19" s="469" t="n"/>
      <x:c r="Q19" s="469" t="n"/>
      <x:c r="R19" s="469" t="n"/>
      <x:c r="S19" s="469" t="n"/>
      <x:c r="T19" s="469" t="n"/>
      <x:c r="U19" s="469" t="n"/>
      <x:c r="V19" s="470" t="n"/>
      <x:c r="W19" s="469" t="n"/>
    </x:row>
    <x:row r="20" s="36" customFormat="1" ht="42" customHeight="1">
      <x:c r="A20" s="469" t="n"/>
      <x:c r="B20" s="469" t="n"/>
      <x:c r="C20" s="469" t="n"/>
      <x:c r="D20" s="469" t="n"/>
      <x:c r="E20" s="469" t="n"/>
      <x:c r="F20" s="469" t="n"/>
      <x:c r="G20" s="469" t="n"/>
      <x:c r="H20" s="469" t="n"/>
      <x:c r="I20" s="470" t="n"/>
      <x:c r="J20" s="469" t="n"/>
      <x:c r="K20" s="469" t="n"/>
      <x:c r="L20" s="470" t="n"/>
      <x:c r="M20" s="469" t="n"/>
      <x:c r="N20" s="469" t="n"/>
      <x:c r="O20" s="469" t="n"/>
      <x:c r="P20" s="469" t="n"/>
      <x:c r="Q20" s="469" t="n"/>
      <x:c r="R20" s="469" t="n"/>
      <x:c r="S20" s="469" t="n"/>
      <x:c r="T20" s="469" t="n"/>
      <x:c r="U20" s="469" t="n"/>
      <x:c r="V20" s="470" t="n"/>
      <x:c r="W20" s="469" t="n"/>
    </x:row>
    <x:row r="21" s="36" customFormat="1" ht="42" customHeight="1">
      <x:c r="A21" s="469" t="n"/>
      <x:c r="B21" s="469" t="n"/>
      <x:c r="C21" s="469" t="n"/>
      <x:c r="D21" s="469" t="n"/>
      <x:c r="E21" s="469" t="n"/>
      <x:c r="F21" s="469" t="n"/>
      <x:c r="G21" s="469" t="n"/>
      <x:c r="H21" s="469" t="n"/>
      <x:c r="I21" s="470" t="n"/>
      <x:c r="J21" s="469" t="n"/>
      <x:c r="K21" s="469" t="n"/>
      <x:c r="L21" s="470" t="n"/>
      <x:c r="M21" s="469" t="n"/>
      <x:c r="N21" s="469" t="n"/>
      <x:c r="O21" s="469" t="n"/>
      <x:c r="P21" s="469" t="n"/>
      <x:c r="Q21" s="469" t="n"/>
      <x:c r="R21" s="469" t="n"/>
      <x:c r="S21" s="469" t="n"/>
      <x:c r="T21" s="469" t="n"/>
      <x:c r="U21" s="469" t="n"/>
      <x:c r="V21" s="470" t="n"/>
      <x:c r="W21" s="469" t="n"/>
    </x:row>
    <x:row r="22" s="36" customFormat="1" ht="42" customHeight="1">
      <x:c r="A22" s="469" t="n"/>
      <x:c r="B22" s="469" t="n"/>
      <x:c r="C22" s="469" t="n"/>
      <x:c r="D22" s="469" t="n"/>
      <x:c r="E22" s="469" t="n"/>
      <x:c r="F22" s="469" t="n"/>
      <x:c r="G22" s="469" t="n"/>
      <x:c r="H22" s="469" t="n"/>
      <x:c r="I22" s="470" t="n"/>
      <x:c r="J22" s="469" t="n"/>
      <x:c r="K22" s="469" t="n"/>
      <x:c r="L22" s="470" t="n"/>
      <x:c r="M22" s="469" t="n"/>
      <x:c r="N22" s="469" t="n"/>
      <x:c r="O22" s="469" t="n"/>
      <x:c r="P22" s="469" t="n"/>
      <x:c r="Q22" s="469" t="n"/>
      <x:c r="R22" s="469" t="n"/>
      <x:c r="S22" s="469" t="n"/>
      <x:c r="T22" s="469" t="n"/>
      <x:c r="U22" s="469" t="n"/>
      <x:c r="V22" s="470" t="n"/>
      <x:c r="W22" s="469" t="n"/>
    </x:row>
    <x:row r="23" s="36" customFormat="1" ht="42" customHeight="1">
      <x:c r="A23" s="469" t="n"/>
      <x:c r="B23" s="469" t="n"/>
      <x:c r="C23" s="469" t="n"/>
      <x:c r="D23" s="469" t="n"/>
      <x:c r="E23" s="469" t="n"/>
      <x:c r="F23" s="469" t="n"/>
      <x:c r="G23" s="469" t="n"/>
      <x:c r="H23" s="469" t="n"/>
      <x:c r="I23" s="470" t="n"/>
      <x:c r="J23" s="469" t="n"/>
      <x:c r="K23" s="469" t="n"/>
      <x:c r="L23" s="470" t="n"/>
      <x:c r="M23" s="469" t="n"/>
      <x:c r="N23" s="469" t="n"/>
      <x:c r="O23" s="469" t="n"/>
      <x:c r="P23" s="469" t="n"/>
      <x:c r="Q23" s="469" t="n"/>
      <x:c r="R23" s="469" t="n"/>
      <x:c r="S23" s="469" t="n"/>
      <x:c r="T23" s="469" t="n"/>
      <x:c r="U23" s="469" t="n"/>
      <x:c r="V23" s="470" t="n"/>
      <x:c r="W23" s="469" t="n"/>
    </x:row>
    <x:row r="24" s="36" customFormat="1" ht="42" customHeight="1">
      <x:c r="A24" s="469" t="n"/>
      <x:c r="B24" s="469" t="n"/>
      <x:c r="C24" s="469" t="n"/>
      <x:c r="D24" s="469" t="n"/>
      <x:c r="E24" s="469" t="n"/>
      <x:c r="F24" s="469" t="n"/>
      <x:c r="G24" s="469" t="n"/>
      <x:c r="H24" s="469" t="n"/>
      <x:c r="I24" s="470" t="n"/>
      <x:c r="J24" s="469" t="n"/>
      <x:c r="K24" s="469" t="n"/>
      <x:c r="L24" s="470" t="n"/>
      <x:c r="M24" s="469" t="n"/>
      <x:c r="N24" s="469" t="n"/>
      <x:c r="O24" s="469" t="n"/>
      <x:c r="P24" s="469" t="n"/>
      <x:c r="Q24" s="469" t="n"/>
      <x:c r="R24" s="469" t="n"/>
      <x:c r="S24" s="469" t="n"/>
      <x:c r="T24" s="469" t="n"/>
      <x:c r="U24" s="469" t="n"/>
      <x:c r="V24" s="470" t="n"/>
      <x:c r="W24" s="469" t="n"/>
    </x:row>
    <x:row r="25" s="36" customFormat="1" ht="42" customHeight="1">
      <x:c r="A25" s="469" t="n"/>
      <x:c r="B25" s="469" t="n"/>
      <x:c r="C25" s="469" t="n"/>
      <x:c r="D25" s="469" t="n"/>
      <x:c r="E25" s="469" t="n"/>
      <x:c r="F25" s="469" t="n"/>
      <x:c r="G25" s="469" t="n"/>
      <x:c r="H25" s="469" t="n"/>
      <x:c r="I25" s="470" t="n"/>
      <x:c r="J25" s="469" t="n"/>
      <x:c r="K25" s="469" t="n"/>
      <x:c r="L25" s="470" t="n"/>
      <x:c r="M25" s="469" t="n"/>
      <x:c r="N25" s="469" t="n"/>
      <x:c r="O25" s="469" t="n"/>
      <x:c r="P25" s="469" t="n"/>
      <x:c r="Q25" s="469" t="n"/>
      <x:c r="R25" s="469" t="n"/>
      <x:c r="S25" s="469" t="n"/>
      <x:c r="T25" s="469" t="n"/>
      <x:c r="U25" s="469" t="n"/>
      <x:c r="V25" s="470" t="n"/>
      <x:c r="W25" s="469" t="n"/>
    </x:row>
    <x:row r="26" s="36" customFormat="1" ht="42" customHeight="1">
      <x:c r="A26" s="469" t="n"/>
      <x:c r="B26" s="469" t="n"/>
      <x:c r="C26" s="469" t="n"/>
      <x:c r="D26" s="469" t="n"/>
      <x:c r="E26" s="469" t="n"/>
      <x:c r="F26" s="469" t="n"/>
      <x:c r="G26" s="469" t="n"/>
      <x:c r="H26" s="469" t="n"/>
      <x:c r="I26" s="470" t="n"/>
      <x:c r="J26" s="469" t="n"/>
      <x:c r="K26" s="469" t="n"/>
      <x:c r="L26" s="470" t="n"/>
      <x:c r="M26" s="469" t="n"/>
      <x:c r="N26" s="469" t="n"/>
      <x:c r="O26" s="469" t="n"/>
      <x:c r="P26" s="469" t="n"/>
      <x:c r="Q26" s="469" t="n"/>
      <x:c r="R26" s="469" t="n"/>
      <x:c r="S26" s="469" t="n"/>
      <x:c r="T26" s="469" t="n"/>
      <x:c r="U26" s="469" t="n"/>
      <x:c r="V26" s="470" t="n"/>
      <x:c r="W26" s="469" t="n"/>
    </x:row>
    <x:row r="27" s="36" customFormat="1" ht="42" customHeight="1">
      <x:c r="A27" s="469" t="n"/>
      <x:c r="B27" s="469" t="n"/>
      <x:c r="C27" s="469" t="n"/>
      <x:c r="D27" s="469" t="n"/>
      <x:c r="E27" s="469" t="n"/>
      <x:c r="F27" s="469" t="n"/>
      <x:c r="G27" s="469" t="n"/>
      <x:c r="H27" s="469" t="n"/>
      <x:c r="I27" s="470" t="n"/>
      <x:c r="J27" s="469" t="n"/>
      <x:c r="K27" s="469" t="n"/>
      <x:c r="L27" s="470" t="n"/>
      <x:c r="M27" s="469" t="n"/>
      <x:c r="N27" s="469" t="n"/>
      <x:c r="O27" s="469" t="n"/>
      <x:c r="P27" s="469" t="n"/>
      <x:c r="Q27" s="469" t="n"/>
      <x:c r="R27" s="469" t="n"/>
      <x:c r="S27" s="469" t="n"/>
      <x:c r="T27" s="469" t="n"/>
      <x:c r="U27" s="469" t="n"/>
      <x:c r="V27" s="470" t="n"/>
      <x:c r="W27" s="469" t="n"/>
    </x:row>
    <x:row r="28" s="36" customFormat="1" ht="42" customHeight="1">
      <x:c r="A28" s="469" t="n"/>
      <x:c r="B28" s="469" t="n"/>
      <x:c r="C28" s="469" t="n"/>
      <x:c r="D28" s="469" t="n"/>
      <x:c r="E28" s="469" t="n"/>
      <x:c r="F28" s="469" t="n"/>
      <x:c r="G28" s="469" t="n"/>
      <x:c r="H28" s="469" t="n"/>
      <x:c r="I28" s="470" t="n"/>
      <x:c r="J28" s="469" t="n"/>
      <x:c r="K28" s="469" t="n"/>
      <x:c r="L28" s="470" t="n"/>
      <x:c r="M28" s="469" t="n"/>
      <x:c r="N28" s="469" t="n"/>
      <x:c r="O28" s="469" t="n"/>
      <x:c r="P28" s="469" t="n"/>
      <x:c r="Q28" s="469" t="n"/>
      <x:c r="R28" s="469" t="n"/>
      <x:c r="S28" s="469" t="n"/>
      <x:c r="T28" s="469" t="n"/>
      <x:c r="U28" s="469" t="n"/>
      <x:c r="V28" s="470" t="n"/>
      <x:c r="W28" s="469" t="n"/>
    </x:row>
    <x:row r="29" s="36" customFormat="1" ht="42" customHeight="1">
      <x:c r="A29" s="469" t="n"/>
      <x:c r="B29" s="469" t="n"/>
      <x:c r="C29" s="469" t="n"/>
      <x:c r="D29" s="469" t="n"/>
      <x:c r="E29" s="469" t="n"/>
      <x:c r="F29" s="469" t="n"/>
      <x:c r="G29" s="469" t="n"/>
      <x:c r="H29" s="469" t="n"/>
      <x:c r="I29" s="470" t="n"/>
      <x:c r="J29" s="469" t="n"/>
      <x:c r="K29" s="469" t="n"/>
      <x:c r="L29" s="470" t="n"/>
      <x:c r="M29" s="469" t="n"/>
      <x:c r="N29" s="469" t="n"/>
      <x:c r="O29" s="469" t="n"/>
      <x:c r="P29" s="469" t="n"/>
      <x:c r="Q29" s="469" t="n"/>
      <x:c r="R29" s="469" t="n"/>
      <x:c r="S29" s="469" t="n"/>
      <x:c r="T29" s="469" t="n"/>
      <x:c r="U29" s="469" t="n"/>
      <x:c r="V29" s="470" t="n"/>
      <x:c r="W29" s="469" t="n"/>
    </x:row>
    <x:row r="30" s="36" customFormat="1" ht="42" customHeight="1">
      <x:c r="A30" s="469" t="n"/>
      <x:c r="B30" s="469" t="n"/>
      <x:c r="C30" s="469" t="n"/>
      <x:c r="D30" s="469" t="n"/>
      <x:c r="E30" s="469" t="n"/>
      <x:c r="F30" s="469" t="n"/>
      <x:c r="G30" s="469" t="n"/>
      <x:c r="H30" s="469" t="n"/>
      <x:c r="I30" s="470" t="n"/>
      <x:c r="J30" s="469" t="n"/>
      <x:c r="K30" s="469" t="n"/>
      <x:c r="L30" s="470" t="n"/>
      <x:c r="M30" s="469" t="n"/>
      <x:c r="N30" s="469" t="n"/>
      <x:c r="O30" s="469" t="n"/>
      <x:c r="P30" s="469" t="n"/>
      <x:c r="Q30" s="469" t="n"/>
      <x:c r="R30" s="469" t="n"/>
      <x:c r="S30" s="469" t="n"/>
      <x:c r="T30" s="469" t="n"/>
      <x:c r="U30" s="469" t="n"/>
      <x:c r="V30" s="470" t="n"/>
      <x:c r="W30" s="469" t="n"/>
    </x:row>
    <x:row r="31" s="36" customFormat="1" ht="42" customHeight="1">
      <x:c r="A31" s="469" t="n"/>
      <x:c r="B31" s="469" t="n"/>
      <x:c r="C31" s="469" t="n"/>
      <x:c r="D31" s="469" t="n"/>
      <x:c r="E31" s="469" t="n"/>
      <x:c r="F31" s="469" t="n"/>
      <x:c r="G31" s="469" t="n"/>
      <x:c r="H31" s="469" t="n"/>
      <x:c r="I31" s="470" t="n"/>
      <x:c r="J31" s="469" t="n"/>
      <x:c r="K31" s="469" t="n"/>
      <x:c r="L31" s="470" t="n"/>
      <x:c r="M31" s="469" t="n"/>
      <x:c r="N31" s="469" t="n"/>
      <x:c r="O31" s="469" t="n"/>
      <x:c r="P31" s="469" t="n"/>
      <x:c r="Q31" s="469" t="n"/>
      <x:c r="R31" s="469" t="n"/>
      <x:c r="S31" s="469" t="n"/>
      <x:c r="T31" s="469" t="n"/>
      <x:c r="U31" s="469" t="n"/>
      <x:c r="V31" s="470" t="n"/>
      <x:c r="W31" s="469" t="n"/>
    </x:row>
    <x:row r="32" s="36" customFormat="1" ht="42" customHeight="1">
      <x:c r="A32" s="469" t="n"/>
      <x:c r="B32" s="469" t="n"/>
      <x:c r="C32" s="469" t="n"/>
      <x:c r="D32" s="469" t="n"/>
      <x:c r="E32" s="469" t="n"/>
      <x:c r="F32" s="469" t="n"/>
      <x:c r="G32" s="469" t="n"/>
      <x:c r="H32" s="469" t="n"/>
      <x:c r="I32" s="470" t="n"/>
      <x:c r="J32" s="469" t="n"/>
      <x:c r="K32" s="469" t="n"/>
      <x:c r="L32" s="470" t="n"/>
      <x:c r="M32" s="469" t="n"/>
      <x:c r="N32" s="469" t="n"/>
      <x:c r="O32" s="469" t="n"/>
      <x:c r="P32" s="469" t="n"/>
      <x:c r="Q32" s="469" t="n"/>
      <x:c r="R32" s="469" t="n"/>
      <x:c r="S32" s="469" t="n"/>
      <x:c r="T32" s="469" t="n"/>
      <x:c r="U32" s="469" t="n"/>
      <x:c r="V32" s="470" t="n"/>
      <x:c r="W32" s="469" t="n"/>
    </x:row>
    <x:row r="33" s="36" customFormat="1" ht="42" customHeight="1">
      <x:c r="A33" s="469" t="n"/>
      <x:c r="B33" s="469" t="n"/>
      <x:c r="C33" s="469" t="n"/>
      <x:c r="D33" s="469" t="n"/>
      <x:c r="E33" s="469" t="n"/>
      <x:c r="F33" s="469" t="n"/>
      <x:c r="G33" s="469" t="n"/>
      <x:c r="H33" s="469" t="n"/>
      <x:c r="I33" s="470" t="n"/>
      <x:c r="J33" s="469" t="n"/>
      <x:c r="K33" s="469" t="n"/>
      <x:c r="L33" s="470" t="n"/>
      <x:c r="M33" s="469" t="n"/>
      <x:c r="N33" s="469" t="n"/>
      <x:c r="O33" s="469" t="n"/>
      <x:c r="P33" s="469" t="n"/>
      <x:c r="Q33" s="469" t="n"/>
      <x:c r="R33" s="469" t="n"/>
      <x:c r="S33" s="469" t="n"/>
      <x:c r="T33" s="469" t="n"/>
      <x:c r="U33" s="469" t="n"/>
      <x:c r="V33" s="470" t="n"/>
      <x:c r="W33" s="469" t="n"/>
    </x:row>
    <x:row r="34" s="36" customFormat="1" ht="42" customHeight="1">
      <x:c r="A34" s="469" t="n"/>
      <x:c r="B34" s="469" t="n"/>
      <x:c r="C34" s="469" t="n"/>
      <x:c r="D34" s="469" t="n"/>
      <x:c r="E34" s="469" t="n"/>
      <x:c r="F34" s="469" t="n"/>
      <x:c r="G34" s="469" t="n"/>
      <x:c r="H34" s="469" t="n"/>
      <x:c r="I34" s="470" t="n"/>
      <x:c r="J34" s="469" t="n"/>
      <x:c r="K34" s="469" t="n"/>
      <x:c r="L34" s="470" t="n"/>
      <x:c r="M34" s="469" t="n"/>
      <x:c r="N34" s="469" t="n"/>
      <x:c r="O34" s="469" t="n"/>
      <x:c r="P34" s="469" t="n"/>
      <x:c r="Q34" s="469" t="n"/>
      <x:c r="R34" s="469" t="n"/>
      <x:c r="S34" s="469" t="n"/>
      <x:c r="T34" s="469" t="n"/>
      <x:c r="U34" s="469" t="n"/>
      <x:c r="V34" s="470" t="n"/>
      <x:c r="W34" s="469" t="n"/>
    </x:row>
    <x:row r="35" s="36" customFormat="1" ht="42" customHeight="1">
      <x:c r="A35" s="469" t="n"/>
      <x:c r="B35" s="469" t="n"/>
      <x:c r="C35" s="469" t="n"/>
      <x:c r="D35" s="469" t="n"/>
      <x:c r="E35" s="469" t="n"/>
      <x:c r="F35" s="469" t="n"/>
      <x:c r="G35" s="469" t="n"/>
      <x:c r="H35" s="469" t="n"/>
      <x:c r="I35" s="470" t="n"/>
      <x:c r="J35" s="469" t="n"/>
      <x:c r="K35" s="469" t="n"/>
      <x:c r="L35" s="470" t="n"/>
      <x:c r="M35" s="469" t="n"/>
      <x:c r="N35" s="469" t="n"/>
      <x:c r="O35" s="469" t="n"/>
      <x:c r="P35" s="469" t="n"/>
      <x:c r="Q35" s="469" t="n"/>
      <x:c r="R35" s="469" t="n"/>
      <x:c r="S35" s="469" t="n"/>
      <x:c r="T35" s="469" t="n"/>
      <x:c r="U35" s="469" t="n"/>
      <x:c r="V35" s="470" t="n"/>
      <x:c r="W35" s="469" t="n"/>
    </x:row>
    <x:row r="36" s="36" customFormat="1" ht="42" customHeight="1">
      <x:c r="A36" s="469" t="n"/>
      <x:c r="B36" s="469" t="n"/>
      <x:c r="C36" s="469" t="n"/>
      <x:c r="D36" s="469" t="n"/>
      <x:c r="E36" s="469" t="n"/>
      <x:c r="F36" s="469" t="n"/>
      <x:c r="G36" s="469" t="n"/>
      <x:c r="H36" s="469" t="n"/>
      <x:c r="I36" s="470" t="n"/>
      <x:c r="J36" s="469" t="n"/>
      <x:c r="K36" s="469" t="n"/>
      <x:c r="L36" s="470" t="n"/>
      <x:c r="M36" s="469" t="n"/>
      <x:c r="N36" s="469" t="n"/>
      <x:c r="O36" s="469" t="n"/>
      <x:c r="P36" s="469" t="n"/>
      <x:c r="Q36" s="469" t="n"/>
      <x:c r="R36" s="469" t="n"/>
      <x:c r="S36" s="469" t="n"/>
      <x:c r="T36" s="469" t="n"/>
      <x:c r="U36" s="469" t="n"/>
      <x:c r="V36" s="470" t="n"/>
      <x:c r="W36" s="469" t="n"/>
    </x:row>
    <x:row r="37" s="36" customFormat="1" ht="42" customHeight="1">
      <x:c r="A37" s="469" t="n"/>
      <x:c r="B37" s="469" t="n"/>
      <x:c r="C37" s="469" t="n"/>
      <x:c r="D37" s="469" t="n"/>
      <x:c r="E37" s="469" t="n"/>
      <x:c r="F37" s="469" t="n"/>
      <x:c r="G37" s="469" t="n"/>
      <x:c r="H37" s="469" t="n"/>
      <x:c r="I37" s="470" t="n"/>
      <x:c r="J37" s="469" t="n"/>
      <x:c r="K37" s="469" t="n"/>
      <x:c r="L37" s="470" t="n"/>
      <x:c r="M37" s="469" t="n"/>
      <x:c r="N37" s="469" t="n"/>
      <x:c r="O37" s="469" t="n"/>
      <x:c r="P37" s="469" t="n"/>
      <x:c r="Q37" s="469" t="n"/>
      <x:c r="R37" s="469" t="n"/>
      <x:c r="S37" s="469" t="n"/>
      <x:c r="T37" s="469" t="n"/>
      <x:c r="U37" s="469" t="n"/>
      <x:c r="V37" s="470" t="n"/>
      <x:c r="W37" s="469" t="n"/>
    </x:row>
    <x:row r="38" s="36" customFormat="1" ht="42" customHeight="1">
      <x:c r="A38" s="469" t="n"/>
      <x:c r="B38" s="469" t="n"/>
      <x:c r="C38" s="469" t="n"/>
      <x:c r="D38" s="469" t="n"/>
      <x:c r="E38" s="469" t="n"/>
      <x:c r="F38" s="469" t="n"/>
      <x:c r="G38" s="469" t="n"/>
      <x:c r="H38" s="469" t="n"/>
      <x:c r="I38" s="470" t="n"/>
      <x:c r="J38" s="469" t="n"/>
      <x:c r="K38" s="469" t="n"/>
      <x:c r="L38" s="470" t="n"/>
      <x:c r="M38" s="469" t="n"/>
      <x:c r="N38" s="469" t="n"/>
      <x:c r="O38" s="469" t="n"/>
      <x:c r="P38" s="469" t="n"/>
      <x:c r="Q38" s="469" t="n"/>
      <x:c r="R38" s="469" t="n"/>
      <x:c r="S38" s="469" t="n"/>
      <x:c r="T38" s="469" t="n"/>
      <x:c r="U38" s="469" t="n"/>
      <x:c r="V38" s="470" t="n"/>
      <x:c r="W38" s="469" t="n"/>
    </x:row>
    <x:row r="39" s="36" customFormat="1" ht="42" customHeight="1">
      <x:c r="A39" s="469" t="n"/>
      <x:c r="B39" s="469" t="n"/>
      <x:c r="C39" s="469" t="n"/>
      <x:c r="D39" s="469" t="n"/>
      <x:c r="E39" s="469" t="n"/>
      <x:c r="F39" s="469" t="n"/>
      <x:c r="G39" s="469" t="n"/>
      <x:c r="H39" s="469" t="n"/>
      <x:c r="I39" s="470" t="n"/>
      <x:c r="J39" s="469" t="n"/>
      <x:c r="K39" s="469" t="n"/>
      <x:c r="L39" s="470" t="n"/>
      <x:c r="M39" s="469" t="n"/>
      <x:c r="N39" s="469" t="n"/>
      <x:c r="O39" s="469" t="n"/>
      <x:c r="P39" s="469" t="n"/>
      <x:c r="Q39" s="469" t="n"/>
      <x:c r="R39" s="469" t="n"/>
      <x:c r="S39" s="469" t="n"/>
      <x:c r="T39" s="469" t="n"/>
      <x:c r="U39" s="469" t="n"/>
      <x:c r="V39" s="470" t="n"/>
      <x:c r="W39" s="469" t="n"/>
    </x:row>
    <x:row r="40" s="36" customFormat="1" ht="42" customHeight="1">
      <x:c r="A40" s="469" t="n"/>
      <x:c r="B40" s="469" t="n"/>
      <x:c r="C40" s="469" t="n"/>
      <x:c r="D40" s="469" t="n"/>
      <x:c r="E40" s="469" t="n"/>
      <x:c r="F40" s="469" t="n"/>
      <x:c r="G40" s="469" t="n"/>
      <x:c r="H40" s="469" t="n"/>
      <x:c r="I40" s="470" t="n"/>
      <x:c r="J40" s="469" t="n"/>
      <x:c r="K40" s="469" t="n"/>
      <x:c r="L40" s="470" t="n"/>
      <x:c r="M40" s="469" t="n"/>
      <x:c r="N40" s="469" t="n"/>
      <x:c r="O40" s="469" t="n"/>
      <x:c r="P40" s="469" t="n"/>
      <x:c r="Q40" s="469" t="n"/>
      <x:c r="R40" s="469" t="n"/>
      <x:c r="S40" s="469" t="n"/>
      <x:c r="T40" s="469" t="n"/>
      <x:c r="U40" s="469" t="n"/>
      <x:c r="V40" s="470" t="n"/>
      <x:c r="W40" s="469" t="n"/>
    </x:row>
    <x:row r="41" s="36" customFormat="1" ht="42" customHeight="1">
      <x:c r="A41" s="469" t="n"/>
      <x:c r="B41" s="469" t="n"/>
      <x:c r="C41" s="469" t="n"/>
      <x:c r="D41" s="469" t="n"/>
      <x:c r="E41" s="469" t="n"/>
      <x:c r="F41" s="469" t="n"/>
      <x:c r="G41" s="469" t="n"/>
      <x:c r="H41" s="469" t="n"/>
      <x:c r="I41" s="470" t="n"/>
      <x:c r="J41" s="469" t="n"/>
      <x:c r="K41" s="469" t="n"/>
      <x:c r="L41" s="470" t="n"/>
      <x:c r="M41" s="469" t="n"/>
      <x:c r="N41" s="469" t="n"/>
      <x:c r="O41" s="469" t="n"/>
      <x:c r="P41" s="469" t="n"/>
      <x:c r="Q41" s="469" t="n"/>
      <x:c r="R41" s="469" t="n"/>
      <x:c r="S41" s="469" t="n"/>
      <x:c r="T41" s="469" t="n"/>
      <x:c r="U41" s="469" t="n"/>
      <x:c r="V41" s="470" t="n"/>
      <x:c r="W41" s="469" t="n"/>
    </x:row>
    <x:row r="42" s="36" customFormat="1" ht="42" customHeight="1">
      <x:c r="A42" s="469" t="n"/>
      <x:c r="B42" s="469" t="n"/>
      <x:c r="C42" s="469" t="n"/>
      <x:c r="D42" s="469" t="n"/>
      <x:c r="E42" s="469" t="n"/>
      <x:c r="F42" s="469" t="n"/>
      <x:c r="G42" s="469" t="n"/>
      <x:c r="H42" s="469" t="n"/>
      <x:c r="I42" s="470" t="n"/>
      <x:c r="J42" s="469" t="n"/>
      <x:c r="K42" s="469" t="n"/>
      <x:c r="L42" s="470" t="n"/>
      <x:c r="M42" s="469" t="n"/>
      <x:c r="N42" s="469" t="n"/>
      <x:c r="O42" s="469" t="n"/>
      <x:c r="P42" s="469" t="n"/>
      <x:c r="Q42" s="469" t="n"/>
      <x:c r="R42" s="469" t="n"/>
      <x:c r="S42" s="469" t="n"/>
      <x:c r="T42" s="469" t="n"/>
      <x:c r="U42" s="469" t="n"/>
      <x:c r="V42" s="470" t="n"/>
      <x:c r="W42" s="469" t="n"/>
    </x:row>
    <x:row r="43" s="36" customFormat="1" ht="42" customHeight="1">
      <x:c r="A43" s="469" t="n"/>
      <x:c r="B43" s="469" t="n"/>
      <x:c r="C43" s="469" t="n"/>
      <x:c r="D43" s="469" t="n"/>
      <x:c r="E43" s="469" t="n"/>
      <x:c r="F43" s="469" t="n"/>
      <x:c r="G43" s="469" t="n"/>
      <x:c r="H43" s="469" t="n"/>
      <x:c r="I43" s="470" t="n"/>
      <x:c r="J43" s="469" t="n"/>
      <x:c r="K43" s="469" t="n"/>
      <x:c r="L43" s="470" t="n"/>
      <x:c r="M43" s="469" t="n"/>
      <x:c r="N43" s="469" t="n"/>
      <x:c r="O43" s="469" t="n"/>
      <x:c r="P43" s="469" t="n"/>
      <x:c r="Q43" s="469" t="n"/>
      <x:c r="R43" s="469" t="n"/>
      <x:c r="S43" s="469" t="n"/>
      <x:c r="T43" s="469" t="n"/>
      <x:c r="U43" s="469" t="n"/>
      <x:c r="V43" s="470" t="n"/>
      <x:c r="W43" s="469" t="n"/>
    </x:row>
    <x:row r="44" s="36" customFormat="1" ht="42" customHeight="1">
      <x:c r="A44" s="469" t="n"/>
      <x:c r="B44" s="469" t="n"/>
      <x:c r="C44" s="469" t="n"/>
      <x:c r="D44" s="469" t="n"/>
      <x:c r="E44" s="469" t="n"/>
      <x:c r="F44" s="469" t="n"/>
      <x:c r="G44" s="469" t="n"/>
      <x:c r="H44" s="469" t="n"/>
      <x:c r="I44" s="470" t="n"/>
      <x:c r="J44" s="469" t="n"/>
      <x:c r="K44" s="469" t="n"/>
      <x:c r="L44" s="470" t="n"/>
      <x:c r="M44" s="469" t="n"/>
      <x:c r="N44" s="469" t="n"/>
      <x:c r="O44" s="469" t="n"/>
      <x:c r="P44" s="469" t="n"/>
      <x:c r="Q44" s="469" t="n"/>
      <x:c r="R44" s="469" t="n"/>
      <x:c r="S44" s="469" t="n"/>
      <x:c r="T44" s="469" t="n"/>
      <x:c r="U44" s="469" t="n"/>
      <x:c r="V44" s="470" t="n"/>
      <x:c r="W44" s="469" t="n"/>
    </x:row>
    <x:row r="45" s="36" customFormat="1" ht="42" customHeight="1">
      <x:c r="A45" s="469" t="n"/>
      <x:c r="B45" s="469" t="n"/>
      <x:c r="C45" s="469" t="n"/>
      <x:c r="D45" s="469" t="n"/>
      <x:c r="E45" s="469" t="n"/>
      <x:c r="F45" s="469" t="n"/>
      <x:c r="G45" s="469" t="n"/>
      <x:c r="H45" s="469" t="n"/>
      <x:c r="I45" s="470" t="n"/>
      <x:c r="J45" s="469" t="n"/>
      <x:c r="K45" s="469" t="n"/>
      <x:c r="L45" s="470" t="n"/>
      <x:c r="M45" s="469" t="n"/>
      <x:c r="N45" s="469" t="n"/>
      <x:c r="O45" s="469" t="n"/>
      <x:c r="P45" s="469" t="n"/>
      <x:c r="Q45" s="469" t="n"/>
      <x:c r="R45" s="469" t="n"/>
      <x:c r="S45" s="469" t="n"/>
      <x:c r="T45" s="469" t="n"/>
      <x:c r="U45" s="469" t="n"/>
      <x:c r="V45" s="470" t="n"/>
      <x:c r="W45" s="469" t="n"/>
    </x:row>
    <x:row r="46" s="36" customFormat="1" ht="42" customHeight="1">
      <x:c r="A46" s="469" t="n"/>
      <x:c r="B46" s="469" t="n"/>
      <x:c r="C46" s="469" t="n"/>
      <x:c r="D46" s="469" t="n"/>
      <x:c r="E46" s="469" t="n"/>
      <x:c r="F46" s="469" t="n"/>
      <x:c r="G46" s="469" t="n"/>
      <x:c r="H46" s="469" t="n"/>
      <x:c r="I46" s="470" t="n"/>
      <x:c r="J46" s="469" t="n"/>
      <x:c r="K46" s="469" t="n"/>
      <x:c r="L46" s="470" t="n"/>
      <x:c r="M46" s="469" t="n"/>
      <x:c r="N46" s="469" t="n"/>
      <x:c r="O46" s="469" t="n"/>
      <x:c r="P46" s="469" t="n"/>
      <x:c r="Q46" s="469" t="n"/>
      <x:c r="R46" s="469" t="n"/>
      <x:c r="S46" s="469" t="n"/>
      <x:c r="T46" s="469" t="n"/>
      <x:c r="U46" s="469" t="n"/>
      <x:c r="V46" s="470" t="n"/>
      <x:c r="W46" s="469" t="n"/>
    </x:row>
    <x:row r="47" s="36" customFormat="1" ht="42" customHeight="1">
      <x:c r="A47" s="469" t="n"/>
      <x:c r="B47" s="469" t="n"/>
      <x:c r="C47" s="469" t="n"/>
      <x:c r="D47" s="469" t="n"/>
      <x:c r="E47" s="469" t="n"/>
      <x:c r="F47" s="469" t="n"/>
      <x:c r="G47" s="469" t="n"/>
      <x:c r="H47" s="469" t="n"/>
      <x:c r="I47" s="470" t="n"/>
      <x:c r="J47" s="469" t="n"/>
      <x:c r="K47" s="469" t="n"/>
      <x:c r="L47" s="470" t="n"/>
      <x:c r="M47" s="469" t="n"/>
      <x:c r="N47" s="469" t="n"/>
      <x:c r="O47" s="469" t="n"/>
      <x:c r="P47" s="469" t="n"/>
      <x:c r="Q47" s="469" t="n"/>
      <x:c r="R47" s="469" t="n"/>
      <x:c r="S47" s="469" t="n"/>
      <x:c r="T47" s="469" t="n"/>
      <x:c r="U47" s="469" t="n"/>
      <x:c r="V47" s="470" t="n"/>
      <x:c r="W47" s="469" t="n"/>
    </x:row>
    <x:row r="48" s="36" customFormat="1" ht="42" customHeight="1">
      <x:c r="A48" s="469" t="n"/>
      <x:c r="B48" s="469" t="n"/>
      <x:c r="C48" s="469" t="n"/>
      <x:c r="D48" s="469" t="n"/>
      <x:c r="E48" s="469" t="n"/>
      <x:c r="F48" s="469" t="n"/>
      <x:c r="G48" s="469" t="n"/>
      <x:c r="H48" s="469" t="n"/>
      <x:c r="I48" s="470" t="n"/>
      <x:c r="J48" s="469" t="n"/>
      <x:c r="K48" s="469" t="n"/>
      <x:c r="L48" s="470" t="n"/>
      <x:c r="M48" s="469" t="n"/>
      <x:c r="N48" s="469" t="n"/>
      <x:c r="O48" s="469" t="n"/>
      <x:c r="P48" s="469" t="n"/>
      <x:c r="Q48" s="469" t="n"/>
      <x:c r="R48" s="469" t="n"/>
      <x:c r="S48" s="469" t="n"/>
      <x:c r="T48" s="469" t="n"/>
      <x:c r="U48" s="469" t="n"/>
      <x:c r="V48" s="470" t="n"/>
      <x:c r="W48" s="469" t="n"/>
    </x:row>
    <x:row r="49" s="36" customFormat="1" ht="42" customHeight="1">
      <x:c r="A49" s="469" t="n"/>
      <x:c r="B49" s="469" t="n"/>
      <x:c r="C49" s="469" t="n"/>
      <x:c r="D49" s="469" t="n"/>
      <x:c r="E49" s="469" t="n"/>
      <x:c r="F49" s="469" t="n"/>
      <x:c r="G49" s="469" t="n"/>
      <x:c r="H49" s="469" t="n"/>
      <x:c r="I49" s="470" t="n"/>
      <x:c r="J49" s="469" t="n"/>
      <x:c r="K49" s="469" t="n"/>
      <x:c r="L49" s="470" t="n"/>
      <x:c r="M49" s="469" t="n"/>
      <x:c r="N49" s="469" t="n"/>
      <x:c r="O49" s="469" t="n"/>
      <x:c r="P49" s="469" t="n"/>
      <x:c r="Q49" s="469" t="n"/>
      <x:c r="R49" s="469" t="n"/>
      <x:c r="S49" s="469" t="n"/>
      <x:c r="T49" s="469" t="n"/>
      <x:c r="U49" s="469" t="n"/>
      <x:c r="V49" s="470" t="n"/>
      <x:c r="W49" s="469" t="n"/>
    </x:row>
    <x:row r="50" s="36" customFormat="1" ht="42" customHeight="1">
      <x:c r="A50" s="469" t="n"/>
      <x:c r="B50" s="469" t="n"/>
      <x:c r="C50" s="469" t="n"/>
      <x:c r="D50" s="469" t="n"/>
      <x:c r="E50" s="469" t="n"/>
      <x:c r="F50" s="469" t="n"/>
      <x:c r="G50" s="469" t="n"/>
      <x:c r="H50" s="469" t="n"/>
      <x:c r="I50" s="470" t="n"/>
      <x:c r="J50" s="469" t="n"/>
      <x:c r="K50" s="469" t="n"/>
      <x:c r="L50" s="470" t="n"/>
      <x:c r="M50" s="469" t="n"/>
      <x:c r="N50" s="469" t="n"/>
      <x:c r="O50" s="469" t="n"/>
      <x:c r="P50" s="469" t="n"/>
      <x:c r="Q50" s="469" t="n"/>
      <x:c r="R50" s="469" t="n"/>
      <x:c r="S50" s="469" t="n"/>
      <x:c r="T50" s="469" t="n"/>
      <x:c r="U50" s="469" t="n"/>
      <x:c r="V50" s="470" t="n"/>
      <x:c r="W50" s="469" t="n"/>
    </x:row>
    <x:row r="51" s="36" customFormat="1" ht="42" customHeight="1">
      <x:c r="A51" s="469" t="n"/>
      <x:c r="B51" s="469" t="n"/>
      <x:c r="C51" s="469" t="n"/>
      <x:c r="D51" s="469" t="n"/>
      <x:c r="E51" s="469" t="n"/>
      <x:c r="F51" s="469" t="n"/>
      <x:c r="G51" s="469" t="n"/>
      <x:c r="H51" s="469" t="n"/>
      <x:c r="I51" s="470" t="n"/>
      <x:c r="J51" s="469" t="n"/>
      <x:c r="K51" s="469" t="n"/>
      <x:c r="L51" s="470" t="n"/>
      <x:c r="M51" s="469" t="n"/>
      <x:c r="N51" s="469" t="n"/>
      <x:c r="O51" s="469" t="n"/>
      <x:c r="P51" s="469" t="n"/>
      <x:c r="Q51" s="469" t="n"/>
      <x:c r="R51" s="469" t="n"/>
      <x:c r="S51" s="469" t="n"/>
      <x:c r="T51" s="469" t="n"/>
      <x:c r="U51" s="469" t="n"/>
      <x:c r="V51" s="470" t="n"/>
      <x:c r="W51" s="469" t="n"/>
    </x:row>
    <x:row r="52" s="36" customFormat="1" ht="42" customHeight="1">
      <x:c r="A52" s="469" t="n"/>
      <x:c r="B52" s="469" t="n"/>
      <x:c r="C52" s="469" t="n"/>
      <x:c r="D52" s="469" t="n"/>
      <x:c r="E52" s="469" t="n"/>
      <x:c r="F52" s="469" t="n"/>
      <x:c r="G52" s="469" t="n"/>
      <x:c r="H52" s="469" t="n"/>
      <x:c r="I52" s="470" t="n"/>
      <x:c r="J52" s="469" t="n"/>
      <x:c r="K52" s="469" t="n"/>
      <x:c r="L52" s="470" t="n"/>
      <x:c r="M52" s="469" t="n"/>
      <x:c r="N52" s="469" t="n"/>
      <x:c r="O52" s="469" t="n"/>
      <x:c r="P52" s="469" t="n"/>
      <x:c r="Q52" s="469" t="n"/>
      <x:c r="R52" s="469" t="n"/>
      <x:c r="S52" s="469" t="n"/>
      <x:c r="T52" s="469" t="n"/>
      <x:c r="U52" s="469" t="n"/>
      <x:c r="V52" s="470" t="n"/>
      <x:c r="W52" s="469" t="n"/>
    </x:row>
    <x:row r="53" s="36" customFormat="1" ht="42" customHeight="1">
      <x:c r="A53" s="469" t="n"/>
      <x:c r="B53" s="469" t="n"/>
      <x:c r="C53" s="469" t="n"/>
      <x:c r="D53" s="469" t="n"/>
      <x:c r="E53" s="469" t="n"/>
      <x:c r="F53" s="469" t="n"/>
      <x:c r="G53" s="469" t="n"/>
      <x:c r="H53" s="469" t="n"/>
      <x:c r="I53" s="470" t="n"/>
      <x:c r="J53" s="469" t="n"/>
      <x:c r="K53" s="469" t="n"/>
      <x:c r="L53" s="470" t="n"/>
      <x:c r="M53" s="469" t="n"/>
      <x:c r="N53" s="469" t="n"/>
      <x:c r="O53" s="469" t="n"/>
      <x:c r="P53" s="469" t="n"/>
      <x:c r="Q53" s="469" t="n"/>
      <x:c r="R53" s="469" t="n"/>
      <x:c r="S53" s="469" t="n"/>
      <x:c r="T53" s="469" t="n"/>
      <x:c r="U53" s="469" t="n"/>
      <x:c r="V53" s="470" t="n"/>
      <x:c r="W53" s="469" t="n"/>
    </x:row>
    <x:row r="54" s="36" customFormat="1" ht="42" customHeight="1">
      <x:c r="A54" s="469" t="n"/>
      <x:c r="B54" s="469" t="n"/>
      <x:c r="C54" s="469" t="n"/>
      <x:c r="D54" s="469" t="n"/>
      <x:c r="E54" s="469" t="n"/>
      <x:c r="F54" s="469" t="n"/>
      <x:c r="G54" s="469" t="n"/>
      <x:c r="H54" s="469" t="n"/>
      <x:c r="I54" s="470" t="n"/>
      <x:c r="J54" s="469" t="n"/>
      <x:c r="K54" s="469" t="n"/>
      <x:c r="L54" s="470" t="n"/>
      <x:c r="M54" s="469" t="n"/>
      <x:c r="N54" s="469" t="n"/>
      <x:c r="O54" s="469" t="n"/>
      <x:c r="P54" s="469" t="n"/>
      <x:c r="Q54" s="469" t="n"/>
      <x:c r="R54" s="469" t="n"/>
      <x:c r="S54" s="469" t="n"/>
      <x:c r="T54" s="469" t="n"/>
      <x:c r="U54" s="469" t="n"/>
      <x:c r="V54" s="470" t="n"/>
      <x:c r="W54" s="469" t="n"/>
    </x:row>
    <x:row r="55" s="36" customFormat="1" ht="42" customHeight="1">
      <x:c r="A55" s="469" t="n"/>
      <x:c r="B55" s="469" t="n"/>
      <x:c r="C55" s="469" t="n"/>
      <x:c r="D55" s="469" t="n"/>
      <x:c r="E55" s="469" t="n"/>
      <x:c r="F55" s="469" t="n"/>
      <x:c r="G55" s="469" t="n"/>
      <x:c r="H55" s="469" t="n"/>
      <x:c r="I55" s="470" t="n"/>
      <x:c r="J55" s="469" t="n"/>
      <x:c r="K55" s="469" t="n"/>
      <x:c r="L55" s="470" t="n"/>
      <x:c r="M55" s="469" t="n"/>
      <x:c r="N55" s="469" t="n"/>
      <x:c r="O55" s="469" t="n"/>
      <x:c r="P55" s="469" t="n"/>
      <x:c r="Q55" s="469" t="n"/>
      <x:c r="R55" s="469" t="n"/>
      <x:c r="S55" s="469" t="n"/>
      <x:c r="T55" s="469" t="n"/>
      <x:c r="U55" s="469" t="n"/>
      <x:c r="V55" s="470" t="n"/>
      <x:c r="W55" s="469" t="n"/>
    </x:row>
    <x:row r="56" s="36" customFormat="1" ht="42" customHeight="1">
      <x:c r="A56" s="469" t="n"/>
      <x:c r="B56" s="469" t="n"/>
      <x:c r="C56" s="469" t="n"/>
      <x:c r="D56" s="469" t="n"/>
      <x:c r="E56" s="469" t="n"/>
      <x:c r="F56" s="469" t="n"/>
      <x:c r="G56" s="469" t="n"/>
      <x:c r="H56" s="469" t="n"/>
      <x:c r="I56" s="470" t="n"/>
      <x:c r="J56" s="469" t="n"/>
      <x:c r="K56" s="469" t="n"/>
      <x:c r="L56" s="470" t="n"/>
      <x:c r="M56" s="469" t="n"/>
      <x:c r="N56" s="469" t="n"/>
      <x:c r="O56" s="469" t="n"/>
      <x:c r="P56" s="469" t="n"/>
      <x:c r="Q56" s="469" t="n"/>
      <x:c r="R56" s="469" t="n"/>
      <x:c r="S56" s="469" t="n"/>
      <x:c r="T56" s="469" t="n"/>
      <x:c r="U56" s="469" t="n"/>
      <x:c r="V56" s="470" t="n"/>
      <x:c r="W56" s="469" t="n"/>
    </x:row>
    <x:row r="57" s="36" customFormat="1" ht="42" customHeight="1">
      <x:c r="A57" s="469" t="n"/>
      <x:c r="B57" s="469" t="n"/>
      <x:c r="C57" s="469" t="n"/>
      <x:c r="D57" s="469" t="n"/>
      <x:c r="E57" s="469" t="n"/>
      <x:c r="F57" s="469" t="n"/>
      <x:c r="G57" s="469" t="n"/>
      <x:c r="H57" s="469" t="n"/>
      <x:c r="I57" s="470" t="n"/>
      <x:c r="J57" s="469" t="n"/>
      <x:c r="K57" s="469" t="n"/>
      <x:c r="L57" s="470" t="n"/>
      <x:c r="M57" s="469" t="n"/>
      <x:c r="N57" s="469" t="n"/>
      <x:c r="O57" s="469" t="n"/>
      <x:c r="P57" s="469" t="n"/>
      <x:c r="Q57" s="469" t="n"/>
      <x:c r="R57" s="469" t="n"/>
      <x:c r="S57" s="469" t="n"/>
      <x:c r="T57" s="469" t="n"/>
      <x:c r="U57" s="469" t="n"/>
      <x:c r="V57" s="470" t="n"/>
      <x:c r="W57" s="469" t="n"/>
    </x:row>
    <x:row r="58" s="36" customFormat="1" ht="42" customHeight="1">
      <x:c r="A58" s="469" t="n"/>
      <x:c r="B58" s="469" t="n"/>
      <x:c r="C58" s="469" t="n"/>
      <x:c r="D58" s="469" t="n"/>
      <x:c r="E58" s="469" t="n"/>
      <x:c r="F58" s="469" t="n"/>
      <x:c r="G58" s="469" t="n"/>
      <x:c r="H58" s="469" t="n"/>
      <x:c r="I58" s="470" t="n"/>
      <x:c r="J58" s="469" t="n"/>
      <x:c r="K58" s="469" t="n"/>
      <x:c r="L58" s="470" t="n"/>
      <x:c r="M58" s="469" t="n"/>
      <x:c r="N58" s="469" t="n"/>
      <x:c r="O58" s="469" t="n"/>
      <x:c r="P58" s="469" t="n"/>
      <x:c r="Q58" s="469" t="n"/>
      <x:c r="R58" s="469" t="n"/>
      <x:c r="S58" s="469" t="n"/>
      <x:c r="T58" s="469" t="n"/>
      <x:c r="U58" s="469" t="n"/>
      <x:c r="V58" s="470" t="n"/>
      <x:c r="W58" s="469" t="n"/>
    </x:row>
    <x:row r="59" s="36" customFormat="1" ht="42" customHeight="1">
      <x:c r="A59" s="469" t="n"/>
      <x:c r="B59" s="469" t="n"/>
      <x:c r="C59" s="469" t="n"/>
      <x:c r="D59" s="469" t="n"/>
      <x:c r="E59" s="469" t="n"/>
      <x:c r="F59" s="469" t="n"/>
      <x:c r="G59" s="469" t="n"/>
      <x:c r="H59" s="469" t="n"/>
      <x:c r="I59" s="470" t="n"/>
      <x:c r="J59" s="469" t="n"/>
      <x:c r="K59" s="469" t="n"/>
      <x:c r="L59" s="470" t="n"/>
      <x:c r="M59" s="469" t="n"/>
      <x:c r="N59" s="469" t="n"/>
      <x:c r="O59" s="469" t="n"/>
      <x:c r="P59" s="469" t="n"/>
      <x:c r="Q59" s="469" t="n"/>
      <x:c r="R59" s="469" t="n"/>
      <x:c r="S59" s="469" t="n"/>
      <x:c r="T59" s="469" t="n"/>
      <x:c r="U59" s="469" t="n"/>
      <x:c r="V59" s="470" t="n"/>
      <x:c r="W59" s="469" t="n"/>
    </x:row>
    <x:row r="60" s="36" customFormat="1" ht="42" customHeight="1">
      <x:c r="A60" s="469" t="n"/>
      <x:c r="B60" s="469" t="n"/>
      <x:c r="C60" s="469" t="n"/>
      <x:c r="D60" s="469" t="n"/>
      <x:c r="E60" s="469" t="n"/>
      <x:c r="F60" s="469" t="n"/>
      <x:c r="G60" s="469" t="n"/>
      <x:c r="H60" s="469" t="n"/>
      <x:c r="I60" s="470" t="n"/>
      <x:c r="J60" s="469" t="n"/>
      <x:c r="K60" s="469" t="n"/>
      <x:c r="L60" s="470" t="n"/>
      <x:c r="M60" s="469" t="n"/>
      <x:c r="N60" s="469" t="n"/>
      <x:c r="O60" s="469" t="n"/>
      <x:c r="P60" s="469" t="n"/>
      <x:c r="Q60" s="469" t="n"/>
      <x:c r="R60" s="469" t="n"/>
      <x:c r="S60" s="469" t="n"/>
      <x:c r="T60" s="469" t="n"/>
      <x:c r="U60" s="469" t="n"/>
      <x:c r="V60" s="470" t="n"/>
      <x:c r="W60" s="469" t="n"/>
    </x:row>
    <x:row r="61" s="36" customFormat="1" ht="42" customHeight="1">
      <x:c r="A61" s="469" t="n"/>
      <x:c r="B61" s="469" t="n"/>
      <x:c r="C61" s="469" t="n"/>
      <x:c r="D61" s="469" t="n"/>
      <x:c r="E61" s="469" t="n"/>
      <x:c r="F61" s="469" t="n"/>
      <x:c r="G61" s="469" t="n"/>
      <x:c r="H61" s="469" t="n"/>
      <x:c r="I61" s="470" t="n"/>
      <x:c r="J61" s="469" t="n"/>
      <x:c r="K61" s="469" t="n"/>
      <x:c r="L61" s="470" t="n"/>
      <x:c r="M61" s="469" t="n"/>
      <x:c r="N61" s="469" t="n"/>
      <x:c r="O61" s="469" t="n"/>
      <x:c r="P61" s="469" t="n"/>
      <x:c r="Q61" s="469" t="n"/>
      <x:c r="R61" s="469" t="n"/>
      <x:c r="S61" s="469" t="n"/>
      <x:c r="T61" s="469" t="n"/>
      <x:c r="U61" s="469" t="n"/>
      <x:c r="V61" s="470" t="n"/>
      <x:c r="W61" s="469" t="n"/>
    </x:row>
    <x:row r="62" s="36" customFormat="1" ht="42" customHeight="1">
      <x:c r="A62" s="469" t="n"/>
      <x:c r="B62" s="469" t="n"/>
      <x:c r="C62" s="469" t="n"/>
      <x:c r="D62" s="469" t="n"/>
      <x:c r="E62" s="469" t="n"/>
      <x:c r="F62" s="469" t="n"/>
      <x:c r="G62" s="469" t="n"/>
      <x:c r="H62" s="469" t="n"/>
      <x:c r="I62" s="470" t="n"/>
      <x:c r="J62" s="469" t="n"/>
      <x:c r="K62" s="469" t="n"/>
      <x:c r="L62" s="470" t="n"/>
      <x:c r="M62" s="469" t="n"/>
      <x:c r="N62" s="469" t="n"/>
      <x:c r="O62" s="469" t="n"/>
      <x:c r="P62" s="469" t="n"/>
      <x:c r="Q62" s="469" t="n"/>
      <x:c r="R62" s="469" t="n"/>
      <x:c r="S62" s="469" t="n"/>
      <x:c r="T62" s="469" t="n"/>
      <x:c r="U62" s="469" t="n"/>
      <x:c r="V62" s="470" t="n"/>
      <x:c r="W62" s="469" t="n"/>
    </x:row>
    <x:row r="63" s="36" customFormat="1" ht="42" customHeight="1">
      <x:c r="A63" s="469" t="n"/>
      <x:c r="B63" s="469" t="n"/>
      <x:c r="C63" s="469" t="n"/>
      <x:c r="D63" s="469" t="n"/>
      <x:c r="E63" s="469" t="n"/>
      <x:c r="F63" s="469" t="n"/>
      <x:c r="G63" s="469" t="n"/>
      <x:c r="H63" s="469" t="n"/>
      <x:c r="I63" s="470" t="n"/>
      <x:c r="J63" s="469" t="n"/>
      <x:c r="K63" s="469" t="n"/>
      <x:c r="L63" s="470" t="n"/>
      <x:c r="M63" s="469" t="n"/>
      <x:c r="N63" s="469" t="n"/>
      <x:c r="O63" s="469" t="n"/>
      <x:c r="P63" s="469" t="n"/>
      <x:c r="Q63" s="469" t="n"/>
      <x:c r="R63" s="469" t="n"/>
      <x:c r="S63" s="469" t="n"/>
      <x:c r="T63" s="469" t="n"/>
      <x:c r="U63" s="469" t="n"/>
      <x:c r="V63" s="470" t="n"/>
      <x:c r="W63" s="469" t="n"/>
    </x:row>
    <x:row r="64" s="36" customFormat="1" ht="42" customHeight="1">
      <x:c r="A64" s="469" t="n"/>
      <x:c r="B64" s="469" t="n"/>
      <x:c r="C64" s="469" t="n"/>
      <x:c r="D64" s="469" t="n"/>
      <x:c r="E64" s="469" t="n"/>
      <x:c r="F64" s="469" t="n"/>
      <x:c r="G64" s="469" t="n"/>
      <x:c r="H64" s="469" t="n"/>
      <x:c r="I64" s="470" t="n"/>
      <x:c r="J64" s="469" t="n"/>
      <x:c r="K64" s="469" t="n"/>
      <x:c r="L64" s="470" t="n"/>
      <x:c r="M64" s="469" t="n"/>
      <x:c r="N64" s="469" t="n"/>
      <x:c r="O64" s="469" t="n"/>
      <x:c r="P64" s="469" t="n"/>
      <x:c r="Q64" s="469" t="n"/>
      <x:c r="R64" s="469" t="n"/>
      <x:c r="S64" s="469" t="n"/>
      <x:c r="T64" s="469" t="n"/>
      <x:c r="U64" s="469" t="n"/>
      <x:c r="V64" s="470" t="n"/>
      <x:c r="W64" s="469" t="n"/>
    </x:row>
    <x:row r="65" s="36" customFormat="1" ht="42" customHeight="1">
      <x:c r="A65" s="469" t="n"/>
      <x:c r="B65" s="469" t="n"/>
      <x:c r="C65" s="469" t="n"/>
      <x:c r="D65" s="469" t="n"/>
      <x:c r="E65" s="469" t="n"/>
      <x:c r="F65" s="469" t="n"/>
      <x:c r="G65" s="469" t="n"/>
      <x:c r="H65" s="469" t="n"/>
      <x:c r="I65" s="470" t="n"/>
      <x:c r="J65" s="469" t="n"/>
      <x:c r="K65" s="469" t="n"/>
      <x:c r="L65" s="470" t="n"/>
      <x:c r="M65" s="469" t="n"/>
      <x:c r="N65" s="469" t="n"/>
      <x:c r="O65" s="469" t="n"/>
      <x:c r="P65" s="469" t="n"/>
      <x:c r="Q65" s="469" t="n"/>
      <x:c r="R65" s="469" t="n"/>
      <x:c r="S65" s="469" t="n"/>
      <x:c r="T65" s="469" t="n"/>
      <x:c r="U65" s="469" t="n"/>
      <x:c r="V65" s="470" t="n"/>
      <x:c r="W65" s="469" t="n"/>
    </x:row>
    <x:row r="66" s="36" customFormat="1" ht="42" customHeight="1">
      <x:c r="A66" s="469" t="n"/>
      <x:c r="B66" s="469" t="n"/>
      <x:c r="C66" s="469" t="n"/>
      <x:c r="D66" s="469" t="n"/>
      <x:c r="E66" s="469" t="n"/>
      <x:c r="F66" s="469" t="n"/>
      <x:c r="G66" s="469" t="n"/>
      <x:c r="H66" s="469" t="n"/>
      <x:c r="I66" s="470" t="n"/>
      <x:c r="J66" s="469" t="n"/>
      <x:c r="K66" s="469" t="n"/>
      <x:c r="L66" s="470" t="n"/>
      <x:c r="M66" s="469" t="n"/>
      <x:c r="N66" s="469" t="n"/>
      <x:c r="O66" s="469" t="n"/>
      <x:c r="P66" s="469" t="n"/>
      <x:c r="Q66" s="469" t="n"/>
      <x:c r="R66" s="469" t="n"/>
      <x:c r="S66" s="469" t="n"/>
      <x:c r="T66" s="469" t="n"/>
      <x:c r="U66" s="469" t="n"/>
      <x:c r="V66" s="470" t="n"/>
      <x:c r="W66" s="469" t="n"/>
    </x:row>
    <x:row r="67" s="36" customFormat="1" ht="42" customHeight="1">
      <x:c r="A67" s="469" t="n"/>
      <x:c r="B67" s="469" t="n"/>
      <x:c r="C67" s="469" t="n"/>
      <x:c r="D67" s="469" t="n"/>
      <x:c r="E67" s="469" t="n"/>
      <x:c r="F67" s="469" t="n"/>
      <x:c r="G67" s="469" t="n"/>
      <x:c r="H67" s="469" t="n"/>
      <x:c r="I67" s="470" t="n"/>
      <x:c r="J67" s="469" t="n"/>
      <x:c r="K67" s="469" t="n"/>
      <x:c r="L67" s="470" t="n"/>
      <x:c r="M67" s="469" t="n"/>
      <x:c r="N67" s="469" t="n"/>
      <x:c r="O67" s="469" t="n"/>
      <x:c r="P67" s="469" t="n"/>
      <x:c r="Q67" s="469" t="n"/>
      <x:c r="R67" s="469" t="n"/>
      <x:c r="S67" s="469" t="n"/>
      <x:c r="T67" s="469" t="n"/>
      <x:c r="U67" s="469" t="n"/>
      <x:c r="V67" s="470" t="n"/>
      <x:c r="W67" s="469" t="n"/>
    </x:row>
    <x:row r="68" s="36" customFormat="1" ht="42" customHeight="1">
      <x:c r="A68" s="469" t="n"/>
      <x:c r="B68" s="469" t="n"/>
      <x:c r="C68" s="469" t="n"/>
      <x:c r="D68" s="469" t="n"/>
      <x:c r="E68" s="469" t="n"/>
      <x:c r="F68" s="469" t="n"/>
      <x:c r="G68" s="469" t="n"/>
      <x:c r="H68" s="469" t="n"/>
      <x:c r="I68" s="470" t="n"/>
      <x:c r="J68" s="469" t="n"/>
      <x:c r="K68" s="469" t="n"/>
      <x:c r="L68" s="470" t="n"/>
      <x:c r="M68" s="469" t="n"/>
      <x:c r="N68" s="469" t="n"/>
      <x:c r="O68" s="469" t="n"/>
      <x:c r="P68" s="469" t="n"/>
      <x:c r="Q68" s="469" t="n"/>
      <x:c r="R68" s="469" t="n"/>
      <x:c r="S68" s="469" t="n"/>
      <x:c r="T68" s="469" t="n"/>
      <x:c r="U68" s="469" t="n"/>
      <x:c r="V68" s="470" t="n"/>
      <x:c r="W68" s="469" t="n"/>
    </x:row>
    <x:row r="69" s="36" customFormat="1" ht="42" customHeight="1">
      <x:c r="A69" s="469" t="n"/>
      <x:c r="B69" s="469" t="n"/>
      <x:c r="C69" s="469" t="n"/>
      <x:c r="D69" s="469" t="n"/>
      <x:c r="E69" s="469" t="n"/>
      <x:c r="F69" s="469" t="n"/>
      <x:c r="G69" s="469" t="n"/>
      <x:c r="H69" s="469" t="n"/>
      <x:c r="I69" s="470" t="n"/>
      <x:c r="J69" s="469" t="n"/>
      <x:c r="K69" s="469" t="n"/>
      <x:c r="L69" s="470" t="n"/>
      <x:c r="M69" s="469" t="n"/>
      <x:c r="N69" s="469" t="n"/>
      <x:c r="O69" s="469" t="n"/>
      <x:c r="P69" s="469" t="n"/>
      <x:c r="Q69" s="469" t="n"/>
      <x:c r="R69" s="469" t="n"/>
      <x:c r="S69" s="469" t="n"/>
      <x:c r="T69" s="469" t="n"/>
      <x:c r="U69" s="469" t="n"/>
      <x:c r="V69" s="470" t="n"/>
      <x:c r="W69" s="469" t="n"/>
    </x:row>
    <x:row r="70" s="36" customFormat="1" ht="42" customHeight="1">
      <x:c r="A70" s="469" t="n"/>
      <x:c r="B70" s="469" t="n"/>
      <x:c r="C70" s="469" t="n"/>
      <x:c r="D70" s="469" t="n"/>
      <x:c r="E70" s="469" t="n"/>
      <x:c r="F70" s="469" t="n"/>
      <x:c r="G70" s="469" t="n"/>
      <x:c r="H70" s="469" t="n"/>
      <x:c r="I70" s="470" t="n"/>
      <x:c r="J70" s="469" t="n"/>
      <x:c r="K70" s="469" t="n"/>
      <x:c r="L70" s="470" t="n"/>
      <x:c r="M70" s="469" t="n"/>
      <x:c r="N70" s="469" t="n"/>
      <x:c r="O70" s="469" t="n"/>
      <x:c r="P70" s="469" t="n"/>
      <x:c r="Q70" s="469" t="n"/>
      <x:c r="R70" s="469" t="n"/>
      <x:c r="S70" s="469" t="n"/>
      <x:c r="T70" s="469" t="n"/>
      <x:c r="U70" s="469" t="n"/>
      <x:c r="V70" s="470" t="n"/>
      <x:c r="W70" s="469" t="n"/>
    </x:row>
    <x:row r="71" s="36" customFormat="1" ht="42" customHeight="1">
      <x:c r="A71" s="469" t="n"/>
      <x:c r="B71" s="469" t="n"/>
      <x:c r="C71" s="469" t="n"/>
      <x:c r="D71" s="469" t="n"/>
      <x:c r="E71" s="469" t="n"/>
      <x:c r="F71" s="469" t="n"/>
      <x:c r="G71" s="469" t="n"/>
      <x:c r="H71" s="469" t="n"/>
      <x:c r="I71" s="470" t="n"/>
      <x:c r="J71" s="469" t="n"/>
      <x:c r="K71" s="469" t="n"/>
      <x:c r="L71" s="470" t="n"/>
      <x:c r="M71" s="469" t="n"/>
      <x:c r="N71" s="469" t="n"/>
      <x:c r="O71" s="469" t="n"/>
      <x:c r="P71" s="469" t="n"/>
      <x:c r="Q71" s="469" t="n"/>
      <x:c r="R71" s="469" t="n"/>
      <x:c r="S71" s="469" t="n"/>
      <x:c r="T71" s="469" t="n"/>
      <x:c r="U71" s="469" t="n"/>
      <x:c r="V71" s="470" t="n"/>
      <x:c r="W71" s="469" t="n"/>
    </x:row>
    <x:row r="72" s="36" customFormat="1" ht="42" customHeight="1">
      <x:c r="A72" s="469" t="n"/>
      <x:c r="B72" s="469" t="n"/>
      <x:c r="C72" s="469" t="n"/>
      <x:c r="D72" s="469" t="n"/>
      <x:c r="E72" s="469" t="n"/>
      <x:c r="F72" s="469" t="n"/>
      <x:c r="G72" s="469" t="n"/>
      <x:c r="H72" s="469" t="n"/>
      <x:c r="I72" s="470" t="n"/>
      <x:c r="J72" s="469" t="n"/>
      <x:c r="K72" s="469" t="n"/>
      <x:c r="L72" s="470" t="n"/>
      <x:c r="M72" s="469" t="n"/>
      <x:c r="N72" s="469" t="n"/>
      <x:c r="O72" s="469" t="n"/>
      <x:c r="P72" s="469" t="n"/>
      <x:c r="Q72" s="469" t="n"/>
      <x:c r="R72" s="469" t="n"/>
      <x:c r="S72" s="469" t="n"/>
      <x:c r="T72" s="469" t="n"/>
      <x:c r="U72" s="469" t="n"/>
      <x:c r="V72" s="470" t="n"/>
      <x:c r="W72" s="469" t="n"/>
    </x:row>
    <x:row r="73" s="36" customFormat="1" ht="42" customHeight="1">
      <x:c r="A73" s="469" t="n"/>
      <x:c r="B73" s="469" t="n"/>
      <x:c r="C73" s="469" t="n"/>
      <x:c r="D73" s="469" t="n"/>
      <x:c r="E73" s="469" t="n"/>
      <x:c r="F73" s="469" t="n"/>
      <x:c r="G73" s="469" t="n"/>
      <x:c r="H73" s="469" t="n"/>
      <x:c r="I73" s="470" t="n"/>
      <x:c r="J73" s="469" t="n"/>
      <x:c r="K73" s="469" t="n"/>
      <x:c r="L73" s="470" t="n"/>
      <x:c r="M73" s="469" t="n"/>
      <x:c r="N73" s="469" t="n"/>
      <x:c r="O73" s="469" t="n"/>
      <x:c r="P73" s="469" t="n"/>
      <x:c r="Q73" s="469" t="n"/>
      <x:c r="R73" s="469" t="n"/>
      <x:c r="S73" s="469" t="n"/>
      <x:c r="T73" s="469" t="n"/>
      <x:c r="U73" s="469" t="n"/>
      <x:c r="V73" s="470" t="n"/>
      <x:c r="W73" s="469" t="n"/>
    </x:row>
    <x:row r="74" s="36" customFormat="1" ht="42" customHeight="1">
      <x:c r="A74" s="469" t="n"/>
      <x:c r="B74" s="469" t="n"/>
      <x:c r="C74" s="469" t="n"/>
      <x:c r="D74" s="469" t="n"/>
      <x:c r="E74" s="469" t="n"/>
      <x:c r="F74" s="469" t="n"/>
      <x:c r="G74" s="469" t="n"/>
      <x:c r="H74" s="469" t="n"/>
      <x:c r="I74" s="470" t="n"/>
      <x:c r="J74" s="469" t="n"/>
      <x:c r="K74" s="469" t="n"/>
      <x:c r="L74" s="470" t="n"/>
      <x:c r="M74" s="469" t="n"/>
      <x:c r="N74" s="469" t="n"/>
      <x:c r="O74" s="469" t="n"/>
      <x:c r="P74" s="469" t="n"/>
      <x:c r="Q74" s="469" t="n"/>
      <x:c r="R74" s="469" t="n"/>
      <x:c r="S74" s="469" t="n"/>
      <x:c r="T74" s="469" t="n"/>
      <x:c r="U74" s="469" t="n"/>
      <x:c r="V74" s="470" t="n"/>
      <x:c r="W74" s="469" t="n"/>
    </x:row>
    <x:row r="75" s="36" customFormat="1" ht="42" customHeight="1">
      <x:c r="A75" s="469" t="n"/>
      <x:c r="B75" s="469" t="n"/>
      <x:c r="C75" s="469" t="n"/>
      <x:c r="D75" s="469" t="n"/>
      <x:c r="E75" s="469" t="n"/>
      <x:c r="F75" s="469" t="n"/>
      <x:c r="G75" s="469" t="n"/>
      <x:c r="H75" s="469" t="n"/>
      <x:c r="I75" s="470" t="n"/>
      <x:c r="J75" s="469" t="n"/>
      <x:c r="K75" s="469" t="n"/>
      <x:c r="L75" s="470" t="n"/>
      <x:c r="M75" s="469" t="n"/>
      <x:c r="N75" s="469" t="n"/>
      <x:c r="O75" s="469" t="n"/>
      <x:c r="P75" s="469" t="n"/>
      <x:c r="Q75" s="469" t="n"/>
      <x:c r="R75" s="469" t="n"/>
      <x:c r="S75" s="469" t="n"/>
      <x:c r="T75" s="469" t="n"/>
      <x:c r="U75" s="469" t="n"/>
      <x:c r="V75" s="470" t="n"/>
      <x:c r="W75" s="469" t="n"/>
    </x:row>
    <x:row r="76" s="36" customFormat="1" ht="42" customHeight="1">
      <x:c r="A76" s="469" t="n"/>
      <x:c r="B76" s="469" t="n"/>
      <x:c r="C76" s="469" t="n"/>
      <x:c r="D76" s="469" t="n"/>
      <x:c r="E76" s="469" t="n"/>
      <x:c r="F76" s="469" t="n"/>
      <x:c r="G76" s="469" t="n"/>
      <x:c r="H76" s="469" t="n"/>
      <x:c r="I76" s="470" t="n"/>
      <x:c r="J76" s="469" t="n"/>
      <x:c r="K76" s="469" t="n"/>
      <x:c r="L76" s="470" t="n"/>
      <x:c r="M76" s="469" t="n"/>
      <x:c r="N76" s="469" t="n"/>
      <x:c r="O76" s="469" t="n"/>
      <x:c r="P76" s="469" t="n"/>
      <x:c r="Q76" s="469" t="n"/>
      <x:c r="R76" s="469" t="n"/>
      <x:c r="S76" s="469" t="n"/>
      <x:c r="T76" s="469" t="n"/>
      <x:c r="U76" s="469" t="n"/>
      <x:c r="V76" s="470" t="n"/>
      <x:c r="W76" s="469" t="n"/>
    </x:row>
    <x:row r="77" s="36" customFormat="1" ht="42" customHeight="1">
      <x:c r="A77" s="469" t="n"/>
      <x:c r="B77" s="469" t="n"/>
      <x:c r="C77" s="469" t="n"/>
      <x:c r="D77" s="469" t="n"/>
      <x:c r="E77" s="469" t="n"/>
      <x:c r="F77" s="469" t="n"/>
      <x:c r="G77" s="469" t="n"/>
      <x:c r="H77" s="469" t="n"/>
      <x:c r="I77" s="470" t="n"/>
      <x:c r="J77" s="469" t="n"/>
      <x:c r="K77" s="469" t="n"/>
      <x:c r="L77" s="470" t="n"/>
      <x:c r="M77" s="469" t="n"/>
      <x:c r="N77" s="469" t="n"/>
      <x:c r="O77" s="469" t="n"/>
      <x:c r="P77" s="469" t="n"/>
      <x:c r="Q77" s="469" t="n"/>
      <x:c r="R77" s="469" t="n"/>
      <x:c r="S77" s="469" t="n"/>
      <x:c r="T77" s="469" t="n"/>
      <x:c r="U77" s="469" t="n"/>
      <x:c r="V77" s="470" t="n"/>
      <x:c r="W77" s="469" t="n"/>
    </x:row>
    <x:row r="78" s="36" customFormat="1" ht="42" customHeight="1">
      <x:c r="A78" s="469" t="n"/>
      <x:c r="B78" s="469" t="n"/>
      <x:c r="C78" s="469" t="n"/>
      <x:c r="D78" s="469" t="n"/>
      <x:c r="E78" s="469" t="n"/>
      <x:c r="F78" s="469" t="n"/>
      <x:c r="G78" s="469" t="n"/>
      <x:c r="H78" s="469" t="n"/>
      <x:c r="I78" s="470" t="n"/>
      <x:c r="J78" s="469" t="n"/>
      <x:c r="K78" s="469" t="n"/>
      <x:c r="L78" s="470" t="n"/>
      <x:c r="M78" s="469" t="n"/>
      <x:c r="N78" s="469" t="n"/>
      <x:c r="O78" s="469" t="n"/>
      <x:c r="P78" s="469" t="n"/>
      <x:c r="Q78" s="469" t="n"/>
      <x:c r="R78" s="469" t="n"/>
      <x:c r="S78" s="469" t="n"/>
      <x:c r="T78" s="469" t="n"/>
      <x:c r="U78" s="469" t="n"/>
      <x:c r="V78" s="470" t="n"/>
      <x:c r="W78" s="469" t="n"/>
    </x:row>
    <x:row r="79" s="36" customFormat="1" ht="42" customHeight="1">
      <x:c r="A79" s="469" t="n"/>
      <x:c r="B79" s="469" t="n"/>
      <x:c r="C79" s="469" t="n"/>
      <x:c r="D79" s="469" t="n"/>
      <x:c r="E79" s="469" t="n"/>
      <x:c r="F79" s="469" t="n"/>
      <x:c r="G79" s="469" t="n"/>
      <x:c r="H79" s="469" t="n"/>
      <x:c r="I79" s="470" t="n"/>
      <x:c r="J79" s="469" t="n"/>
      <x:c r="K79" s="469" t="n"/>
      <x:c r="L79" s="470" t="n"/>
      <x:c r="M79" s="469" t="n"/>
      <x:c r="N79" s="469" t="n"/>
      <x:c r="O79" s="469" t="n"/>
      <x:c r="P79" s="469" t="n"/>
      <x:c r="Q79" s="469" t="n"/>
      <x:c r="R79" s="469" t="n"/>
      <x:c r="S79" s="469" t="n"/>
      <x:c r="T79" s="469" t="n"/>
      <x:c r="U79" s="469" t="n"/>
      <x:c r="V79" s="470" t="n"/>
      <x:c r="W79" s="469" t="n"/>
    </x:row>
    <x:row r="80" s="36" customFormat="1" ht="42" customHeight="1">
      <x:c r="A80" s="469" t="n"/>
      <x:c r="B80" s="469" t="n"/>
      <x:c r="C80" s="469" t="n"/>
      <x:c r="D80" s="469" t="n"/>
      <x:c r="E80" s="469" t="n"/>
      <x:c r="F80" s="469" t="n"/>
      <x:c r="G80" s="469" t="n"/>
      <x:c r="H80" s="469" t="n"/>
      <x:c r="I80" s="470" t="n"/>
      <x:c r="J80" s="469" t="n"/>
      <x:c r="K80" s="469" t="n"/>
      <x:c r="L80" s="470" t="n"/>
      <x:c r="M80" s="469" t="n"/>
      <x:c r="N80" s="469" t="n"/>
      <x:c r="O80" s="469" t="n"/>
      <x:c r="P80" s="469" t="n"/>
      <x:c r="Q80" s="469" t="n"/>
      <x:c r="R80" s="469" t="n"/>
      <x:c r="S80" s="469" t="n"/>
      <x:c r="T80" s="469" t="n"/>
      <x:c r="U80" s="469" t="n"/>
      <x:c r="V80" s="470" t="n"/>
      <x:c r="W80" s="469" t="n"/>
    </x:row>
    <x:row r="81" s="36" customFormat="1" ht="42" customHeight="1">
      <x:c r="A81" s="469" t="n"/>
      <x:c r="B81" s="469" t="n"/>
      <x:c r="C81" s="469" t="n"/>
      <x:c r="D81" s="469" t="n"/>
      <x:c r="E81" s="469" t="n"/>
      <x:c r="F81" s="469" t="n"/>
      <x:c r="G81" s="469" t="n"/>
      <x:c r="H81" s="469" t="n"/>
      <x:c r="I81" s="470" t="n"/>
      <x:c r="J81" s="469" t="n"/>
      <x:c r="K81" s="469" t="n"/>
      <x:c r="L81" s="470" t="n"/>
      <x:c r="M81" s="469" t="n"/>
      <x:c r="N81" s="469" t="n"/>
      <x:c r="O81" s="469" t="n"/>
      <x:c r="P81" s="469" t="n"/>
      <x:c r="Q81" s="469" t="n"/>
      <x:c r="R81" s="469" t="n"/>
      <x:c r="S81" s="469" t="n"/>
      <x:c r="T81" s="469" t="n"/>
      <x:c r="U81" s="469" t="n"/>
      <x:c r="V81" s="470" t="n"/>
      <x:c r="W81" s="469" t="n"/>
    </x:row>
    <x:row r="82" s="36" customFormat="1" ht="42" customHeight="1">
      <x:c r="A82" s="469" t="n"/>
      <x:c r="B82" s="469" t="n"/>
      <x:c r="C82" s="469" t="n"/>
      <x:c r="D82" s="469" t="n"/>
      <x:c r="E82" s="469" t="n"/>
      <x:c r="F82" s="469" t="n"/>
      <x:c r="G82" s="469" t="n"/>
      <x:c r="H82" s="469" t="n"/>
      <x:c r="I82" s="470" t="n"/>
      <x:c r="J82" s="469" t="n"/>
      <x:c r="K82" s="469" t="n"/>
      <x:c r="L82" s="470" t="n"/>
      <x:c r="M82" s="469" t="n"/>
      <x:c r="N82" s="469" t="n"/>
      <x:c r="O82" s="469" t="n"/>
      <x:c r="P82" s="469" t="n"/>
      <x:c r="Q82" s="469" t="n"/>
      <x:c r="R82" s="469" t="n"/>
      <x:c r="S82" s="469" t="n"/>
      <x:c r="T82" s="469" t="n"/>
      <x:c r="U82" s="469" t="n"/>
      <x:c r="V82" s="470" t="n"/>
      <x:c r="W82" s="469" t="n"/>
    </x:row>
    <x:row r="83" s="36" customFormat="1" ht="42" customHeight="1">
      <x:c r="A83" s="469" t="n"/>
      <x:c r="B83" s="469" t="n"/>
      <x:c r="C83" s="469" t="n"/>
      <x:c r="D83" s="469" t="n"/>
      <x:c r="E83" s="469" t="n"/>
      <x:c r="F83" s="469" t="n"/>
      <x:c r="G83" s="469" t="n"/>
      <x:c r="H83" s="469" t="n"/>
      <x:c r="I83" s="470" t="n"/>
      <x:c r="J83" s="469" t="n"/>
      <x:c r="K83" s="469" t="n"/>
      <x:c r="L83" s="470" t="n"/>
      <x:c r="M83" s="469" t="n"/>
      <x:c r="N83" s="469" t="n"/>
      <x:c r="O83" s="469" t="n"/>
      <x:c r="P83" s="469" t="n"/>
      <x:c r="Q83" s="469" t="n"/>
      <x:c r="R83" s="469" t="n"/>
      <x:c r="S83" s="469" t="n"/>
      <x:c r="T83" s="469" t="n"/>
      <x:c r="U83" s="469" t="n"/>
      <x:c r="V83" s="470" t="n"/>
      <x:c r="W83" s="469" t="n"/>
    </x:row>
    <x:row r="84" s="36" customFormat="1" ht="42" customHeight="1">
      <x:c r="A84" s="469" t="n"/>
      <x:c r="B84" s="469" t="n"/>
      <x:c r="C84" s="469" t="n"/>
      <x:c r="D84" s="469" t="n"/>
      <x:c r="E84" s="469" t="n"/>
      <x:c r="F84" s="469" t="n"/>
      <x:c r="G84" s="469" t="n"/>
      <x:c r="H84" s="469" t="n"/>
      <x:c r="I84" s="470" t="n"/>
      <x:c r="J84" s="469" t="n"/>
      <x:c r="K84" s="469" t="n"/>
      <x:c r="L84" s="470" t="n"/>
      <x:c r="M84" s="469" t="n"/>
      <x:c r="N84" s="469" t="n"/>
      <x:c r="O84" s="469" t="n"/>
      <x:c r="P84" s="469" t="n"/>
      <x:c r="Q84" s="469" t="n"/>
      <x:c r="R84" s="469" t="n"/>
      <x:c r="S84" s="469" t="n"/>
      <x:c r="T84" s="469" t="n"/>
      <x:c r="U84" s="469" t="n"/>
      <x:c r="V84" s="470" t="n"/>
      <x:c r="W84" s="469" t="n"/>
    </x:row>
    <x:row r="85" s="36" customFormat="1" ht="42" customHeight="1">
      <x:c r="A85" s="469" t="n"/>
      <x:c r="B85" s="469" t="n"/>
      <x:c r="C85" s="469" t="n"/>
      <x:c r="D85" s="469" t="n"/>
      <x:c r="E85" s="469" t="n"/>
      <x:c r="F85" s="469" t="n"/>
      <x:c r="G85" s="469" t="n"/>
      <x:c r="H85" s="469" t="n"/>
      <x:c r="I85" s="470" t="n"/>
      <x:c r="J85" s="469" t="n"/>
      <x:c r="K85" s="469" t="n"/>
      <x:c r="L85" s="470" t="n"/>
      <x:c r="M85" s="469" t="n"/>
      <x:c r="N85" s="469" t="n"/>
      <x:c r="O85" s="469" t="n"/>
      <x:c r="P85" s="469" t="n"/>
      <x:c r="Q85" s="469" t="n"/>
      <x:c r="R85" s="469" t="n"/>
      <x:c r="S85" s="469" t="n"/>
      <x:c r="T85" s="469" t="n"/>
      <x:c r="U85" s="469" t="n"/>
      <x:c r="V85" s="470" t="n"/>
      <x:c r="W85" s="469" t="n"/>
    </x:row>
    <x:row r="86" s="36" customFormat="1" ht="42" customHeight="1">
      <x:c r="A86" s="469" t="n"/>
      <x:c r="B86" s="469" t="n"/>
      <x:c r="C86" s="469" t="n"/>
      <x:c r="D86" s="469" t="n"/>
      <x:c r="E86" s="469" t="n"/>
      <x:c r="F86" s="469" t="n"/>
      <x:c r="G86" s="469" t="n"/>
      <x:c r="H86" s="469" t="n"/>
      <x:c r="I86" s="470" t="n"/>
      <x:c r="J86" s="469" t="n"/>
      <x:c r="K86" s="469" t="n"/>
      <x:c r="L86" s="470" t="n"/>
      <x:c r="M86" s="469" t="n"/>
      <x:c r="N86" s="469" t="n"/>
      <x:c r="O86" s="469" t="n"/>
      <x:c r="P86" s="469" t="n"/>
      <x:c r="Q86" s="469" t="n"/>
      <x:c r="R86" s="469" t="n"/>
      <x:c r="S86" s="469" t="n"/>
      <x:c r="T86" s="469" t="n"/>
      <x:c r="U86" s="469" t="n"/>
      <x:c r="V86" s="470" t="n"/>
      <x:c r="W86" s="469" t="n"/>
    </x:row>
    <x:row r="87" s="36" customFormat="1" ht="42" customHeight="1">
      <x:c r="A87" s="469" t="n"/>
      <x:c r="B87" s="469" t="n"/>
      <x:c r="C87" s="469" t="n"/>
      <x:c r="D87" s="469" t="n"/>
      <x:c r="E87" s="469" t="n"/>
      <x:c r="F87" s="469" t="n"/>
      <x:c r="G87" s="469" t="n"/>
      <x:c r="H87" s="469" t="n"/>
      <x:c r="I87" s="470" t="n"/>
      <x:c r="J87" s="469" t="n"/>
      <x:c r="K87" s="469" t="n"/>
      <x:c r="L87" s="470" t="n"/>
      <x:c r="M87" s="469" t="n"/>
      <x:c r="N87" s="469" t="n"/>
      <x:c r="O87" s="469" t="n"/>
      <x:c r="P87" s="469" t="n"/>
      <x:c r="Q87" s="469" t="n"/>
      <x:c r="R87" s="469" t="n"/>
      <x:c r="S87" s="469" t="n"/>
      <x:c r="T87" s="469" t="n"/>
      <x:c r="U87" s="469" t="n"/>
      <x:c r="V87" s="470" t="n"/>
      <x:c r="W87" s="469" t="n"/>
    </x:row>
    <x:row r="88" s="36" customFormat="1" ht="42" customHeight="1">
      <x:c r="A88" s="469" t="n"/>
      <x:c r="B88" s="469" t="n"/>
      <x:c r="C88" s="469" t="n"/>
      <x:c r="D88" s="469" t="n"/>
      <x:c r="E88" s="469" t="n"/>
      <x:c r="F88" s="469" t="n"/>
      <x:c r="G88" s="469" t="n"/>
      <x:c r="H88" s="469" t="n"/>
      <x:c r="I88" s="470" t="n"/>
      <x:c r="J88" s="469" t="n"/>
      <x:c r="K88" s="469" t="n"/>
      <x:c r="L88" s="470" t="n"/>
      <x:c r="M88" s="469" t="n"/>
      <x:c r="N88" s="469" t="n"/>
      <x:c r="O88" s="469" t="n"/>
      <x:c r="P88" s="469" t="n"/>
      <x:c r="Q88" s="469" t="n"/>
      <x:c r="R88" s="469" t="n"/>
      <x:c r="S88" s="469" t="n"/>
      <x:c r="T88" s="469" t="n"/>
      <x:c r="U88" s="469" t="n"/>
      <x:c r="V88" s="470" t="n"/>
      <x:c r="W88" s="469" t="n"/>
    </x:row>
    <x:row r="89" s="36" customFormat="1" ht="42" customHeight="1">
      <x:c r="A89" s="469" t="n"/>
      <x:c r="B89" s="469" t="n"/>
      <x:c r="C89" s="469" t="n"/>
      <x:c r="D89" s="469" t="n"/>
      <x:c r="E89" s="469" t="n"/>
      <x:c r="F89" s="469" t="n"/>
      <x:c r="G89" s="469" t="n"/>
      <x:c r="H89" s="469" t="n"/>
      <x:c r="I89" s="470" t="n"/>
      <x:c r="J89" s="469" t="n"/>
      <x:c r="K89" s="469" t="n"/>
      <x:c r="L89" s="470" t="n"/>
      <x:c r="M89" s="469" t="n"/>
      <x:c r="N89" s="469" t="n"/>
      <x:c r="O89" s="469" t="n"/>
      <x:c r="P89" s="469" t="n"/>
      <x:c r="Q89" s="469" t="n"/>
      <x:c r="R89" s="469" t="n"/>
      <x:c r="S89" s="469" t="n"/>
      <x:c r="T89" s="469" t="n"/>
      <x:c r="U89" s="469" t="n"/>
      <x:c r="V89" s="470" t="n"/>
      <x:c r="W89" s="469" t="n"/>
    </x:row>
    <x:row r="90" s="36" customFormat="1" ht="42" customHeight="1">
      <x:c r="A90" s="469" t="n"/>
      <x:c r="B90" s="469" t="n"/>
      <x:c r="C90" s="469" t="n"/>
      <x:c r="D90" s="469" t="n"/>
      <x:c r="E90" s="469" t="n"/>
      <x:c r="F90" s="469" t="n"/>
      <x:c r="G90" s="469" t="n"/>
      <x:c r="H90" s="469" t="n"/>
      <x:c r="I90" s="470" t="n"/>
      <x:c r="J90" s="469" t="n"/>
      <x:c r="K90" s="469" t="n"/>
      <x:c r="L90" s="470" t="n"/>
      <x:c r="M90" s="469" t="n"/>
      <x:c r="N90" s="469" t="n"/>
      <x:c r="O90" s="469" t="n"/>
      <x:c r="P90" s="469" t="n"/>
      <x:c r="Q90" s="469" t="n"/>
      <x:c r="R90" s="469" t="n"/>
      <x:c r="S90" s="469" t="n"/>
      <x:c r="T90" s="469" t="n"/>
      <x:c r="U90" s="469" t="n"/>
      <x:c r="V90" s="470" t="n"/>
      <x:c r="W90" s="469" t="n"/>
    </x:row>
    <x:row r="91" s="36" customFormat="1" ht="42" customHeight="1">
      <x:c r="A91" s="469" t="n"/>
      <x:c r="B91" s="469" t="n"/>
      <x:c r="C91" s="469" t="n"/>
      <x:c r="D91" s="469" t="n"/>
      <x:c r="E91" s="469" t="n"/>
      <x:c r="F91" s="469" t="n"/>
      <x:c r="G91" s="469" t="n"/>
      <x:c r="H91" s="469" t="n"/>
      <x:c r="I91" s="470" t="n"/>
      <x:c r="J91" s="469" t="n"/>
      <x:c r="K91" s="469" t="n"/>
      <x:c r="L91" s="470" t="n"/>
      <x:c r="M91" s="469" t="n"/>
      <x:c r="N91" s="469" t="n"/>
      <x:c r="O91" s="469" t="n"/>
      <x:c r="P91" s="469" t="n"/>
      <x:c r="Q91" s="469" t="n"/>
      <x:c r="R91" s="469" t="n"/>
      <x:c r="S91" s="469" t="n"/>
      <x:c r="T91" s="469" t="n"/>
      <x:c r="U91" s="469" t="n"/>
      <x:c r="V91" s="470" t="n"/>
      <x:c r="W91" s="469" t="n"/>
    </x:row>
    <x:row r="92" s="36" customFormat="1" ht="42" customHeight="1">
      <x:c r="A92" s="469" t="n"/>
      <x:c r="B92" s="469" t="n"/>
      <x:c r="C92" s="469" t="n"/>
      <x:c r="D92" s="469" t="n"/>
      <x:c r="E92" s="469" t="n"/>
      <x:c r="F92" s="469" t="n"/>
      <x:c r="G92" s="469" t="n"/>
      <x:c r="H92" s="469" t="n"/>
      <x:c r="I92" s="470" t="n"/>
      <x:c r="J92" s="469" t="n"/>
      <x:c r="K92" s="469" t="n"/>
      <x:c r="L92" s="470" t="n"/>
      <x:c r="M92" s="469" t="n"/>
      <x:c r="N92" s="469" t="n"/>
      <x:c r="O92" s="469" t="n"/>
      <x:c r="P92" s="469" t="n"/>
      <x:c r="Q92" s="469" t="n"/>
      <x:c r="R92" s="469" t="n"/>
      <x:c r="S92" s="469" t="n"/>
      <x:c r="T92" s="469" t="n"/>
      <x:c r="U92" s="469" t="n"/>
      <x:c r="V92" s="470" t="n"/>
      <x:c r="W92" s="469" t="n"/>
    </x:row>
    <x:row r="93" s="36" customFormat="1" ht="42" customHeight="1">
      <x:c r="A93" s="469" t="n"/>
      <x:c r="B93" s="469" t="n"/>
      <x:c r="C93" s="469" t="n"/>
      <x:c r="D93" s="469" t="n"/>
      <x:c r="E93" s="469" t="n"/>
      <x:c r="F93" s="469" t="n"/>
      <x:c r="G93" s="469" t="n"/>
      <x:c r="H93" s="469" t="n"/>
      <x:c r="I93" s="470" t="n"/>
      <x:c r="J93" s="469" t="n"/>
      <x:c r="K93" s="469" t="n"/>
      <x:c r="L93" s="470" t="n"/>
      <x:c r="M93" s="469" t="n"/>
      <x:c r="N93" s="469" t="n"/>
      <x:c r="O93" s="469" t="n"/>
      <x:c r="P93" s="469" t="n"/>
      <x:c r="Q93" s="469" t="n"/>
      <x:c r="R93" s="469" t="n"/>
      <x:c r="S93" s="469" t="n"/>
      <x:c r="T93" s="469" t="n"/>
      <x:c r="U93" s="469" t="n"/>
      <x:c r="V93" s="470" t="n"/>
      <x:c r="W93" s="469" t="n"/>
    </x:row>
    <x:row r="94" s="36" customFormat="1" ht="42" customHeight="1">
      <x:c r="A94" s="469" t="n"/>
      <x:c r="B94" s="469" t="n"/>
      <x:c r="C94" s="469" t="n"/>
      <x:c r="D94" s="469" t="n"/>
      <x:c r="E94" s="469" t="n"/>
      <x:c r="F94" s="469" t="n"/>
      <x:c r="G94" s="469" t="n"/>
      <x:c r="H94" s="469" t="n"/>
      <x:c r="I94" s="470" t="n"/>
      <x:c r="J94" s="469" t="n"/>
      <x:c r="K94" s="469" t="n"/>
      <x:c r="L94" s="470" t="n"/>
      <x:c r="M94" s="469" t="n"/>
      <x:c r="N94" s="469" t="n"/>
      <x:c r="O94" s="469" t="n"/>
      <x:c r="P94" s="469" t="n"/>
      <x:c r="Q94" s="469" t="n"/>
      <x:c r="R94" s="469" t="n"/>
      <x:c r="S94" s="469" t="n"/>
      <x:c r="T94" s="469" t="n"/>
      <x:c r="U94" s="469" t="n"/>
      <x:c r="V94" s="470" t="n"/>
      <x:c r="W94" s="469" t="n"/>
    </x:row>
    <x:row r="95" s="36" customFormat="1" ht="42" customHeight="1">
      <x:c r="A95" s="469" t="n"/>
      <x:c r="B95" s="469" t="n"/>
      <x:c r="C95" s="469" t="n"/>
      <x:c r="D95" s="469" t="n"/>
      <x:c r="E95" s="469" t="n"/>
      <x:c r="F95" s="469" t="n"/>
      <x:c r="G95" s="469" t="n"/>
      <x:c r="H95" s="469" t="n"/>
      <x:c r="I95" s="470" t="n"/>
      <x:c r="J95" s="469" t="n"/>
      <x:c r="K95" s="469" t="n"/>
      <x:c r="L95" s="470" t="n"/>
      <x:c r="M95" s="469" t="n"/>
      <x:c r="N95" s="469" t="n"/>
      <x:c r="O95" s="469" t="n"/>
      <x:c r="P95" s="469" t="n"/>
      <x:c r="Q95" s="469" t="n"/>
      <x:c r="R95" s="469" t="n"/>
      <x:c r="S95" s="469" t="n"/>
      <x:c r="T95" s="469" t="n"/>
      <x:c r="U95" s="469" t="n"/>
      <x:c r="V95" s="470" t="n"/>
      <x:c r="W95" s="469" t="n"/>
    </x:row>
    <x:row r="96" s="36" customFormat="1" ht="42" customHeight="1">
      <x:c r="A96" s="469" t="n"/>
      <x:c r="B96" s="469" t="n"/>
      <x:c r="C96" s="469" t="n"/>
      <x:c r="D96" s="469" t="n"/>
      <x:c r="E96" s="469" t="n"/>
      <x:c r="F96" s="469" t="n"/>
      <x:c r="G96" s="469" t="n"/>
      <x:c r="H96" s="469" t="n"/>
      <x:c r="I96" s="470" t="n"/>
      <x:c r="J96" s="469" t="n"/>
      <x:c r="K96" s="469" t="n"/>
      <x:c r="L96" s="470" t="n"/>
      <x:c r="M96" s="469" t="n"/>
      <x:c r="N96" s="469" t="n"/>
      <x:c r="O96" s="469" t="n"/>
      <x:c r="P96" s="469" t="n"/>
      <x:c r="Q96" s="469" t="n"/>
      <x:c r="R96" s="469" t="n"/>
      <x:c r="S96" s="469" t="n"/>
      <x:c r="T96" s="469" t="n"/>
      <x:c r="U96" s="469" t="n"/>
      <x:c r="V96" s="470" t="n"/>
      <x:c r="W96" s="469" t="n"/>
    </x:row>
    <x:row r="97" s="36" customFormat="1" ht="42" customHeight="1">
      <x:c r="A97" s="469" t="n"/>
      <x:c r="B97" s="469" t="n"/>
      <x:c r="C97" s="469" t="n"/>
      <x:c r="D97" s="469" t="n"/>
      <x:c r="E97" s="469" t="n"/>
      <x:c r="F97" s="469" t="n"/>
      <x:c r="G97" s="469" t="n"/>
      <x:c r="H97" s="469" t="n"/>
      <x:c r="I97" s="470" t="n"/>
      <x:c r="J97" s="469" t="n"/>
      <x:c r="K97" s="469" t="n"/>
      <x:c r="L97" s="470" t="n"/>
      <x:c r="M97" s="469" t="n"/>
      <x:c r="N97" s="469" t="n"/>
      <x:c r="O97" s="469" t="n"/>
      <x:c r="P97" s="469" t="n"/>
      <x:c r="Q97" s="469" t="n"/>
      <x:c r="R97" s="469" t="n"/>
      <x:c r="S97" s="469" t="n"/>
      <x:c r="T97" s="469" t="n"/>
      <x:c r="U97" s="469" t="n"/>
      <x:c r="V97" s="470" t="n"/>
      <x:c r="W97" s="469" t="n"/>
    </x:row>
    <x:row r="98" s="36" customFormat="1" ht="42" customHeight="1">
      <x:c r="A98" s="469" t="n"/>
      <x:c r="B98" s="469" t="n"/>
      <x:c r="C98" s="469" t="n"/>
      <x:c r="D98" s="469" t="n"/>
      <x:c r="E98" s="469" t="n"/>
      <x:c r="F98" s="469" t="n"/>
      <x:c r="G98" s="469" t="n"/>
      <x:c r="H98" s="469" t="n"/>
      <x:c r="I98" s="470" t="n"/>
      <x:c r="J98" s="469" t="n"/>
      <x:c r="K98" s="469" t="n"/>
      <x:c r="L98" s="470" t="n"/>
      <x:c r="M98" s="469" t="n"/>
      <x:c r="N98" s="469" t="n"/>
      <x:c r="O98" s="469" t="n"/>
      <x:c r="P98" s="469" t="n"/>
      <x:c r="Q98" s="469" t="n"/>
      <x:c r="R98" s="469" t="n"/>
      <x:c r="S98" s="469" t="n"/>
      <x:c r="T98" s="469" t="n"/>
      <x:c r="U98" s="469" t="n"/>
      <x:c r="V98" s="470" t="n"/>
      <x:c r="W98" s="469" t="n"/>
    </x:row>
    <x:row r="99" s="36" customFormat="1" ht="42" customHeight="1">
      <x:c r="A99" s="469" t="n"/>
      <x:c r="B99" s="469" t="n"/>
      <x:c r="C99" s="469" t="n"/>
      <x:c r="D99" s="469" t="n"/>
      <x:c r="E99" s="469" t="n"/>
      <x:c r="F99" s="469" t="n"/>
      <x:c r="G99" s="469" t="n"/>
      <x:c r="H99" s="469" t="n"/>
      <x:c r="I99" s="470" t="n"/>
      <x:c r="J99" s="469" t="n"/>
      <x:c r="K99" s="469" t="n"/>
      <x:c r="L99" s="470" t="n"/>
      <x:c r="M99" s="469" t="n"/>
      <x:c r="N99" s="469" t="n"/>
      <x:c r="O99" s="469" t="n"/>
      <x:c r="P99" s="469" t="n"/>
      <x:c r="Q99" s="469" t="n"/>
      <x:c r="R99" s="469" t="n"/>
      <x:c r="S99" s="469" t="n"/>
      <x:c r="T99" s="469" t="n"/>
      <x:c r="U99" s="469" t="n"/>
      <x:c r="V99" s="470" t="n"/>
      <x:c r="W99" s="469" t="n"/>
    </x:row>
    <x:row r="100" s="36" customFormat="1" ht="42" customHeight="1">
      <x:c r="A100" s="469" t="n"/>
      <x:c r="B100" s="469" t="n"/>
      <x:c r="C100" s="469" t="n"/>
      <x:c r="D100" s="469" t="n"/>
      <x:c r="E100" s="469" t="n"/>
      <x:c r="F100" s="469" t="n"/>
      <x:c r="G100" s="469" t="n"/>
      <x:c r="H100" s="469" t="n"/>
      <x:c r="I100" s="470" t="n"/>
      <x:c r="J100" s="469" t="n"/>
      <x:c r="K100" s="469" t="n"/>
      <x:c r="L100" s="470" t="n"/>
      <x:c r="M100" s="469" t="n"/>
      <x:c r="N100" s="469" t="n"/>
      <x:c r="O100" s="469" t="n"/>
      <x:c r="P100" s="469" t="n"/>
      <x:c r="Q100" s="469" t="n"/>
      <x:c r="R100" s="469" t="n"/>
      <x:c r="S100" s="469" t="n"/>
      <x:c r="T100" s="469" t="n"/>
      <x:c r="U100" s="469" t="n"/>
      <x:c r="V100" s="470" t="n"/>
      <x:c r="W100" s="469" t="n"/>
    </x:row>
    <x:row r="101" s="36" customFormat="1" ht="42" customHeight="1">
      <x:c r="A101" s="469" t="n"/>
      <x:c r="B101" s="469" t="n"/>
      <x:c r="C101" s="469" t="n"/>
      <x:c r="D101" s="469" t="n"/>
      <x:c r="E101" s="469" t="n"/>
      <x:c r="F101" s="469" t="n"/>
      <x:c r="G101" s="469" t="n"/>
      <x:c r="H101" s="469" t="n"/>
      <x:c r="I101" s="470" t="n"/>
      <x:c r="J101" s="469" t="n"/>
      <x:c r="K101" s="469" t="n"/>
      <x:c r="L101" s="470" t="n"/>
      <x:c r="M101" s="469" t="n"/>
      <x:c r="N101" s="469" t="n"/>
      <x:c r="O101" s="469" t="n"/>
      <x:c r="P101" s="469" t="n"/>
      <x:c r="Q101" s="469" t="n"/>
      <x:c r="R101" s="469" t="n"/>
      <x:c r="S101" s="469" t="n"/>
      <x:c r="T101" s="469" t="n"/>
      <x:c r="U101" s="469" t="n"/>
      <x:c r="V101" s="470" t="n"/>
      <x:c r="W101" s="469" t="n"/>
    </x:row>
    <x:row r="102" s="36" customFormat="1" ht="42" customHeight="1">
      <x:c r="A102" s="469" t="n"/>
      <x:c r="B102" s="469" t="n"/>
      <x:c r="C102" s="469" t="n"/>
      <x:c r="D102" s="469" t="n"/>
      <x:c r="E102" s="469" t="n"/>
      <x:c r="F102" s="469" t="n"/>
      <x:c r="G102" s="469" t="n"/>
      <x:c r="H102" s="469" t="n"/>
      <x:c r="I102" s="470" t="n"/>
      <x:c r="J102" s="469" t="n"/>
      <x:c r="K102" s="469" t="n"/>
      <x:c r="L102" s="470" t="n"/>
      <x:c r="M102" s="469" t="n"/>
      <x:c r="N102" s="469" t="n"/>
      <x:c r="O102" s="469" t="n"/>
      <x:c r="P102" s="469" t="n"/>
      <x:c r="Q102" s="469" t="n"/>
      <x:c r="R102" s="469" t="n"/>
      <x:c r="S102" s="469" t="n"/>
      <x:c r="T102" s="469" t="n"/>
      <x:c r="U102" s="469" t="n"/>
      <x:c r="V102" s="470" t="n"/>
      <x:c r="W102" s="469" t="n"/>
    </x:row>
    <x:row r="103" s="36" customFormat="1" ht="42" customHeight="1">
      <x:c r="A103" s="469" t="n"/>
      <x:c r="B103" s="469" t="n"/>
      <x:c r="C103" s="469" t="n"/>
      <x:c r="D103" s="469" t="n"/>
      <x:c r="E103" s="469" t="n"/>
      <x:c r="F103" s="469" t="n"/>
      <x:c r="G103" s="469" t="n"/>
      <x:c r="H103" s="469" t="n"/>
      <x:c r="I103" s="470" t="n"/>
      <x:c r="J103" s="469" t="n"/>
      <x:c r="K103" s="469" t="n"/>
      <x:c r="L103" s="470" t="n"/>
      <x:c r="M103" s="469" t="n"/>
      <x:c r="N103" s="469" t="n"/>
      <x:c r="O103" s="469" t="n"/>
      <x:c r="P103" s="469" t="n"/>
      <x:c r="Q103" s="469" t="n"/>
      <x:c r="R103" s="469" t="n"/>
      <x:c r="S103" s="469" t="n"/>
      <x:c r="T103" s="469" t="n"/>
      <x:c r="U103" s="469" t="n"/>
      <x:c r="V103" s="470" t="n"/>
      <x:c r="W103" s="469" t="n"/>
    </x:row>
    <x:row r="104" s="36" customFormat="1" ht="42" customHeight="1">
      <x:c r="A104" s="469" t="n"/>
      <x:c r="B104" s="469" t="n"/>
      <x:c r="C104" s="469" t="n"/>
      <x:c r="D104" s="469" t="n"/>
      <x:c r="E104" s="469" t="n"/>
      <x:c r="F104" s="469" t="n"/>
      <x:c r="G104" s="469" t="n"/>
      <x:c r="H104" s="469" t="n"/>
      <x:c r="I104" s="470" t="n"/>
      <x:c r="J104" s="469" t="n"/>
      <x:c r="K104" s="469" t="n"/>
      <x:c r="L104" s="470" t="n"/>
      <x:c r="M104" s="469" t="n"/>
      <x:c r="N104" s="469" t="n"/>
      <x:c r="O104" s="469" t="n"/>
      <x:c r="P104" s="469" t="n"/>
      <x:c r="Q104" s="469" t="n"/>
      <x:c r="R104" s="469" t="n"/>
      <x:c r="S104" s="469" t="n"/>
      <x:c r="T104" s="469" t="n"/>
      <x:c r="U104" s="469" t="n"/>
      <x:c r="V104" s="470" t="n"/>
      <x:c r="W104" s="469" t="n"/>
    </x:row>
    <x:row r="105" s="36" customFormat="1" ht="42" customHeight="1">
      <x:c r="A105" s="469" t="n"/>
      <x:c r="B105" s="469" t="n"/>
      <x:c r="C105" s="469" t="n"/>
      <x:c r="D105" s="469" t="n"/>
      <x:c r="E105" s="469" t="n"/>
      <x:c r="F105" s="469" t="n"/>
      <x:c r="G105" s="469" t="n"/>
      <x:c r="H105" s="469" t="n"/>
      <x:c r="I105" s="470" t="n"/>
      <x:c r="J105" s="469" t="n"/>
      <x:c r="K105" s="469" t="n"/>
      <x:c r="L105" s="470" t="n"/>
      <x:c r="M105" s="469" t="n"/>
      <x:c r="N105" s="469" t="n"/>
      <x:c r="O105" s="469" t="n"/>
      <x:c r="P105" s="469" t="n"/>
      <x:c r="Q105" s="469" t="n"/>
      <x:c r="R105" s="469" t="n"/>
      <x:c r="S105" s="469" t="n"/>
      <x:c r="T105" s="469" t="n"/>
      <x:c r="U105" s="469" t="n"/>
      <x:c r="V105" s="470" t="n"/>
      <x:c r="W105" s="469" t="n"/>
    </x:row>
    <x:row r="106" s="36" customFormat="1" ht="42" customHeight="1">
      <x:c r="A106" s="469" t="n"/>
      <x:c r="B106" s="469" t="n"/>
      <x:c r="C106" s="469" t="n"/>
      <x:c r="D106" s="469" t="n"/>
      <x:c r="E106" s="469" t="n"/>
      <x:c r="F106" s="469" t="n"/>
      <x:c r="G106" s="469" t="n"/>
      <x:c r="H106" s="469" t="n"/>
      <x:c r="I106" s="470" t="n"/>
      <x:c r="J106" s="469" t="n"/>
      <x:c r="K106" s="469" t="n"/>
      <x:c r="L106" s="470" t="n"/>
      <x:c r="M106" s="469" t="n"/>
      <x:c r="N106" s="469" t="n"/>
      <x:c r="O106" s="469" t="n"/>
      <x:c r="P106" s="469" t="n"/>
      <x:c r="Q106" s="469" t="n"/>
      <x:c r="R106" s="469" t="n"/>
      <x:c r="S106" s="469" t="n"/>
      <x:c r="T106" s="469" t="n"/>
      <x:c r="U106" s="469" t="n"/>
      <x:c r="V106" s="470" t="n"/>
      <x:c r="W106" s="469" t="n"/>
    </x:row>
    <x:row r="107" s="36" customFormat="1" ht="42" customHeight="1">
      <x:c r="A107" s="469" t="n"/>
      <x:c r="B107" s="469" t="n"/>
      <x:c r="C107" s="469" t="n"/>
      <x:c r="D107" s="469" t="n"/>
      <x:c r="E107" s="469" t="n"/>
      <x:c r="F107" s="469" t="n"/>
      <x:c r="G107" s="469" t="n"/>
      <x:c r="H107" s="469" t="n"/>
      <x:c r="I107" s="470" t="n"/>
      <x:c r="J107" s="469" t="n"/>
      <x:c r="K107" s="469" t="n"/>
      <x:c r="L107" s="470" t="n"/>
      <x:c r="M107" s="469" t="n"/>
      <x:c r="N107" s="469" t="n"/>
      <x:c r="O107" s="469" t="n"/>
      <x:c r="P107" s="469" t="n"/>
      <x:c r="Q107" s="469" t="n"/>
      <x:c r="R107" s="469" t="n"/>
      <x:c r="S107" s="469" t="n"/>
      <x:c r="T107" s="469" t="n"/>
      <x:c r="U107" s="469" t="n"/>
      <x:c r="V107" s="470" t="n"/>
      <x:c r="W107" s="469" t="n"/>
    </x:row>
    <x:row r="108" s="36" customFormat="1" ht="42" customHeight="1">
      <x:c r="A108" s="469" t="n"/>
      <x:c r="B108" s="469" t="n"/>
      <x:c r="C108" s="469" t="n"/>
      <x:c r="D108" s="469" t="n"/>
      <x:c r="E108" s="469" t="n"/>
      <x:c r="F108" s="469" t="n"/>
      <x:c r="G108" s="469" t="n"/>
      <x:c r="H108" s="469" t="n"/>
      <x:c r="I108" s="470" t="n"/>
      <x:c r="J108" s="469" t="n"/>
      <x:c r="K108" s="469" t="n"/>
      <x:c r="L108" s="470" t="n"/>
      <x:c r="M108" s="469" t="n"/>
      <x:c r="N108" s="469" t="n"/>
      <x:c r="O108" s="469" t="n"/>
      <x:c r="P108" s="469" t="n"/>
      <x:c r="Q108" s="469" t="n"/>
      <x:c r="R108" s="469" t="n"/>
      <x:c r="S108" s="469" t="n"/>
      <x:c r="T108" s="469" t="n"/>
      <x:c r="U108" s="469" t="n"/>
      <x:c r="V108" s="470" t="n"/>
      <x:c r="W108" s="469" t="n"/>
    </x:row>
    <x:row r="109" s="36" customFormat="1" ht="42" customHeight="1">
      <x:c r="A109" s="469" t="n"/>
      <x:c r="B109" s="469" t="n"/>
      <x:c r="C109" s="469" t="n"/>
      <x:c r="D109" s="469" t="n"/>
      <x:c r="E109" s="469" t="n"/>
      <x:c r="F109" s="469" t="n"/>
      <x:c r="G109" s="469" t="n"/>
      <x:c r="H109" s="469" t="n"/>
      <x:c r="I109" s="470" t="n"/>
      <x:c r="J109" s="469" t="n"/>
      <x:c r="K109" s="469" t="n"/>
      <x:c r="L109" s="470" t="n"/>
      <x:c r="M109" s="469" t="n"/>
      <x:c r="N109" s="469" t="n"/>
      <x:c r="O109" s="469" t="n"/>
      <x:c r="P109" s="469" t="n"/>
      <x:c r="Q109" s="469" t="n"/>
      <x:c r="R109" s="469" t="n"/>
      <x:c r="S109" s="469" t="n"/>
      <x:c r="T109" s="469" t="n"/>
      <x:c r="U109" s="469" t="n"/>
      <x:c r="V109" s="470" t="n"/>
      <x:c r="W109" s="469" t="n"/>
    </x:row>
    <x:row r="110" s="36" customFormat="1" ht="42" customHeight="1">
      <x:c r="A110" s="469" t="n"/>
      <x:c r="B110" s="469" t="n"/>
      <x:c r="C110" s="469" t="n"/>
      <x:c r="D110" s="469" t="n"/>
      <x:c r="E110" s="469" t="n"/>
      <x:c r="F110" s="469" t="n"/>
      <x:c r="G110" s="469" t="n"/>
      <x:c r="H110" s="469" t="n"/>
      <x:c r="I110" s="470" t="n"/>
      <x:c r="J110" s="469" t="n"/>
      <x:c r="K110" s="469" t="n"/>
      <x:c r="L110" s="470" t="n"/>
      <x:c r="M110" s="469" t="n"/>
      <x:c r="N110" s="469" t="n"/>
      <x:c r="O110" s="469" t="n"/>
      <x:c r="P110" s="469" t="n"/>
      <x:c r="Q110" s="469" t="n"/>
      <x:c r="R110" s="469" t="n"/>
      <x:c r="S110" s="469" t="n"/>
      <x:c r="T110" s="469" t="n"/>
      <x:c r="U110" s="469" t="n"/>
      <x:c r="V110" s="470" t="n"/>
      <x:c r="W110" s="469" t="n"/>
    </x:row>
    <x:row r="111" s="36" customFormat="1" ht="42" customHeight="1">
      <x:c r="A111" s="469" t="n"/>
      <x:c r="B111" s="469" t="n"/>
      <x:c r="C111" s="469" t="n"/>
      <x:c r="D111" s="469" t="n"/>
      <x:c r="E111" s="469" t="n"/>
      <x:c r="F111" s="469" t="n"/>
      <x:c r="G111" s="469" t="n"/>
      <x:c r="H111" s="469" t="n"/>
      <x:c r="I111" s="470" t="n"/>
      <x:c r="J111" s="469" t="n"/>
      <x:c r="K111" s="469" t="n"/>
      <x:c r="L111" s="470" t="n"/>
      <x:c r="M111" s="469" t="n"/>
      <x:c r="N111" s="469" t="n"/>
      <x:c r="O111" s="469" t="n"/>
      <x:c r="P111" s="469" t="n"/>
      <x:c r="Q111" s="469" t="n"/>
      <x:c r="R111" s="469" t="n"/>
      <x:c r="S111" s="469" t="n"/>
      <x:c r="T111" s="469" t="n"/>
      <x:c r="U111" s="469" t="n"/>
      <x:c r="V111" s="470" t="n"/>
      <x:c r="W111" s="469" t="n"/>
    </x:row>
    <x:row r="112" s="36" customFormat="1" ht="42" customHeight="1">
      <x:c r="A112" s="469" t="n"/>
      <x:c r="B112" s="469" t="n"/>
      <x:c r="C112" s="469" t="n"/>
      <x:c r="D112" s="469" t="n"/>
      <x:c r="E112" s="469" t="n"/>
      <x:c r="F112" s="469" t="n"/>
      <x:c r="G112" s="469" t="n"/>
      <x:c r="H112" s="469" t="n"/>
      <x:c r="I112" s="470" t="n"/>
      <x:c r="J112" s="469" t="n"/>
      <x:c r="K112" s="469" t="n"/>
      <x:c r="L112" s="470" t="n"/>
      <x:c r="M112" s="469" t="n"/>
      <x:c r="N112" s="469" t="n"/>
      <x:c r="O112" s="469" t="n"/>
      <x:c r="P112" s="469" t="n"/>
      <x:c r="Q112" s="469" t="n"/>
      <x:c r="R112" s="469" t="n"/>
      <x:c r="S112" s="469" t="n"/>
      <x:c r="T112" s="469" t="n"/>
      <x:c r="U112" s="469" t="n"/>
      <x:c r="V112" s="470" t="n"/>
      <x:c r="W112" s="469" t="n"/>
    </x:row>
    <x:row r="113" s="36" customFormat="1" ht="42" customHeight="1">
      <x:c r="A113" s="469" t="n"/>
      <x:c r="B113" s="469" t="n"/>
      <x:c r="C113" s="469" t="n"/>
      <x:c r="D113" s="469" t="n"/>
      <x:c r="E113" s="469" t="n"/>
      <x:c r="F113" s="469" t="n"/>
      <x:c r="G113" s="469" t="n"/>
      <x:c r="H113" s="469" t="n"/>
      <x:c r="I113" s="470" t="n"/>
      <x:c r="J113" s="469" t="n"/>
      <x:c r="K113" s="469" t="n"/>
      <x:c r="L113" s="470" t="n"/>
      <x:c r="M113" s="469" t="n"/>
      <x:c r="N113" s="469" t="n"/>
      <x:c r="O113" s="469" t="n"/>
      <x:c r="P113" s="469" t="n"/>
      <x:c r="Q113" s="469" t="n"/>
      <x:c r="R113" s="469" t="n"/>
      <x:c r="S113" s="469" t="n"/>
      <x:c r="T113" s="469" t="n"/>
      <x:c r="U113" s="469" t="n"/>
      <x:c r="V113" s="470" t="n"/>
      <x:c r="W113" s="469" t="n"/>
    </x:row>
    <x:row r="114" s="36" customFormat="1" ht="42" customHeight="1">
      <x:c r="A114" s="469" t="n"/>
      <x:c r="B114" s="469" t="n"/>
      <x:c r="C114" s="469" t="n"/>
      <x:c r="D114" s="469" t="n"/>
      <x:c r="E114" s="469" t="n"/>
      <x:c r="F114" s="469" t="n"/>
      <x:c r="G114" s="469" t="n"/>
      <x:c r="H114" s="469" t="n"/>
      <x:c r="I114" s="470" t="n"/>
      <x:c r="J114" s="469" t="n"/>
      <x:c r="K114" s="469" t="n"/>
      <x:c r="L114" s="470" t="n"/>
      <x:c r="M114" s="469" t="n"/>
      <x:c r="N114" s="469" t="n"/>
      <x:c r="O114" s="469" t="n"/>
      <x:c r="P114" s="469" t="n"/>
      <x:c r="Q114" s="469" t="n"/>
      <x:c r="R114" s="469" t="n"/>
      <x:c r="S114" s="469" t="n"/>
      <x:c r="T114" s="469" t="n"/>
      <x:c r="U114" s="469" t="n"/>
      <x:c r="V114" s="470" t="n"/>
      <x:c r="W114" s="469" t="n"/>
    </x:row>
    <x:row r="115" s="36" customFormat="1" ht="42" customHeight="1">
      <x:c r="A115" s="469" t="n"/>
      <x:c r="B115" s="469" t="n"/>
      <x:c r="C115" s="469" t="n"/>
      <x:c r="D115" s="469" t="n"/>
      <x:c r="E115" s="469" t="n"/>
      <x:c r="F115" s="469" t="n"/>
      <x:c r="G115" s="469" t="n"/>
      <x:c r="H115" s="469" t="n"/>
      <x:c r="I115" s="470" t="n"/>
      <x:c r="J115" s="469" t="n"/>
      <x:c r="K115" s="469" t="n"/>
      <x:c r="L115" s="470" t="n"/>
      <x:c r="M115" s="469" t="n"/>
      <x:c r="N115" s="469" t="n"/>
      <x:c r="O115" s="469" t="n"/>
      <x:c r="P115" s="469" t="n"/>
      <x:c r="Q115" s="469" t="n"/>
      <x:c r="R115" s="469" t="n"/>
      <x:c r="S115" s="469" t="n"/>
      <x:c r="T115" s="469" t="n"/>
      <x:c r="U115" s="469" t="n"/>
      <x:c r="V115" s="470" t="n"/>
      <x:c r="W115" s="469" t="n"/>
    </x:row>
    <x:row r="116" s="36" customFormat="1" ht="42" customHeight="1">
      <x:c r="A116" s="469" t="n"/>
      <x:c r="B116" s="469" t="n"/>
      <x:c r="C116" s="469" t="n"/>
      <x:c r="D116" s="469" t="n"/>
      <x:c r="E116" s="469" t="n"/>
      <x:c r="F116" s="469" t="n"/>
      <x:c r="G116" s="469" t="n"/>
      <x:c r="H116" s="469" t="n"/>
      <x:c r="I116" s="470" t="n"/>
      <x:c r="J116" s="469" t="n"/>
      <x:c r="K116" s="469" t="n"/>
      <x:c r="L116" s="470" t="n"/>
      <x:c r="M116" s="469" t="n"/>
      <x:c r="N116" s="469" t="n"/>
      <x:c r="O116" s="469" t="n"/>
      <x:c r="P116" s="469" t="n"/>
      <x:c r="Q116" s="469" t="n"/>
      <x:c r="R116" s="469" t="n"/>
      <x:c r="S116" s="469" t="n"/>
      <x:c r="T116" s="469" t="n"/>
      <x:c r="U116" s="469" t="n"/>
      <x:c r="V116" s="470" t="n"/>
      <x:c r="W116" s="469" t="n"/>
    </x:row>
    <x:row r="117" s="36" customFormat="1" ht="42" customHeight="1">
      <x:c r="A117" s="469" t="n"/>
      <x:c r="B117" s="469" t="n"/>
      <x:c r="C117" s="469" t="n"/>
      <x:c r="D117" s="469" t="n"/>
      <x:c r="E117" s="469" t="n"/>
      <x:c r="F117" s="469" t="n"/>
      <x:c r="G117" s="469" t="n"/>
      <x:c r="H117" s="469" t="n"/>
      <x:c r="I117" s="470" t="n"/>
      <x:c r="J117" s="469" t="n"/>
      <x:c r="K117" s="469" t="n"/>
      <x:c r="L117" s="470" t="n"/>
      <x:c r="M117" s="469" t="n"/>
      <x:c r="N117" s="469" t="n"/>
      <x:c r="O117" s="469" t="n"/>
      <x:c r="P117" s="469" t="n"/>
      <x:c r="Q117" s="469" t="n"/>
      <x:c r="R117" s="469" t="n"/>
      <x:c r="S117" s="469" t="n"/>
      <x:c r="T117" s="469" t="n"/>
      <x:c r="U117" s="469" t="n"/>
      <x:c r="V117" s="470" t="n"/>
      <x:c r="W117" s="469" t="n"/>
    </x:row>
    <x:row r="118" s="36" customFormat="1" ht="42" customHeight="1">
      <x:c r="A118" s="469" t="n"/>
      <x:c r="B118" s="469" t="n"/>
      <x:c r="C118" s="469" t="n"/>
      <x:c r="D118" s="469" t="n"/>
      <x:c r="E118" s="469" t="n"/>
      <x:c r="F118" s="469" t="n"/>
      <x:c r="G118" s="469" t="n"/>
      <x:c r="H118" s="469" t="n"/>
      <x:c r="I118" s="470" t="n"/>
      <x:c r="J118" s="469" t="n"/>
      <x:c r="K118" s="469" t="n"/>
      <x:c r="L118" s="470" t="n"/>
      <x:c r="M118" s="469" t="n"/>
      <x:c r="N118" s="469" t="n"/>
      <x:c r="O118" s="469" t="n"/>
      <x:c r="P118" s="469" t="n"/>
      <x:c r="Q118" s="469" t="n"/>
      <x:c r="R118" s="469" t="n"/>
      <x:c r="S118" s="469" t="n"/>
      <x:c r="T118" s="469" t="n"/>
      <x:c r="U118" s="469" t="n"/>
      <x:c r="V118" s="470" t="n"/>
      <x:c r="W118" s="469" t="n"/>
    </x:row>
    <x:row r="119" s="36" customFormat="1" ht="42" customHeight="1">
      <x:c r="A119" s="469" t="n"/>
      <x:c r="B119" s="469" t="n"/>
      <x:c r="C119" s="469" t="n"/>
      <x:c r="D119" s="469" t="n"/>
      <x:c r="E119" s="469" t="n"/>
      <x:c r="F119" s="469" t="n"/>
      <x:c r="G119" s="469" t="n"/>
      <x:c r="H119" s="469" t="n"/>
      <x:c r="I119" s="470" t="n"/>
      <x:c r="J119" s="469" t="n"/>
      <x:c r="K119" s="469" t="n"/>
      <x:c r="L119" s="470" t="n"/>
      <x:c r="M119" s="469" t="n"/>
      <x:c r="N119" s="469" t="n"/>
      <x:c r="O119" s="469" t="n"/>
      <x:c r="P119" s="469" t="n"/>
      <x:c r="Q119" s="469" t="n"/>
      <x:c r="R119" s="469" t="n"/>
      <x:c r="S119" s="469" t="n"/>
      <x:c r="T119" s="469" t="n"/>
      <x:c r="U119" s="469" t="n"/>
      <x:c r="V119" s="470" t="n"/>
      <x:c r="W119" s="469" t="n"/>
    </x:row>
    <x:row r="120" s="36" customFormat="1" ht="42" customHeight="1">
      <x:c r="A120" s="469" t="n"/>
      <x:c r="B120" s="469" t="n"/>
      <x:c r="C120" s="469" t="n"/>
      <x:c r="D120" s="469" t="n"/>
      <x:c r="E120" s="469" t="n"/>
      <x:c r="F120" s="469" t="n"/>
      <x:c r="G120" s="469" t="n"/>
      <x:c r="H120" s="469" t="n"/>
      <x:c r="I120" s="470" t="n"/>
      <x:c r="J120" s="469" t="n"/>
      <x:c r="K120" s="469" t="n"/>
      <x:c r="L120" s="470" t="n"/>
      <x:c r="M120" s="469" t="n"/>
      <x:c r="N120" s="469" t="n"/>
      <x:c r="O120" s="469" t="n"/>
      <x:c r="P120" s="469" t="n"/>
      <x:c r="Q120" s="469" t="n"/>
      <x:c r="R120" s="469" t="n"/>
      <x:c r="S120" s="469" t="n"/>
      <x:c r="T120" s="469" t="n"/>
      <x:c r="U120" s="469" t="n"/>
      <x:c r="V120" s="470" t="n"/>
      <x:c r="W120" s="469" t="n"/>
    </x:row>
    <x:row r="121" s="36" customFormat="1" ht="42" customHeight="1">
      <x:c r="A121" s="469" t="n"/>
      <x:c r="B121" s="469" t="n"/>
      <x:c r="C121" s="469" t="n"/>
      <x:c r="D121" s="469" t="n"/>
      <x:c r="E121" s="469" t="n"/>
      <x:c r="F121" s="469" t="n"/>
      <x:c r="G121" s="469" t="n"/>
      <x:c r="H121" s="469" t="n"/>
      <x:c r="I121" s="470" t="n"/>
      <x:c r="J121" s="469" t="n"/>
      <x:c r="K121" s="469" t="n"/>
      <x:c r="L121" s="470" t="n"/>
      <x:c r="M121" s="469" t="n"/>
      <x:c r="N121" s="469" t="n"/>
      <x:c r="O121" s="469" t="n"/>
      <x:c r="P121" s="469" t="n"/>
      <x:c r="Q121" s="469" t="n"/>
      <x:c r="R121" s="469" t="n"/>
      <x:c r="S121" s="469" t="n"/>
      <x:c r="T121" s="469" t="n"/>
      <x:c r="U121" s="469" t="n"/>
      <x:c r="V121" s="470" t="n"/>
      <x:c r="W121" s="469" t="n"/>
    </x:row>
    <x:row r="122" s="36" customFormat="1" ht="42" customHeight="1">
      <x:c r="A122" s="469" t="n"/>
      <x:c r="B122" s="469" t="n"/>
      <x:c r="C122" s="469" t="n"/>
      <x:c r="D122" s="469" t="n"/>
      <x:c r="E122" s="469" t="n"/>
      <x:c r="F122" s="469" t="n"/>
      <x:c r="G122" s="469" t="n"/>
      <x:c r="H122" s="469" t="n"/>
      <x:c r="I122" s="470" t="n"/>
      <x:c r="J122" s="469" t="n"/>
      <x:c r="K122" s="469" t="n"/>
      <x:c r="L122" s="470" t="n"/>
      <x:c r="M122" s="469" t="n"/>
      <x:c r="N122" s="469" t="n"/>
      <x:c r="O122" s="469" t="n"/>
      <x:c r="P122" s="469" t="n"/>
      <x:c r="Q122" s="469" t="n"/>
      <x:c r="R122" s="469" t="n"/>
      <x:c r="S122" s="469" t="n"/>
      <x:c r="T122" s="469" t="n"/>
      <x:c r="U122" s="469" t="n"/>
      <x:c r="V122" s="470" t="n"/>
      <x:c r="W122" s="469" t="n"/>
    </x:row>
    <x:row r="123" s="36" customFormat="1" ht="42" customHeight="1">
      <x:c r="A123" s="469" t="n"/>
      <x:c r="B123" s="469" t="n"/>
      <x:c r="C123" s="469" t="n"/>
      <x:c r="D123" s="469" t="n"/>
      <x:c r="E123" s="469" t="n"/>
      <x:c r="F123" s="469" t="n"/>
      <x:c r="G123" s="469" t="n"/>
      <x:c r="H123" s="469" t="n"/>
      <x:c r="I123" s="470" t="n"/>
      <x:c r="J123" s="469" t="n"/>
      <x:c r="K123" s="469" t="n"/>
      <x:c r="L123" s="470" t="n"/>
      <x:c r="M123" s="469" t="n"/>
      <x:c r="N123" s="469" t="n"/>
      <x:c r="O123" s="469" t="n"/>
      <x:c r="P123" s="469" t="n"/>
      <x:c r="Q123" s="469" t="n"/>
      <x:c r="R123" s="469" t="n"/>
      <x:c r="S123" s="469" t="n"/>
      <x:c r="T123" s="469" t="n"/>
      <x:c r="U123" s="469" t="n"/>
      <x:c r="V123" s="470" t="n"/>
      <x:c r="W123" s="469" t="n"/>
    </x:row>
    <x:row r="124" s="36" customFormat="1" ht="42" customHeight="1">
      <x:c r="A124" s="469" t="n"/>
      <x:c r="B124" s="469" t="n"/>
      <x:c r="C124" s="469" t="n"/>
      <x:c r="D124" s="469" t="n"/>
      <x:c r="E124" s="469" t="n"/>
      <x:c r="F124" s="469" t="n"/>
      <x:c r="G124" s="469" t="n"/>
      <x:c r="H124" s="469" t="n"/>
      <x:c r="I124" s="470" t="n"/>
      <x:c r="J124" s="469" t="n"/>
      <x:c r="K124" s="469" t="n"/>
      <x:c r="L124" s="470" t="n"/>
      <x:c r="M124" s="469" t="n"/>
      <x:c r="N124" s="469" t="n"/>
      <x:c r="O124" s="469" t="n"/>
      <x:c r="P124" s="469" t="n"/>
      <x:c r="Q124" s="469" t="n"/>
      <x:c r="R124" s="469" t="n"/>
      <x:c r="S124" s="469" t="n"/>
      <x:c r="T124" s="469" t="n"/>
      <x:c r="U124" s="469" t="n"/>
      <x:c r="V124" s="470" t="n"/>
      <x:c r="W124" s="469" t="n"/>
    </x:row>
    <x:row r="125" s="36" customFormat="1" ht="42" customHeight="1">
      <x:c r="A125" s="469" t="n"/>
      <x:c r="B125" s="469" t="n"/>
      <x:c r="C125" s="469" t="n"/>
      <x:c r="D125" s="469" t="n"/>
      <x:c r="E125" s="469" t="n"/>
      <x:c r="F125" s="469" t="n"/>
      <x:c r="G125" s="469" t="n"/>
      <x:c r="H125" s="469" t="n"/>
      <x:c r="I125" s="470" t="n"/>
      <x:c r="J125" s="469" t="n"/>
      <x:c r="K125" s="469" t="n"/>
      <x:c r="L125" s="470" t="n"/>
      <x:c r="M125" s="469" t="n"/>
      <x:c r="N125" s="469" t="n"/>
      <x:c r="O125" s="469" t="n"/>
      <x:c r="P125" s="469" t="n"/>
      <x:c r="Q125" s="469" t="n"/>
      <x:c r="R125" s="469" t="n"/>
      <x:c r="S125" s="469" t="n"/>
      <x:c r="T125" s="469" t="n"/>
      <x:c r="U125" s="469" t="n"/>
      <x:c r="V125" s="470" t="n"/>
      <x:c r="W125" s="469" t="n"/>
    </x:row>
    <x:row r="126" s="36" customFormat="1" ht="42" customHeight="1">
      <x:c r="A126" s="469" t="n"/>
      <x:c r="B126" s="469" t="n"/>
      <x:c r="C126" s="469" t="n"/>
      <x:c r="D126" s="469" t="n"/>
      <x:c r="E126" s="469" t="n"/>
      <x:c r="F126" s="469" t="n"/>
      <x:c r="G126" s="469" t="n"/>
      <x:c r="H126" s="469" t="n"/>
      <x:c r="I126" s="470" t="n"/>
      <x:c r="J126" s="469" t="n"/>
      <x:c r="K126" s="469" t="n"/>
      <x:c r="L126" s="470" t="n"/>
      <x:c r="M126" s="469" t="n"/>
      <x:c r="N126" s="469" t="n"/>
      <x:c r="O126" s="469" t="n"/>
      <x:c r="P126" s="469" t="n"/>
      <x:c r="Q126" s="469" t="n"/>
      <x:c r="R126" s="469" t="n"/>
      <x:c r="S126" s="469" t="n"/>
      <x:c r="T126" s="469" t="n"/>
      <x:c r="U126" s="469" t="n"/>
      <x:c r="V126" s="470" t="n"/>
      <x:c r="W126" s="469" t="n"/>
    </x:row>
    <x:row r="127" s="36" customFormat="1" ht="42" customHeight="1">
      <x:c r="A127" s="469" t="n"/>
      <x:c r="B127" s="469" t="n"/>
      <x:c r="C127" s="469" t="n"/>
      <x:c r="D127" s="469" t="n"/>
      <x:c r="E127" s="469" t="n"/>
      <x:c r="F127" s="469" t="n"/>
      <x:c r="G127" s="469" t="n"/>
      <x:c r="H127" s="469" t="n"/>
      <x:c r="I127" s="470" t="n"/>
      <x:c r="J127" s="469" t="n"/>
      <x:c r="K127" s="469" t="n"/>
      <x:c r="L127" s="470" t="n"/>
      <x:c r="M127" s="469" t="n"/>
      <x:c r="N127" s="469" t="n"/>
      <x:c r="O127" s="469" t="n"/>
      <x:c r="P127" s="469" t="n"/>
      <x:c r="Q127" s="469" t="n"/>
      <x:c r="R127" s="469" t="n"/>
      <x:c r="S127" s="469" t="n"/>
      <x:c r="T127" s="469" t="n"/>
      <x:c r="U127" s="469" t="n"/>
      <x:c r="V127" s="470" t="n"/>
      <x:c r="W127" s="469" t="n"/>
    </x:row>
    <x:row r="128" s="36" customFormat="1" ht="42" customHeight="1">
      <x:c r="A128" s="469" t="n"/>
      <x:c r="B128" s="469" t="n"/>
      <x:c r="C128" s="469" t="n"/>
      <x:c r="D128" s="469" t="n"/>
      <x:c r="E128" s="469" t="n"/>
      <x:c r="F128" s="469" t="n"/>
      <x:c r="G128" s="469" t="n"/>
      <x:c r="H128" s="469" t="n"/>
      <x:c r="I128" s="470" t="n"/>
      <x:c r="J128" s="469" t="n"/>
      <x:c r="K128" s="469" t="n"/>
      <x:c r="L128" s="470" t="n"/>
      <x:c r="M128" s="469" t="n"/>
      <x:c r="N128" s="469" t="n"/>
      <x:c r="O128" s="469" t="n"/>
      <x:c r="P128" s="469" t="n"/>
      <x:c r="Q128" s="469" t="n"/>
      <x:c r="R128" s="469" t="n"/>
      <x:c r="S128" s="469" t="n"/>
      <x:c r="T128" s="469" t="n"/>
      <x:c r="U128" s="469" t="n"/>
      <x:c r="V128" s="470" t="n"/>
      <x:c r="W128" s="469" t="n"/>
    </x:row>
    <x:row r="129" s="36" customFormat="1" ht="42" customHeight="1">
      <x:c r="A129" s="469" t="n"/>
      <x:c r="B129" s="469" t="n"/>
      <x:c r="C129" s="469" t="n"/>
      <x:c r="D129" s="469" t="n"/>
      <x:c r="E129" s="469" t="n"/>
      <x:c r="F129" s="469" t="n"/>
      <x:c r="G129" s="469" t="n"/>
      <x:c r="H129" s="469" t="n"/>
      <x:c r="I129" s="470" t="n"/>
      <x:c r="J129" s="469" t="n"/>
      <x:c r="K129" s="469" t="n"/>
      <x:c r="L129" s="470" t="n"/>
      <x:c r="M129" s="469" t="n"/>
      <x:c r="N129" s="469" t="n"/>
      <x:c r="O129" s="469" t="n"/>
      <x:c r="P129" s="469" t="n"/>
      <x:c r="Q129" s="469" t="n"/>
      <x:c r="R129" s="469" t="n"/>
      <x:c r="S129" s="469" t="n"/>
      <x:c r="T129" s="469" t="n"/>
      <x:c r="U129" s="469" t="n"/>
      <x:c r="V129" s="470" t="n"/>
      <x:c r="W129" s="469" t="n"/>
    </x:row>
    <x:row r="130" s="36" customFormat="1" ht="42" customHeight="1">
      <x:c r="A130" s="469" t="n"/>
      <x:c r="B130" s="469" t="n"/>
      <x:c r="C130" s="469" t="n"/>
      <x:c r="D130" s="469" t="n"/>
      <x:c r="E130" s="469" t="n"/>
      <x:c r="F130" s="469" t="n"/>
      <x:c r="G130" s="469" t="n"/>
      <x:c r="H130" s="469" t="n"/>
      <x:c r="I130" s="470" t="n"/>
      <x:c r="J130" s="469" t="n"/>
      <x:c r="K130" s="469" t="n"/>
      <x:c r="L130" s="470" t="n"/>
      <x:c r="M130" s="469" t="n"/>
      <x:c r="N130" s="469" t="n"/>
      <x:c r="O130" s="469" t="n"/>
      <x:c r="P130" s="469" t="n"/>
      <x:c r="Q130" s="469" t="n"/>
      <x:c r="R130" s="469" t="n"/>
      <x:c r="S130" s="469" t="n"/>
      <x:c r="T130" s="469" t="n"/>
      <x:c r="U130" s="469" t="n"/>
      <x:c r="V130" s="470" t="n"/>
      <x:c r="W130" s="469" t="n"/>
    </x:row>
    <x:row r="131" s="36" customFormat="1" ht="42" customHeight="1">
      <x:c r="A131" s="469" t="n"/>
      <x:c r="B131" s="469" t="n"/>
      <x:c r="C131" s="469" t="n"/>
      <x:c r="D131" s="469" t="n"/>
      <x:c r="E131" s="469" t="n"/>
      <x:c r="F131" s="469" t="n"/>
      <x:c r="G131" s="469" t="n"/>
      <x:c r="H131" s="469" t="n"/>
      <x:c r="I131" s="470" t="n"/>
      <x:c r="J131" s="469" t="n"/>
      <x:c r="K131" s="469" t="n"/>
      <x:c r="L131" s="470" t="n"/>
      <x:c r="M131" s="469" t="n"/>
      <x:c r="N131" s="469" t="n"/>
      <x:c r="O131" s="469" t="n"/>
      <x:c r="P131" s="469" t="n"/>
      <x:c r="Q131" s="469" t="n"/>
      <x:c r="R131" s="469" t="n"/>
      <x:c r="S131" s="469" t="n"/>
      <x:c r="T131" s="469" t="n"/>
      <x:c r="U131" s="469" t="n"/>
      <x:c r="V131" s="470" t="n"/>
      <x:c r="W131" s="469" t="n"/>
    </x:row>
    <x:row r="132" s="36" customFormat="1" ht="42" customHeight="1">
      <x:c r="A132" s="469" t="n"/>
      <x:c r="B132" s="469" t="n"/>
      <x:c r="C132" s="469" t="n"/>
      <x:c r="D132" s="469" t="n"/>
      <x:c r="E132" s="469" t="n"/>
      <x:c r="F132" s="469" t="n"/>
      <x:c r="G132" s="469" t="n"/>
      <x:c r="H132" s="469" t="n"/>
      <x:c r="I132" s="470" t="n"/>
      <x:c r="J132" s="469" t="n"/>
      <x:c r="K132" s="469" t="n"/>
      <x:c r="L132" s="470" t="n"/>
      <x:c r="M132" s="469" t="n"/>
      <x:c r="N132" s="469" t="n"/>
      <x:c r="O132" s="469" t="n"/>
      <x:c r="P132" s="469" t="n"/>
      <x:c r="Q132" s="469" t="n"/>
      <x:c r="R132" s="469" t="n"/>
      <x:c r="S132" s="469" t="n"/>
      <x:c r="T132" s="469" t="n"/>
      <x:c r="U132" s="469" t="n"/>
      <x:c r="V132" s="470" t="n"/>
      <x:c r="W132" s="469" t="n"/>
    </x:row>
    <x:row r="133" s="36" customFormat="1" ht="42" customHeight="1">
      <x:c r="A133" s="469" t="n"/>
      <x:c r="B133" s="469" t="n"/>
      <x:c r="C133" s="469" t="n"/>
      <x:c r="D133" s="469" t="n"/>
      <x:c r="E133" s="469" t="n"/>
      <x:c r="F133" s="469" t="n"/>
      <x:c r="G133" s="469" t="n"/>
      <x:c r="H133" s="469" t="n"/>
      <x:c r="I133" s="470" t="n"/>
      <x:c r="J133" s="469" t="n"/>
      <x:c r="K133" s="469" t="n"/>
      <x:c r="L133" s="470" t="n"/>
      <x:c r="M133" s="469" t="n"/>
      <x:c r="N133" s="469" t="n"/>
      <x:c r="O133" s="469" t="n"/>
      <x:c r="P133" s="469" t="n"/>
      <x:c r="Q133" s="469" t="n"/>
      <x:c r="R133" s="469" t="n"/>
      <x:c r="S133" s="469" t="n"/>
      <x:c r="T133" s="469" t="n"/>
      <x:c r="U133" s="469" t="n"/>
      <x:c r="V133" s="470" t="n"/>
      <x:c r="W133" s="469" t="n"/>
    </x:row>
    <x:row r="134" s="36" customFormat="1" ht="42" customHeight="1">
      <x:c r="A134" s="469" t="n"/>
      <x:c r="B134" s="469" t="n"/>
      <x:c r="C134" s="469" t="n"/>
      <x:c r="D134" s="469" t="n"/>
      <x:c r="E134" s="469" t="n"/>
      <x:c r="F134" s="469" t="n"/>
      <x:c r="G134" s="469" t="n"/>
      <x:c r="H134" s="469" t="n"/>
      <x:c r="I134" s="470" t="n"/>
      <x:c r="J134" s="469" t="n"/>
      <x:c r="K134" s="469" t="n"/>
      <x:c r="L134" s="470" t="n"/>
      <x:c r="M134" s="469" t="n"/>
      <x:c r="N134" s="469" t="n"/>
      <x:c r="O134" s="469" t="n"/>
      <x:c r="P134" s="469" t="n"/>
      <x:c r="Q134" s="469" t="n"/>
      <x:c r="R134" s="469" t="n"/>
      <x:c r="S134" s="469" t="n"/>
      <x:c r="T134" s="469" t="n"/>
      <x:c r="U134" s="469" t="n"/>
      <x:c r="V134" s="470" t="n"/>
      <x:c r="W134" s="469" t="n"/>
    </x:row>
    <x:row r="135" s="36" customFormat="1" ht="42" customHeight="1">
      <x:c r="A135" s="469" t="n"/>
      <x:c r="B135" s="469" t="n"/>
      <x:c r="C135" s="469" t="n"/>
      <x:c r="D135" s="469" t="n"/>
      <x:c r="E135" s="469" t="n"/>
      <x:c r="F135" s="469" t="n"/>
      <x:c r="G135" s="469" t="n"/>
      <x:c r="H135" s="469" t="n"/>
      <x:c r="I135" s="470" t="n"/>
      <x:c r="J135" s="469" t="n"/>
      <x:c r="K135" s="469" t="n"/>
      <x:c r="L135" s="470" t="n"/>
      <x:c r="M135" s="469" t="n"/>
      <x:c r="N135" s="469" t="n"/>
      <x:c r="O135" s="469" t="n"/>
      <x:c r="P135" s="469" t="n"/>
      <x:c r="Q135" s="469" t="n"/>
      <x:c r="R135" s="469" t="n"/>
      <x:c r="S135" s="469" t="n"/>
      <x:c r="T135" s="469" t="n"/>
      <x:c r="U135" s="469" t="n"/>
      <x:c r="V135" s="470" t="n"/>
      <x:c r="W135" s="469" t="n"/>
    </x:row>
    <x:row r="136" s="36" customFormat="1" ht="42" customHeight="1">
      <x:c r="A136" s="469" t="n"/>
      <x:c r="B136" s="469" t="n"/>
      <x:c r="C136" s="469" t="n"/>
      <x:c r="D136" s="469" t="n"/>
      <x:c r="E136" s="469" t="n"/>
      <x:c r="F136" s="469" t="n"/>
      <x:c r="G136" s="469" t="n"/>
      <x:c r="H136" s="469" t="n"/>
      <x:c r="I136" s="470" t="n"/>
      <x:c r="J136" s="469" t="n"/>
      <x:c r="K136" s="469" t="n"/>
      <x:c r="L136" s="470" t="n"/>
      <x:c r="M136" s="469" t="n"/>
      <x:c r="N136" s="469" t="n"/>
      <x:c r="O136" s="469" t="n"/>
      <x:c r="P136" s="469" t="n"/>
      <x:c r="Q136" s="469" t="n"/>
      <x:c r="R136" s="469" t="n"/>
      <x:c r="S136" s="469" t="n"/>
      <x:c r="T136" s="469" t="n"/>
      <x:c r="U136" s="469" t="n"/>
      <x:c r="V136" s="470" t="n"/>
      <x:c r="W136" s="469" t="n"/>
    </x:row>
    <x:row r="137" s="36" customFormat="1" ht="42" customHeight="1">
      <x:c r="A137" s="469" t="n"/>
      <x:c r="B137" s="469" t="n"/>
      <x:c r="C137" s="469" t="n"/>
      <x:c r="D137" s="469" t="n"/>
      <x:c r="E137" s="469" t="n"/>
      <x:c r="F137" s="469" t="n"/>
      <x:c r="G137" s="469" t="n"/>
      <x:c r="H137" s="469" t="n"/>
      <x:c r="I137" s="470" t="n"/>
      <x:c r="J137" s="469" t="n"/>
      <x:c r="K137" s="469" t="n"/>
      <x:c r="L137" s="470" t="n"/>
      <x:c r="M137" s="469" t="n"/>
      <x:c r="N137" s="469" t="n"/>
      <x:c r="O137" s="469" t="n"/>
      <x:c r="P137" s="469" t="n"/>
      <x:c r="Q137" s="469" t="n"/>
      <x:c r="R137" s="469" t="n"/>
      <x:c r="S137" s="469" t="n"/>
      <x:c r="T137" s="469" t="n"/>
      <x:c r="U137" s="469" t="n"/>
      <x:c r="V137" s="470" t="n"/>
      <x:c r="W137" s="469" t="n"/>
    </x:row>
    <x:row r="138" s="36" customFormat="1" ht="42" customHeight="1">
      <x:c r="A138" s="469" t="n"/>
      <x:c r="B138" s="469" t="n"/>
      <x:c r="C138" s="469" t="n"/>
      <x:c r="D138" s="469" t="n"/>
      <x:c r="E138" s="469" t="n"/>
      <x:c r="F138" s="469" t="n"/>
      <x:c r="G138" s="469" t="n"/>
      <x:c r="H138" s="469" t="n"/>
      <x:c r="I138" s="470" t="n"/>
      <x:c r="J138" s="469" t="n"/>
      <x:c r="K138" s="469" t="n"/>
      <x:c r="L138" s="470" t="n"/>
      <x:c r="M138" s="469" t="n"/>
      <x:c r="N138" s="469" t="n"/>
      <x:c r="O138" s="469" t="n"/>
      <x:c r="P138" s="469" t="n"/>
      <x:c r="Q138" s="469" t="n"/>
      <x:c r="R138" s="469" t="n"/>
      <x:c r="S138" s="469" t="n"/>
      <x:c r="T138" s="469" t="n"/>
      <x:c r="U138" s="469" t="n"/>
      <x:c r="V138" s="470" t="n"/>
      <x:c r="W138" s="469" t="n"/>
    </x:row>
    <x:row r="139" s="36" customFormat="1" ht="42" customHeight="1">
      <x:c r="A139" s="469" t="n"/>
      <x:c r="B139" s="469" t="n"/>
      <x:c r="C139" s="469" t="n"/>
      <x:c r="D139" s="469" t="n"/>
      <x:c r="E139" s="469" t="n"/>
      <x:c r="F139" s="469" t="n"/>
      <x:c r="G139" s="469" t="n"/>
      <x:c r="H139" s="469" t="n"/>
      <x:c r="I139" s="470" t="n"/>
      <x:c r="J139" s="469" t="n"/>
      <x:c r="K139" s="469" t="n"/>
      <x:c r="L139" s="470" t="n"/>
      <x:c r="M139" s="469" t="n"/>
      <x:c r="N139" s="469" t="n"/>
      <x:c r="O139" s="469" t="n"/>
      <x:c r="P139" s="469" t="n"/>
      <x:c r="Q139" s="469" t="n"/>
      <x:c r="R139" s="469" t="n"/>
      <x:c r="S139" s="469" t="n"/>
      <x:c r="T139" s="469" t="n"/>
      <x:c r="U139" s="469" t="n"/>
      <x:c r="V139" s="470" t="n"/>
      <x:c r="W139" s="469" t="n"/>
    </x:row>
    <x:row r="140" s="36" customFormat="1" ht="42" customHeight="1">
      <x:c r="A140" s="469" t="n"/>
      <x:c r="B140" s="469" t="n"/>
      <x:c r="C140" s="469" t="n"/>
      <x:c r="D140" s="469" t="n"/>
      <x:c r="E140" s="469" t="n"/>
      <x:c r="F140" s="469" t="n"/>
      <x:c r="G140" s="469" t="n"/>
      <x:c r="H140" s="469" t="n"/>
      <x:c r="I140" s="470" t="n"/>
      <x:c r="J140" s="469" t="n"/>
      <x:c r="K140" s="469" t="n"/>
      <x:c r="L140" s="470" t="n"/>
      <x:c r="M140" s="469" t="n"/>
      <x:c r="N140" s="469" t="n"/>
      <x:c r="O140" s="469" t="n"/>
      <x:c r="P140" s="469" t="n"/>
      <x:c r="Q140" s="469" t="n"/>
      <x:c r="R140" s="469" t="n"/>
      <x:c r="S140" s="469" t="n"/>
      <x:c r="T140" s="469" t="n"/>
      <x:c r="U140" s="469" t="n"/>
      <x:c r="V140" s="470" t="n"/>
      <x:c r="W140" s="469" t="n"/>
    </x:row>
    <x:row r="141" s="36" customFormat="1" ht="42" customHeight="1">
      <x:c r="A141" s="469" t="n"/>
      <x:c r="B141" s="469" t="n"/>
      <x:c r="C141" s="469" t="n"/>
      <x:c r="D141" s="469" t="n"/>
      <x:c r="E141" s="469" t="n"/>
      <x:c r="F141" s="469" t="n"/>
      <x:c r="G141" s="469" t="n"/>
      <x:c r="H141" s="469" t="n"/>
      <x:c r="I141" s="470" t="n"/>
      <x:c r="J141" s="469" t="n"/>
      <x:c r="K141" s="469" t="n"/>
      <x:c r="L141" s="470" t="n"/>
      <x:c r="M141" s="469" t="n"/>
      <x:c r="N141" s="469" t="n"/>
      <x:c r="O141" s="469" t="n"/>
      <x:c r="P141" s="469" t="n"/>
      <x:c r="Q141" s="469" t="n"/>
      <x:c r="R141" s="469" t="n"/>
      <x:c r="S141" s="469" t="n"/>
      <x:c r="T141" s="469" t="n"/>
      <x:c r="U141" s="469" t="n"/>
      <x:c r="V141" s="470" t="n"/>
      <x:c r="W141" s="469" t="n"/>
    </x:row>
    <x:row r="142" s="36" customFormat="1" ht="42" customHeight="1">
      <x:c r="A142" s="469" t="n"/>
      <x:c r="B142" s="469" t="n"/>
      <x:c r="C142" s="469" t="n"/>
      <x:c r="D142" s="469" t="n"/>
      <x:c r="E142" s="469" t="n"/>
      <x:c r="F142" s="469" t="n"/>
      <x:c r="G142" s="469" t="n"/>
      <x:c r="H142" s="469" t="n"/>
      <x:c r="I142" s="470" t="n"/>
      <x:c r="J142" s="469" t="n"/>
      <x:c r="K142" s="469" t="n"/>
      <x:c r="L142" s="470" t="n"/>
      <x:c r="M142" s="469" t="n"/>
      <x:c r="N142" s="469" t="n"/>
      <x:c r="O142" s="469" t="n"/>
      <x:c r="P142" s="469" t="n"/>
      <x:c r="Q142" s="469" t="n"/>
      <x:c r="R142" s="469" t="n"/>
      <x:c r="S142" s="469" t="n"/>
      <x:c r="T142" s="469" t="n"/>
      <x:c r="U142" s="469" t="n"/>
      <x:c r="V142" s="470" t="n"/>
      <x:c r="W142" s="469" t="n"/>
    </x:row>
    <x:row r="143" s="36" customFormat="1" ht="42" customHeight="1">
      <x:c r="A143" s="469" t="n"/>
      <x:c r="B143" s="469" t="n"/>
      <x:c r="C143" s="469" t="n"/>
      <x:c r="D143" s="469" t="n"/>
      <x:c r="E143" s="469" t="n"/>
      <x:c r="F143" s="469" t="n"/>
      <x:c r="G143" s="469" t="n"/>
      <x:c r="H143" s="469" t="n"/>
      <x:c r="I143" s="470" t="n"/>
      <x:c r="J143" s="469" t="n"/>
      <x:c r="K143" s="469" t="n"/>
      <x:c r="L143" s="470" t="n"/>
      <x:c r="M143" s="469" t="n"/>
      <x:c r="N143" s="469" t="n"/>
      <x:c r="O143" s="469" t="n"/>
      <x:c r="P143" s="469" t="n"/>
      <x:c r="Q143" s="469" t="n"/>
      <x:c r="R143" s="469" t="n"/>
      <x:c r="S143" s="469" t="n"/>
      <x:c r="T143" s="469" t="n"/>
      <x:c r="U143" s="469" t="n"/>
      <x:c r="V143" s="470" t="n"/>
      <x:c r="W143" s="469" t="n"/>
    </x:row>
    <x:row r="144" s="36" customFormat="1" ht="42" customHeight="1">
      <x:c r="A144" s="469" t="n"/>
      <x:c r="B144" s="469" t="n"/>
      <x:c r="C144" s="469" t="n"/>
      <x:c r="D144" s="469" t="n"/>
      <x:c r="E144" s="469" t="n"/>
      <x:c r="F144" s="469" t="n"/>
      <x:c r="G144" s="469" t="n"/>
      <x:c r="H144" s="469" t="n"/>
      <x:c r="I144" s="470" t="n"/>
      <x:c r="J144" s="469" t="n"/>
      <x:c r="K144" s="469" t="n"/>
      <x:c r="L144" s="470" t="n"/>
      <x:c r="M144" s="469" t="n"/>
      <x:c r="N144" s="469" t="n"/>
      <x:c r="O144" s="469" t="n"/>
      <x:c r="P144" s="469" t="n"/>
      <x:c r="Q144" s="469" t="n"/>
      <x:c r="R144" s="469" t="n"/>
      <x:c r="S144" s="469" t="n"/>
      <x:c r="T144" s="469" t="n"/>
      <x:c r="U144" s="469" t="n"/>
      <x:c r="V144" s="470" t="n"/>
      <x:c r="W144" s="469" t="n"/>
    </x:row>
    <x:row r="145" s="36" customFormat="1" ht="42" customHeight="1">
      <x:c r="A145" s="469" t="n"/>
      <x:c r="B145" s="469" t="n"/>
      <x:c r="C145" s="469" t="n"/>
      <x:c r="D145" s="469" t="n"/>
      <x:c r="E145" s="469" t="n"/>
      <x:c r="F145" s="469" t="n"/>
      <x:c r="G145" s="469" t="n"/>
      <x:c r="H145" s="469" t="n"/>
      <x:c r="I145" s="470" t="n"/>
      <x:c r="J145" s="469" t="n"/>
      <x:c r="K145" s="469" t="n"/>
      <x:c r="L145" s="470" t="n"/>
      <x:c r="M145" s="469" t="n"/>
      <x:c r="N145" s="469" t="n"/>
      <x:c r="O145" s="469" t="n"/>
      <x:c r="P145" s="469" t="n"/>
      <x:c r="Q145" s="469" t="n"/>
      <x:c r="R145" s="469" t="n"/>
      <x:c r="S145" s="469" t="n"/>
      <x:c r="T145" s="469" t="n"/>
      <x:c r="U145" s="469" t="n"/>
      <x:c r="V145" s="470" t="n"/>
      <x:c r="W145" s="469" t="n"/>
    </x:row>
    <x:row r="146" s="36" customFormat="1" ht="42" customHeight="1">
      <x:c r="A146" s="469" t="n"/>
      <x:c r="B146" s="469" t="n"/>
      <x:c r="C146" s="469" t="n"/>
      <x:c r="D146" s="469" t="n"/>
      <x:c r="E146" s="469" t="n"/>
      <x:c r="F146" s="469" t="n"/>
      <x:c r="G146" s="469" t="n"/>
      <x:c r="H146" s="469" t="n"/>
      <x:c r="I146" s="470" t="n"/>
      <x:c r="J146" s="469" t="n"/>
      <x:c r="K146" s="469" t="n"/>
      <x:c r="L146" s="470" t="n"/>
      <x:c r="M146" s="469" t="n"/>
      <x:c r="N146" s="469" t="n"/>
      <x:c r="O146" s="469" t="n"/>
      <x:c r="P146" s="469" t="n"/>
      <x:c r="Q146" s="469" t="n"/>
      <x:c r="R146" s="469" t="n"/>
      <x:c r="S146" s="469" t="n"/>
      <x:c r="T146" s="469" t="n"/>
      <x:c r="U146" s="469" t="n"/>
      <x:c r="V146" s="470" t="n"/>
      <x:c r="W146" s="469" t="n"/>
    </x:row>
    <x:row r="147" s="36" customFormat="1" ht="42" customHeight="1">
      <x:c r="A147" s="469" t="n"/>
      <x:c r="B147" s="469" t="n"/>
      <x:c r="C147" s="469" t="n"/>
      <x:c r="D147" s="469" t="n"/>
      <x:c r="E147" s="469" t="n"/>
      <x:c r="F147" s="469" t="n"/>
      <x:c r="G147" s="469" t="n"/>
      <x:c r="H147" s="469" t="n"/>
      <x:c r="I147" s="470" t="n"/>
      <x:c r="J147" s="469" t="n"/>
      <x:c r="K147" s="469" t="n"/>
      <x:c r="L147" s="470" t="n"/>
      <x:c r="M147" s="469" t="n"/>
      <x:c r="N147" s="469" t="n"/>
      <x:c r="O147" s="469" t="n"/>
      <x:c r="P147" s="469" t="n"/>
      <x:c r="Q147" s="469" t="n"/>
      <x:c r="R147" s="469" t="n"/>
      <x:c r="S147" s="469" t="n"/>
      <x:c r="T147" s="469" t="n"/>
      <x:c r="U147" s="469" t="n"/>
      <x:c r="V147" s="470" t="n"/>
      <x:c r="W147" s="469" t="n"/>
    </x:row>
    <x:row r="148" s="36" customFormat="1" ht="42" customHeight="1">
      <x:c r="A148" s="469" t="n"/>
      <x:c r="B148" s="469" t="n"/>
      <x:c r="C148" s="469" t="n"/>
      <x:c r="D148" s="469" t="n"/>
      <x:c r="E148" s="469" t="n"/>
      <x:c r="F148" s="469" t="n"/>
      <x:c r="G148" s="469" t="n"/>
      <x:c r="H148" s="469" t="n"/>
      <x:c r="I148" s="470" t="n"/>
      <x:c r="J148" s="469" t="n"/>
      <x:c r="K148" s="469" t="n"/>
      <x:c r="L148" s="470" t="n"/>
      <x:c r="M148" s="469" t="n"/>
      <x:c r="N148" s="469" t="n"/>
      <x:c r="O148" s="469" t="n"/>
      <x:c r="P148" s="469" t="n"/>
      <x:c r="Q148" s="469" t="n"/>
      <x:c r="R148" s="469" t="n"/>
      <x:c r="S148" s="469" t="n"/>
      <x:c r="T148" s="469" t="n"/>
      <x:c r="U148" s="469" t="n"/>
      <x:c r="V148" s="470" t="n"/>
      <x:c r="W148" s="469" t="n"/>
    </x:row>
    <x:row r="149" s="36" customFormat="1" ht="42" customHeight="1">
      <x:c r="A149" s="469" t="n"/>
      <x:c r="B149" s="469" t="n"/>
      <x:c r="C149" s="469" t="n"/>
      <x:c r="D149" s="469" t="n"/>
      <x:c r="E149" s="469" t="n"/>
      <x:c r="F149" s="469" t="n"/>
      <x:c r="G149" s="469" t="n"/>
      <x:c r="H149" s="469" t="n"/>
      <x:c r="I149" s="470" t="n"/>
      <x:c r="J149" s="469" t="n"/>
      <x:c r="K149" s="469" t="n"/>
      <x:c r="L149" s="470" t="n"/>
      <x:c r="M149" s="469" t="n"/>
      <x:c r="N149" s="469" t="n"/>
      <x:c r="O149" s="469" t="n"/>
      <x:c r="P149" s="469" t="n"/>
      <x:c r="Q149" s="469" t="n"/>
      <x:c r="R149" s="469" t="n"/>
      <x:c r="S149" s="469" t="n"/>
      <x:c r="T149" s="469" t="n"/>
      <x:c r="U149" s="469" t="n"/>
      <x:c r="V149" s="470" t="n"/>
      <x:c r="W149" s="469" t="n"/>
    </x:row>
    <x:row r="150" s="36" customFormat="1" ht="42" customHeight="1">
      <x:c r="A150" s="469" t="n"/>
      <x:c r="B150" s="469" t="n"/>
      <x:c r="C150" s="469" t="n"/>
      <x:c r="D150" s="469" t="n"/>
      <x:c r="E150" s="469" t="n"/>
      <x:c r="F150" s="469" t="n"/>
      <x:c r="G150" s="469" t="n"/>
      <x:c r="H150" s="469" t="n"/>
      <x:c r="I150" s="470" t="n"/>
      <x:c r="J150" s="469" t="n"/>
      <x:c r="K150" s="469" t="n"/>
      <x:c r="L150" s="470" t="n"/>
      <x:c r="M150" s="469" t="n"/>
      <x:c r="N150" s="469" t="n"/>
      <x:c r="O150" s="469" t="n"/>
      <x:c r="P150" s="469" t="n"/>
      <x:c r="Q150" s="469" t="n"/>
      <x:c r="R150" s="469" t="n"/>
      <x:c r="S150" s="469" t="n"/>
      <x:c r="T150" s="469" t="n"/>
      <x:c r="U150" s="469" t="n"/>
      <x:c r="V150" s="470" t="n"/>
      <x:c r="W150" s="469" t="n"/>
    </x:row>
    <x:row r="151" s="36" customFormat="1" ht="42" customHeight="1">
      <x:c r="A151" s="469" t="n"/>
      <x:c r="B151" s="469" t="n"/>
      <x:c r="C151" s="469" t="n"/>
      <x:c r="D151" s="469" t="n"/>
      <x:c r="E151" s="469" t="n"/>
      <x:c r="F151" s="469" t="n"/>
      <x:c r="G151" s="469" t="n"/>
      <x:c r="H151" s="469" t="n"/>
      <x:c r="I151" s="470" t="n"/>
      <x:c r="J151" s="469" t="n"/>
      <x:c r="K151" s="469" t="n"/>
      <x:c r="L151" s="470" t="n"/>
      <x:c r="M151" s="469" t="n"/>
      <x:c r="N151" s="469" t="n"/>
      <x:c r="O151" s="469" t="n"/>
      <x:c r="P151" s="469" t="n"/>
      <x:c r="Q151" s="469" t="n"/>
      <x:c r="R151" s="469" t="n"/>
      <x:c r="S151" s="469" t="n"/>
      <x:c r="T151" s="469" t="n"/>
      <x:c r="U151" s="469" t="n"/>
      <x:c r="V151" s="470" t="n"/>
      <x:c r="W151" s="469" t="n"/>
    </x:row>
    <x:row r="152" s="36" customFormat="1" ht="42" customHeight="1">
      <x:c r="A152" s="469" t="n"/>
      <x:c r="B152" s="469" t="n"/>
      <x:c r="C152" s="469" t="n"/>
      <x:c r="D152" s="469" t="n"/>
      <x:c r="E152" s="469" t="n"/>
      <x:c r="F152" s="469" t="n"/>
      <x:c r="G152" s="469" t="n"/>
      <x:c r="H152" s="469" t="n"/>
      <x:c r="I152" s="470" t="n"/>
      <x:c r="J152" s="469" t="n"/>
      <x:c r="K152" s="469" t="n"/>
      <x:c r="L152" s="470" t="n"/>
      <x:c r="M152" s="469" t="n"/>
      <x:c r="N152" s="469" t="n"/>
      <x:c r="O152" s="469" t="n"/>
      <x:c r="P152" s="469" t="n"/>
      <x:c r="Q152" s="469" t="n"/>
      <x:c r="R152" s="469" t="n"/>
      <x:c r="S152" s="469" t="n"/>
      <x:c r="T152" s="469" t="n"/>
      <x:c r="U152" s="469" t="n"/>
      <x:c r="V152" s="470" t="n"/>
      <x:c r="W152" s="469" t="n"/>
    </x:row>
    <x:row r="153" s="36" customFormat="1" ht="42" customHeight="1">
      <x:c r="A153" s="469" t="n"/>
      <x:c r="B153" s="469" t="n"/>
      <x:c r="C153" s="469" t="n"/>
      <x:c r="D153" s="469" t="n"/>
      <x:c r="E153" s="469" t="n"/>
      <x:c r="F153" s="469" t="n"/>
      <x:c r="G153" s="469" t="n"/>
      <x:c r="H153" s="469" t="n"/>
      <x:c r="I153" s="470" t="n"/>
      <x:c r="J153" s="469" t="n"/>
      <x:c r="K153" s="469" t="n"/>
      <x:c r="L153" s="470" t="n"/>
      <x:c r="M153" s="469" t="n"/>
      <x:c r="N153" s="469" t="n"/>
      <x:c r="O153" s="469" t="n"/>
      <x:c r="P153" s="469" t="n"/>
      <x:c r="Q153" s="469" t="n"/>
      <x:c r="R153" s="469" t="n"/>
      <x:c r="S153" s="469" t="n"/>
      <x:c r="T153" s="469" t="n"/>
      <x:c r="U153" s="469" t="n"/>
      <x:c r="V153" s="470" t="n"/>
      <x:c r="W153" s="469" t="n"/>
    </x:row>
    <x:row r="154" s="36" customFormat="1" ht="42" customHeight="1">
      <x:c r="A154" s="469" t="n"/>
      <x:c r="B154" s="469" t="n"/>
      <x:c r="C154" s="469" t="n"/>
      <x:c r="D154" s="469" t="n"/>
      <x:c r="E154" s="469" t="n"/>
      <x:c r="F154" s="469" t="n"/>
      <x:c r="G154" s="469" t="n"/>
      <x:c r="H154" s="469" t="n"/>
      <x:c r="I154" s="470" t="n"/>
      <x:c r="J154" s="469" t="n"/>
      <x:c r="K154" s="469" t="n"/>
      <x:c r="L154" s="470" t="n"/>
      <x:c r="M154" s="469" t="n"/>
      <x:c r="N154" s="469" t="n"/>
      <x:c r="O154" s="469" t="n"/>
      <x:c r="P154" s="469" t="n"/>
      <x:c r="Q154" s="469" t="n"/>
      <x:c r="R154" s="469" t="n"/>
      <x:c r="S154" s="469" t="n"/>
      <x:c r="T154" s="469" t="n"/>
      <x:c r="U154" s="469" t="n"/>
      <x:c r="V154" s="470" t="n"/>
      <x:c r="W154" s="469" t="n"/>
    </x:row>
    <x:row r="155" s="36" customFormat="1" ht="42" customHeight="1">
      <x:c r="A155" s="469" t="n"/>
      <x:c r="B155" s="469" t="n"/>
      <x:c r="C155" s="469" t="n"/>
      <x:c r="D155" s="469" t="n"/>
      <x:c r="E155" s="469" t="n"/>
      <x:c r="F155" s="469" t="n"/>
      <x:c r="G155" s="469" t="n"/>
      <x:c r="H155" s="469" t="n"/>
      <x:c r="I155" s="470" t="n"/>
      <x:c r="J155" s="469" t="n"/>
      <x:c r="K155" s="469" t="n"/>
      <x:c r="L155" s="470" t="n"/>
      <x:c r="M155" s="469" t="n"/>
      <x:c r="N155" s="469" t="n"/>
      <x:c r="O155" s="469" t="n"/>
      <x:c r="P155" s="469" t="n"/>
      <x:c r="Q155" s="469" t="n"/>
      <x:c r="R155" s="469" t="n"/>
      <x:c r="S155" s="469" t="n"/>
      <x:c r="T155" s="469" t="n"/>
      <x:c r="U155" s="469" t="n"/>
      <x:c r="V155" s="470" t="n"/>
      <x:c r="W155" s="469" t="n"/>
    </x:row>
    <x:row r="156" s="36" customFormat="1" ht="42" customHeight="1">
      <x:c r="A156" s="469" t="n"/>
      <x:c r="B156" s="469" t="n"/>
      <x:c r="C156" s="469" t="n"/>
      <x:c r="D156" s="469" t="n"/>
      <x:c r="E156" s="469" t="n"/>
      <x:c r="F156" s="469" t="n"/>
      <x:c r="G156" s="469" t="n"/>
      <x:c r="H156" s="469" t="n"/>
      <x:c r="I156" s="470" t="n"/>
      <x:c r="J156" s="469" t="n"/>
      <x:c r="K156" s="469" t="n"/>
      <x:c r="L156" s="470" t="n"/>
      <x:c r="M156" s="469" t="n"/>
      <x:c r="N156" s="469" t="n"/>
      <x:c r="O156" s="469" t="n"/>
      <x:c r="P156" s="469" t="n"/>
      <x:c r="Q156" s="469" t="n"/>
      <x:c r="R156" s="469" t="n"/>
      <x:c r="S156" s="469" t="n"/>
      <x:c r="T156" s="469" t="n"/>
      <x:c r="U156" s="469" t="n"/>
      <x:c r="V156" s="470" t="n"/>
      <x:c r="W156" s="469" t="n"/>
    </x:row>
    <x:row r="157" s="36" customFormat="1" ht="42" customHeight="1">
      <x:c r="A157" s="469" t="n"/>
      <x:c r="B157" s="469" t="n"/>
      <x:c r="C157" s="469" t="n"/>
      <x:c r="D157" s="469" t="n"/>
      <x:c r="E157" s="469" t="n"/>
      <x:c r="F157" s="469" t="n"/>
      <x:c r="G157" s="469" t="n"/>
      <x:c r="H157" s="469" t="n"/>
      <x:c r="I157" s="470" t="n"/>
      <x:c r="J157" s="469" t="n"/>
      <x:c r="K157" s="469" t="n"/>
      <x:c r="L157" s="470" t="n"/>
      <x:c r="M157" s="469" t="n"/>
      <x:c r="N157" s="469" t="n"/>
      <x:c r="O157" s="469" t="n"/>
      <x:c r="P157" s="469" t="n"/>
      <x:c r="Q157" s="469" t="n"/>
      <x:c r="R157" s="469" t="n"/>
      <x:c r="S157" s="469" t="n"/>
      <x:c r="T157" s="469" t="n"/>
      <x:c r="U157" s="469" t="n"/>
      <x:c r="V157" s="470" t="n"/>
      <x:c r="W157" s="469" t="n"/>
    </x:row>
    <x:row r="158" s="36" customFormat="1" ht="42" customHeight="1">
      <x:c r="A158" s="469" t="n"/>
      <x:c r="B158" s="469" t="n"/>
      <x:c r="C158" s="469" t="n"/>
      <x:c r="D158" s="469" t="n"/>
      <x:c r="E158" s="469" t="n"/>
      <x:c r="F158" s="469" t="n"/>
      <x:c r="G158" s="469" t="n"/>
      <x:c r="H158" s="469" t="n"/>
      <x:c r="I158" s="470" t="n"/>
      <x:c r="J158" s="469" t="n"/>
      <x:c r="K158" s="469" t="n"/>
      <x:c r="L158" s="470" t="n"/>
      <x:c r="M158" s="469" t="n"/>
      <x:c r="N158" s="469" t="n"/>
      <x:c r="O158" s="469" t="n"/>
      <x:c r="P158" s="469" t="n"/>
      <x:c r="Q158" s="469" t="n"/>
      <x:c r="R158" s="469" t="n"/>
      <x:c r="S158" s="469" t="n"/>
      <x:c r="T158" s="469" t="n"/>
      <x:c r="U158" s="469" t="n"/>
      <x:c r="V158" s="470" t="n"/>
      <x:c r="W158" s="469" t="n"/>
    </x:row>
    <x:row r="159" s="36" customFormat="1" ht="42" customHeight="1">
      <x:c r="A159" s="469" t="n"/>
      <x:c r="B159" s="469" t="n"/>
      <x:c r="C159" s="469" t="n"/>
      <x:c r="D159" s="469" t="n"/>
      <x:c r="E159" s="469" t="n"/>
      <x:c r="F159" s="469" t="n"/>
      <x:c r="G159" s="469" t="n"/>
      <x:c r="H159" s="469" t="n"/>
      <x:c r="I159" s="470" t="n"/>
      <x:c r="J159" s="469" t="n"/>
      <x:c r="K159" s="469" t="n"/>
      <x:c r="L159" s="470" t="n"/>
      <x:c r="M159" s="469" t="n"/>
      <x:c r="N159" s="469" t="n"/>
      <x:c r="O159" s="469" t="n"/>
      <x:c r="P159" s="469" t="n"/>
      <x:c r="Q159" s="469" t="n"/>
      <x:c r="R159" s="469" t="n"/>
      <x:c r="S159" s="469" t="n"/>
      <x:c r="T159" s="469" t="n"/>
      <x:c r="U159" s="469" t="n"/>
      <x:c r="V159" s="470" t="n"/>
      <x:c r="W159" s="469" t="n"/>
    </x:row>
    <x:row r="160" s="36" customFormat="1" ht="42" customHeight="1">
      <x:c r="A160" s="469" t="n"/>
      <x:c r="B160" s="469" t="n"/>
      <x:c r="C160" s="469" t="n"/>
      <x:c r="D160" s="469" t="n"/>
      <x:c r="E160" s="469" t="n"/>
      <x:c r="F160" s="469" t="n"/>
      <x:c r="G160" s="469" t="n"/>
      <x:c r="H160" s="469" t="n"/>
      <x:c r="I160" s="470" t="n"/>
      <x:c r="J160" s="469" t="n"/>
      <x:c r="K160" s="469" t="n"/>
      <x:c r="L160" s="470" t="n"/>
      <x:c r="M160" s="469" t="n"/>
      <x:c r="N160" s="469" t="n"/>
      <x:c r="O160" s="469" t="n"/>
      <x:c r="P160" s="469" t="n"/>
      <x:c r="Q160" s="469" t="n"/>
      <x:c r="R160" s="469" t="n"/>
      <x:c r="S160" s="469" t="n"/>
      <x:c r="T160" s="469" t="n"/>
      <x:c r="U160" s="469" t="n"/>
      <x:c r="V160" s="470" t="n"/>
      <x:c r="W160" s="469" t="n"/>
    </x:row>
    <x:row r="161" s="36" customFormat="1" ht="42" customHeight="1">
      <x:c r="A161" s="469" t="n"/>
      <x:c r="B161" s="469" t="n"/>
      <x:c r="C161" s="469" t="n"/>
      <x:c r="D161" s="469" t="n"/>
      <x:c r="E161" s="469" t="n"/>
      <x:c r="F161" s="469" t="n"/>
      <x:c r="G161" s="469" t="n"/>
      <x:c r="H161" s="469" t="n"/>
      <x:c r="I161" s="470" t="n"/>
      <x:c r="J161" s="469" t="n"/>
      <x:c r="K161" s="469" t="n"/>
      <x:c r="L161" s="470" t="n"/>
      <x:c r="M161" s="469" t="n"/>
      <x:c r="N161" s="469" t="n"/>
      <x:c r="O161" s="469" t="n"/>
      <x:c r="P161" s="469" t="n"/>
      <x:c r="Q161" s="469" t="n"/>
      <x:c r="R161" s="469" t="n"/>
      <x:c r="S161" s="469" t="n"/>
      <x:c r="T161" s="469" t="n"/>
      <x:c r="U161" s="469" t="n"/>
      <x:c r="V161" s="470" t="n"/>
      <x:c r="W161" s="469" t="n"/>
    </x:row>
    <x:row r="162" s="36" customFormat="1" ht="42" customHeight="1">
      <x:c r="A162" s="469" t="n"/>
      <x:c r="B162" s="469" t="n"/>
      <x:c r="C162" s="469" t="n"/>
      <x:c r="D162" s="469" t="n"/>
      <x:c r="E162" s="469" t="n"/>
      <x:c r="F162" s="469" t="n"/>
      <x:c r="G162" s="469" t="n"/>
      <x:c r="H162" s="469" t="n"/>
      <x:c r="I162" s="470" t="n"/>
      <x:c r="J162" s="469" t="n"/>
      <x:c r="K162" s="469" t="n"/>
      <x:c r="L162" s="470" t="n"/>
      <x:c r="M162" s="469" t="n"/>
      <x:c r="N162" s="469" t="n"/>
      <x:c r="O162" s="469" t="n"/>
      <x:c r="P162" s="469" t="n"/>
      <x:c r="Q162" s="469" t="n"/>
      <x:c r="R162" s="469" t="n"/>
      <x:c r="S162" s="469" t="n"/>
      <x:c r="T162" s="469" t="n"/>
      <x:c r="U162" s="469" t="n"/>
      <x:c r="V162" s="470" t="n"/>
      <x:c r="W162" s="469" t="n"/>
    </x:row>
    <x:row r="163" s="36" customFormat="1" ht="42" customHeight="1">
      <x:c r="A163" s="469" t="n"/>
      <x:c r="B163" s="469" t="n"/>
      <x:c r="C163" s="469" t="n"/>
      <x:c r="D163" s="469" t="n"/>
      <x:c r="E163" s="469" t="n"/>
      <x:c r="F163" s="469" t="n"/>
      <x:c r="G163" s="469" t="n"/>
      <x:c r="H163" s="469" t="n"/>
      <x:c r="I163" s="470" t="n"/>
      <x:c r="J163" s="469" t="n"/>
      <x:c r="K163" s="469" t="n"/>
      <x:c r="L163" s="470" t="n"/>
      <x:c r="M163" s="469" t="n"/>
      <x:c r="N163" s="469" t="n"/>
      <x:c r="O163" s="469" t="n"/>
      <x:c r="P163" s="469" t="n"/>
      <x:c r="Q163" s="469" t="n"/>
      <x:c r="R163" s="469" t="n"/>
      <x:c r="S163" s="469" t="n"/>
      <x:c r="T163" s="469" t="n"/>
      <x:c r="U163" s="469" t="n"/>
      <x:c r="V163" s="470" t="n"/>
      <x:c r="W163" s="469" t="n"/>
    </x:row>
    <x:row r="164" s="36" customFormat="1" ht="42" customHeight="1">
      <x:c r="A164" s="469" t="n"/>
      <x:c r="B164" s="469" t="n"/>
      <x:c r="C164" s="469" t="n"/>
      <x:c r="D164" s="469" t="n"/>
      <x:c r="E164" s="469" t="n"/>
      <x:c r="F164" s="469" t="n"/>
      <x:c r="G164" s="469" t="n"/>
      <x:c r="H164" s="469" t="n"/>
      <x:c r="I164" s="470" t="n"/>
      <x:c r="J164" s="469" t="n"/>
      <x:c r="K164" s="469" t="n"/>
      <x:c r="L164" s="470" t="n"/>
      <x:c r="M164" s="469" t="n"/>
      <x:c r="N164" s="469" t="n"/>
      <x:c r="O164" s="469" t="n"/>
      <x:c r="P164" s="469" t="n"/>
      <x:c r="Q164" s="469" t="n"/>
      <x:c r="R164" s="469" t="n"/>
      <x:c r="S164" s="469" t="n"/>
      <x:c r="T164" s="469" t="n"/>
      <x:c r="U164" s="469" t="n"/>
      <x:c r="V164" s="470" t="n"/>
      <x:c r="W164" s="469" t="n"/>
    </x:row>
    <x:row r="165" s="36" customFormat="1" ht="42" customHeight="1">
      <x:c r="A165" s="469" t="n"/>
      <x:c r="B165" s="469" t="n"/>
      <x:c r="C165" s="469" t="n"/>
      <x:c r="D165" s="469" t="n"/>
      <x:c r="E165" s="469" t="n"/>
      <x:c r="F165" s="469" t="n"/>
      <x:c r="G165" s="469" t="n"/>
      <x:c r="H165" s="469" t="n"/>
      <x:c r="I165" s="470" t="n"/>
      <x:c r="J165" s="469" t="n"/>
      <x:c r="K165" s="469" t="n"/>
      <x:c r="L165" s="470" t="n"/>
      <x:c r="M165" s="469" t="n"/>
      <x:c r="N165" s="469" t="n"/>
      <x:c r="O165" s="469" t="n"/>
      <x:c r="P165" s="469" t="n"/>
      <x:c r="Q165" s="469" t="n"/>
      <x:c r="R165" s="469" t="n"/>
      <x:c r="S165" s="469" t="n"/>
      <x:c r="T165" s="469" t="n"/>
      <x:c r="U165" s="469" t="n"/>
      <x:c r="V165" s="470" t="n"/>
      <x:c r="W165" s="469" t="n"/>
    </x:row>
    <x:row r="166" s="36" customFormat="1" ht="42" customHeight="1">
      <x:c r="A166" s="469" t="n"/>
      <x:c r="B166" s="469" t="n"/>
      <x:c r="C166" s="469" t="n"/>
      <x:c r="D166" s="469" t="n"/>
      <x:c r="E166" s="469" t="n"/>
      <x:c r="F166" s="469" t="n"/>
      <x:c r="G166" s="469" t="n"/>
      <x:c r="H166" s="469" t="n"/>
      <x:c r="I166" s="470" t="n"/>
      <x:c r="J166" s="469" t="n"/>
      <x:c r="K166" s="469" t="n"/>
      <x:c r="L166" s="470" t="n"/>
      <x:c r="M166" s="469" t="n"/>
      <x:c r="N166" s="469" t="n"/>
      <x:c r="O166" s="469" t="n"/>
      <x:c r="P166" s="469" t="n"/>
      <x:c r="Q166" s="469" t="n"/>
      <x:c r="R166" s="469" t="n"/>
      <x:c r="S166" s="469" t="n"/>
      <x:c r="T166" s="469" t="n"/>
      <x:c r="U166" s="469" t="n"/>
      <x:c r="V166" s="470" t="n"/>
      <x:c r="W166" s="469" t="n"/>
    </x:row>
    <x:row r="167" s="36" customFormat="1" ht="42" customHeight="1">
      <x:c r="A167" s="469" t="n"/>
      <x:c r="B167" s="469" t="n"/>
      <x:c r="C167" s="469" t="n"/>
      <x:c r="D167" s="469" t="n"/>
      <x:c r="E167" s="469" t="n"/>
      <x:c r="F167" s="469" t="n"/>
      <x:c r="G167" s="469" t="n"/>
      <x:c r="H167" s="469" t="n"/>
      <x:c r="I167" s="470" t="n"/>
      <x:c r="J167" s="469" t="n"/>
      <x:c r="K167" s="469" t="n"/>
      <x:c r="L167" s="470" t="n"/>
      <x:c r="M167" s="469" t="n"/>
      <x:c r="N167" s="469" t="n"/>
      <x:c r="O167" s="469" t="n"/>
      <x:c r="P167" s="469" t="n"/>
      <x:c r="Q167" s="469" t="n"/>
      <x:c r="R167" s="469" t="n"/>
      <x:c r="S167" s="469" t="n"/>
      <x:c r="T167" s="469" t="n"/>
      <x:c r="U167" s="469" t="n"/>
      <x:c r="V167" s="470" t="n"/>
      <x:c r="W167" s="469" t="n"/>
    </x:row>
    <x:row r="168" s="36" customFormat="1" ht="42" customHeight="1">
      <x:c r="A168" s="469" t="n"/>
      <x:c r="B168" s="469" t="n"/>
      <x:c r="C168" s="469" t="n"/>
      <x:c r="D168" s="469" t="n"/>
      <x:c r="E168" s="469" t="n"/>
      <x:c r="F168" s="469" t="n"/>
      <x:c r="G168" s="469" t="n"/>
      <x:c r="H168" s="469" t="n"/>
      <x:c r="I168" s="470" t="n"/>
      <x:c r="J168" s="469" t="n"/>
      <x:c r="K168" s="469" t="n"/>
      <x:c r="L168" s="470" t="n"/>
      <x:c r="M168" s="469" t="n"/>
      <x:c r="N168" s="469" t="n"/>
      <x:c r="O168" s="469" t="n"/>
      <x:c r="P168" s="469" t="n"/>
      <x:c r="Q168" s="469" t="n"/>
      <x:c r="R168" s="469" t="n"/>
      <x:c r="S168" s="469" t="n"/>
      <x:c r="T168" s="469" t="n"/>
      <x:c r="U168" s="469" t="n"/>
      <x:c r="V168" s="470" t="n"/>
      <x:c r="W168" s="469" t="n"/>
    </x:row>
    <x:row r="169" s="36" customFormat="1" ht="42" customHeight="1">
      <x:c r="A169" s="469" t="n"/>
      <x:c r="B169" s="469" t="n"/>
      <x:c r="C169" s="469" t="n"/>
      <x:c r="D169" s="469" t="n"/>
      <x:c r="E169" s="469" t="n"/>
      <x:c r="F169" s="469" t="n"/>
      <x:c r="G169" s="469" t="n"/>
      <x:c r="H169" s="469" t="n"/>
      <x:c r="I169" s="470" t="n"/>
      <x:c r="J169" s="469" t="n"/>
      <x:c r="K169" s="469" t="n"/>
      <x:c r="L169" s="470" t="n"/>
      <x:c r="M169" s="469" t="n"/>
      <x:c r="N169" s="469" t="n"/>
      <x:c r="O169" s="469" t="n"/>
      <x:c r="P169" s="469" t="n"/>
      <x:c r="Q169" s="469" t="n"/>
      <x:c r="R169" s="469" t="n"/>
      <x:c r="S169" s="469" t="n"/>
      <x:c r="T169" s="469" t="n"/>
      <x:c r="U169" s="469" t="n"/>
      <x:c r="V169" s="470" t="n"/>
      <x:c r="W169" s="469" t="n"/>
    </x:row>
    <x:row r="170" s="36" customFormat="1" ht="42" customHeight="1">
      <x:c r="A170" s="469" t="n"/>
      <x:c r="B170" s="469" t="n"/>
      <x:c r="C170" s="469" t="n"/>
      <x:c r="D170" s="469" t="n"/>
      <x:c r="E170" s="469" t="n"/>
      <x:c r="F170" s="469" t="n"/>
      <x:c r="G170" s="469" t="n"/>
      <x:c r="H170" s="469" t="n"/>
      <x:c r="I170" s="470" t="n"/>
      <x:c r="J170" s="469" t="n"/>
      <x:c r="K170" s="469" t="n"/>
      <x:c r="L170" s="470" t="n"/>
      <x:c r="M170" s="469" t="n"/>
      <x:c r="N170" s="469" t="n"/>
      <x:c r="O170" s="469" t="n"/>
      <x:c r="P170" s="469" t="n"/>
      <x:c r="Q170" s="469" t="n"/>
      <x:c r="R170" s="469" t="n"/>
      <x:c r="S170" s="469" t="n"/>
      <x:c r="T170" s="469" t="n"/>
      <x:c r="U170" s="469" t="n"/>
      <x:c r="V170" s="470" t="n"/>
      <x:c r="W170" s="469" t="n"/>
    </x:row>
    <x:row r="171" s="36" customFormat="1" ht="42" customHeight="1">
      <x:c r="A171" s="469" t="n"/>
      <x:c r="B171" s="469" t="n"/>
      <x:c r="C171" s="469" t="n"/>
      <x:c r="D171" s="469" t="n"/>
      <x:c r="E171" s="469" t="n"/>
      <x:c r="F171" s="469" t="n"/>
      <x:c r="G171" s="469" t="n"/>
      <x:c r="H171" s="469" t="n"/>
      <x:c r="I171" s="470" t="n"/>
      <x:c r="J171" s="469" t="n"/>
      <x:c r="K171" s="469" t="n"/>
      <x:c r="L171" s="470" t="n"/>
      <x:c r="M171" s="469" t="n"/>
      <x:c r="N171" s="469" t="n"/>
      <x:c r="O171" s="469" t="n"/>
      <x:c r="P171" s="469" t="n"/>
      <x:c r="Q171" s="469" t="n"/>
      <x:c r="R171" s="469" t="n"/>
      <x:c r="S171" s="469" t="n"/>
      <x:c r="T171" s="469" t="n"/>
      <x:c r="U171" s="469" t="n"/>
      <x:c r="V171" s="470" t="n"/>
      <x:c r="W171" s="469" t="n"/>
    </x:row>
    <x:row r="172" s="36" customFormat="1" ht="42" customHeight="1">
      <x:c r="A172" s="469" t="n"/>
      <x:c r="B172" s="469" t="n"/>
      <x:c r="C172" s="469" t="n"/>
      <x:c r="D172" s="469" t="n"/>
      <x:c r="E172" s="469" t="n"/>
      <x:c r="F172" s="469" t="n"/>
      <x:c r="G172" s="469" t="n"/>
      <x:c r="H172" s="469" t="n"/>
      <x:c r="I172" s="470" t="n"/>
      <x:c r="J172" s="469" t="n"/>
      <x:c r="K172" s="469" t="n"/>
      <x:c r="L172" s="470" t="n"/>
      <x:c r="M172" s="469" t="n"/>
      <x:c r="N172" s="469" t="n"/>
      <x:c r="O172" s="469" t="n"/>
      <x:c r="P172" s="469" t="n"/>
      <x:c r="Q172" s="469" t="n"/>
      <x:c r="R172" s="469" t="n"/>
      <x:c r="S172" s="469" t="n"/>
      <x:c r="T172" s="469" t="n"/>
      <x:c r="U172" s="469" t="n"/>
      <x:c r="V172" s="470" t="n"/>
      <x:c r="W172" s="469" t="n"/>
    </x:row>
    <x:row r="173" s="36" customFormat="1" ht="42" customHeight="1">
      <x:c r="A173" s="469" t="n"/>
      <x:c r="B173" s="469" t="n"/>
      <x:c r="C173" s="469" t="n"/>
      <x:c r="D173" s="469" t="n"/>
      <x:c r="E173" s="469" t="n"/>
      <x:c r="F173" s="469" t="n"/>
      <x:c r="G173" s="469" t="n"/>
      <x:c r="H173" s="469" t="n"/>
      <x:c r="I173" s="470" t="n"/>
      <x:c r="J173" s="469" t="n"/>
      <x:c r="K173" s="469" t="n"/>
      <x:c r="L173" s="470" t="n"/>
      <x:c r="M173" s="469" t="n"/>
      <x:c r="N173" s="469" t="n"/>
      <x:c r="O173" s="469" t="n"/>
      <x:c r="P173" s="469" t="n"/>
      <x:c r="Q173" s="469" t="n"/>
      <x:c r="R173" s="469" t="n"/>
      <x:c r="S173" s="469" t="n"/>
      <x:c r="T173" s="469" t="n"/>
      <x:c r="U173" s="469" t="n"/>
      <x:c r="V173" s="470" t="n"/>
      <x:c r="W173" s="469" t="n"/>
    </x:row>
    <x:row r="174" s="36" customFormat="1" ht="42" customHeight="1">
      <x:c r="A174" s="469" t="n"/>
      <x:c r="B174" s="469" t="n"/>
      <x:c r="C174" s="469" t="n"/>
      <x:c r="D174" s="469" t="n"/>
      <x:c r="E174" s="469" t="n"/>
      <x:c r="F174" s="469" t="n"/>
      <x:c r="G174" s="469" t="n"/>
      <x:c r="H174" s="469" t="n"/>
      <x:c r="I174" s="470" t="n"/>
      <x:c r="J174" s="469" t="n"/>
      <x:c r="K174" s="469" t="n"/>
      <x:c r="L174" s="470" t="n"/>
      <x:c r="M174" s="469" t="n"/>
      <x:c r="N174" s="469" t="n"/>
      <x:c r="O174" s="469" t="n"/>
      <x:c r="P174" s="469" t="n"/>
      <x:c r="Q174" s="469" t="n"/>
      <x:c r="R174" s="469" t="n"/>
      <x:c r="S174" s="469" t="n"/>
      <x:c r="T174" s="469" t="n"/>
      <x:c r="U174" s="469" t="n"/>
      <x:c r="V174" s="470" t="n"/>
      <x:c r="W174" s="469" t="n"/>
    </x:row>
    <x:row r="175" s="36" customFormat="1" ht="42" customHeight="1">
      <x:c r="A175" s="469" t="n"/>
      <x:c r="B175" s="469" t="n"/>
      <x:c r="C175" s="469" t="n"/>
      <x:c r="D175" s="469" t="n"/>
      <x:c r="E175" s="469" t="n"/>
      <x:c r="F175" s="469" t="n"/>
      <x:c r="G175" s="469" t="n"/>
      <x:c r="H175" s="469" t="n"/>
      <x:c r="I175" s="470" t="n"/>
      <x:c r="J175" s="469" t="n"/>
      <x:c r="K175" s="469" t="n"/>
      <x:c r="L175" s="470" t="n"/>
      <x:c r="M175" s="469" t="n"/>
      <x:c r="N175" s="469" t="n"/>
      <x:c r="O175" s="469" t="n"/>
      <x:c r="P175" s="469" t="n"/>
      <x:c r="Q175" s="469" t="n"/>
      <x:c r="R175" s="469" t="n"/>
      <x:c r="S175" s="469" t="n"/>
      <x:c r="T175" s="469" t="n"/>
      <x:c r="U175" s="469" t="n"/>
      <x:c r="V175" s="470" t="n"/>
      <x:c r="W175" s="469" t="n"/>
    </x:row>
    <x:row r="176" s="36" customFormat="1" ht="42" customHeight="1">
      <x:c r="A176" s="469" t="n"/>
      <x:c r="B176" s="469" t="n"/>
      <x:c r="C176" s="469" t="n"/>
      <x:c r="D176" s="469" t="n"/>
      <x:c r="E176" s="469" t="n"/>
      <x:c r="F176" s="469" t="n"/>
      <x:c r="G176" s="469" t="n"/>
      <x:c r="H176" s="469" t="n"/>
      <x:c r="I176" s="470" t="n"/>
      <x:c r="J176" s="469" t="n"/>
      <x:c r="K176" s="469" t="n"/>
      <x:c r="L176" s="470" t="n"/>
      <x:c r="M176" s="469" t="n"/>
      <x:c r="N176" s="469" t="n"/>
      <x:c r="O176" s="469" t="n"/>
      <x:c r="P176" s="469" t="n"/>
      <x:c r="Q176" s="469" t="n"/>
      <x:c r="R176" s="469" t="n"/>
      <x:c r="S176" s="469" t="n"/>
      <x:c r="T176" s="469" t="n"/>
      <x:c r="U176" s="469" t="n"/>
      <x:c r="V176" s="470" t="n"/>
      <x:c r="W176" s="469" t="n"/>
    </x:row>
    <x:row r="177" s="36" customFormat="1" ht="42" customHeight="1">
      <x:c r="A177" s="469" t="n"/>
      <x:c r="B177" s="469" t="n"/>
      <x:c r="C177" s="469" t="n"/>
      <x:c r="D177" s="469" t="n"/>
      <x:c r="E177" s="469" t="n"/>
      <x:c r="F177" s="469" t="n"/>
      <x:c r="G177" s="469" t="n"/>
      <x:c r="H177" s="469" t="n"/>
      <x:c r="I177" s="470" t="n"/>
      <x:c r="J177" s="469" t="n"/>
      <x:c r="K177" s="469" t="n"/>
      <x:c r="L177" s="470" t="n"/>
      <x:c r="M177" s="469" t="n"/>
      <x:c r="N177" s="469" t="n"/>
      <x:c r="O177" s="469" t="n"/>
      <x:c r="P177" s="469" t="n"/>
      <x:c r="Q177" s="469" t="n"/>
      <x:c r="R177" s="469" t="n"/>
      <x:c r="S177" s="469" t="n"/>
      <x:c r="T177" s="469" t="n"/>
      <x:c r="U177" s="469" t="n"/>
      <x:c r="V177" s="470" t="n"/>
      <x:c r="W177" s="469" t="n"/>
    </x:row>
    <x:row r="178" s="36" customFormat="1" ht="42" customHeight="1">
      <x:c r="A178" s="469" t="n"/>
      <x:c r="B178" s="469" t="n"/>
      <x:c r="C178" s="469" t="n"/>
      <x:c r="D178" s="469" t="n"/>
      <x:c r="E178" s="469" t="n"/>
      <x:c r="F178" s="469" t="n"/>
      <x:c r="G178" s="469" t="n"/>
      <x:c r="H178" s="469" t="n"/>
      <x:c r="I178" s="470" t="n"/>
      <x:c r="J178" s="469" t="n"/>
      <x:c r="K178" s="469" t="n"/>
      <x:c r="L178" s="470" t="n"/>
      <x:c r="M178" s="469" t="n"/>
      <x:c r="N178" s="469" t="n"/>
      <x:c r="O178" s="469" t="n"/>
      <x:c r="P178" s="469" t="n"/>
      <x:c r="Q178" s="469" t="n"/>
      <x:c r="R178" s="469" t="n"/>
      <x:c r="S178" s="469" t="n"/>
      <x:c r="T178" s="469" t="n"/>
      <x:c r="U178" s="469" t="n"/>
      <x:c r="V178" s="470" t="n"/>
      <x:c r="W178" s="469" t="n"/>
    </x:row>
    <x:row r="179" s="36" customFormat="1" ht="42" customHeight="1">
      <x:c r="A179" s="469" t="n"/>
      <x:c r="B179" s="469" t="n"/>
      <x:c r="C179" s="469" t="n"/>
      <x:c r="D179" s="469" t="n"/>
      <x:c r="E179" s="469" t="n"/>
      <x:c r="F179" s="469" t="n"/>
      <x:c r="G179" s="469" t="n"/>
      <x:c r="H179" s="469" t="n"/>
      <x:c r="I179" s="470" t="n"/>
      <x:c r="J179" s="469" t="n"/>
      <x:c r="K179" s="469" t="n"/>
      <x:c r="L179" s="470" t="n"/>
      <x:c r="M179" s="469" t="n"/>
      <x:c r="N179" s="469" t="n"/>
      <x:c r="O179" s="469" t="n"/>
      <x:c r="P179" s="469" t="n"/>
      <x:c r="Q179" s="469" t="n"/>
      <x:c r="R179" s="469" t="n"/>
      <x:c r="S179" s="469" t="n"/>
      <x:c r="T179" s="469" t="n"/>
      <x:c r="U179" s="469" t="n"/>
      <x:c r="V179" s="470" t="n"/>
      <x:c r="W179" s="469" t="n"/>
    </x:row>
    <x:row r="180" s="36" customFormat="1" ht="42" customHeight="1">
      <x:c r="A180" s="469" t="n"/>
      <x:c r="B180" s="469" t="n"/>
      <x:c r="C180" s="469" t="n"/>
      <x:c r="D180" s="469" t="n"/>
      <x:c r="E180" s="469" t="n"/>
      <x:c r="F180" s="469" t="n"/>
      <x:c r="G180" s="469" t="n"/>
      <x:c r="H180" s="469" t="n"/>
      <x:c r="I180" s="470" t="n"/>
      <x:c r="J180" s="469" t="n"/>
      <x:c r="K180" s="469" t="n"/>
      <x:c r="L180" s="470" t="n"/>
      <x:c r="M180" s="469" t="n"/>
      <x:c r="N180" s="469" t="n"/>
      <x:c r="O180" s="469" t="n"/>
      <x:c r="P180" s="469" t="n"/>
      <x:c r="Q180" s="469" t="n"/>
      <x:c r="R180" s="469" t="n"/>
      <x:c r="S180" s="469" t="n"/>
      <x:c r="T180" s="469" t="n"/>
      <x:c r="U180" s="469" t="n"/>
      <x:c r="V180" s="470" t="n"/>
      <x:c r="W180" s="469" t="n"/>
    </x:row>
    <x:row r="181" s="36" customFormat="1" ht="42" customHeight="1">
      <x:c r="A181" s="469" t="n"/>
      <x:c r="B181" s="469" t="n"/>
      <x:c r="C181" s="469" t="n"/>
      <x:c r="D181" s="469" t="n"/>
      <x:c r="E181" s="469" t="n"/>
      <x:c r="F181" s="469" t="n"/>
      <x:c r="G181" s="469" t="n"/>
      <x:c r="H181" s="469" t="n"/>
      <x:c r="I181" s="470" t="n"/>
      <x:c r="J181" s="469" t="n"/>
      <x:c r="K181" s="469" t="n"/>
      <x:c r="L181" s="470" t="n"/>
      <x:c r="M181" s="469" t="n"/>
      <x:c r="N181" s="469" t="n"/>
      <x:c r="O181" s="469" t="n"/>
      <x:c r="P181" s="469" t="n"/>
      <x:c r="Q181" s="469" t="n"/>
      <x:c r="R181" s="469" t="n"/>
      <x:c r="S181" s="469" t="n"/>
      <x:c r="T181" s="469" t="n"/>
      <x:c r="U181" s="469" t="n"/>
      <x:c r="V181" s="470" t="n"/>
      <x:c r="W181" s="469" t="n"/>
    </x:row>
    <x:row r="182" s="36" customFormat="1" ht="42" customHeight="1">
      <x:c r="A182" s="469" t="n"/>
      <x:c r="B182" s="469" t="n"/>
      <x:c r="C182" s="469" t="n"/>
      <x:c r="D182" s="469" t="n"/>
      <x:c r="E182" s="469" t="n"/>
      <x:c r="F182" s="469" t="n"/>
      <x:c r="G182" s="469" t="n"/>
      <x:c r="H182" s="469" t="n"/>
      <x:c r="I182" s="470" t="n"/>
      <x:c r="J182" s="469" t="n"/>
      <x:c r="K182" s="469" t="n"/>
      <x:c r="L182" s="470" t="n"/>
      <x:c r="M182" s="469" t="n"/>
      <x:c r="N182" s="469" t="n"/>
      <x:c r="O182" s="469" t="n"/>
      <x:c r="P182" s="469" t="n"/>
      <x:c r="Q182" s="469" t="n"/>
      <x:c r="R182" s="469" t="n"/>
      <x:c r="S182" s="469" t="n"/>
      <x:c r="T182" s="469" t="n"/>
      <x:c r="U182" s="469" t="n"/>
      <x:c r="V182" s="470" t="n"/>
      <x:c r="W182" s="469" t="n"/>
    </x:row>
    <x:row r="183" s="36" customFormat="1" ht="42" customHeight="1">
      <x:c r="A183" s="469" t="n"/>
      <x:c r="B183" s="469" t="n"/>
      <x:c r="C183" s="469" t="n"/>
      <x:c r="D183" s="469" t="n"/>
      <x:c r="E183" s="469" t="n"/>
      <x:c r="F183" s="469" t="n"/>
      <x:c r="G183" s="469" t="n"/>
      <x:c r="H183" s="469" t="n"/>
      <x:c r="I183" s="470" t="n"/>
      <x:c r="J183" s="469" t="n"/>
      <x:c r="K183" s="469" t="n"/>
      <x:c r="L183" s="470" t="n"/>
      <x:c r="M183" s="469" t="n"/>
      <x:c r="N183" s="469" t="n"/>
      <x:c r="O183" s="469" t="n"/>
      <x:c r="P183" s="469" t="n"/>
      <x:c r="Q183" s="469" t="n"/>
      <x:c r="R183" s="469" t="n"/>
      <x:c r="S183" s="469" t="n"/>
      <x:c r="T183" s="469" t="n"/>
      <x:c r="U183" s="469" t="n"/>
      <x:c r="V183" s="470" t="n"/>
      <x:c r="W183" s="469" t="n"/>
    </x:row>
    <x:row r="184" s="36" customFormat="1" ht="42" customHeight="1">
      <x:c r="A184" s="469" t="n"/>
      <x:c r="B184" s="469" t="n"/>
      <x:c r="C184" s="469" t="n"/>
      <x:c r="D184" s="469" t="n"/>
      <x:c r="E184" s="469" t="n"/>
      <x:c r="F184" s="469" t="n"/>
      <x:c r="G184" s="469" t="n"/>
      <x:c r="H184" s="469" t="n"/>
      <x:c r="I184" s="470" t="n"/>
      <x:c r="J184" s="469" t="n"/>
      <x:c r="K184" s="469" t="n"/>
      <x:c r="L184" s="470" t="n"/>
      <x:c r="M184" s="469" t="n"/>
      <x:c r="N184" s="469" t="n"/>
      <x:c r="O184" s="469" t="n"/>
      <x:c r="P184" s="469" t="n"/>
      <x:c r="Q184" s="469" t="n"/>
      <x:c r="R184" s="469" t="n"/>
      <x:c r="S184" s="469" t="n"/>
      <x:c r="T184" s="469" t="n"/>
      <x:c r="U184" s="469" t="n"/>
      <x:c r="V184" s="470" t="n"/>
      <x:c r="W184" s="469" t="n"/>
    </x:row>
    <x:row r="185" s="36" customFormat="1" ht="42" customHeight="1">
      <x:c r="A185" s="469" t="n"/>
      <x:c r="B185" s="469" t="n"/>
      <x:c r="C185" s="469" t="n"/>
      <x:c r="D185" s="469" t="n"/>
      <x:c r="E185" s="469" t="n"/>
      <x:c r="F185" s="469" t="n"/>
      <x:c r="G185" s="469" t="n"/>
      <x:c r="H185" s="469" t="n"/>
      <x:c r="I185" s="470" t="n"/>
      <x:c r="J185" s="469" t="n"/>
      <x:c r="K185" s="469" t="n"/>
      <x:c r="L185" s="470" t="n"/>
      <x:c r="M185" s="469" t="n"/>
      <x:c r="N185" s="469" t="n"/>
      <x:c r="O185" s="469" t="n"/>
      <x:c r="P185" s="469" t="n"/>
      <x:c r="Q185" s="469" t="n"/>
      <x:c r="R185" s="469" t="n"/>
      <x:c r="S185" s="469" t="n"/>
      <x:c r="T185" s="469" t="n"/>
      <x:c r="U185" s="469" t="n"/>
      <x:c r="V185" s="470" t="n"/>
      <x:c r="W185" s="469" t="n"/>
    </x:row>
    <x:row r="186" s="36" customFormat="1" ht="42" customHeight="1">
      <x:c r="A186" s="469" t="n"/>
      <x:c r="B186" s="469" t="n"/>
      <x:c r="C186" s="469" t="n"/>
      <x:c r="D186" s="469" t="n"/>
      <x:c r="E186" s="469" t="n"/>
      <x:c r="F186" s="469" t="n"/>
      <x:c r="G186" s="469" t="n"/>
      <x:c r="H186" s="469" t="n"/>
      <x:c r="I186" s="470" t="n"/>
      <x:c r="J186" s="469" t="n"/>
      <x:c r="K186" s="469" t="n"/>
      <x:c r="L186" s="470" t="n"/>
      <x:c r="M186" s="469" t="n"/>
      <x:c r="N186" s="469" t="n"/>
      <x:c r="O186" s="469" t="n"/>
      <x:c r="P186" s="469" t="n"/>
      <x:c r="Q186" s="469" t="n"/>
      <x:c r="R186" s="469" t="n"/>
      <x:c r="S186" s="469" t="n"/>
      <x:c r="T186" s="469" t="n"/>
      <x:c r="U186" s="469" t="n"/>
      <x:c r="V186" s="470" t="n"/>
      <x:c r="W186" s="469" t="n"/>
    </x:row>
    <x:row r="187" s="36" customFormat="1" ht="42" customHeight="1">
      <x:c r="A187" s="469" t="n"/>
      <x:c r="B187" s="469" t="n"/>
      <x:c r="C187" s="469" t="n"/>
      <x:c r="D187" s="469" t="n"/>
      <x:c r="E187" s="469" t="n"/>
      <x:c r="F187" s="469" t="n"/>
      <x:c r="G187" s="469" t="n"/>
      <x:c r="H187" s="469" t="n"/>
      <x:c r="I187" s="470" t="n"/>
      <x:c r="J187" s="469" t="n"/>
      <x:c r="K187" s="469" t="n"/>
      <x:c r="L187" s="470" t="n"/>
      <x:c r="M187" s="469" t="n"/>
      <x:c r="N187" s="469" t="n"/>
      <x:c r="O187" s="469" t="n"/>
      <x:c r="P187" s="469" t="n"/>
      <x:c r="Q187" s="469" t="n"/>
      <x:c r="R187" s="469" t="n"/>
      <x:c r="S187" s="469" t="n"/>
      <x:c r="T187" s="469" t="n"/>
      <x:c r="U187" s="469" t="n"/>
      <x:c r="V187" s="470" t="n"/>
      <x:c r="W187" s="469" t="n"/>
    </x:row>
    <x:row r="188" s="36" customFormat="1" ht="42" customHeight="1">
      <x:c r="A188" s="469" t="n"/>
      <x:c r="B188" s="469" t="n"/>
      <x:c r="C188" s="469" t="n"/>
      <x:c r="D188" s="469" t="n"/>
      <x:c r="E188" s="469" t="n"/>
      <x:c r="F188" s="469" t="n"/>
      <x:c r="G188" s="469" t="n"/>
      <x:c r="H188" s="469" t="n"/>
      <x:c r="I188" s="470" t="n"/>
      <x:c r="J188" s="469" t="n"/>
      <x:c r="K188" s="469" t="n"/>
      <x:c r="L188" s="470" t="n"/>
      <x:c r="M188" s="469" t="n"/>
      <x:c r="N188" s="469" t="n"/>
      <x:c r="O188" s="469" t="n"/>
      <x:c r="P188" s="469" t="n"/>
      <x:c r="Q188" s="469" t="n"/>
      <x:c r="R188" s="469" t="n"/>
      <x:c r="S188" s="469" t="n"/>
      <x:c r="T188" s="469" t="n"/>
      <x:c r="U188" s="469" t="n"/>
      <x:c r="V188" s="470" t="n"/>
      <x:c r="W188" s="469" t="n"/>
    </x:row>
    <x:row r="189" s="36" customFormat="1" ht="42" customHeight="1">
      <x:c r="A189" s="469" t="n"/>
      <x:c r="B189" s="469" t="n"/>
      <x:c r="C189" s="469" t="n"/>
      <x:c r="D189" s="469" t="n"/>
      <x:c r="E189" s="469" t="n"/>
      <x:c r="F189" s="469" t="n"/>
      <x:c r="G189" s="469" t="n"/>
      <x:c r="H189" s="469" t="n"/>
      <x:c r="I189" s="470" t="n"/>
      <x:c r="J189" s="469" t="n"/>
      <x:c r="K189" s="469" t="n"/>
      <x:c r="L189" s="470" t="n"/>
      <x:c r="M189" s="469" t="n"/>
      <x:c r="N189" s="469" t="n"/>
      <x:c r="O189" s="469" t="n"/>
      <x:c r="P189" s="469" t="n"/>
      <x:c r="Q189" s="469" t="n"/>
      <x:c r="R189" s="469" t="n"/>
      <x:c r="S189" s="469" t="n"/>
      <x:c r="T189" s="469" t="n"/>
      <x:c r="U189" s="469" t="n"/>
      <x:c r="V189" s="470" t="n"/>
      <x:c r="W189" s="469" t="n"/>
    </x:row>
    <x:row r="190" s="36" customFormat="1" ht="42" customHeight="1">
      <x:c r="A190" s="469" t="n"/>
      <x:c r="B190" s="469" t="n"/>
      <x:c r="C190" s="469" t="n"/>
      <x:c r="D190" s="469" t="n"/>
      <x:c r="E190" s="469" t="n"/>
      <x:c r="F190" s="469" t="n"/>
      <x:c r="G190" s="469" t="n"/>
      <x:c r="H190" s="469" t="n"/>
      <x:c r="I190" s="470" t="n"/>
      <x:c r="J190" s="469" t="n"/>
      <x:c r="K190" s="469" t="n"/>
      <x:c r="L190" s="470" t="n"/>
      <x:c r="M190" s="469" t="n"/>
      <x:c r="N190" s="469" t="n"/>
      <x:c r="O190" s="469" t="n"/>
      <x:c r="P190" s="469" t="n"/>
      <x:c r="Q190" s="469" t="n"/>
      <x:c r="R190" s="469" t="n"/>
      <x:c r="S190" s="469" t="n"/>
      <x:c r="T190" s="469" t="n"/>
      <x:c r="U190" s="469" t="n"/>
      <x:c r="V190" s="470" t="n"/>
      <x:c r="W190" s="469" t="n"/>
    </x:row>
    <x:row r="191" s="36" customFormat="1" ht="42" customHeight="1">
      <x:c r="A191" s="469" t="n"/>
      <x:c r="B191" s="469" t="n"/>
      <x:c r="C191" s="469" t="n"/>
      <x:c r="D191" s="469" t="n"/>
      <x:c r="E191" s="469" t="n"/>
      <x:c r="F191" s="469" t="n"/>
      <x:c r="G191" s="469" t="n"/>
      <x:c r="H191" s="469" t="n"/>
      <x:c r="I191" s="470" t="n"/>
      <x:c r="J191" s="469" t="n"/>
      <x:c r="K191" s="469" t="n"/>
      <x:c r="L191" s="470" t="n"/>
      <x:c r="M191" s="469" t="n"/>
      <x:c r="N191" s="469" t="n"/>
      <x:c r="O191" s="469" t="n"/>
      <x:c r="P191" s="469" t="n"/>
      <x:c r="Q191" s="469" t="n"/>
      <x:c r="R191" s="469" t="n"/>
      <x:c r="S191" s="469" t="n"/>
      <x:c r="T191" s="469" t="n"/>
      <x:c r="U191" s="469" t="n"/>
      <x:c r="V191" s="470" t="n"/>
      <x:c r="W191" s="469" t="n"/>
    </x:row>
    <x:row r="192" s="36" customFormat="1" ht="42" customHeight="1">
      <x:c r="A192" s="469" t="n"/>
      <x:c r="B192" s="469" t="n"/>
      <x:c r="C192" s="469" t="n"/>
      <x:c r="D192" s="469" t="n"/>
      <x:c r="E192" s="469" t="n"/>
      <x:c r="F192" s="469" t="n"/>
      <x:c r="G192" s="469" t="n"/>
      <x:c r="H192" s="469" t="n"/>
      <x:c r="I192" s="470" t="n"/>
      <x:c r="J192" s="469" t="n"/>
      <x:c r="K192" s="469" t="n"/>
      <x:c r="L192" s="470" t="n"/>
      <x:c r="M192" s="469" t="n"/>
      <x:c r="N192" s="469" t="n"/>
      <x:c r="O192" s="469" t="n"/>
      <x:c r="P192" s="469" t="n"/>
      <x:c r="Q192" s="469" t="n"/>
      <x:c r="R192" s="469" t="n"/>
      <x:c r="S192" s="469" t="n"/>
      <x:c r="T192" s="469" t="n"/>
      <x:c r="U192" s="469" t="n"/>
      <x:c r="V192" s="470" t="n"/>
      <x:c r="W192" s="469" t="n"/>
    </x:row>
    <x:row r="193" s="36" customFormat="1" ht="42" customHeight="1">
      <x:c r="A193" s="469" t="n"/>
      <x:c r="B193" s="469" t="n"/>
      <x:c r="C193" s="469" t="n"/>
      <x:c r="D193" s="469" t="n"/>
      <x:c r="E193" s="469" t="n"/>
      <x:c r="F193" s="469" t="n"/>
      <x:c r="G193" s="469" t="n"/>
      <x:c r="H193" s="469" t="n"/>
      <x:c r="I193" s="470" t="n"/>
      <x:c r="J193" s="469" t="n"/>
      <x:c r="K193" s="469" t="n"/>
      <x:c r="L193" s="470" t="n"/>
      <x:c r="M193" s="469" t="n"/>
      <x:c r="N193" s="469" t="n"/>
      <x:c r="O193" s="469" t="n"/>
      <x:c r="P193" s="469" t="n"/>
      <x:c r="Q193" s="469" t="n"/>
      <x:c r="R193" s="469" t="n"/>
      <x:c r="S193" s="469" t="n"/>
      <x:c r="T193" s="469" t="n"/>
      <x:c r="U193" s="469" t="n"/>
      <x:c r="V193" s="470" t="n"/>
      <x:c r="W193" s="469" t="n"/>
    </x:row>
    <x:row r="194" s="36" customFormat="1" ht="42" customHeight="1">
      <x:c r="A194" s="469" t="n"/>
      <x:c r="B194" s="469" t="n"/>
      <x:c r="C194" s="469" t="n"/>
      <x:c r="D194" s="469" t="n"/>
      <x:c r="E194" s="469" t="n"/>
      <x:c r="F194" s="469" t="n"/>
      <x:c r="G194" s="469" t="n"/>
      <x:c r="H194" s="469" t="n"/>
      <x:c r="I194" s="470" t="n"/>
      <x:c r="J194" s="469" t="n"/>
      <x:c r="K194" s="469" t="n"/>
      <x:c r="L194" s="470" t="n"/>
      <x:c r="M194" s="469" t="n"/>
      <x:c r="N194" s="469" t="n"/>
      <x:c r="O194" s="469" t="n"/>
      <x:c r="P194" s="469" t="n"/>
      <x:c r="Q194" s="469" t="n"/>
      <x:c r="R194" s="469" t="n"/>
      <x:c r="S194" s="469" t="n"/>
      <x:c r="T194" s="469" t="n"/>
      <x:c r="U194" s="469" t="n"/>
      <x:c r="V194" s="470" t="n"/>
      <x:c r="W194" s="469" t="n"/>
    </x:row>
    <x:row r="195" s="36" customFormat="1" ht="42" customHeight="1">
      <x:c r="A195" s="469" t="n"/>
      <x:c r="B195" s="469" t="n"/>
      <x:c r="C195" s="469" t="n"/>
      <x:c r="D195" s="469" t="n"/>
      <x:c r="E195" s="469" t="n"/>
      <x:c r="F195" s="469" t="n"/>
      <x:c r="G195" s="469" t="n"/>
      <x:c r="H195" s="469" t="n"/>
      <x:c r="I195" s="470" t="n"/>
      <x:c r="J195" s="469" t="n"/>
      <x:c r="K195" s="469" t="n"/>
      <x:c r="L195" s="470" t="n"/>
      <x:c r="M195" s="469" t="n"/>
      <x:c r="N195" s="469" t="n"/>
      <x:c r="O195" s="469" t="n"/>
      <x:c r="P195" s="469" t="n"/>
      <x:c r="Q195" s="469" t="n"/>
      <x:c r="R195" s="469" t="n"/>
      <x:c r="S195" s="469" t="n"/>
      <x:c r="T195" s="469" t="n"/>
      <x:c r="U195" s="469" t="n"/>
      <x:c r="V195" s="470" t="n"/>
      <x:c r="W195" s="469" t="n"/>
    </x:row>
    <x:row r="196" s="36" customFormat="1" ht="42" customHeight="1">
      <x:c r="A196" s="469" t="n"/>
      <x:c r="B196" s="469" t="n"/>
      <x:c r="C196" s="469" t="n"/>
      <x:c r="D196" s="469" t="n"/>
      <x:c r="E196" s="469" t="n"/>
      <x:c r="F196" s="469" t="n"/>
      <x:c r="G196" s="469" t="n"/>
      <x:c r="H196" s="469" t="n"/>
      <x:c r="I196" s="470" t="n"/>
      <x:c r="J196" s="469" t="n"/>
      <x:c r="K196" s="469" t="n"/>
      <x:c r="L196" s="470" t="n"/>
      <x:c r="M196" s="469" t="n"/>
      <x:c r="N196" s="469" t="n"/>
      <x:c r="O196" s="469" t="n"/>
      <x:c r="P196" s="469" t="n"/>
      <x:c r="Q196" s="469" t="n"/>
      <x:c r="R196" s="469" t="n"/>
      <x:c r="S196" s="469" t="n"/>
      <x:c r="T196" s="469" t="n"/>
      <x:c r="U196" s="469" t="n"/>
      <x:c r="V196" s="470" t="n"/>
      <x:c r="W196" s="469" t="n"/>
    </x:row>
    <x:row r="197" s="36" customFormat="1" ht="42" customHeight="1">
      <x:c r="A197" s="469" t="n"/>
      <x:c r="B197" s="469" t="n"/>
      <x:c r="C197" s="469" t="n"/>
      <x:c r="D197" s="469" t="n"/>
      <x:c r="E197" s="469" t="n"/>
      <x:c r="F197" s="469" t="n"/>
      <x:c r="G197" s="469" t="n"/>
      <x:c r="H197" s="469" t="n"/>
      <x:c r="I197" s="470" t="n"/>
      <x:c r="J197" s="469" t="n"/>
      <x:c r="K197" s="469" t="n"/>
      <x:c r="L197" s="470" t="n"/>
      <x:c r="M197" s="469" t="n"/>
      <x:c r="N197" s="469" t="n"/>
      <x:c r="O197" s="469" t="n"/>
      <x:c r="P197" s="469" t="n"/>
      <x:c r="Q197" s="469" t="n"/>
      <x:c r="R197" s="469" t="n"/>
      <x:c r="S197" s="469" t="n"/>
      <x:c r="T197" s="469" t="n"/>
      <x:c r="U197" s="469" t="n"/>
      <x:c r="V197" s="470" t="n"/>
      <x:c r="W197" s="469" t="n"/>
    </x:row>
    <x:row r="198" s="36" customFormat="1" ht="42" customHeight="1">
      <x:c r="A198" s="469" t="n"/>
      <x:c r="B198" s="469" t="n"/>
      <x:c r="C198" s="469" t="n"/>
      <x:c r="D198" s="469" t="n"/>
      <x:c r="E198" s="469" t="n"/>
      <x:c r="F198" s="469" t="n"/>
      <x:c r="G198" s="469" t="n"/>
      <x:c r="H198" s="469" t="n"/>
      <x:c r="I198" s="470" t="n"/>
      <x:c r="J198" s="469" t="n"/>
      <x:c r="K198" s="469" t="n"/>
      <x:c r="L198" s="470" t="n"/>
      <x:c r="M198" s="469" t="n"/>
      <x:c r="N198" s="469" t="n"/>
      <x:c r="O198" s="469" t="n"/>
      <x:c r="P198" s="469" t="n"/>
      <x:c r="Q198" s="469" t="n"/>
      <x:c r="R198" s="469" t="n"/>
      <x:c r="S198" s="469" t="n"/>
      <x:c r="T198" s="469" t="n"/>
      <x:c r="U198" s="469" t="n"/>
      <x:c r="V198" s="470" t="n"/>
      <x:c r="W198" s="469" t="n"/>
    </x:row>
    <x:row r="199" s="36" customFormat="1" ht="42" customHeight="1">
      <x:c r="A199" s="469" t="n"/>
      <x:c r="B199" s="469" t="n"/>
      <x:c r="C199" s="469" t="n"/>
      <x:c r="D199" s="469" t="n"/>
      <x:c r="E199" s="469" t="n"/>
      <x:c r="F199" s="469" t="n"/>
      <x:c r="G199" s="469" t="n"/>
      <x:c r="H199" s="469" t="n"/>
      <x:c r="I199" s="470" t="n"/>
      <x:c r="J199" s="469" t="n"/>
      <x:c r="K199" s="469" t="n"/>
      <x:c r="L199" s="470" t="n"/>
      <x:c r="M199" s="469" t="n"/>
      <x:c r="N199" s="469" t="n"/>
      <x:c r="O199" s="469" t="n"/>
      <x:c r="P199" s="469" t="n"/>
      <x:c r="Q199" s="469" t="n"/>
      <x:c r="R199" s="469" t="n"/>
      <x:c r="S199" s="469" t="n"/>
      <x:c r="T199" s="469" t="n"/>
      <x:c r="U199" s="469" t="n"/>
      <x:c r="V199" s="470" t="n"/>
      <x:c r="W199" s="469" t="n"/>
    </x:row>
    <x:row r="200" s="36" customFormat="1" ht="42" customHeight="1">
      <x:c r="A200" s="469" t="n"/>
      <x:c r="B200" s="469" t="n"/>
      <x:c r="C200" s="469" t="n"/>
      <x:c r="D200" s="469" t="n"/>
      <x:c r="E200" s="469" t="n"/>
      <x:c r="F200" s="469" t="n"/>
      <x:c r="G200" s="469" t="n"/>
      <x:c r="H200" s="469" t="n"/>
      <x:c r="I200" s="470" t="n"/>
      <x:c r="J200" s="469" t="n"/>
      <x:c r="K200" s="469" t="n"/>
      <x:c r="L200" s="470" t="n"/>
      <x:c r="M200" s="469" t="n"/>
      <x:c r="N200" s="469" t="n"/>
      <x:c r="O200" s="469" t="n"/>
      <x:c r="P200" s="469" t="n"/>
      <x:c r="Q200" s="469" t="n"/>
      <x:c r="R200" s="469" t="n"/>
      <x:c r="S200" s="469" t="n"/>
      <x:c r="T200" s="469" t="n"/>
      <x:c r="U200" s="469" t="n"/>
      <x:c r="V200" s="470" t="n"/>
      <x:c r="W200" s="469" t="n"/>
    </x:row>
    <x:row r="201" s="36" customFormat="1" ht="42" customHeight="1">
      <x:c r="A201" s="469" t="n"/>
      <x:c r="B201" s="469" t="n"/>
      <x:c r="C201" s="469" t="n"/>
      <x:c r="D201" s="469" t="n"/>
      <x:c r="E201" s="469" t="n"/>
      <x:c r="F201" s="469" t="n"/>
      <x:c r="G201" s="469" t="n"/>
      <x:c r="H201" s="469" t="n"/>
      <x:c r="I201" s="470" t="n"/>
      <x:c r="J201" s="469" t="n"/>
      <x:c r="K201" s="469" t="n"/>
      <x:c r="L201" s="470" t="n"/>
      <x:c r="M201" s="469" t="n"/>
      <x:c r="N201" s="469" t="n"/>
      <x:c r="O201" s="469" t="n"/>
      <x:c r="P201" s="469" t="n"/>
      <x:c r="Q201" s="469" t="n"/>
      <x:c r="R201" s="469" t="n"/>
      <x:c r="S201" s="469" t="n"/>
      <x:c r="T201" s="469" t="n"/>
      <x:c r="U201" s="469" t="n"/>
      <x:c r="V201" s="470" t="n"/>
      <x:c r="W201" s="469" t="n"/>
    </x:row>
    <x:row r="202" s="36" customFormat="1" ht="42" customHeight="1">
      <x:c r="A202" s="469" t="n"/>
      <x:c r="B202" s="469" t="n"/>
      <x:c r="C202" s="469" t="n"/>
      <x:c r="D202" s="469" t="n"/>
      <x:c r="E202" s="469" t="n"/>
      <x:c r="F202" s="469" t="n"/>
      <x:c r="G202" s="469" t="n"/>
      <x:c r="H202" s="469" t="n"/>
      <x:c r="I202" s="470" t="n"/>
      <x:c r="J202" s="469" t="n"/>
      <x:c r="K202" s="469" t="n"/>
      <x:c r="L202" s="470" t="n"/>
      <x:c r="M202" s="469" t="n"/>
      <x:c r="N202" s="469" t="n"/>
      <x:c r="O202" s="469" t="n"/>
      <x:c r="P202" s="469" t="n"/>
      <x:c r="Q202" s="469" t="n"/>
      <x:c r="R202" s="469" t="n"/>
      <x:c r="S202" s="469" t="n"/>
      <x:c r="T202" s="469" t="n"/>
      <x:c r="U202" s="469" t="n"/>
      <x:c r="V202" s="470" t="n"/>
      <x:c r="W202" s="469" t="n"/>
    </x:row>
    <x:row r="203" s="36" customFormat="1" ht="42" customHeight="1">
      <x:c r="A203" s="469" t="n"/>
      <x:c r="B203" s="469" t="n"/>
      <x:c r="C203" s="469" t="n"/>
      <x:c r="D203" s="469" t="n"/>
      <x:c r="E203" s="469" t="n"/>
      <x:c r="F203" s="469" t="n"/>
      <x:c r="G203" s="469" t="n"/>
      <x:c r="H203" s="469" t="n"/>
      <x:c r="I203" s="470" t="n"/>
      <x:c r="J203" s="469" t="n"/>
      <x:c r="K203" s="469" t="n"/>
      <x:c r="L203" s="470" t="n"/>
      <x:c r="M203" s="469" t="n"/>
      <x:c r="N203" s="469" t="n"/>
      <x:c r="O203" s="469" t="n"/>
      <x:c r="P203" s="469" t="n"/>
      <x:c r="Q203" s="469" t="n"/>
      <x:c r="R203" s="469" t="n"/>
      <x:c r="S203" s="469" t="n"/>
      <x:c r="T203" s="469" t="n"/>
      <x:c r="U203" s="469" t="n"/>
      <x:c r="V203" s="470" t="n"/>
      <x:c r="W203" s="469" t="n"/>
    </x:row>
    <x:row r="204" s="36" customFormat="1" ht="42" customHeight="1">
      <x:c r="A204" s="469" t="n"/>
      <x:c r="B204" s="469" t="n"/>
      <x:c r="C204" s="469" t="n"/>
      <x:c r="D204" s="469" t="n"/>
      <x:c r="E204" s="469" t="n"/>
      <x:c r="F204" s="469" t="n"/>
      <x:c r="G204" s="469" t="n"/>
      <x:c r="H204" s="469" t="n"/>
      <x:c r="I204" s="470" t="n"/>
      <x:c r="J204" s="469" t="n"/>
      <x:c r="K204" s="469" t="n"/>
      <x:c r="L204" s="470" t="n"/>
      <x:c r="M204" s="469" t="n"/>
      <x:c r="N204" s="469" t="n"/>
      <x:c r="O204" s="469" t="n"/>
      <x:c r="P204" s="469" t="n"/>
      <x:c r="Q204" s="469" t="n"/>
      <x:c r="R204" s="469" t="n"/>
      <x:c r="S204" s="469" t="n"/>
      <x:c r="T204" s="469" t="n"/>
      <x:c r="U204" s="469" t="n"/>
      <x:c r="V204" s="470" t="n"/>
      <x:c r="W204" s="469" t="n"/>
    </x:row>
    <x:row r="205" s="36" customFormat="1" ht="42" customHeight="1">
      <x:c r="A205" s="469" t="n"/>
      <x:c r="B205" s="469" t="n"/>
      <x:c r="C205" s="469" t="n"/>
      <x:c r="D205" s="469" t="n"/>
      <x:c r="E205" s="469" t="n"/>
      <x:c r="F205" s="469" t="n"/>
      <x:c r="G205" s="469" t="n"/>
      <x:c r="H205" s="469" t="n"/>
      <x:c r="I205" s="470" t="n"/>
      <x:c r="J205" s="469" t="n"/>
      <x:c r="K205" s="469" t="n"/>
      <x:c r="L205" s="470" t="n"/>
      <x:c r="M205" s="469" t="n"/>
      <x:c r="N205" s="469" t="n"/>
      <x:c r="O205" s="469" t="n"/>
      <x:c r="P205" s="469" t="n"/>
      <x:c r="Q205" s="469" t="n"/>
      <x:c r="R205" s="469" t="n"/>
      <x:c r="S205" s="469" t="n"/>
      <x:c r="T205" s="469" t="n"/>
      <x:c r="U205" s="469" t="n"/>
      <x:c r="V205" s="470" t="n"/>
      <x:c r="W205" s="469" t="n"/>
    </x:row>
    <x:row r="206" s="36" customFormat="1" ht="42" customHeight="1">
      <x:c r="A206" s="469" t="n"/>
      <x:c r="B206" s="469" t="n"/>
      <x:c r="C206" s="469" t="n"/>
      <x:c r="D206" s="469" t="n"/>
      <x:c r="E206" s="469" t="n"/>
      <x:c r="F206" s="469" t="n"/>
      <x:c r="G206" s="469" t="n"/>
      <x:c r="H206" s="469" t="n"/>
      <x:c r="I206" s="470" t="n"/>
      <x:c r="J206" s="469" t="n"/>
      <x:c r="K206" s="469" t="n"/>
      <x:c r="L206" s="470" t="n"/>
      <x:c r="M206" s="469" t="n"/>
      <x:c r="N206" s="469" t="n"/>
      <x:c r="O206" s="469" t="n"/>
      <x:c r="P206" s="469" t="n"/>
      <x:c r="Q206" s="469" t="n"/>
      <x:c r="R206" s="469" t="n"/>
      <x:c r="S206" s="469" t="n"/>
      <x:c r="T206" s="469" t="n"/>
      <x:c r="U206" s="469" t="n"/>
      <x:c r="V206" s="470" t="n"/>
      <x:c r="W206" s="469" t="n"/>
    </x:row>
    <x:row r="207" s="36" customFormat="1" ht="42" customHeight="1">
      <x:c r="A207" s="469" t="n"/>
      <x:c r="B207" s="469" t="n"/>
      <x:c r="C207" s="469" t="n"/>
      <x:c r="D207" s="469" t="n"/>
      <x:c r="E207" s="469" t="n"/>
      <x:c r="F207" s="469" t="n"/>
      <x:c r="G207" s="469" t="n"/>
      <x:c r="H207" s="469" t="n"/>
      <x:c r="I207" s="470" t="n"/>
      <x:c r="J207" s="469" t="n"/>
      <x:c r="K207" s="469" t="n"/>
      <x:c r="L207" s="470" t="n"/>
      <x:c r="M207" s="469" t="n"/>
      <x:c r="N207" s="469" t="n"/>
      <x:c r="O207" s="469" t="n"/>
      <x:c r="P207" s="469" t="n"/>
      <x:c r="Q207" s="469" t="n"/>
      <x:c r="R207" s="469" t="n"/>
      <x:c r="S207" s="469" t="n"/>
      <x:c r="T207" s="469" t="n"/>
      <x:c r="U207" s="469" t="n"/>
      <x:c r="V207" s="470" t="n"/>
      <x:c r="W207" s="469" t="n"/>
    </x:row>
    <x:row r="208" s="36" customFormat="1" ht="42" customHeight="1">
      <x:c r="A208" s="469" t="n"/>
      <x:c r="B208" s="469" t="n"/>
      <x:c r="C208" s="469" t="n"/>
      <x:c r="D208" s="469" t="n"/>
      <x:c r="E208" s="469" t="n"/>
      <x:c r="F208" s="469" t="n"/>
      <x:c r="G208" s="469" t="n"/>
      <x:c r="H208" s="469" t="n"/>
      <x:c r="I208" s="470" t="n"/>
      <x:c r="J208" s="469" t="n"/>
      <x:c r="K208" s="469" t="n"/>
      <x:c r="L208" s="470" t="n"/>
      <x:c r="M208" s="469" t="n"/>
      <x:c r="N208" s="469" t="n"/>
      <x:c r="O208" s="469" t="n"/>
      <x:c r="P208" s="469" t="n"/>
      <x:c r="Q208" s="469" t="n"/>
      <x:c r="R208" s="469" t="n"/>
      <x:c r="S208" s="469" t="n"/>
      <x:c r="T208" s="469" t="n"/>
      <x:c r="U208" s="469" t="n"/>
      <x:c r="V208" s="470" t="n"/>
      <x:c r="W208" s="469" t="n"/>
    </x:row>
    <x:row r="209" s="36" customFormat="1" ht="42" customHeight="1">
      <x:c r="A209" s="469" t="n"/>
      <x:c r="B209" s="469" t="n"/>
      <x:c r="C209" s="469" t="n"/>
      <x:c r="D209" s="469" t="n"/>
      <x:c r="E209" s="469" t="n"/>
      <x:c r="F209" s="469" t="n"/>
      <x:c r="G209" s="469" t="n"/>
      <x:c r="H209" s="469" t="n"/>
      <x:c r="I209" s="470" t="n"/>
      <x:c r="J209" s="469" t="n"/>
      <x:c r="K209" s="469" t="n"/>
      <x:c r="L209" s="470" t="n"/>
      <x:c r="M209" s="469" t="n"/>
      <x:c r="N209" s="469" t="n"/>
      <x:c r="O209" s="469" t="n"/>
      <x:c r="P209" s="469" t="n"/>
      <x:c r="Q209" s="469" t="n"/>
      <x:c r="R209" s="469" t="n"/>
      <x:c r="S209" s="469" t="n"/>
      <x:c r="T209" s="469" t="n"/>
      <x:c r="U209" s="469" t="n"/>
      <x:c r="V209" s="470" t="n"/>
      <x:c r="W209" s="469" t="n"/>
    </x:row>
    <x:row r="210" s="36" customFormat="1" ht="42" customHeight="1">
      <x:c r="A210" s="469" t="n"/>
      <x:c r="B210" s="469" t="n"/>
      <x:c r="C210" s="469" t="n"/>
      <x:c r="D210" s="469" t="n"/>
      <x:c r="E210" s="469" t="n"/>
      <x:c r="F210" s="469" t="n"/>
      <x:c r="G210" s="469" t="n"/>
      <x:c r="H210" s="469" t="n"/>
      <x:c r="I210" s="470" t="n"/>
      <x:c r="J210" s="469" t="n"/>
      <x:c r="K210" s="469" t="n"/>
      <x:c r="L210" s="470" t="n"/>
      <x:c r="M210" s="469" t="n"/>
      <x:c r="N210" s="469" t="n"/>
      <x:c r="O210" s="469" t="n"/>
      <x:c r="P210" s="469" t="n"/>
      <x:c r="Q210" s="469" t="n"/>
      <x:c r="R210" s="469" t="n"/>
      <x:c r="S210" s="469" t="n"/>
      <x:c r="T210" s="469" t="n"/>
      <x:c r="U210" s="469" t="n"/>
      <x:c r="V210" s="470" t="n"/>
      <x:c r="W210" s="469" t="n"/>
    </x:row>
    <x:row r="211" s="36" customFormat="1" ht="42" customHeight="1">
      <x:c r="A211" s="469" t="n"/>
      <x:c r="B211" s="469" t="n"/>
      <x:c r="C211" s="469" t="n"/>
      <x:c r="D211" s="469" t="n"/>
      <x:c r="E211" s="469" t="n"/>
      <x:c r="F211" s="469" t="n"/>
      <x:c r="G211" s="469" t="n"/>
      <x:c r="H211" s="469" t="n"/>
      <x:c r="I211" s="470" t="n"/>
      <x:c r="J211" s="469" t="n"/>
      <x:c r="K211" s="469" t="n"/>
      <x:c r="L211" s="470" t="n"/>
      <x:c r="M211" s="469" t="n"/>
      <x:c r="N211" s="469" t="n"/>
      <x:c r="O211" s="469" t="n"/>
      <x:c r="P211" s="469" t="n"/>
      <x:c r="Q211" s="469" t="n"/>
      <x:c r="R211" s="469" t="n"/>
      <x:c r="S211" s="469" t="n"/>
      <x:c r="T211" s="469" t="n"/>
      <x:c r="U211" s="469" t="n"/>
      <x:c r="V211" s="470" t="n"/>
      <x:c r="W211" s="469" t="n"/>
    </x:row>
    <x:row r="212" s="36" customFormat="1" ht="42" customHeight="1">
      <x:c r="A212" s="469" t="n"/>
      <x:c r="B212" s="469" t="n"/>
      <x:c r="C212" s="469" t="n"/>
      <x:c r="D212" s="469" t="n"/>
      <x:c r="E212" s="469" t="n"/>
      <x:c r="F212" s="469" t="n"/>
      <x:c r="G212" s="469" t="n"/>
      <x:c r="H212" s="469" t="n"/>
      <x:c r="I212" s="470" t="n"/>
      <x:c r="J212" s="469" t="n"/>
      <x:c r="K212" s="469" t="n"/>
      <x:c r="L212" s="470" t="n"/>
      <x:c r="M212" s="469" t="n"/>
      <x:c r="N212" s="469" t="n"/>
      <x:c r="O212" s="469" t="n"/>
      <x:c r="P212" s="469" t="n"/>
      <x:c r="Q212" s="469" t="n"/>
      <x:c r="R212" s="469" t="n"/>
      <x:c r="S212" s="469" t="n"/>
      <x:c r="T212" s="469" t="n"/>
      <x:c r="U212" s="469" t="n"/>
      <x:c r="V212" s="470" t="n"/>
      <x:c r="W212" s="469" t="n"/>
    </x:row>
    <x:row r="213" s="36" customFormat="1" ht="42" customHeight="1">
      <x:c r="A213" s="469" t="n"/>
      <x:c r="B213" s="469" t="n"/>
      <x:c r="C213" s="469" t="n"/>
      <x:c r="D213" s="469" t="n"/>
      <x:c r="E213" s="469" t="n"/>
      <x:c r="F213" s="469" t="n"/>
      <x:c r="G213" s="469" t="n"/>
      <x:c r="H213" s="469" t="n"/>
      <x:c r="I213" s="470" t="n"/>
      <x:c r="J213" s="469" t="n"/>
      <x:c r="K213" s="469" t="n"/>
      <x:c r="L213" s="470" t="n"/>
      <x:c r="M213" s="469" t="n"/>
      <x:c r="N213" s="469" t="n"/>
      <x:c r="O213" s="469" t="n"/>
      <x:c r="P213" s="469" t="n"/>
      <x:c r="Q213" s="469" t="n"/>
      <x:c r="R213" s="469" t="n"/>
      <x:c r="S213" s="469" t="n"/>
      <x:c r="T213" s="469" t="n"/>
      <x:c r="U213" s="469" t="n"/>
      <x:c r="V213" s="470" t="n"/>
      <x:c r="W213" s="469" t="n"/>
    </x:row>
    <x:row r="214" s="36" customFormat="1" ht="42" customHeight="1">
      <x:c r="A214" s="469" t="n"/>
      <x:c r="B214" s="469" t="n"/>
      <x:c r="C214" s="469" t="n"/>
      <x:c r="D214" s="469" t="n"/>
      <x:c r="E214" s="469" t="n"/>
      <x:c r="F214" s="469" t="n"/>
      <x:c r="G214" s="469" t="n"/>
      <x:c r="H214" s="469" t="n"/>
      <x:c r="I214" s="470" t="n"/>
      <x:c r="J214" s="469" t="n"/>
      <x:c r="K214" s="469" t="n"/>
      <x:c r="L214" s="470" t="n"/>
      <x:c r="M214" s="469" t="n"/>
      <x:c r="N214" s="469" t="n"/>
      <x:c r="O214" s="469" t="n"/>
      <x:c r="P214" s="469" t="n"/>
      <x:c r="Q214" s="469" t="n"/>
      <x:c r="R214" s="469" t="n"/>
      <x:c r="S214" s="469" t="n"/>
      <x:c r="T214" s="469" t="n"/>
      <x:c r="U214" s="469" t="n"/>
      <x:c r="V214" s="470" t="n"/>
      <x:c r="W214" s="469" t="n"/>
    </x:row>
    <x:row r="215" s="36" customFormat="1" ht="42" customHeight="1">
      <x:c r="A215" s="469" t="n"/>
      <x:c r="B215" s="469" t="n"/>
      <x:c r="C215" s="469" t="n"/>
      <x:c r="D215" s="469" t="n"/>
      <x:c r="E215" s="469" t="n"/>
      <x:c r="F215" s="469" t="n"/>
      <x:c r="G215" s="469" t="n"/>
      <x:c r="H215" s="469" t="n"/>
      <x:c r="I215" s="470" t="n"/>
      <x:c r="J215" s="469" t="n"/>
      <x:c r="K215" s="469" t="n"/>
      <x:c r="L215" s="470" t="n"/>
      <x:c r="M215" s="469" t="n"/>
      <x:c r="N215" s="469" t="n"/>
      <x:c r="O215" s="469" t="n"/>
      <x:c r="P215" s="469" t="n"/>
      <x:c r="Q215" s="469" t="n"/>
      <x:c r="R215" s="469" t="n"/>
      <x:c r="S215" s="469" t="n"/>
      <x:c r="T215" s="469" t="n"/>
      <x:c r="U215" s="469" t="n"/>
      <x:c r="V215" s="470" t="n"/>
      <x:c r="W215" s="469" t="n"/>
    </x:row>
    <x:row r="216" s="36" customFormat="1" ht="42" customHeight="1">
      <x:c r="A216" s="469" t="n"/>
      <x:c r="B216" s="469" t="n"/>
      <x:c r="C216" s="469" t="n"/>
      <x:c r="D216" s="469" t="n"/>
      <x:c r="E216" s="469" t="n"/>
      <x:c r="F216" s="469" t="n"/>
      <x:c r="G216" s="469" t="n"/>
      <x:c r="H216" s="469" t="n"/>
      <x:c r="I216" s="470" t="n"/>
      <x:c r="J216" s="469" t="n"/>
      <x:c r="K216" s="469" t="n"/>
      <x:c r="L216" s="470" t="n"/>
      <x:c r="M216" s="469" t="n"/>
      <x:c r="N216" s="469" t="n"/>
      <x:c r="O216" s="469" t="n"/>
      <x:c r="P216" s="469" t="n"/>
      <x:c r="Q216" s="469" t="n"/>
      <x:c r="R216" s="469" t="n"/>
      <x:c r="S216" s="469" t="n"/>
      <x:c r="T216" s="469" t="n"/>
      <x:c r="U216" s="469" t="n"/>
      <x:c r="V216" s="470" t="n"/>
      <x:c r="W216" s="469" t="n"/>
    </x:row>
    <x:row r="217" s="36" customFormat="1" ht="42" customHeight="1">
      <x:c r="A217" s="469" t="n"/>
      <x:c r="B217" s="469" t="n"/>
      <x:c r="C217" s="469" t="n"/>
      <x:c r="D217" s="469" t="n"/>
      <x:c r="E217" s="469" t="n"/>
      <x:c r="F217" s="469" t="n"/>
      <x:c r="G217" s="469" t="n"/>
      <x:c r="H217" s="469" t="n"/>
      <x:c r="I217" s="470" t="n"/>
      <x:c r="J217" s="469" t="n"/>
      <x:c r="K217" s="469" t="n"/>
      <x:c r="L217" s="470" t="n"/>
      <x:c r="M217" s="469" t="n"/>
      <x:c r="N217" s="469" t="n"/>
      <x:c r="O217" s="469" t="n"/>
      <x:c r="P217" s="469" t="n"/>
      <x:c r="Q217" s="469" t="n"/>
      <x:c r="R217" s="469" t="n"/>
      <x:c r="S217" s="469" t="n"/>
      <x:c r="T217" s="469" t="n"/>
      <x:c r="U217" s="469" t="n"/>
      <x:c r="V217" s="470" t="n"/>
      <x:c r="W217" s="469" t="n"/>
    </x:row>
    <x:row r="218" s="36" customFormat="1" ht="42" customHeight="1">
      <x:c r="A218" s="469" t="n"/>
      <x:c r="B218" s="469" t="n"/>
      <x:c r="C218" s="469" t="n"/>
      <x:c r="D218" s="469" t="n"/>
      <x:c r="E218" s="469" t="n"/>
      <x:c r="F218" s="469" t="n"/>
      <x:c r="G218" s="469" t="n"/>
      <x:c r="H218" s="469" t="n"/>
      <x:c r="I218" s="470" t="n"/>
      <x:c r="J218" s="469" t="n"/>
      <x:c r="K218" s="469" t="n"/>
      <x:c r="L218" s="470" t="n"/>
      <x:c r="M218" s="469" t="n"/>
      <x:c r="N218" s="469" t="n"/>
      <x:c r="O218" s="469" t="n"/>
      <x:c r="P218" s="469" t="n"/>
      <x:c r="Q218" s="469" t="n"/>
      <x:c r="R218" s="469" t="n"/>
      <x:c r="S218" s="469" t="n"/>
      <x:c r="T218" s="469" t="n"/>
      <x:c r="U218" s="469" t="n"/>
      <x:c r="V218" s="470" t="n"/>
      <x:c r="W218" s="469" t="n"/>
    </x:row>
    <x:row r="219" s="36" customFormat="1" ht="42" customHeight="1">
      <x:c r="A219" s="469" t="n"/>
      <x:c r="B219" s="469" t="n"/>
      <x:c r="C219" s="469" t="n"/>
      <x:c r="D219" s="469" t="n"/>
      <x:c r="E219" s="469" t="n"/>
      <x:c r="F219" s="469" t="n"/>
      <x:c r="G219" s="469" t="n"/>
      <x:c r="H219" s="469" t="n"/>
      <x:c r="I219" s="470" t="n"/>
      <x:c r="J219" s="469" t="n"/>
      <x:c r="K219" s="469" t="n"/>
      <x:c r="L219" s="470" t="n"/>
      <x:c r="M219" s="469" t="n"/>
      <x:c r="N219" s="469" t="n"/>
      <x:c r="O219" s="469" t="n"/>
      <x:c r="P219" s="469" t="n"/>
      <x:c r="Q219" s="469" t="n"/>
      <x:c r="R219" s="469" t="n"/>
      <x:c r="S219" s="469" t="n"/>
      <x:c r="T219" s="469" t="n"/>
      <x:c r="U219" s="469" t="n"/>
      <x:c r="V219" s="470" t="n"/>
      <x:c r="W219" s="469" t="n"/>
    </x:row>
    <x:row r="220" s="36" customFormat="1" ht="42" customHeight="1">
      <x:c r="A220" s="469" t="n"/>
      <x:c r="B220" s="469" t="n"/>
      <x:c r="C220" s="469" t="n"/>
      <x:c r="D220" s="469" t="n"/>
      <x:c r="E220" s="469" t="n"/>
      <x:c r="F220" s="469" t="n"/>
      <x:c r="G220" s="469" t="n"/>
      <x:c r="H220" s="469" t="n"/>
      <x:c r="I220" s="470" t="n"/>
      <x:c r="J220" s="469" t="n"/>
      <x:c r="K220" s="469" t="n"/>
      <x:c r="L220" s="470" t="n"/>
      <x:c r="M220" s="469" t="n"/>
      <x:c r="N220" s="469" t="n"/>
      <x:c r="O220" s="469" t="n"/>
      <x:c r="P220" s="469" t="n"/>
      <x:c r="Q220" s="469" t="n"/>
      <x:c r="R220" s="469" t="n"/>
      <x:c r="S220" s="469" t="n"/>
      <x:c r="T220" s="469" t="n"/>
      <x:c r="U220" s="469" t="n"/>
      <x:c r="V220" s="470" t="n"/>
      <x:c r="W220" s="469" t="n"/>
    </x:row>
    <x:row r="221" s="36" customFormat="1" ht="42" customHeight="1">
      <x:c r="A221" s="469" t="n"/>
      <x:c r="B221" s="469" t="n"/>
      <x:c r="C221" s="469" t="n"/>
      <x:c r="D221" s="469" t="n"/>
      <x:c r="E221" s="469" t="n"/>
      <x:c r="F221" s="469" t="n"/>
      <x:c r="G221" s="469" t="n"/>
      <x:c r="H221" s="469" t="n"/>
      <x:c r="I221" s="470" t="n"/>
      <x:c r="J221" s="469" t="n"/>
      <x:c r="K221" s="469" t="n"/>
      <x:c r="L221" s="470" t="n"/>
      <x:c r="M221" s="469" t="n"/>
      <x:c r="N221" s="469" t="n"/>
      <x:c r="O221" s="469" t="n"/>
      <x:c r="P221" s="469" t="n"/>
      <x:c r="Q221" s="469" t="n"/>
      <x:c r="R221" s="469" t="n"/>
      <x:c r="S221" s="469" t="n"/>
      <x:c r="T221" s="469" t="n"/>
      <x:c r="U221" s="469" t="n"/>
      <x:c r="V221" s="470" t="n"/>
      <x:c r="W221" s="469" t="n"/>
    </x:row>
    <x:row r="222" s="36" customFormat="1" ht="42" customHeight="1">
      <x:c r="A222" s="469" t="n"/>
      <x:c r="B222" s="469" t="n"/>
      <x:c r="C222" s="469" t="n"/>
      <x:c r="D222" s="469" t="n"/>
      <x:c r="E222" s="469" t="n"/>
      <x:c r="F222" s="469" t="n"/>
      <x:c r="G222" s="469" t="n"/>
      <x:c r="H222" s="469" t="n"/>
      <x:c r="I222" s="470" t="n"/>
      <x:c r="J222" s="469" t="n"/>
      <x:c r="K222" s="469" t="n"/>
      <x:c r="L222" s="470" t="n"/>
      <x:c r="M222" s="469" t="n"/>
      <x:c r="N222" s="469" t="n"/>
      <x:c r="O222" s="469" t="n"/>
      <x:c r="P222" s="469" t="n"/>
      <x:c r="Q222" s="469" t="n"/>
      <x:c r="R222" s="469" t="n"/>
      <x:c r="S222" s="469" t="n"/>
      <x:c r="T222" s="469" t="n"/>
      <x:c r="U222" s="469" t="n"/>
      <x:c r="V222" s="470" t="n"/>
      <x:c r="W222" s="469" t="n"/>
    </x:row>
    <x:row r="223" s="36" customFormat="1" ht="42" customHeight="1">
      <x:c r="A223" s="469" t="n"/>
      <x:c r="B223" s="469" t="n"/>
      <x:c r="C223" s="469" t="n"/>
      <x:c r="D223" s="469" t="n"/>
      <x:c r="E223" s="469" t="n"/>
      <x:c r="F223" s="469" t="n"/>
      <x:c r="G223" s="469" t="n"/>
      <x:c r="H223" s="469" t="n"/>
      <x:c r="I223" s="470" t="n"/>
      <x:c r="J223" s="469" t="n"/>
      <x:c r="K223" s="469" t="n"/>
      <x:c r="L223" s="470" t="n"/>
      <x:c r="M223" s="469" t="n"/>
      <x:c r="N223" s="469" t="n"/>
      <x:c r="O223" s="469" t="n"/>
      <x:c r="P223" s="469" t="n"/>
      <x:c r="Q223" s="469" t="n"/>
      <x:c r="R223" s="469" t="n"/>
      <x:c r="S223" s="469" t="n"/>
      <x:c r="T223" s="469" t="n"/>
      <x:c r="U223" s="469" t="n"/>
      <x:c r="V223" s="470" t="n"/>
      <x:c r="W223" s="469" t="n"/>
    </x:row>
    <x:row r="224" s="36" customFormat="1" ht="42" customHeight="1">
      <x:c r="A224" s="469" t="n"/>
      <x:c r="B224" s="469" t="n"/>
      <x:c r="C224" s="469" t="n"/>
      <x:c r="D224" s="469" t="n"/>
      <x:c r="E224" s="469" t="n"/>
      <x:c r="F224" s="469" t="n"/>
      <x:c r="G224" s="469" t="n"/>
      <x:c r="H224" s="469" t="n"/>
      <x:c r="I224" s="470" t="n"/>
      <x:c r="J224" s="469" t="n"/>
      <x:c r="K224" s="469" t="n"/>
      <x:c r="L224" s="470" t="n"/>
      <x:c r="M224" s="469" t="n"/>
      <x:c r="N224" s="469" t="n"/>
      <x:c r="O224" s="469" t="n"/>
      <x:c r="P224" s="469" t="n"/>
      <x:c r="Q224" s="469" t="n"/>
      <x:c r="R224" s="469" t="n"/>
      <x:c r="S224" s="469" t="n"/>
      <x:c r="T224" s="469" t="n"/>
      <x:c r="U224" s="469" t="n"/>
      <x:c r="V224" s="470" t="n"/>
      <x:c r="W224" s="469" t="n"/>
    </x:row>
    <x:row r="225" s="36" customFormat="1" ht="42" customHeight="1">
      <x:c r="A225" s="469" t="n"/>
      <x:c r="B225" s="469" t="n"/>
      <x:c r="C225" s="469" t="n"/>
      <x:c r="D225" s="469" t="n"/>
      <x:c r="E225" s="469" t="n"/>
      <x:c r="F225" s="469" t="n"/>
      <x:c r="G225" s="469" t="n"/>
      <x:c r="H225" s="469" t="n"/>
      <x:c r="I225" s="470" t="n"/>
      <x:c r="J225" s="469" t="n"/>
      <x:c r="K225" s="469" t="n"/>
      <x:c r="L225" s="470" t="n"/>
      <x:c r="M225" s="469" t="n"/>
      <x:c r="N225" s="469" t="n"/>
      <x:c r="O225" s="469" t="n"/>
      <x:c r="P225" s="469" t="n"/>
      <x:c r="Q225" s="469" t="n"/>
      <x:c r="R225" s="469" t="n"/>
      <x:c r="S225" s="469" t="n"/>
      <x:c r="T225" s="469" t="n"/>
      <x:c r="U225" s="469" t="n"/>
      <x:c r="V225" s="470" t="n"/>
      <x:c r="W225" s="469" t="n"/>
    </x:row>
    <x:row r="226" s="36" customFormat="1" ht="42" customHeight="1">
      <x:c r="A226" s="469" t="n"/>
      <x:c r="B226" s="469" t="n"/>
      <x:c r="C226" s="469" t="n"/>
      <x:c r="D226" s="469" t="n"/>
      <x:c r="E226" s="469" t="n"/>
      <x:c r="F226" s="469" t="n"/>
      <x:c r="G226" s="469" t="n"/>
      <x:c r="H226" s="469" t="n"/>
      <x:c r="I226" s="470" t="n"/>
      <x:c r="J226" s="469" t="n"/>
      <x:c r="K226" s="469" t="n"/>
      <x:c r="L226" s="470" t="n"/>
      <x:c r="M226" s="469" t="n"/>
      <x:c r="N226" s="469" t="n"/>
      <x:c r="O226" s="469" t="n"/>
      <x:c r="P226" s="469" t="n"/>
      <x:c r="Q226" s="469" t="n"/>
      <x:c r="R226" s="469" t="n"/>
      <x:c r="S226" s="469" t="n"/>
      <x:c r="T226" s="469" t="n"/>
      <x:c r="U226" s="469" t="n"/>
      <x:c r="V226" s="470" t="n"/>
      <x:c r="W226" s="469" t="n"/>
    </x:row>
    <x:row r="227" s="36" customFormat="1" ht="42" customHeight="1">
      <x:c r="A227" s="469" t="n"/>
      <x:c r="B227" s="469" t="n"/>
      <x:c r="C227" s="469" t="n"/>
      <x:c r="D227" s="469" t="n"/>
      <x:c r="E227" s="469" t="n"/>
      <x:c r="F227" s="469" t="n"/>
      <x:c r="G227" s="469" t="n"/>
      <x:c r="H227" s="469" t="n"/>
      <x:c r="I227" s="470" t="n"/>
      <x:c r="J227" s="469" t="n"/>
      <x:c r="K227" s="469" t="n"/>
      <x:c r="L227" s="470" t="n"/>
      <x:c r="M227" s="469" t="n"/>
      <x:c r="N227" s="469" t="n"/>
      <x:c r="O227" s="469" t="n"/>
      <x:c r="P227" s="469" t="n"/>
      <x:c r="Q227" s="469" t="n"/>
      <x:c r="R227" s="469" t="n"/>
      <x:c r="S227" s="469" t="n"/>
      <x:c r="T227" s="469" t="n"/>
      <x:c r="U227" s="469" t="n"/>
      <x:c r="V227" s="470" t="n"/>
      <x:c r="W227" s="469" t="n"/>
    </x:row>
    <x:row r="228" s="36" customFormat="1" ht="42" customHeight="1">
      <x:c r="A228" s="469" t="n"/>
      <x:c r="B228" s="469" t="n"/>
      <x:c r="C228" s="469" t="n"/>
      <x:c r="D228" s="469" t="n"/>
      <x:c r="E228" s="469" t="n"/>
      <x:c r="F228" s="469" t="n"/>
      <x:c r="G228" s="469" t="n"/>
      <x:c r="H228" s="469" t="n"/>
      <x:c r="I228" s="470" t="n"/>
      <x:c r="J228" s="469" t="n"/>
      <x:c r="K228" s="469" t="n"/>
      <x:c r="L228" s="470" t="n"/>
      <x:c r="M228" s="469" t="n"/>
      <x:c r="N228" s="469" t="n"/>
      <x:c r="O228" s="469" t="n"/>
      <x:c r="P228" s="469" t="n"/>
      <x:c r="Q228" s="469" t="n"/>
      <x:c r="R228" s="469" t="n"/>
      <x:c r="S228" s="469" t="n"/>
      <x:c r="T228" s="469" t="n"/>
      <x:c r="U228" s="469" t="n"/>
      <x:c r="V228" s="470" t="n"/>
      <x:c r="W228" s="469" t="n"/>
    </x:row>
    <x:row r="229" s="36" customFormat="1" ht="42" customHeight="1">
      <x:c r="A229" s="469" t="n"/>
      <x:c r="B229" s="469" t="n"/>
      <x:c r="C229" s="469" t="n"/>
      <x:c r="D229" s="469" t="n"/>
      <x:c r="E229" s="469" t="n"/>
      <x:c r="F229" s="469" t="n"/>
      <x:c r="G229" s="469" t="n"/>
      <x:c r="H229" s="469" t="n"/>
      <x:c r="I229" s="470" t="n"/>
      <x:c r="J229" s="469" t="n"/>
      <x:c r="K229" s="469" t="n"/>
      <x:c r="L229" s="470" t="n"/>
      <x:c r="M229" s="469" t="n"/>
      <x:c r="N229" s="469" t="n"/>
      <x:c r="O229" s="469" t="n"/>
      <x:c r="P229" s="469" t="n"/>
      <x:c r="Q229" s="469" t="n"/>
      <x:c r="R229" s="469" t="n"/>
      <x:c r="S229" s="469" t="n"/>
      <x:c r="T229" s="469" t="n"/>
      <x:c r="U229" s="469" t="n"/>
      <x:c r="V229" s="470" t="n"/>
      <x:c r="W229" s="469" t="n"/>
    </x:row>
    <x:row r="230" s="36" customFormat="1" ht="42" customHeight="1">
      <x:c r="A230" s="469" t="n"/>
      <x:c r="B230" s="469" t="n"/>
      <x:c r="C230" s="469" t="n"/>
      <x:c r="D230" s="469" t="n"/>
      <x:c r="E230" s="469" t="n"/>
      <x:c r="F230" s="469" t="n"/>
      <x:c r="G230" s="469" t="n"/>
      <x:c r="H230" s="469" t="n"/>
      <x:c r="I230" s="470" t="n"/>
      <x:c r="J230" s="469" t="n"/>
      <x:c r="K230" s="469" t="n"/>
      <x:c r="L230" s="470" t="n"/>
      <x:c r="M230" s="469" t="n"/>
      <x:c r="N230" s="469" t="n"/>
      <x:c r="O230" s="469" t="n"/>
      <x:c r="P230" s="469" t="n"/>
      <x:c r="Q230" s="469" t="n"/>
      <x:c r="R230" s="469" t="n"/>
      <x:c r="S230" s="469" t="n"/>
      <x:c r="T230" s="469" t="n"/>
      <x:c r="U230" s="469" t="n"/>
      <x:c r="V230" s="470" t="n"/>
      <x:c r="W230" s="469" t="n"/>
    </x:row>
    <x:row r="231" s="36" customFormat="1" ht="42" customHeight="1">
      <x:c r="A231" s="469" t="n"/>
      <x:c r="B231" s="469" t="n"/>
      <x:c r="C231" s="469" t="n"/>
      <x:c r="D231" s="469" t="n"/>
      <x:c r="E231" s="469" t="n"/>
      <x:c r="F231" s="469" t="n"/>
      <x:c r="G231" s="469" t="n"/>
      <x:c r="H231" s="469" t="n"/>
      <x:c r="I231" s="470" t="n"/>
      <x:c r="J231" s="469" t="n"/>
      <x:c r="K231" s="469" t="n"/>
      <x:c r="L231" s="470" t="n"/>
      <x:c r="M231" s="469" t="n"/>
      <x:c r="N231" s="469" t="n"/>
      <x:c r="O231" s="469" t="n"/>
      <x:c r="P231" s="469" t="n"/>
      <x:c r="Q231" s="469" t="n"/>
      <x:c r="R231" s="469" t="n"/>
      <x:c r="S231" s="469" t="n"/>
      <x:c r="T231" s="469" t="n"/>
      <x:c r="U231" s="469" t="n"/>
      <x:c r="V231" s="470" t="n"/>
      <x:c r="W231" s="469" t="n"/>
    </x:row>
    <x:row r="232" s="36" customFormat="1" ht="42" customHeight="1">
      <x:c r="A232" s="469" t="n"/>
      <x:c r="B232" s="469" t="n"/>
      <x:c r="C232" s="469" t="n"/>
      <x:c r="D232" s="469" t="n"/>
      <x:c r="E232" s="469" t="n"/>
      <x:c r="F232" s="469" t="n"/>
      <x:c r="G232" s="469" t="n"/>
      <x:c r="H232" s="469" t="n"/>
      <x:c r="I232" s="470" t="n"/>
      <x:c r="J232" s="469" t="n"/>
      <x:c r="K232" s="469" t="n"/>
      <x:c r="L232" s="470" t="n"/>
      <x:c r="M232" s="469" t="n"/>
      <x:c r="N232" s="469" t="n"/>
      <x:c r="O232" s="469" t="n"/>
      <x:c r="P232" s="469" t="n"/>
      <x:c r="Q232" s="469" t="n"/>
      <x:c r="R232" s="469" t="n"/>
      <x:c r="S232" s="469" t="n"/>
      <x:c r="T232" s="469" t="n"/>
      <x:c r="U232" s="469" t="n"/>
      <x:c r="V232" s="470" t="n"/>
      <x:c r="W232" s="469" t="n"/>
    </x:row>
    <x:row r="233" s="36" customFormat="1" ht="42" customHeight="1">
      <x:c r="A233" s="469" t="n"/>
      <x:c r="B233" s="469" t="n"/>
      <x:c r="C233" s="469" t="n"/>
      <x:c r="D233" s="469" t="n"/>
      <x:c r="E233" s="469" t="n"/>
      <x:c r="F233" s="469" t="n"/>
      <x:c r="G233" s="469" t="n"/>
      <x:c r="H233" s="469" t="n"/>
      <x:c r="I233" s="470" t="n"/>
      <x:c r="J233" s="469" t="n"/>
      <x:c r="K233" s="469" t="n"/>
      <x:c r="L233" s="470" t="n"/>
      <x:c r="M233" s="469" t="n"/>
      <x:c r="N233" s="469" t="n"/>
      <x:c r="O233" s="469" t="n"/>
      <x:c r="P233" s="469" t="n"/>
      <x:c r="Q233" s="469" t="n"/>
      <x:c r="R233" s="469" t="n"/>
      <x:c r="S233" s="469" t="n"/>
      <x:c r="T233" s="469" t="n"/>
      <x:c r="U233" s="469" t="n"/>
      <x:c r="V233" s="470" t="n"/>
      <x:c r="W233" s="469" t="n"/>
    </x:row>
    <x:row r="234" s="36" customFormat="1" ht="42" customHeight="1">
      <x:c r="A234" s="469" t="n"/>
      <x:c r="B234" s="469" t="n"/>
      <x:c r="C234" s="469" t="n"/>
      <x:c r="D234" s="469" t="n"/>
      <x:c r="E234" s="469" t="n"/>
      <x:c r="F234" s="469" t="n"/>
      <x:c r="G234" s="469" t="n"/>
      <x:c r="H234" s="469" t="n"/>
      <x:c r="I234" s="470" t="n"/>
      <x:c r="J234" s="469" t="n"/>
      <x:c r="K234" s="469" t="n"/>
      <x:c r="L234" s="470" t="n"/>
      <x:c r="M234" s="469" t="n"/>
      <x:c r="N234" s="469" t="n"/>
      <x:c r="O234" s="469" t="n"/>
      <x:c r="P234" s="469" t="n"/>
      <x:c r="Q234" s="469" t="n"/>
      <x:c r="R234" s="469" t="n"/>
      <x:c r="S234" s="469" t="n"/>
      <x:c r="T234" s="469" t="n"/>
      <x:c r="U234" s="469" t="n"/>
      <x:c r="V234" s="470" t="n"/>
      <x:c r="W234" s="469" t="n"/>
    </x:row>
    <x:row r="235" s="36" customFormat="1" ht="42" customHeight="1">
      <x:c r="A235" s="469" t="n"/>
      <x:c r="B235" s="469" t="n"/>
      <x:c r="C235" s="469" t="n"/>
      <x:c r="D235" s="469" t="n"/>
      <x:c r="E235" s="469" t="n"/>
      <x:c r="F235" s="469" t="n"/>
      <x:c r="G235" s="469" t="n"/>
      <x:c r="H235" s="469" t="n"/>
      <x:c r="I235" s="470" t="n"/>
      <x:c r="J235" s="469" t="n"/>
      <x:c r="K235" s="469" t="n"/>
      <x:c r="L235" s="470" t="n"/>
      <x:c r="M235" s="469" t="n"/>
      <x:c r="N235" s="469" t="n"/>
      <x:c r="O235" s="469" t="n"/>
      <x:c r="P235" s="469" t="n"/>
      <x:c r="Q235" s="469" t="n"/>
      <x:c r="R235" s="469" t="n"/>
      <x:c r="S235" s="469" t="n"/>
      <x:c r="T235" s="469" t="n"/>
      <x:c r="U235" s="469" t="n"/>
      <x:c r="V235" s="470" t="n"/>
      <x:c r="W235" s="469" t="n"/>
    </x:row>
    <x:row r="236" s="36" customFormat="1" ht="42" customHeight="1">
      <x:c r="A236" s="469" t="n"/>
      <x:c r="B236" s="469" t="n"/>
      <x:c r="C236" s="469" t="n"/>
      <x:c r="D236" s="469" t="n"/>
      <x:c r="E236" s="469" t="n"/>
      <x:c r="F236" s="469" t="n"/>
      <x:c r="G236" s="469" t="n"/>
      <x:c r="H236" s="469" t="n"/>
      <x:c r="I236" s="470" t="n"/>
      <x:c r="J236" s="469" t="n"/>
      <x:c r="K236" s="469" t="n"/>
      <x:c r="L236" s="470" t="n"/>
      <x:c r="M236" s="469" t="n"/>
      <x:c r="N236" s="469" t="n"/>
      <x:c r="O236" s="469" t="n"/>
      <x:c r="P236" s="469" t="n"/>
      <x:c r="Q236" s="469" t="n"/>
      <x:c r="R236" s="469" t="n"/>
      <x:c r="S236" s="469" t="n"/>
      <x:c r="T236" s="469" t="n"/>
      <x:c r="U236" s="469" t="n"/>
      <x:c r="V236" s="470" t="n"/>
      <x:c r="W236" s="469" t="n"/>
    </x:row>
    <x:row r="237" s="36" customFormat="1" ht="42" customHeight="1">
      <x:c r="A237" s="469" t="n"/>
      <x:c r="B237" s="469" t="n"/>
      <x:c r="C237" s="469" t="n"/>
      <x:c r="D237" s="469" t="n"/>
      <x:c r="E237" s="469" t="n"/>
      <x:c r="F237" s="469" t="n"/>
      <x:c r="G237" s="469" t="n"/>
      <x:c r="H237" s="469" t="n"/>
      <x:c r="I237" s="470" t="n"/>
      <x:c r="J237" s="469" t="n"/>
      <x:c r="K237" s="469" t="n"/>
      <x:c r="L237" s="470" t="n"/>
      <x:c r="M237" s="469" t="n"/>
      <x:c r="N237" s="469" t="n"/>
      <x:c r="O237" s="469" t="n"/>
      <x:c r="P237" s="469" t="n"/>
      <x:c r="Q237" s="469" t="n"/>
      <x:c r="R237" s="469" t="n"/>
      <x:c r="S237" s="469" t="n"/>
      <x:c r="T237" s="469" t="n"/>
      <x:c r="U237" s="469" t="n"/>
      <x:c r="V237" s="470" t="n"/>
      <x:c r="W237" s="469" t="n"/>
    </x:row>
    <x:row r="238" s="36" customFormat="1" ht="42" customHeight="1">
      <x:c r="A238" s="469" t="n"/>
      <x:c r="B238" s="469" t="n"/>
      <x:c r="C238" s="469" t="n"/>
      <x:c r="D238" s="469" t="n"/>
      <x:c r="E238" s="469" t="n"/>
      <x:c r="F238" s="469" t="n"/>
      <x:c r="G238" s="469" t="n"/>
      <x:c r="H238" s="469" t="n"/>
      <x:c r="I238" s="470" t="n"/>
      <x:c r="J238" s="469" t="n"/>
      <x:c r="K238" s="469" t="n"/>
      <x:c r="L238" s="470" t="n"/>
      <x:c r="M238" s="469" t="n"/>
      <x:c r="N238" s="469" t="n"/>
      <x:c r="O238" s="469" t="n"/>
      <x:c r="P238" s="469" t="n"/>
      <x:c r="Q238" s="469" t="n"/>
      <x:c r="R238" s="469" t="n"/>
      <x:c r="S238" s="469" t="n"/>
      <x:c r="T238" s="469" t="n"/>
      <x:c r="U238" s="469" t="n"/>
      <x:c r="V238" s="470" t="n"/>
      <x:c r="W238" s="469" t="n"/>
    </x:row>
    <x:row r="239" s="36" customFormat="1" ht="42" customHeight="1">
      <x:c r="A239" s="469" t="n"/>
      <x:c r="B239" s="469" t="n"/>
      <x:c r="C239" s="469" t="n"/>
      <x:c r="D239" s="469" t="n"/>
      <x:c r="E239" s="469" t="n"/>
      <x:c r="F239" s="469" t="n"/>
      <x:c r="G239" s="469" t="n"/>
      <x:c r="H239" s="469" t="n"/>
      <x:c r="I239" s="470" t="n"/>
      <x:c r="J239" s="469" t="n"/>
      <x:c r="K239" s="469" t="n"/>
      <x:c r="L239" s="470" t="n"/>
      <x:c r="M239" s="469" t="n"/>
      <x:c r="N239" s="469" t="n"/>
      <x:c r="O239" s="469" t="n"/>
      <x:c r="P239" s="469" t="n"/>
      <x:c r="Q239" s="469" t="n"/>
      <x:c r="R239" s="469" t="n"/>
      <x:c r="S239" s="469" t="n"/>
      <x:c r="T239" s="469" t="n"/>
      <x:c r="U239" s="469" t="n"/>
      <x:c r="V239" s="470" t="n"/>
      <x:c r="W239" s="469" t="n"/>
    </x:row>
    <x:row r="240" s="36" customFormat="1" ht="42" customHeight="1">
      <x:c r="A240" s="469" t="n"/>
      <x:c r="B240" s="469" t="n"/>
      <x:c r="C240" s="469" t="n"/>
      <x:c r="D240" s="469" t="n"/>
      <x:c r="E240" s="469" t="n"/>
      <x:c r="F240" s="469" t="n"/>
      <x:c r="G240" s="469" t="n"/>
      <x:c r="H240" s="469" t="n"/>
      <x:c r="I240" s="470" t="n"/>
      <x:c r="J240" s="469" t="n"/>
      <x:c r="K240" s="469" t="n"/>
      <x:c r="L240" s="470" t="n"/>
      <x:c r="M240" s="469" t="n"/>
      <x:c r="N240" s="469" t="n"/>
      <x:c r="O240" s="469" t="n"/>
      <x:c r="P240" s="469" t="n"/>
      <x:c r="Q240" s="469" t="n"/>
      <x:c r="R240" s="469" t="n"/>
      <x:c r="S240" s="469" t="n"/>
      <x:c r="T240" s="469" t="n"/>
      <x:c r="U240" s="469" t="n"/>
      <x:c r="V240" s="470" t="n"/>
      <x:c r="W240" s="469" t="n"/>
    </x:row>
    <x:row r="241" s="36" customFormat="1" ht="42" customHeight="1">
      <x:c r="A241" s="469" t="n"/>
      <x:c r="B241" s="469" t="n"/>
      <x:c r="C241" s="469" t="n"/>
      <x:c r="D241" s="469" t="n"/>
      <x:c r="E241" s="469" t="n"/>
      <x:c r="F241" s="469" t="n"/>
      <x:c r="G241" s="469" t="n"/>
      <x:c r="H241" s="469" t="n"/>
      <x:c r="I241" s="470" t="n"/>
      <x:c r="J241" s="469" t="n"/>
      <x:c r="K241" s="469" t="n"/>
      <x:c r="L241" s="470" t="n"/>
      <x:c r="M241" s="469" t="n"/>
      <x:c r="N241" s="469" t="n"/>
      <x:c r="O241" s="469" t="n"/>
      <x:c r="P241" s="469" t="n"/>
      <x:c r="Q241" s="469" t="n"/>
      <x:c r="R241" s="469" t="n"/>
      <x:c r="S241" s="469" t="n"/>
      <x:c r="T241" s="469" t="n"/>
      <x:c r="U241" s="469" t="n"/>
      <x:c r="V241" s="470" t="n"/>
      <x:c r="W241" s="469" t="n"/>
    </x:row>
    <x:row r="242" s="36" customFormat="1" ht="42" customHeight="1">
      <x:c r="A242" s="469" t="n"/>
      <x:c r="B242" s="469" t="n"/>
      <x:c r="C242" s="469" t="n"/>
      <x:c r="D242" s="469" t="n"/>
      <x:c r="E242" s="469" t="n"/>
      <x:c r="F242" s="469" t="n"/>
      <x:c r="G242" s="469" t="n"/>
      <x:c r="H242" s="469" t="n"/>
      <x:c r="I242" s="470" t="n"/>
      <x:c r="J242" s="469" t="n"/>
      <x:c r="K242" s="469" t="n"/>
      <x:c r="L242" s="470" t="n"/>
      <x:c r="M242" s="469" t="n"/>
      <x:c r="N242" s="469" t="n"/>
      <x:c r="O242" s="469" t="n"/>
      <x:c r="P242" s="469" t="n"/>
      <x:c r="Q242" s="469" t="n"/>
      <x:c r="R242" s="469" t="n"/>
      <x:c r="S242" s="469" t="n"/>
      <x:c r="T242" s="469" t="n"/>
      <x:c r="U242" s="469" t="n"/>
      <x:c r="V242" s="470" t="n"/>
      <x:c r="W242" s="469" t="n"/>
    </x:row>
    <x:row r="243" s="36" customFormat="1" ht="42" customHeight="1">
      <x:c r="A243" s="469" t="n"/>
      <x:c r="B243" s="469" t="n"/>
      <x:c r="C243" s="469" t="n"/>
      <x:c r="D243" s="469" t="n"/>
      <x:c r="E243" s="469" t="n"/>
      <x:c r="F243" s="469" t="n"/>
      <x:c r="G243" s="469" t="n"/>
      <x:c r="H243" s="469" t="n"/>
      <x:c r="I243" s="470" t="n"/>
      <x:c r="J243" s="469" t="n"/>
      <x:c r="K243" s="469" t="n"/>
      <x:c r="L243" s="470" t="n"/>
      <x:c r="M243" s="469" t="n"/>
      <x:c r="N243" s="469" t="n"/>
      <x:c r="O243" s="469" t="n"/>
      <x:c r="P243" s="469" t="n"/>
      <x:c r="Q243" s="469" t="n"/>
      <x:c r="R243" s="469" t="n"/>
      <x:c r="S243" s="469" t="n"/>
      <x:c r="T243" s="469" t="n"/>
      <x:c r="U243" s="469" t="n"/>
      <x:c r="V243" s="470" t="n"/>
      <x:c r="W243" s="469" t="n"/>
    </x:row>
    <x:row r="244" s="36" customFormat="1" ht="42" customHeight="1">
      <x:c r="A244" s="469" t="n"/>
      <x:c r="B244" s="469" t="n"/>
      <x:c r="C244" s="469" t="n"/>
      <x:c r="D244" s="469" t="n"/>
      <x:c r="E244" s="469" t="n"/>
      <x:c r="F244" s="469" t="n"/>
      <x:c r="G244" s="469" t="n"/>
      <x:c r="H244" s="469" t="n"/>
      <x:c r="I244" s="470" t="n"/>
      <x:c r="J244" s="469" t="n"/>
      <x:c r="K244" s="469" t="n"/>
      <x:c r="L244" s="470" t="n"/>
      <x:c r="M244" s="469" t="n"/>
      <x:c r="N244" s="469" t="n"/>
      <x:c r="O244" s="469" t="n"/>
      <x:c r="P244" s="469" t="n"/>
      <x:c r="Q244" s="469" t="n"/>
      <x:c r="R244" s="469" t="n"/>
      <x:c r="S244" s="469" t="n"/>
      <x:c r="T244" s="469" t="n"/>
      <x:c r="U244" s="469" t="n"/>
      <x:c r="V244" s="470" t="n"/>
      <x:c r="W244" s="469" t="n"/>
    </x:row>
    <x:row r="245" s="36" customFormat="1" ht="42" customHeight="1">
      <x:c r="A245" s="469" t="n"/>
      <x:c r="B245" s="469" t="n"/>
      <x:c r="C245" s="469" t="n"/>
      <x:c r="D245" s="469" t="n"/>
      <x:c r="E245" s="469" t="n"/>
      <x:c r="F245" s="469" t="n"/>
      <x:c r="G245" s="469" t="n"/>
      <x:c r="H245" s="469" t="n"/>
      <x:c r="I245" s="470" t="n"/>
      <x:c r="J245" s="469" t="n"/>
      <x:c r="K245" s="469" t="n"/>
      <x:c r="L245" s="470" t="n"/>
      <x:c r="M245" s="469" t="n"/>
      <x:c r="N245" s="469" t="n"/>
      <x:c r="O245" s="469" t="n"/>
      <x:c r="P245" s="469" t="n"/>
      <x:c r="Q245" s="469" t="n"/>
      <x:c r="R245" s="469" t="n"/>
      <x:c r="S245" s="469" t="n"/>
      <x:c r="T245" s="469" t="n"/>
      <x:c r="U245" s="469" t="n"/>
      <x:c r="V245" s="470" t="n"/>
      <x:c r="W245" s="469" t="n"/>
    </x:row>
    <x:row r="246" s="36" customFormat="1" ht="42" customHeight="1">
      <x:c r="A246" s="469" t="n"/>
      <x:c r="B246" s="469" t="n"/>
      <x:c r="C246" s="469" t="n"/>
      <x:c r="D246" s="469" t="n"/>
      <x:c r="E246" s="469" t="n"/>
      <x:c r="F246" s="469" t="n"/>
      <x:c r="G246" s="469" t="n"/>
      <x:c r="H246" s="469" t="n"/>
      <x:c r="I246" s="470" t="n"/>
      <x:c r="J246" s="469" t="n"/>
      <x:c r="K246" s="469" t="n"/>
      <x:c r="L246" s="470" t="n"/>
      <x:c r="M246" s="469" t="n"/>
      <x:c r="N246" s="469" t="n"/>
      <x:c r="O246" s="469" t="n"/>
      <x:c r="P246" s="469" t="n"/>
      <x:c r="Q246" s="469" t="n"/>
      <x:c r="R246" s="469" t="n"/>
      <x:c r="S246" s="469" t="n"/>
      <x:c r="T246" s="469" t="n"/>
      <x:c r="U246" s="469" t="n"/>
      <x:c r="V246" s="470" t="n"/>
      <x:c r="W246" s="469" t="n"/>
    </x:row>
    <x:row r="247" s="36" customFormat="1" ht="42" customHeight="1">
      <x:c r="A247" s="469" t="n"/>
      <x:c r="B247" s="469" t="n"/>
      <x:c r="C247" s="469" t="n"/>
      <x:c r="D247" s="469" t="n"/>
      <x:c r="E247" s="469" t="n"/>
      <x:c r="F247" s="469" t="n"/>
      <x:c r="G247" s="469" t="n"/>
      <x:c r="H247" s="469" t="n"/>
      <x:c r="I247" s="470" t="n"/>
      <x:c r="J247" s="469" t="n"/>
      <x:c r="K247" s="469" t="n"/>
      <x:c r="L247" s="470" t="n"/>
      <x:c r="M247" s="469" t="n"/>
      <x:c r="N247" s="469" t="n"/>
      <x:c r="O247" s="469" t="n"/>
      <x:c r="P247" s="469" t="n"/>
      <x:c r="Q247" s="469" t="n"/>
      <x:c r="R247" s="469" t="n"/>
      <x:c r="S247" s="469" t="n"/>
      <x:c r="T247" s="469" t="n"/>
      <x:c r="U247" s="469" t="n"/>
      <x:c r="V247" s="470" t="n"/>
      <x:c r="W247" s="469" t="n"/>
    </x:row>
    <x:row r="248" s="36" customFormat="1" ht="42" customHeight="1">
      <x:c r="A248" s="469" t="n"/>
      <x:c r="B248" s="469" t="n"/>
      <x:c r="C248" s="469" t="n"/>
      <x:c r="D248" s="469" t="n"/>
      <x:c r="E248" s="469" t="n"/>
      <x:c r="F248" s="469" t="n"/>
      <x:c r="G248" s="469" t="n"/>
      <x:c r="H248" s="469" t="n"/>
      <x:c r="I248" s="470" t="n"/>
      <x:c r="J248" s="469" t="n"/>
      <x:c r="K248" s="469" t="n"/>
      <x:c r="L248" s="470" t="n"/>
      <x:c r="M248" s="469" t="n"/>
      <x:c r="N248" s="469" t="n"/>
      <x:c r="O248" s="469" t="n"/>
      <x:c r="P248" s="469" t="n"/>
      <x:c r="Q248" s="469" t="n"/>
      <x:c r="R248" s="469" t="n"/>
      <x:c r="S248" s="469" t="n"/>
      <x:c r="T248" s="469" t="n"/>
      <x:c r="U248" s="469" t="n"/>
      <x:c r="V248" s="470" t="n"/>
      <x:c r="W248" s="469" t="n"/>
    </x:row>
    <x:row r="249" s="36" customFormat="1" ht="42" customHeight="1">
      <x:c r="A249" s="469" t="n"/>
      <x:c r="B249" s="469" t="n"/>
      <x:c r="C249" s="469" t="n"/>
      <x:c r="D249" s="469" t="n"/>
      <x:c r="E249" s="469" t="n"/>
      <x:c r="F249" s="469" t="n"/>
      <x:c r="G249" s="469" t="n"/>
      <x:c r="H249" s="469" t="n"/>
      <x:c r="I249" s="470" t="n"/>
      <x:c r="J249" s="469" t="n"/>
      <x:c r="K249" s="469" t="n"/>
      <x:c r="L249" s="470" t="n"/>
      <x:c r="M249" s="469" t="n"/>
      <x:c r="N249" s="469" t="n"/>
      <x:c r="O249" s="469" t="n"/>
      <x:c r="P249" s="469" t="n"/>
      <x:c r="Q249" s="469" t="n"/>
      <x:c r="R249" s="469" t="n"/>
      <x:c r="S249" s="469" t="n"/>
      <x:c r="T249" s="469" t="n"/>
      <x:c r="U249" s="469" t="n"/>
      <x:c r="V249" s="470" t="n"/>
      <x:c r="W249" s="469" t="n"/>
    </x:row>
    <x:row r="250" s="36" customFormat="1" ht="42" customHeight="1">
      <x:c r="A250" s="469" t="n"/>
      <x:c r="B250" s="469" t="n"/>
      <x:c r="C250" s="469" t="n"/>
      <x:c r="D250" s="469" t="n"/>
      <x:c r="E250" s="469" t="n"/>
      <x:c r="F250" s="469" t="n"/>
      <x:c r="G250" s="469" t="n"/>
      <x:c r="H250" s="469" t="n"/>
      <x:c r="I250" s="470" t="n"/>
      <x:c r="J250" s="469" t="n"/>
      <x:c r="K250" s="469" t="n"/>
      <x:c r="L250" s="470" t="n"/>
      <x:c r="M250" s="469" t="n"/>
      <x:c r="N250" s="469" t="n"/>
      <x:c r="O250" s="469" t="n"/>
      <x:c r="P250" s="469" t="n"/>
      <x:c r="Q250" s="469" t="n"/>
      <x:c r="R250" s="469" t="n"/>
      <x:c r="S250" s="469" t="n"/>
      <x:c r="T250" s="469" t="n"/>
      <x:c r="U250" s="469" t="n"/>
      <x:c r="V250" s="470" t="n"/>
      <x:c r="W250" s="469" t="n"/>
    </x:row>
    <x:row r="251" s="36" customFormat="1" ht="42" customHeight="1">
      <x:c r="A251" s="469" t="n"/>
      <x:c r="B251" s="469" t="n"/>
      <x:c r="C251" s="469" t="n"/>
      <x:c r="D251" s="469" t="n"/>
      <x:c r="E251" s="469" t="n"/>
      <x:c r="F251" s="469" t="n"/>
      <x:c r="G251" s="469" t="n"/>
      <x:c r="H251" s="469" t="n"/>
      <x:c r="I251" s="470" t="n"/>
      <x:c r="J251" s="469" t="n"/>
      <x:c r="K251" s="469" t="n"/>
      <x:c r="L251" s="470" t="n"/>
      <x:c r="M251" s="469" t="n"/>
      <x:c r="N251" s="469" t="n"/>
      <x:c r="O251" s="469" t="n"/>
      <x:c r="P251" s="469" t="n"/>
      <x:c r="Q251" s="469" t="n"/>
      <x:c r="R251" s="469" t="n"/>
      <x:c r="S251" s="469" t="n"/>
      <x:c r="T251" s="469" t="n"/>
      <x:c r="U251" s="469" t="n"/>
      <x:c r="V251" s="470" t="n"/>
      <x:c r="W251" s="469" t="n"/>
    </x:row>
    <x:row r="252" s="36" customFormat="1" ht="42" customHeight="1">
      <x:c r="A252" s="469" t="n"/>
      <x:c r="B252" s="469" t="n"/>
      <x:c r="C252" s="469" t="n"/>
      <x:c r="D252" s="469" t="n"/>
      <x:c r="E252" s="469" t="n"/>
      <x:c r="F252" s="469" t="n"/>
      <x:c r="G252" s="469" t="n"/>
      <x:c r="H252" s="469" t="n"/>
      <x:c r="I252" s="470" t="n"/>
      <x:c r="J252" s="469" t="n"/>
      <x:c r="K252" s="469" t="n"/>
      <x:c r="L252" s="470" t="n"/>
      <x:c r="M252" s="469" t="n"/>
      <x:c r="N252" s="469" t="n"/>
      <x:c r="O252" s="469" t="n"/>
      <x:c r="P252" s="469" t="n"/>
      <x:c r="Q252" s="469" t="n"/>
      <x:c r="R252" s="469" t="n"/>
      <x:c r="S252" s="469" t="n"/>
      <x:c r="T252" s="469" t="n"/>
      <x:c r="U252" s="469" t="n"/>
      <x:c r="V252" s="470" t="n"/>
      <x:c r="W252" s="469" t="n"/>
    </x:row>
    <x:row r="253" s="36" customFormat="1" ht="42" customHeight="1">
      <x:c r="A253" s="469" t="n"/>
      <x:c r="B253" s="469" t="n"/>
      <x:c r="C253" s="469" t="n"/>
      <x:c r="D253" s="469" t="n"/>
      <x:c r="E253" s="469" t="n"/>
      <x:c r="F253" s="469" t="n"/>
      <x:c r="G253" s="469" t="n"/>
      <x:c r="H253" s="469" t="n"/>
      <x:c r="I253" s="470" t="n"/>
      <x:c r="J253" s="469" t="n"/>
      <x:c r="K253" s="469" t="n"/>
      <x:c r="L253" s="470" t="n"/>
      <x:c r="M253" s="469" t="n"/>
      <x:c r="N253" s="469" t="n"/>
      <x:c r="O253" s="469" t="n"/>
      <x:c r="P253" s="469" t="n"/>
      <x:c r="Q253" s="469" t="n"/>
      <x:c r="R253" s="469" t="n"/>
      <x:c r="S253" s="469" t="n"/>
      <x:c r="T253" s="469" t="n"/>
      <x:c r="U253" s="469" t="n"/>
      <x:c r="V253" s="470" t="n"/>
      <x:c r="W253" s="469" t="n"/>
    </x:row>
    <x:row r="254" s="36" customFormat="1" ht="42" customHeight="1">
      <x:c r="A254" s="469" t="n"/>
      <x:c r="B254" s="469" t="n"/>
      <x:c r="C254" s="469" t="n"/>
      <x:c r="D254" s="469" t="n"/>
      <x:c r="E254" s="469" t="n"/>
      <x:c r="F254" s="469" t="n"/>
      <x:c r="G254" s="469" t="n"/>
      <x:c r="H254" s="469" t="n"/>
      <x:c r="I254" s="470" t="n"/>
      <x:c r="J254" s="469" t="n"/>
      <x:c r="K254" s="469" t="n"/>
      <x:c r="L254" s="470" t="n"/>
      <x:c r="M254" s="469" t="n"/>
      <x:c r="N254" s="469" t="n"/>
      <x:c r="O254" s="469" t="n"/>
      <x:c r="P254" s="469" t="n"/>
      <x:c r="Q254" s="469" t="n"/>
      <x:c r="R254" s="469" t="n"/>
      <x:c r="S254" s="469" t="n"/>
      <x:c r="T254" s="469" t="n"/>
      <x:c r="U254" s="469" t="n"/>
      <x:c r="V254" s="470" t="n"/>
      <x:c r="W254" s="469" t="n"/>
    </x:row>
    <x:row r="255" s="36" customFormat="1" ht="42" customHeight="1">
      <x:c r="A255" s="469" t="n"/>
      <x:c r="B255" s="469" t="n"/>
      <x:c r="C255" s="469" t="n"/>
      <x:c r="D255" s="469" t="n"/>
      <x:c r="E255" s="469" t="n"/>
      <x:c r="F255" s="469" t="n"/>
      <x:c r="G255" s="469" t="n"/>
      <x:c r="H255" s="469" t="n"/>
      <x:c r="I255" s="470" t="n"/>
      <x:c r="J255" s="469" t="n"/>
      <x:c r="K255" s="469" t="n"/>
      <x:c r="L255" s="470" t="n"/>
      <x:c r="M255" s="469" t="n"/>
      <x:c r="N255" s="469" t="n"/>
      <x:c r="O255" s="469" t="n"/>
      <x:c r="P255" s="469" t="n"/>
      <x:c r="Q255" s="469" t="n"/>
      <x:c r="R255" s="469" t="n"/>
      <x:c r="S255" s="469" t="n"/>
      <x:c r="T255" s="469" t="n"/>
      <x:c r="U255" s="469" t="n"/>
      <x:c r="V255" s="470" t="n"/>
      <x:c r="W255" s="469" t="n"/>
    </x:row>
    <x:row r="256" s="36" customFormat="1" ht="42" customHeight="1">
      <x:c r="A256" s="469" t="n"/>
      <x:c r="B256" s="469" t="n"/>
      <x:c r="C256" s="469" t="n"/>
      <x:c r="D256" s="469" t="n"/>
      <x:c r="E256" s="469" t="n"/>
      <x:c r="F256" s="469" t="n"/>
      <x:c r="G256" s="469" t="n"/>
      <x:c r="H256" s="469" t="n"/>
      <x:c r="I256" s="470" t="n"/>
      <x:c r="J256" s="469" t="n"/>
      <x:c r="K256" s="469" t="n"/>
      <x:c r="L256" s="470" t="n"/>
      <x:c r="M256" s="469" t="n"/>
      <x:c r="N256" s="469" t="n"/>
      <x:c r="O256" s="469" t="n"/>
      <x:c r="P256" s="469" t="n"/>
      <x:c r="Q256" s="469" t="n"/>
      <x:c r="R256" s="469" t="n"/>
      <x:c r="S256" s="469" t="n"/>
      <x:c r="T256" s="469" t="n"/>
      <x:c r="U256" s="469" t="n"/>
      <x:c r="V256" s="470" t="n"/>
      <x:c r="W256" s="469" t="n"/>
    </x:row>
    <x:row r="257" s="36" customFormat="1" ht="42" customHeight="1">
      <x:c r="A257" s="469" t="n"/>
      <x:c r="B257" s="469" t="n"/>
      <x:c r="C257" s="469" t="n"/>
      <x:c r="D257" s="469" t="n"/>
      <x:c r="E257" s="469" t="n"/>
      <x:c r="F257" s="469" t="n"/>
      <x:c r="G257" s="469" t="n"/>
      <x:c r="H257" s="469" t="n"/>
      <x:c r="I257" s="470" t="n"/>
      <x:c r="J257" s="469" t="n"/>
      <x:c r="K257" s="469" t="n"/>
      <x:c r="L257" s="470" t="n"/>
      <x:c r="M257" s="469" t="n"/>
      <x:c r="N257" s="469" t="n"/>
      <x:c r="O257" s="469" t="n"/>
      <x:c r="P257" s="469" t="n"/>
      <x:c r="Q257" s="469" t="n"/>
      <x:c r="R257" s="469" t="n"/>
      <x:c r="S257" s="469" t="n"/>
      <x:c r="T257" s="469" t="n"/>
      <x:c r="U257" s="469" t="n"/>
      <x:c r="V257" s="470" t="n"/>
      <x:c r="W257" s="469" t="n"/>
    </x:row>
    <x:row r="258" s="36" customFormat="1" ht="42" customHeight="1">
      <x:c r="A258" s="469" t="n"/>
      <x:c r="B258" s="469" t="n"/>
      <x:c r="C258" s="469" t="n"/>
      <x:c r="D258" s="469" t="n"/>
      <x:c r="E258" s="469" t="n"/>
      <x:c r="F258" s="469" t="n"/>
      <x:c r="G258" s="469" t="n"/>
      <x:c r="H258" s="469" t="n"/>
      <x:c r="I258" s="470" t="n"/>
      <x:c r="J258" s="469" t="n"/>
      <x:c r="K258" s="469" t="n"/>
      <x:c r="L258" s="470" t="n"/>
      <x:c r="M258" s="469" t="n"/>
      <x:c r="N258" s="469" t="n"/>
      <x:c r="O258" s="469" t="n"/>
      <x:c r="P258" s="469" t="n"/>
      <x:c r="Q258" s="469" t="n"/>
      <x:c r="R258" s="469" t="n"/>
      <x:c r="S258" s="469" t="n"/>
      <x:c r="T258" s="469" t="n"/>
      <x:c r="U258" s="469" t="n"/>
      <x:c r="V258" s="470" t="n"/>
      <x:c r="W258" s="469" t="n"/>
    </x:row>
    <x:row r="259" s="36" customFormat="1" ht="42" customHeight="1">
      <x:c r="A259" s="469" t="n"/>
      <x:c r="B259" s="469" t="n"/>
      <x:c r="C259" s="469" t="n"/>
      <x:c r="D259" s="469" t="n"/>
      <x:c r="E259" s="469" t="n"/>
      <x:c r="F259" s="469" t="n"/>
      <x:c r="G259" s="469" t="n"/>
      <x:c r="H259" s="469" t="n"/>
      <x:c r="I259" s="470" t="n"/>
      <x:c r="J259" s="469" t="n"/>
      <x:c r="K259" s="469" t="n"/>
      <x:c r="L259" s="470" t="n"/>
      <x:c r="M259" s="469" t="n"/>
      <x:c r="N259" s="469" t="n"/>
      <x:c r="O259" s="469" t="n"/>
      <x:c r="P259" s="469" t="n"/>
      <x:c r="Q259" s="469" t="n"/>
      <x:c r="R259" s="469" t="n"/>
      <x:c r="S259" s="469" t="n"/>
      <x:c r="T259" s="469" t="n"/>
      <x:c r="U259" s="469" t="n"/>
      <x:c r="V259" s="470" t="n"/>
      <x:c r="W259" s="469" t="n"/>
    </x:row>
    <x:row r="260" s="36" customFormat="1" ht="42" customHeight="1">
      <x:c r="A260" s="469" t="n"/>
      <x:c r="B260" s="469" t="n"/>
      <x:c r="C260" s="469" t="n"/>
      <x:c r="D260" s="469" t="n"/>
      <x:c r="E260" s="469" t="n"/>
      <x:c r="F260" s="469" t="n"/>
      <x:c r="G260" s="469" t="n"/>
      <x:c r="H260" s="469" t="n"/>
      <x:c r="I260" s="470" t="n"/>
      <x:c r="J260" s="469" t="n"/>
      <x:c r="K260" s="469" t="n"/>
      <x:c r="L260" s="470" t="n"/>
      <x:c r="M260" s="469" t="n"/>
      <x:c r="N260" s="469" t="n"/>
      <x:c r="O260" s="469" t="n"/>
      <x:c r="P260" s="469" t="n"/>
      <x:c r="Q260" s="469" t="n"/>
      <x:c r="R260" s="469" t="n"/>
      <x:c r="S260" s="469" t="n"/>
      <x:c r="T260" s="469" t="n"/>
      <x:c r="U260" s="469" t="n"/>
      <x:c r="V260" s="470" t="n"/>
      <x:c r="W260" s="469" t="n"/>
    </x:row>
    <x:row r="261" s="36" customFormat="1" ht="42" customHeight="1">
      <x:c r="A261" s="469" t="n"/>
      <x:c r="B261" s="469" t="n"/>
      <x:c r="C261" s="469" t="n"/>
      <x:c r="D261" s="469" t="n"/>
      <x:c r="E261" s="469" t="n"/>
      <x:c r="F261" s="469" t="n"/>
      <x:c r="G261" s="469" t="n"/>
      <x:c r="H261" s="469" t="n"/>
      <x:c r="I261" s="470" t="n"/>
      <x:c r="J261" s="469" t="n"/>
      <x:c r="K261" s="469" t="n"/>
      <x:c r="L261" s="470" t="n"/>
      <x:c r="M261" s="469" t="n"/>
      <x:c r="N261" s="469" t="n"/>
      <x:c r="O261" s="469" t="n"/>
      <x:c r="P261" s="469" t="n"/>
      <x:c r="Q261" s="469" t="n"/>
      <x:c r="R261" s="469" t="n"/>
      <x:c r="S261" s="469" t="n"/>
      <x:c r="T261" s="469" t="n"/>
      <x:c r="U261" s="469" t="n"/>
      <x:c r="V261" s="470" t="n"/>
      <x:c r="W261" s="469" t="n"/>
    </x:row>
    <x:row r="262" s="36" customFormat="1" ht="42" customHeight="1">
      <x:c r="A262" s="469" t="n"/>
      <x:c r="B262" s="469" t="n"/>
      <x:c r="C262" s="469" t="n"/>
      <x:c r="D262" s="469" t="n"/>
      <x:c r="E262" s="469" t="n"/>
      <x:c r="F262" s="469" t="n"/>
      <x:c r="G262" s="469" t="n"/>
      <x:c r="H262" s="469" t="n"/>
      <x:c r="I262" s="470" t="n"/>
      <x:c r="J262" s="469" t="n"/>
      <x:c r="K262" s="469" t="n"/>
      <x:c r="L262" s="470" t="n"/>
      <x:c r="M262" s="469" t="n"/>
      <x:c r="N262" s="469" t="n"/>
      <x:c r="O262" s="469" t="n"/>
      <x:c r="P262" s="469" t="n"/>
      <x:c r="Q262" s="469" t="n"/>
      <x:c r="R262" s="469" t="n"/>
      <x:c r="S262" s="469" t="n"/>
      <x:c r="T262" s="469" t="n"/>
      <x:c r="U262" s="469" t="n"/>
      <x:c r="V262" s="470" t="n"/>
      <x:c r="W262" s="469" t="n"/>
    </x:row>
    <x:row r="263" s="36" customFormat="1" ht="42" customHeight="1">
      <x:c r="A263" s="469" t="n"/>
      <x:c r="B263" s="469" t="n"/>
      <x:c r="C263" s="469" t="n"/>
      <x:c r="D263" s="469" t="n"/>
      <x:c r="E263" s="469" t="n"/>
      <x:c r="F263" s="469" t="n"/>
      <x:c r="G263" s="469" t="n"/>
      <x:c r="H263" s="469" t="n"/>
      <x:c r="I263" s="470" t="n"/>
      <x:c r="J263" s="469" t="n"/>
      <x:c r="K263" s="469" t="n"/>
      <x:c r="L263" s="470" t="n"/>
      <x:c r="M263" s="469" t="n"/>
      <x:c r="N263" s="469" t="n"/>
      <x:c r="O263" s="469" t="n"/>
      <x:c r="P263" s="469" t="n"/>
      <x:c r="Q263" s="469" t="n"/>
      <x:c r="R263" s="469" t="n"/>
      <x:c r="S263" s="469" t="n"/>
      <x:c r="T263" s="469" t="n"/>
      <x:c r="U263" s="469" t="n"/>
      <x:c r="V263" s="470" t="n"/>
      <x:c r="W263" s="469" t="n"/>
    </x:row>
    <x:row r="264" s="36" customFormat="1" ht="42" customHeight="1">
      <x:c r="A264" s="469" t="n"/>
      <x:c r="B264" s="469" t="n"/>
      <x:c r="C264" s="469" t="n"/>
      <x:c r="D264" s="469" t="n"/>
      <x:c r="E264" s="469" t="n"/>
      <x:c r="F264" s="469" t="n"/>
      <x:c r="G264" s="469" t="n"/>
      <x:c r="H264" s="469" t="n"/>
      <x:c r="I264" s="470" t="n"/>
      <x:c r="J264" s="469" t="n"/>
      <x:c r="K264" s="469" t="n"/>
      <x:c r="L264" s="470" t="n"/>
      <x:c r="M264" s="469" t="n"/>
      <x:c r="N264" s="469" t="n"/>
      <x:c r="O264" s="469" t="n"/>
      <x:c r="P264" s="469" t="n"/>
      <x:c r="Q264" s="469" t="n"/>
      <x:c r="R264" s="469" t="n"/>
      <x:c r="S264" s="469" t="n"/>
      <x:c r="T264" s="469" t="n"/>
      <x:c r="U264" s="469" t="n"/>
      <x:c r="V264" s="470" t="n"/>
      <x:c r="W264" s="469" t="n"/>
    </x:row>
    <x:row r="265" s="36" customFormat="1" ht="42" customHeight="1">
      <x:c r="A265" s="469" t="n"/>
      <x:c r="B265" s="469" t="n"/>
      <x:c r="C265" s="469" t="n"/>
      <x:c r="D265" s="469" t="n"/>
      <x:c r="E265" s="469" t="n"/>
      <x:c r="F265" s="469" t="n"/>
      <x:c r="G265" s="469" t="n"/>
      <x:c r="H265" s="469" t="n"/>
      <x:c r="I265" s="470" t="n"/>
      <x:c r="J265" s="469" t="n"/>
      <x:c r="K265" s="469" t="n"/>
      <x:c r="L265" s="470" t="n"/>
      <x:c r="M265" s="469" t="n"/>
      <x:c r="N265" s="469" t="n"/>
      <x:c r="O265" s="469" t="n"/>
      <x:c r="P265" s="469" t="n"/>
      <x:c r="Q265" s="469" t="n"/>
      <x:c r="R265" s="469" t="n"/>
      <x:c r="S265" s="469" t="n"/>
      <x:c r="T265" s="469" t="n"/>
      <x:c r="U265" s="469" t="n"/>
      <x:c r="V265" s="470" t="n"/>
      <x:c r="W265" s="469" t="n"/>
    </x:row>
    <x:row r="266" s="36" customFormat="1" ht="42" customHeight="1">
      <x:c r="A266" s="469" t="n"/>
      <x:c r="B266" s="469" t="n"/>
      <x:c r="C266" s="469" t="n"/>
      <x:c r="D266" s="469" t="n"/>
      <x:c r="E266" s="469" t="n"/>
      <x:c r="F266" s="469" t="n"/>
      <x:c r="G266" s="469" t="n"/>
      <x:c r="H266" s="469" t="n"/>
      <x:c r="I266" s="470" t="n"/>
      <x:c r="J266" s="469" t="n"/>
      <x:c r="K266" s="469" t="n"/>
      <x:c r="L266" s="470" t="n"/>
      <x:c r="M266" s="469" t="n"/>
      <x:c r="N266" s="469" t="n"/>
      <x:c r="O266" s="469" t="n"/>
      <x:c r="P266" s="469" t="n"/>
      <x:c r="Q266" s="469" t="n"/>
      <x:c r="R266" s="469" t="n"/>
      <x:c r="S266" s="469" t="n"/>
      <x:c r="T266" s="469" t="n"/>
      <x:c r="U266" s="469" t="n"/>
      <x:c r="V266" s="470" t="n"/>
      <x:c r="W266" s="469" t="n"/>
    </x:row>
    <x:row r="267" s="36" customFormat="1" ht="42" customHeight="1">
      <x:c r="A267" s="469" t="n"/>
      <x:c r="B267" s="469" t="n"/>
      <x:c r="C267" s="469" t="n"/>
      <x:c r="D267" s="469" t="n"/>
      <x:c r="E267" s="469" t="n"/>
      <x:c r="F267" s="469" t="n"/>
      <x:c r="G267" s="469" t="n"/>
      <x:c r="H267" s="469" t="n"/>
      <x:c r="I267" s="470" t="n"/>
      <x:c r="J267" s="469" t="n"/>
      <x:c r="K267" s="469" t="n"/>
      <x:c r="L267" s="470" t="n"/>
      <x:c r="M267" s="469" t="n"/>
      <x:c r="N267" s="469" t="n"/>
      <x:c r="O267" s="469" t="n"/>
      <x:c r="P267" s="469" t="n"/>
      <x:c r="Q267" s="469" t="n"/>
      <x:c r="R267" s="469" t="n"/>
      <x:c r="S267" s="469" t="n"/>
      <x:c r="T267" s="469" t="n"/>
      <x:c r="U267" s="469" t="n"/>
      <x:c r="V267" s="470" t="n"/>
      <x:c r="W267" s="469" t="n"/>
    </x:row>
    <x:row r="268" s="36" customFormat="1" ht="42" customHeight="1">
      <x:c r="A268" s="469" t="n"/>
      <x:c r="B268" s="469" t="n"/>
      <x:c r="C268" s="469" t="n"/>
      <x:c r="D268" s="469" t="n"/>
      <x:c r="E268" s="469" t="n"/>
      <x:c r="F268" s="469" t="n"/>
      <x:c r="G268" s="469" t="n"/>
      <x:c r="H268" s="469" t="n"/>
      <x:c r="I268" s="470" t="n"/>
      <x:c r="J268" s="469" t="n"/>
      <x:c r="K268" s="469" t="n"/>
      <x:c r="L268" s="470" t="n"/>
      <x:c r="M268" s="469" t="n"/>
      <x:c r="N268" s="469" t="n"/>
      <x:c r="O268" s="469" t="n"/>
      <x:c r="P268" s="469" t="n"/>
      <x:c r="Q268" s="469" t="n"/>
      <x:c r="R268" s="469" t="n"/>
      <x:c r="S268" s="469" t="n"/>
      <x:c r="T268" s="469" t="n"/>
      <x:c r="U268" s="469" t="n"/>
      <x:c r="V268" s="470" t="n"/>
      <x:c r="W268" s="469" t="n"/>
    </x:row>
    <x:row r="269" s="36" customFormat="1" ht="42" customHeight="1">
      <x:c r="A269" s="469" t="n"/>
      <x:c r="B269" s="469" t="n"/>
      <x:c r="C269" s="469" t="n"/>
      <x:c r="D269" s="469" t="n"/>
      <x:c r="E269" s="469" t="n"/>
      <x:c r="F269" s="469" t="n"/>
      <x:c r="G269" s="469" t="n"/>
      <x:c r="H269" s="469" t="n"/>
      <x:c r="I269" s="470" t="n"/>
      <x:c r="J269" s="469" t="n"/>
      <x:c r="K269" s="469" t="n"/>
      <x:c r="L269" s="470" t="n"/>
      <x:c r="M269" s="469" t="n"/>
      <x:c r="N269" s="469" t="n"/>
      <x:c r="O269" s="469" t="n"/>
      <x:c r="P269" s="469" t="n"/>
      <x:c r="Q269" s="469" t="n"/>
      <x:c r="R269" s="469" t="n"/>
      <x:c r="S269" s="469" t="n"/>
      <x:c r="T269" s="469" t="n"/>
      <x:c r="U269" s="469" t="n"/>
      <x:c r="V269" s="470" t="n"/>
      <x:c r="W269" s="469" t="n"/>
    </x:row>
    <x:row r="270" s="36" customFormat="1" ht="42" customHeight="1">
      <x:c r="A270" s="469" t="n"/>
      <x:c r="B270" s="469" t="n"/>
      <x:c r="C270" s="469" t="n"/>
      <x:c r="D270" s="469" t="n"/>
      <x:c r="E270" s="469" t="n"/>
      <x:c r="F270" s="469" t="n"/>
      <x:c r="G270" s="469" t="n"/>
      <x:c r="H270" s="469" t="n"/>
      <x:c r="I270" s="470" t="n"/>
      <x:c r="J270" s="469" t="n"/>
      <x:c r="K270" s="469" t="n"/>
      <x:c r="L270" s="470" t="n"/>
      <x:c r="M270" s="469" t="n"/>
      <x:c r="N270" s="469" t="n"/>
      <x:c r="O270" s="469" t="n"/>
      <x:c r="P270" s="469" t="n"/>
      <x:c r="Q270" s="469" t="n"/>
      <x:c r="R270" s="469" t="n"/>
      <x:c r="S270" s="469" t="n"/>
      <x:c r="T270" s="469" t="n"/>
      <x:c r="U270" s="469" t="n"/>
      <x:c r="V270" s="470" t="n"/>
      <x:c r="W270" s="469" t="n"/>
    </x:row>
    <x:row r="271" s="36" customFormat="1" ht="42" customHeight="1">
      <x:c r="A271" s="469" t="n"/>
      <x:c r="B271" s="469" t="n"/>
      <x:c r="C271" s="469" t="n"/>
      <x:c r="D271" s="469" t="n"/>
      <x:c r="E271" s="469" t="n"/>
      <x:c r="F271" s="469" t="n"/>
      <x:c r="G271" s="469" t="n"/>
      <x:c r="H271" s="469" t="n"/>
      <x:c r="I271" s="470" t="n"/>
      <x:c r="J271" s="469" t="n"/>
      <x:c r="K271" s="469" t="n"/>
      <x:c r="L271" s="470" t="n"/>
      <x:c r="M271" s="469" t="n"/>
      <x:c r="N271" s="469" t="n"/>
      <x:c r="O271" s="469" t="n"/>
      <x:c r="P271" s="469" t="n"/>
      <x:c r="Q271" s="469" t="n"/>
      <x:c r="R271" s="469" t="n"/>
      <x:c r="S271" s="469" t="n"/>
      <x:c r="T271" s="469" t="n"/>
      <x:c r="U271" s="469" t="n"/>
      <x:c r="V271" s="470" t="n"/>
      <x:c r="W271" s="469" t="n"/>
    </x:row>
    <x:row r="272" s="36" customFormat="1" ht="42" customHeight="1">
      <x:c r="A272" s="469" t="n"/>
      <x:c r="B272" s="469" t="n"/>
      <x:c r="C272" s="469" t="n"/>
      <x:c r="D272" s="469" t="n"/>
      <x:c r="E272" s="469" t="n"/>
      <x:c r="F272" s="469" t="n"/>
      <x:c r="G272" s="469" t="n"/>
      <x:c r="H272" s="469" t="n"/>
      <x:c r="I272" s="470" t="n"/>
      <x:c r="J272" s="469" t="n"/>
      <x:c r="K272" s="469" t="n"/>
      <x:c r="L272" s="470" t="n"/>
      <x:c r="M272" s="469" t="n"/>
      <x:c r="N272" s="469" t="n"/>
      <x:c r="O272" s="469" t="n"/>
      <x:c r="P272" s="469" t="n"/>
      <x:c r="Q272" s="469" t="n"/>
      <x:c r="R272" s="469" t="n"/>
      <x:c r="S272" s="469" t="n"/>
      <x:c r="T272" s="469" t="n"/>
      <x:c r="U272" s="469" t="n"/>
      <x:c r="V272" s="470" t="n"/>
      <x:c r="W272" s="469" t="n"/>
    </x:row>
    <x:row r="273" s="36" customFormat="1" ht="42" customHeight="1">
      <x:c r="A273" s="469" t="n"/>
      <x:c r="B273" s="469" t="n"/>
      <x:c r="C273" s="469" t="n"/>
      <x:c r="D273" s="469" t="n"/>
      <x:c r="E273" s="469" t="n"/>
      <x:c r="F273" s="469" t="n"/>
      <x:c r="G273" s="469" t="n"/>
      <x:c r="H273" s="469" t="n"/>
      <x:c r="I273" s="470" t="n"/>
      <x:c r="J273" s="469" t="n"/>
      <x:c r="K273" s="469" t="n"/>
      <x:c r="L273" s="470" t="n"/>
      <x:c r="M273" s="469" t="n"/>
      <x:c r="N273" s="469" t="n"/>
      <x:c r="O273" s="469" t="n"/>
      <x:c r="P273" s="469" t="n"/>
      <x:c r="Q273" s="469" t="n"/>
      <x:c r="R273" s="469" t="n"/>
      <x:c r="S273" s="469" t="n"/>
      <x:c r="T273" s="469" t="n"/>
      <x:c r="U273" s="469" t="n"/>
      <x:c r="V273" s="470" t="n"/>
      <x:c r="W273" s="469" t="n"/>
    </x:row>
    <x:row r="274" s="36" customFormat="1" ht="42" customHeight="1">
      <x:c r="A274" s="469" t="n"/>
      <x:c r="B274" s="469" t="n"/>
      <x:c r="C274" s="469" t="n"/>
      <x:c r="D274" s="469" t="n"/>
      <x:c r="E274" s="469" t="n"/>
      <x:c r="F274" s="469" t="n"/>
      <x:c r="G274" s="469" t="n"/>
      <x:c r="H274" s="469" t="n"/>
      <x:c r="I274" s="470" t="n"/>
      <x:c r="J274" s="469" t="n"/>
      <x:c r="K274" s="469" t="n"/>
      <x:c r="L274" s="470" t="n"/>
      <x:c r="M274" s="469" t="n"/>
      <x:c r="N274" s="469" t="n"/>
      <x:c r="O274" s="469" t="n"/>
      <x:c r="P274" s="469" t="n"/>
      <x:c r="Q274" s="469" t="n"/>
      <x:c r="R274" s="469" t="n"/>
      <x:c r="S274" s="469" t="n"/>
      <x:c r="T274" s="469" t="n"/>
      <x:c r="U274" s="469" t="n"/>
      <x:c r="V274" s="470" t="n"/>
      <x:c r="W274" s="469" t="n"/>
    </x:row>
    <x:row r="275" s="36" customFormat="1" ht="42" customHeight="1">
      <x:c r="A275" s="469" t="n"/>
      <x:c r="B275" s="469" t="n"/>
      <x:c r="C275" s="469" t="n"/>
      <x:c r="D275" s="469" t="n"/>
      <x:c r="E275" s="469" t="n"/>
      <x:c r="F275" s="469" t="n"/>
      <x:c r="G275" s="469" t="n"/>
      <x:c r="H275" s="469" t="n"/>
      <x:c r="I275" s="470" t="n"/>
      <x:c r="J275" s="469" t="n"/>
      <x:c r="K275" s="469" t="n"/>
      <x:c r="L275" s="470" t="n"/>
      <x:c r="M275" s="469" t="n"/>
      <x:c r="N275" s="469" t="n"/>
      <x:c r="O275" s="469" t="n"/>
      <x:c r="P275" s="469" t="n"/>
      <x:c r="Q275" s="469" t="n"/>
      <x:c r="R275" s="469" t="n"/>
      <x:c r="S275" s="469" t="n"/>
      <x:c r="T275" s="469" t="n"/>
      <x:c r="U275" s="469" t="n"/>
      <x:c r="V275" s="470" t="n"/>
      <x:c r="W275" s="469" t="n"/>
    </x:row>
    <x:row r="276" s="36" customFormat="1" ht="42" customHeight="1">
      <x:c r="A276" s="469" t="n"/>
      <x:c r="B276" s="469" t="n"/>
      <x:c r="C276" s="469" t="n"/>
      <x:c r="D276" s="469" t="n"/>
      <x:c r="E276" s="469" t="n"/>
      <x:c r="F276" s="469" t="n"/>
      <x:c r="G276" s="469" t="n"/>
      <x:c r="H276" s="469" t="n"/>
      <x:c r="I276" s="470" t="n"/>
      <x:c r="J276" s="469" t="n"/>
      <x:c r="K276" s="469" t="n"/>
      <x:c r="L276" s="470" t="n"/>
      <x:c r="M276" s="469" t="n"/>
      <x:c r="N276" s="469" t="n"/>
      <x:c r="O276" s="469" t="n"/>
      <x:c r="P276" s="469" t="n"/>
      <x:c r="Q276" s="469" t="n"/>
      <x:c r="R276" s="469" t="n"/>
      <x:c r="S276" s="469" t="n"/>
      <x:c r="T276" s="469" t="n"/>
      <x:c r="U276" s="469" t="n"/>
      <x:c r="V276" s="470" t="n"/>
      <x:c r="W276" s="469" t="n"/>
    </x:row>
    <x:row r="277" s="36" customFormat="1" ht="42" customHeight="1">
      <x:c r="A277" s="469" t="n"/>
      <x:c r="B277" s="469" t="n"/>
      <x:c r="C277" s="469" t="n"/>
      <x:c r="D277" s="469" t="n"/>
      <x:c r="E277" s="469" t="n"/>
      <x:c r="F277" s="469" t="n"/>
      <x:c r="G277" s="469" t="n"/>
      <x:c r="H277" s="469" t="n"/>
      <x:c r="I277" s="470" t="n"/>
      <x:c r="J277" s="469" t="n"/>
      <x:c r="K277" s="469" t="n"/>
      <x:c r="L277" s="470" t="n"/>
      <x:c r="M277" s="469" t="n"/>
      <x:c r="N277" s="469" t="n"/>
      <x:c r="O277" s="469" t="n"/>
      <x:c r="P277" s="469" t="n"/>
      <x:c r="Q277" s="469" t="n"/>
      <x:c r="R277" s="469" t="n"/>
      <x:c r="S277" s="469" t="n"/>
      <x:c r="T277" s="469" t="n"/>
      <x:c r="U277" s="469" t="n"/>
      <x:c r="V277" s="470" t="n"/>
      <x:c r="W277" s="469" t="n"/>
    </x:row>
    <x:row r="278" s="36" customFormat="1" ht="42" customHeight="1">
      <x:c r="A278" s="469" t="n"/>
      <x:c r="B278" s="469" t="n"/>
      <x:c r="C278" s="469" t="n"/>
      <x:c r="D278" s="469" t="n"/>
      <x:c r="E278" s="469" t="n"/>
      <x:c r="F278" s="469" t="n"/>
      <x:c r="G278" s="469" t="n"/>
      <x:c r="H278" s="469" t="n"/>
      <x:c r="I278" s="470" t="n"/>
      <x:c r="J278" s="469" t="n"/>
      <x:c r="K278" s="469" t="n"/>
      <x:c r="L278" s="470" t="n"/>
      <x:c r="M278" s="469" t="n"/>
      <x:c r="N278" s="469" t="n"/>
      <x:c r="O278" s="469" t="n"/>
      <x:c r="P278" s="469" t="n"/>
      <x:c r="Q278" s="469" t="n"/>
      <x:c r="R278" s="469" t="n"/>
      <x:c r="S278" s="469" t="n"/>
      <x:c r="T278" s="469" t="n"/>
      <x:c r="U278" s="469" t="n"/>
      <x:c r="V278" s="470" t="n"/>
      <x:c r="W278" s="469" t="n"/>
    </x:row>
    <x:row r="279" s="36" customFormat="1" ht="42" customHeight="1">
      <x:c r="A279" s="469" t="n"/>
      <x:c r="B279" s="469" t="n"/>
      <x:c r="C279" s="469" t="n"/>
      <x:c r="D279" s="469" t="n"/>
      <x:c r="E279" s="469" t="n"/>
      <x:c r="F279" s="469" t="n"/>
      <x:c r="G279" s="469" t="n"/>
      <x:c r="H279" s="469" t="n"/>
      <x:c r="I279" s="470" t="n"/>
      <x:c r="J279" s="469" t="n"/>
      <x:c r="K279" s="469" t="n"/>
      <x:c r="L279" s="470" t="n"/>
      <x:c r="M279" s="469" t="n"/>
      <x:c r="N279" s="469" t="n"/>
      <x:c r="O279" s="469" t="n"/>
      <x:c r="P279" s="469" t="n"/>
      <x:c r="Q279" s="469" t="n"/>
      <x:c r="R279" s="469" t="n"/>
      <x:c r="S279" s="469" t="n"/>
      <x:c r="T279" s="469" t="n"/>
      <x:c r="U279" s="469" t="n"/>
      <x:c r="V279" s="470" t="n"/>
      <x:c r="W279" s="469" t="n"/>
    </x:row>
    <x:row r="280" s="36" customFormat="1" ht="42" customHeight="1">
      <x:c r="A280" s="469" t="n"/>
      <x:c r="B280" s="469" t="n"/>
      <x:c r="C280" s="469" t="n"/>
      <x:c r="D280" s="469" t="n"/>
      <x:c r="E280" s="469" t="n"/>
      <x:c r="F280" s="469" t="n"/>
      <x:c r="G280" s="469" t="n"/>
      <x:c r="H280" s="469" t="n"/>
      <x:c r="I280" s="470" t="n"/>
      <x:c r="J280" s="469" t="n"/>
      <x:c r="K280" s="469" t="n"/>
      <x:c r="L280" s="470" t="n"/>
      <x:c r="M280" s="469" t="n"/>
      <x:c r="N280" s="469" t="n"/>
      <x:c r="O280" s="469" t="n"/>
      <x:c r="P280" s="469" t="n"/>
      <x:c r="Q280" s="469" t="n"/>
      <x:c r="R280" s="469" t="n"/>
      <x:c r="S280" s="469" t="n"/>
      <x:c r="T280" s="469" t="n"/>
      <x:c r="U280" s="469" t="n"/>
      <x:c r="V280" s="470" t="n"/>
      <x:c r="W280" s="469" t="n"/>
    </x:row>
    <x:row r="281" s="36" customFormat="1" ht="42" customHeight="1">
      <x:c r="A281" s="469" t="n"/>
      <x:c r="B281" s="469" t="n"/>
      <x:c r="C281" s="469" t="n"/>
      <x:c r="D281" s="469" t="n"/>
      <x:c r="E281" s="469" t="n"/>
      <x:c r="F281" s="469" t="n"/>
      <x:c r="G281" s="469" t="n"/>
      <x:c r="H281" s="469" t="n"/>
      <x:c r="I281" s="470" t="n"/>
      <x:c r="J281" s="469" t="n"/>
      <x:c r="K281" s="469" t="n"/>
      <x:c r="L281" s="470" t="n"/>
      <x:c r="M281" s="469" t="n"/>
      <x:c r="N281" s="469" t="n"/>
      <x:c r="O281" s="469" t="n"/>
      <x:c r="P281" s="469" t="n"/>
      <x:c r="Q281" s="469" t="n"/>
      <x:c r="R281" s="469" t="n"/>
      <x:c r="S281" s="469" t="n"/>
      <x:c r="T281" s="469" t="n"/>
      <x:c r="U281" s="469" t="n"/>
      <x:c r="V281" s="470" t="n"/>
      <x:c r="W281" s="469" t="n"/>
    </x:row>
    <x:row r="282" s="36" customFormat="1" ht="42" customHeight="1">
      <x:c r="A282" s="469" t="n"/>
      <x:c r="B282" s="469" t="n"/>
      <x:c r="C282" s="469" t="n"/>
      <x:c r="D282" s="469" t="n"/>
      <x:c r="E282" s="469" t="n"/>
      <x:c r="F282" s="469" t="n"/>
      <x:c r="G282" s="469" t="n"/>
      <x:c r="H282" s="469" t="n"/>
      <x:c r="I282" s="470" t="n"/>
      <x:c r="J282" s="469" t="n"/>
      <x:c r="K282" s="469" t="n"/>
      <x:c r="L282" s="470" t="n"/>
      <x:c r="M282" s="469" t="n"/>
      <x:c r="N282" s="469" t="n"/>
      <x:c r="O282" s="469" t="n"/>
      <x:c r="P282" s="469" t="n"/>
      <x:c r="Q282" s="469" t="n"/>
      <x:c r="R282" s="469" t="n"/>
      <x:c r="S282" s="469" t="n"/>
      <x:c r="T282" s="469" t="n"/>
      <x:c r="U282" s="469" t="n"/>
      <x:c r="V282" s="470" t="n"/>
      <x:c r="W282" s="469" t="n"/>
    </x:row>
    <x:row r="283" s="36" customFormat="1" ht="42" customHeight="1">
      <x:c r="A283" s="469" t="n"/>
      <x:c r="B283" s="469" t="n"/>
      <x:c r="C283" s="469" t="n"/>
      <x:c r="D283" s="469" t="n"/>
      <x:c r="E283" s="469" t="n"/>
      <x:c r="F283" s="469" t="n"/>
      <x:c r="G283" s="469" t="n"/>
      <x:c r="H283" s="469" t="n"/>
      <x:c r="I283" s="470" t="n"/>
      <x:c r="J283" s="469" t="n"/>
      <x:c r="K283" s="469" t="n"/>
      <x:c r="L283" s="470" t="n"/>
      <x:c r="M283" s="469" t="n"/>
      <x:c r="N283" s="469" t="n"/>
      <x:c r="O283" s="469" t="n"/>
      <x:c r="P283" s="469" t="n"/>
      <x:c r="Q283" s="469" t="n"/>
      <x:c r="R283" s="469" t="n"/>
      <x:c r="S283" s="469" t="n"/>
      <x:c r="T283" s="469" t="n"/>
      <x:c r="U283" s="469" t="n"/>
      <x:c r="V283" s="470" t="n"/>
      <x:c r="W283" s="469" t="n"/>
    </x:row>
    <x:row r="284" s="36" customFormat="1" ht="42" customHeight="1">
      <x:c r="A284" s="469" t="n"/>
      <x:c r="B284" s="469" t="n"/>
      <x:c r="C284" s="469" t="n"/>
      <x:c r="D284" s="469" t="n"/>
      <x:c r="E284" s="469" t="n"/>
      <x:c r="F284" s="469" t="n"/>
      <x:c r="G284" s="469" t="n"/>
      <x:c r="H284" s="469" t="n"/>
      <x:c r="I284" s="470" t="n"/>
      <x:c r="J284" s="469" t="n"/>
      <x:c r="K284" s="469" t="n"/>
      <x:c r="L284" s="470" t="n"/>
      <x:c r="M284" s="469" t="n"/>
      <x:c r="N284" s="469" t="n"/>
      <x:c r="O284" s="469" t="n"/>
      <x:c r="P284" s="469" t="n"/>
      <x:c r="Q284" s="469" t="n"/>
      <x:c r="R284" s="469" t="n"/>
      <x:c r="S284" s="469" t="n"/>
      <x:c r="T284" s="469" t="n"/>
      <x:c r="U284" s="469" t="n"/>
      <x:c r="V284" s="470" t="n"/>
      <x:c r="W284" s="469" t="n"/>
    </x:row>
    <x:row r="285" s="36" customFormat="1" ht="42" customHeight="1">
      <x:c r="A285" s="469" t="n"/>
      <x:c r="B285" s="469" t="n"/>
      <x:c r="C285" s="469" t="n"/>
      <x:c r="D285" s="469" t="n"/>
      <x:c r="E285" s="469" t="n"/>
      <x:c r="F285" s="469" t="n"/>
      <x:c r="G285" s="469" t="n"/>
      <x:c r="H285" s="469" t="n"/>
      <x:c r="I285" s="470" t="n"/>
      <x:c r="J285" s="469" t="n"/>
      <x:c r="K285" s="469" t="n"/>
      <x:c r="L285" s="470" t="n"/>
      <x:c r="M285" s="469" t="n"/>
      <x:c r="N285" s="469" t="n"/>
      <x:c r="O285" s="469" t="n"/>
      <x:c r="P285" s="469" t="n"/>
      <x:c r="Q285" s="469" t="n"/>
      <x:c r="R285" s="469" t="n"/>
      <x:c r="S285" s="469" t="n"/>
      <x:c r="T285" s="469" t="n"/>
      <x:c r="U285" s="469" t="n"/>
      <x:c r="V285" s="470" t="n"/>
      <x:c r="W285" s="469" t="n"/>
    </x:row>
    <x:row r="286" s="36" customFormat="1" ht="42" customHeight="1">
      <x:c r="A286" s="469" t="n"/>
      <x:c r="B286" s="469" t="n"/>
      <x:c r="C286" s="469" t="n"/>
      <x:c r="D286" s="469" t="n"/>
      <x:c r="E286" s="469" t="n"/>
      <x:c r="F286" s="469" t="n"/>
      <x:c r="G286" s="469" t="n"/>
      <x:c r="H286" s="469" t="n"/>
      <x:c r="I286" s="470" t="n"/>
      <x:c r="J286" s="469" t="n"/>
      <x:c r="K286" s="469" t="n"/>
      <x:c r="L286" s="470" t="n"/>
      <x:c r="M286" s="469" t="n"/>
      <x:c r="N286" s="469" t="n"/>
      <x:c r="O286" s="469" t="n"/>
      <x:c r="P286" s="469" t="n"/>
      <x:c r="Q286" s="469" t="n"/>
      <x:c r="R286" s="469" t="n"/>
      <x:c r="S286" s="469" t="n"/>
      <x:c r="T286" s="469" t="n"/>
      <x:c r="U286" s="469" t="n"/>
      <x:c r="V286" s="470" t="n"/>
      <x:c r="W286" s="469" t="n"/>
    </x:row>
    <x:row r="287" s="36" customFormat="1" ht="42" customHeight="1">
      <x:c r="A287" s="469" t="n"/>
      <x:c r="B287" s="469" t="n"/>
      <x:c r="C287" s="469" t="n"/>
      <x:c r="D287" s="469" t="n"/>
      <x:c r="E287" s="469" t="n"/>
      <x:c r="F287" s="469" t="n"/>
      <x:c r="G287" s="469" t="n"/>
      <x:c r="H287" s="469" t="n"/>
      <x:c r="I287" s="470" t="n"/>
      <x:c r="J287" s="469" t="n"/>
      <x:c r="K287" s="469" t="n"/>
      <x:c r="L287" s="470" t="n"/>
      <x:c r="M287" s="469" t="n"/>
      <x:c r="N287" s="469" t="n"/>
      <x:c r="O287" s="469" t="n"/>
      <x:c r="P287" s="469" t="n"/>
      <x:c r="Q287" s="469" t="n"/>
      <x:c r="R287" s="469" t="n"/>
      <x:c r="S287" s="469" t="n"/>
      <x:c r="T287" s="469" t="n"/>
      <x:c r="U287" s="469" t="n"/>
      <x:c r="V287" s="470" t="n"/>
      <x:c r="W287" s="469" t="n"/>
    </x:row>
    <x:row r="288" s="36" customFormat="1" ht="42" customHeight="1">
      <x:c r="A288" s="469" t="n"/>
      <x:c r="B288" s="469" t="n"/>
      <x:c r="C288" s="469" t="n"/>
      <x:c r="D288" s="469" t="n"/>
      <x:c r="E288" s="469" t="n"/>
      <x:c r="F288" s="469" t="n"/>
      <x:c r="G288" s="469" t="n"/>
      <x:c r="H288" s="469" t="n"/>
      <x:c r="I288" s="470" t="n"/>
      <x:c r="J288" s="469" t="n"/>
      <x:c r="K288" s="469" t="n"/>
      <x:c r="L288" s="470" t="n"/>
      <x:c r="M288" s="469" t="n"/>
      <x:c r="N288" s="469" t="n"/>
      <x:c r="O288" s="469" t="n"/>
      <x:c r="P288" s="469" t="n"/>
      <x:c r="Q288" s="469" t="n"/>
      <x:c r="R288" s="469" t="n"/>
      <x:c r="S288" s="469" t="n"/>
      <x:c r="T288" s="469" t="n"/>
      <x:c r="U288" s="469" t="n"/>
      <x:c r="V288" s="470" t="n"/>
      <x:c r="W288" s="469" t="n"/>
    </x:row>
    <x:row r="289" s="36" customFormat="1" ht="42" customHeight="1">
      <x:c r="A289" s="469" t="n"/>
      <x:c r="B289" s="469" t="n"/>
      <x:c r="C289" s="469" t="n"/>
      <x:c r="D289" s="469" t="n"/>
      <x:c r="E289" s="469" t="n"/>
      <x:c r="F289" s="469" t="n"/>
      <x:c r="G289" s="469" t="n"/>
      <x:c r="H289" s="469" t="n"/>
      <x:c r="I289" s="470" t="n"/>
      <x:c r="J289" s="469" t="n"/>
      <x:c r="K289" s="469" t="n"/>
      <x:c r="L289" s="470" t="n"/>
      <x:c r="M289" s="469" t="n"/>
      <x:c r="N289" s="469" t="n"/>
      <x:c r="O289" s="469" t="n"/>
      <x:c r="P289" s="469" t="n"/>
      <x:c r="Q289" s="469" t="n"/>
      <x:c r="R289" s="469" t="n"/>
      <x:c r="S289" s="469" t="n"/>
      <x:c r="T289" s="469" t="n"/>
      <x:c r="U289" s="469" t="n"/>
      <x:c r="V289" s="470" t="n"/>
      <x:c r="W289" s="469" t="n"/>
    </x:row>
    <x:row r="290" s="36" customFormat="1" ht="42" customHeight="1">
      <x:c r="A290" s="469" t="n"/>
      <x:c r="B290" s="469" t="n"/>
      <x:c r="C290" s="469" t="n"/>
      <x:c r="D290" s="469" t="n"/>
      <x:c r="E290" s="469" t="n"/>
      <x:c r="F290" s="469" t="n"/>
      <x:c r="G290" s="469" t="n"/>
      <x:c r="H290" s="469" t="n"/>
      <x:c r="I290" s="470" t="n"/>
      <x:c r="J290" s="469" t="n"/>
      <x:c r="K290" s="469" t="n"/>
      <x:c r="L290" s="470" t="n"/>
      <x:c r="M290" s="469" t="n"/>
      <x:c r="N290" s="469" t="n"/>
      <x:c r="O290" s="469" t="n"/>
      <x:c r="P290" s="469" t="n"/>
      <x:c r="Q290" s="469" t="n"/>
      <x:c r="R290" s="469" t="n"/>
      <x:c r="S290" s="469" t="n"/>
      <x:c r="T290" s="469" t="n"/>
      <x:c r="U290" s="469" t="n"/>
      <x:c r="V290" s="470" t="n"/>
      <x:c r="W290" s="469" t="n"/>
    </x:row>
    <x:row r="291" s="36" customFormat="1" ht="42" customHeight="1">
      <x:c r="A291" s="469" t="n"/>
      <x:c r="B291" s="469" t="n"/>
      <x:c r="C291" s="469" t="n"/>
      <x:c r="D291" s="469" t="n"/>
      <x:c r="E291" s="469" t="n"/>
      <x:c r="F291" s="469" t="n"/>
      <x:c r="G291" s="469" t="n"/>
      <x:c r="H291" s="469" t="n"/>
      <x:c r="I291" s="470" t="n"/>
      <x:c r="J291" s="469" t="n"/>
      <x:c r="K291" s="469" t="n"/>
      <x:c r="L291" s="470" t="n"/>
      <x:c r="M291" s="469" t="n"/>
      <x:c r="N291" s="469" t="n"/>
      <x:c r="O291" s="469" t="n"/>
      <x:c r="P291" s="469" t="n"/>
      <x:c r="Q291" s="469" t="n"/>
      <x:c r="R291" s="469" t="n"/>
      <x:c r="S291" s="469" t="n"/>
      <x:c r="T291" s="469" t="n"/>
      <x:c r="U291" s="469" t="n"/>
      <x:c r="V291" s="470" t="n"/>
      <x:c r="W291" s="469" t="n"/>
    </x:row>
    <x:row r="292" s="36" customFormat="1" ht="42" customHeight="1">
      <x:c r="A292" s="469" t="n"/>
      <x:c r="B292" s="469" t="n"/>
      <x:c r="C292" s="469" t="n"/>
      <x:c r="D292" s="469" t="n"/>
      <x:c r="E292" s="469" t="n"/>
      <x:c r="F292" s="469" t="n"/>
      <x:c r="G292" s="469" t="n"/>
      <x:c r="H292" s="469" t="n"/>
      <x:c r="I292" s="470" t="n"/>
      <x:c r="J292" s="469" t="n"/>
      <x:c r="K292" s="469" t="n"/>
      <x:c r="L292" s="470" t="n"/>
      <x:c r="M292" s="469" t="n"/>
      <x:c r="N292" s="469" t="n"/>
      <x:c r="O292" s="469" t="n"/>
      <x:c r="P292" s="469" t="n"/>
      <x:c r="Q292" s="469" t="n"/>
      <x:c r="R292" s="469" t="n"/>
      <x:c r="S292" s="469" t="n"/>
      <x:c r="T292" s="469" t="n"/>
      <x:c r="U292" s="469" t="n"/>
      <x:c r="V292" s="470" t="n"/>
      <x:c r="W292" s="469" t="n"/>
    </x:row>
    <x:row r="293" s="36" customFormat="1" ht="42" customHeight="1">
      <x:c r="A293" s="469" t="n"/>
      <x:c r="B293" s="469" t="n"/>
      <x:c r="C293" s="469" t="n"/>
      <x:c r="D293" s="469" t="n"/>
      <x:c r="E293" s="469" t="n"/>
      <x:c r="F293" s="469" t="n"/>
      <x:c r="G293" s="469" t="n"/>
      <x:c r="H293" s="469" t="n"/>
      <x:c r="I293" s="470" t="n"/>
      <x:c r="J293" s="469" t="n"/>
      <x:c r="K293" s="469" t="n"/>
      <x:c r="L293" s="470" t="n"/>
      <x:c r="M293" s="469" t="n"/>
      <x:c r="N293" s="469" t="n"/>
      <x:c r="O293" s="469" t="n"/>
      <x:c r="P293" s="469" t="n"/>
      <x:c r="Q293" s="469" t="n"/>
      <x:c r="R293" s="469" t="n"/>
      <x:c r="S293" s="469" t="n"/>
      <x:c r="T293" s="469" t="n"/>
      <x:c r="U293" s="469" t="n"/>
      <x:c r="V293" s="470" t="n"/>
      <x:c r="W293" s="469" t="n"/>
    </x:row>
    <x:row r="294" s="36" customFormat="1" ht="42" customHeight="1">
      <x:c r="A294" s="469" t="n"/>
      <x:c r="B294" s="469" t="n"/>
      <x:c r="C294" s="469" t="n"/>
      <x:c r="D294" s="469" t="n"/>
      <x:c r="E294" s="469" t="n"/>
      <x:c r="F294" s="469" t="n"/>
      <x:c r="G294" s="469" t="n"/>
      <x:c r="H294" s="469" t="n"/>
      <x:c r="I294" s="470" t="n"/>
      <x:c r="J294" s="469" t="n"/>
      <x:c r="K294" s="469" t="n"/>
      <x:c r="L294" s="470" t="n"/>
      <x:c r="M294" s="469" t="n"/>
      <x:c r="N294" s="469" t="n"/>
      <x:c r="O294" s="469" t="n"/>
      <x:c r="P294" s="469" t="n"/>
      <x:c r="Q294" s="469" t="n"/>
      <x:c r="R294" s="469" t="n"/>
      <x:c r="S294" s="469" t="n"/>
      <x:c r="T294" s="469" t="n"/>
      <x:c r="U294" s="469" t="n"/>
      <x:c r="V294" s="470" t="n"/>
      <x:c r="W294" s="469" t="n"/>
    </x:row>
    <x:row r="295" s="36" customFormat="1" ht="42" customHeight="1">
      <x:c r="A295" s="469" t="n"/>
      <x:c r="B295" s="469" t="n"/>
      <x:c r="C295" s="469" t="n"/>
      <x:c r="D295" s="469" t="n"/>
      <x:c r="E295" s="469" t="n"/>
      <x:c r="F295" s="469" t="n"/>
      <x:c r="G295" s="469" t="n"/>
      <x:c r="H295" s="469" t="n"/>
      <x:c r="I295" s="470" t="n"/>
      <x:c r="J295" s="469" t="n"/>
      <x:c r="K295" s="469" t="n"/>
      <x:c r="L295" s="470" t="n"/>
      <x:c r="M295" s="469" t="n"/>
      <x:c r="N295" s="469" t="n"/>
      <x:c r="O295" s="469" t="n"/>
      <x:c r="P295" s="469" t="n"/>
      <x:c r="Q295" s="469" t="n"/>
      <x:c r="R295" s="469" t="n"/>
      <x:c r="S295" s="469" t="n"/>
      <x:c r="T295" s="469" t="n"/>
      <x:c r="U295" s="469" t="n"/>
      <x:c r="V295" s="470" t="n"/>
      <x:c r="W295" s="469" t="n"/>
    </x:row>
    <x:row r="296" s="36" customFormat="1" ht="42" customHeight="1">
      <x:c r="A296" s="469" t="n"/>
      <x:c r="B296" s="469" t="n"/>
      <x:c r="C296" s="469" t="n"/>
      <x:c r="D296" s="469" t="n"/>
      <x:c r="E296" s="469" t="n"/>
      <x:c r="F296" s="469" t="n"/>
      <x:c r="G296" s="469" t="n"/>
      <x:c r="H296" s="469" t="n"/>
      <x:c r="I296" s="470" t="n"/>
      <x:c r="J296" s="469" t="n"/>
      <x:c r="K296" s="469" t="n"/>
      <x:c r="L296" s="470" t="n"/>
      <x:c r="M296" s="469" t="n"/>
      <x:c r="N296" s="469" t="n"/>
      <x:c r="O296" s="469" t="n"/>
      <x:c r="P296" s="469" t="n"/>
      <x:c r="Q296" s="469" t="n"/>
      <x:c r="R296" s="469" t="n"/>
      <x:c r="S296" s="469" t="n"/>
      <x:c r="T296" s="469" t="n"/>
      <x:c r="U296" s="469" t="n"/>
      <x:c r="V296" s="470" t="n"/>
      <x:c r="W296" s="469" t="n"/>
    </x:row>
    <x:row r="297" s="36" customFormat="1" ht="42" customHeight="1">
      <x:c r="A297" s="469" t="n"/>
      <x:c r="B297" s="469" t="n"/>
      <x:c r="C297" s="469" t="n"/>
      <x:c r="D297" s="469" t="n"/>
      <x:c r="E297" s="469" t="n"/>
      <x:c r="F297" s="469" t="n"/>
      <x:c r="G297" s="469" t="n"/>
      <x:c r="H297" s="469" t="n"/>
      <x:c r="I297" s="470" t="n"/>
      <x:c r="J297" s="469" t="n"/>
      <x:c r="K297" s="469" t="n"/>
      <x:c r="L297" s="470" t="n"/>
      <x:c r="M297" s="469" t="n"/>
      <x:c r="N297" s="469" t="n"/>
      <x:c r="O297" s="469" t="n"/>
      <x:c r="P297" s="469" t="n"/>
      <x:c r="Q297" s="469" t="n"/>
      <x:c r="R297" s="469" t="n"/>
      <x:c r="S297" s="469" t="n"/>
      <x:c r="T297" s="469" t="n"/>
      <x:c r="U297" s="469" t="n"/>
      <x:c r="V297" s="470" t="n"/>
      <x:c r="W297" s="469" t="n"/>
    </x:row>
    <x:row r="298" s="36" customFormat="1" ht="42" customHeight="1">
      <x:c r="A298" s="469" t="n"/>
      <x:c r="B298" s="469" t="n"/>
      <x:c r="C298" s="469" t="n"/>
      <x:c r="D298" s="469" t="n"/>
      <x:c r="E298" s="469" t="n"/>
      <x:c r="F298" s="469" t="n"/>
      <x:c r="G298" s="469" t="n"/>
      <x:c r="H298" s="469" t="n"/>
      <x:c r="I298" s="470" t="n"/>
      <x:c r="J298" s="469" t="n"/>
      <x:c r="K298" s="469" t="n"/>
      <x:c r="L298" s="470" t="n"/>
      <x:c r="M298" s="469" t="n"/>
      <x:c r="N298" s="469" t="n"/>
      <x:c r="O298" s="469" t="n"/>
      <x:c r="P298" s="469" t="n"/>
      <x:c r="Q298" s="469" t="n"/>
      <x:c r="R298" s="469" t="n"/>
      <x:c r="S298" s="469" t="n"/>
      <x:c r="T298" s="469" t="n"/>
      <x:c r="U298" s="469" t="n"/>
      <x:c r="V298" s="470" t="n"/>
      <x:c r="W298" s="469" t="n"/>
    </x:row>
    <x:row r="299" s="36" customFormat="1" ht="42" customHeight="1">
      <x:c r="A299" s="469" t="n"/>
      <x:c r="B299" s="469" t="n"/>
      <x:c r="C299" s="469" t="n"/>
      <x:c r="D299" s="469" t="n"/>
      <x:c r="E299" s="469" t="n"/>
      <x:c r="F299" s="469" t="n"/>
      <x:c r="G299" s="469" t="n"/>
      <x:c r="H299" s="469" t="n"/>
      <x:c r="I299" s="470" t="n"/>
      <x:c r="J299" s="469" t="n"/>
      <x:c r="K299" s="469" t="n"/>
      <x:c r="L299" s="470" t="n"/>
      <x:c r="M299" s="469" t="n"/>
      <x:c r="N299" s="469" t="n"/>
      <x:c r="O299" s="469" t="n"/>
      <x:c r="P299" s="469" t="n"/>
      <x:c r="Q299" s="469" t="n"/>
      <x:c r="R299" s="469" t="n"/>
      <x:c r="S299" s="469" t="n"/>
      <x:c r="T299" s="469" t="n"/>
      <x:c r="U299" s="469" t="n"/>
      <x:c r="V299" s="470" t="n"/>
      <x:c r="W299" s="469" t="n"/>
    </x:row>
    <x:row r="300" s="36" customFormat="1" ht="42" customHeight="1">
      <x:c r="A300" s="469" t="n"/>
      <x:c r="B300" s="469" t="n"/>
      <x:c r="C300" s="469" t="n"/>
      <x:c r="D300" s="469" t="n"/>
      <x:c r="E300" s="469" t="n"/>
      <x:c r="F300" s="469" t="n"/>
      <x:c r="G300" s="469" t="n"/>
      <x:c r="H300" s="469" t="n"/>
      <x:c r="I300" s="470" t="n"/>
      <x:c r="J300" s="469" t="n"/>
      <x:c r="K300" s="469" t="n"/>
      <x:c r="L300" s="470" t="n"/>
      <x:c r="M300" s="469" t="n"/>
      <x:c r="N300" s="469" t="n"/>
      <x:c r="O300" s="469" t="n"/>
      <x:c r="P300" s="469" t="n"/>
      <x:c r="Q300" s="469" t="n"/>
      <x:c r="R300" s="469" t="n"/>
      <x:c r="S300" s="469" t="n"/>
      <x:c r="T300" s="469" t="n"/>
      <x:c r="U300" s="469" t="n"/>
      <x:c r="V300" s="470" t="n"/>
      <x:c r="W300" s="469" t="n"/>
    </x:row>
    <x:row r="301" s="36" customFormat="1" ht="42" customHeight="1">
      <x:c r="A301" s="469" t="n"/>
      <x:c r="B301" s="469" t="n"/>
      <x:c r="C301" s="469" t="n"/>
      <x:c r="D301" s="469" t="n"/>
      <x:c r="E301" s="469" t="n"/>
      <x:c r="F301" s="469" t="n"/>
      <x:c r="G301" s="469" t="n"/>
      <x:c r="H301" s="469" t="n"/>
      <x:c r="I301" s="470" t="n"/>
      <x:c r="J301" s="469" t="n"/>
      <x:c r="K301" s="469" t="n"/>
      <x:c r="L301" s="470" t="n"/>
      <x:c r="M301" s="469" t="n"/>
      <x:c r="N301" s="469" t="n"/>
      <x:c r="O301" s="469" t="n"/>
      <x:c r="P301" s="469" t="n"/>
      <x:c r="Q301" s="469" t="n"/>
      <x:c r="R301" s="469" t="n"/>
      <x:c r="S301" s="469" t="n"/>
      <x:c r="T301" s="469" t="n"/>
      <x:c r="U301" s="469" t="n"/>
      <x:c r="V301" s="470" t="n"/>
      <x:c r="W301" s="469" t="n"/>
    </x:row>
    <x:row r="302" s="36" customFormat="1" ht="42" customHeight="1">
      <x:c r="A302" s="469" t="n"/>
      <x:c r="B302" s="469" t="n"/>
      <x:c r="C302" s="469" t="n"/>
      <x:c r="D302" s="469" t="n"/>
      <x:c r="E302" s="469" t="n"/>
      <x:c r="F302" s="469" t="n"/>
      <x:c r="G302" s="469" t="n"/>
      <x:c r="H302" s="469" t="n"/>
      <x:c r="I302" s="470" t="n"/>
      <x:c r="J302" s="469" t="n"/>
      <x:c r="K302" s="469" t="n"/>
      <x:c r="L302" s="470" t="n"/>
      <x:c r="M302" s="469" t="n"/>
      <x:c r="N302" s="469" t="n"/>
      <x:c r="O302" s="469" t="n"/>
      <x:c r="P302" s="469" t="n"/>
      <x:c r="Q302" s="469" t="n"/>
      <x:c r="R302" s="469" t="n"/>
      <x:c r="S302" s="469" t="n"/>
      <x:c r="T302" s="469" t="n"/>
      <x:c r="U302" s="469" t="n"/>
      <x:c r="V302" s="470" t="n"/>
      <x:c r="W302" s="469" t="n"/>
    </x:row>
    <x:row r="303" s="36" customFormat="1" ht="42" customHeight="1">
      <x:c r="A303" s="469" t="n"/>
      <x:c r="B303" s="469" t="n"/>
      <x:c r="C303" s="469" t="n"/>
      <x:c r="D303" s="469" t="n"/>
      <x:c r="E303" s="469" t="n"/>
      <x:c r="F303" s="469" t="n"/>
      <x:c r="G303" s="469" t="n"/>
      <x:c r="H303" s="469" t="n"/>
      <x:c r="I303" s="470" t="n"/>
      <x:c r="J303" s="469" t="n"/>
      <x:c r="K303" s="469" t="n"/>
      <x:c r="L303" s="470" t="n"/>
      <x:c r="M303" s="469" t="n"/>
      <x:c r="N303" s="469" t="n"/>
      <x:c r="O303" s="469" t="n"/>
      <x:c r="P303" s="469" t="n"/>
      <x:c r="Q303" s="469" t="n"/>
      <x:c r="R303" s="469" t="n"/>
      <x:c r="S303" s="469" t="n"/>
      <x:c r="T303" s="469" t="n"/>
      <x:c r="U303" s="469" t="n"/>
      <x:c r="V303" s="470" t="n"/>
      <x:c r="W303" s="469" t="n"/>
    </x:row>
    <x:row r="304" s="36" customFormat="1" ht="42" customHeight="1">
      <x:c r="A304" s="469" t="n"/>
      <x:c r="B304" s="469" t="n"/>
      <x:c r="C304" s="469" t="n"/>
      <x:c r="D304" s="469" t="n"/>
      <x:c r="E304" s="469" t="n"/>
      <x:c r="F304" s="469" t="n"/>
      <x:c r="G304" s="469" t="n"/>
      <x:c r="H304" s="469" t="n"/>
      <x:c r="I304" s="470" t="n"/>
      <x:c r="J304" s="469" t="n"/>
      <x:c r="K304" s="469" t="n"/>
      <x:c r="L304" s="470" t="n"/>
      <x:c r="M304" s="469" t="n"/>
      <x:c r="N304" s="469" t="n"/>
      <x:c r="O304" s="469" t="n"/>
      <x:c r="P304" s="469" t="n"/>
      <x:c r="Q304" s="469" t="n"/>
      <x:c r="R304" s="469" t="n"/>
      <x:c r="S304" s="469" t="n"/>
      <x:c r="T304" s="469" t="n"/>
      <x:c r="U304" s="469" t="n"/>
      <x:c r="V304" s="470" t="n"/>
      <x:c r="W304" s="469" t="n"/>
    </x:row>
    <x:row r="305" s="36" customFormat="1" ht="42" customHeight="1">
      <x:c r="A305" s="469" t="n"/>
      <x:c r="B305" s="469" t="n"/>
      <x:c r="C305" s="469" t="n"/>
      <x:c r="D305" s="469" t="n"/>
      <x:c r="E305" s="469" t="n"/>
      <x:c r="F305" s="469" t="n"/>
      <x:c r="G305" s="469" t="n"/>
      <x:c r="H305" s="469" t="n"/>
      <x:c r="I305" s="470" t="n"/>
      <x:c r="J305" s="469" t="n"/>
      <x:c r="K305" s="469" t="n"/>
      <x:c r="L305" s="470" t="n"/>
      <x:c r="M305" s="469" t="n"/>
      <x:c r="N305" s="469" t="n"/>
      <x:c r="O305" s="469" t="n"/>
      <x:c r="P305" s="469" t="n"/>
      <x:c r="Q305" s="469" t="n"/>
      <x:c r="R305" s="469" t="n"/>
      <x:c r="S305" s="469" t="n"/>
      <x:c r="T305" s="469" t="n"/>
      <x:c r="U305" s="469" t="n"/>
      <x:c r="V305" s="470" t="n"/>
      <x:c r="W305" s="469" t="n"/>
    </x:row>
    <x:row r="306" s="36" customFormat="1" ht="42" customHeight="1">
      <x:c r="A306" s="469" t="n"/>
      <x:c r="B306" s="469" t="n"/>
      <x:c r="C306" s="469" t="n"/>
      <x:c r="D306" s="469" t="n"/>
      <x:c r="E306" s="469" t="n"/>
      <x:c r="F306" s="469" t="n"/>
      <x:c r="G306" s="469" t="n"/>
      <x:c r="H306" s="469" t="n"/>
      <x:c r="I306" s="470" t="n"/>
      <x:c r="J306" s="469" t="n"/>
      <x:c r="K306" s="469" t="n"/>
      <x:c r="L306" s="470" t="n"/>
      <x:c r="M306" s="469" t="n"/>
      <x:c r="N306" s="469" t="n"/>
      <x:c r="O306" s="469" t="n"/>
      <x:c r="P306" s="469" t="n"/>
      <x:c r="Q306" s="469" t="n"/>
      <x:c r="R306" s="469" t="n"/>
      <x:c r="S306" s="469" t="n"/>
      <x:c r="T306" s="469" t="n"/>
      <x:c r="U306" s="469" t="n"/>
      <x:c r="V306" s="470" t="n"/>
      <x:c r="W306" s="469" t="n"/>
    </x:row>
    <x:row r="307" s="36" customFormat="1" ht="42" customHeight="1">
      <x:c r="A307" s="469" t="n"/>
      <x:c r="B307" s="469" t="n"/>
      <x:c r="C307" s="469" t="n"/>
      <x:c r="D307" s="469" t="n"/>
      <x:c r="E307" s="469" t="n"/>
      <x:c r="F307" s="469" t="n"/>
      <x:c r="G307" s="469" t="n"/>
      <x:c r="H307" s="469" t="n"/>
      <x:c r="I307" s="470" t="n"/>
      <x:c r="J307" s="469" t="n"/>
      <x:c r="K307" s="469" t="n"/>
      <x:c r="L307" s="470" t="n"/>
      <x:c r="M307" s="469" t="n"/>
      <x:c r="N307" s="469" t="n"/>
      <x:c r="O307" s="469" t="n"/>
      <x:c r="P307" s="469" t="n"/>
      <x:c r="Q307" s="469" t="n"/>
      <x:c r="R307" s="469" t="n"/>
      <x:c r="S307" s="469" t="n"/>
      <x:c r="T307" s="469" t="n"/>
      <x:c r="U307" s="469" t="n"/>
      <x:c r="V307" s="470" t="n"/>
      <x:c r="W307" s="469" t="n"/>
    </x:row>
    <x:row r="308" s="36" customFormat="1" ht="42" customHeight="1">
      <x:c r="A308" s="469" t="n"/>
      <x:c r="B308" s="469" t="n"/>
      <x:c r="C308" s="469" t="n"/>
      <x:c r="D308" s="469" t="n"/>
      <x:c r="E308" s="469" t="n"/>
      <x:c r="F308" s="469" t="n"/>
      <x:c r="G308" s="469" t="n"/>
      <x:c r="H308" s="469" t="n"/>
      <x:c r="I308" s="470" t="n"/>
      <x:c r="J308" s="469" t="n"/>
      <x:c r="K308" s="469" t="n"/>
      <x:c r="L308" s="470" t="n"/>
      <x:c r="M308" s="469" t="n"/>
      <x:c r="N308" s="469" t="n"/>
      <x:c r="O308" s="469" t="n"/>
      <x:c r="P308" s="469" t="n"/>
      <x:c r="Q308" s="469" t="n"/>
      <x:c r="R308" s="469" t="n"/>
      <x:c r="S308" s="469" t="n"/>
      <x:c r="T308" s="469" t="n"/>
      <x:c r="U308" s="469" t="n"/>
      <x:c r="V308" s="470" t="n"/>
      <x:c r="W308" s="469" t="n"/>
    </x:row>
    <x:row r="309" s="36" customFormat="1" ht="42" customHeight="1">
      <x:c r="A309" s="469" t="n"/>
      <x:c r="B309" s="469" t="n"/>
      <x:c r="C309" s="469" t="n"/>
      <x:c r="D309" s="469" t="n"/>
      <x:c r="E309" s="469" t="n"/>
      <x:c r="F309" s="469" t="n"/>
      <x:c r="G309" s="469" t="n"/>
      <x:c r="H309" s="469" t="n"/>
      <x:c r="I309" s="470" t="n"/>
      <x:c r="J309" s="469" t="n"/>
      <x:c r="K309" s="469" t="n"/>
      <x:c r="L309" s="470" t="n"/>
      <x:c r="M309" s="469" t="n"/>
      <x:c r="N309" s="469" t="n"/>
      <x:c r="O309" s="469" t="n"/>
      <x:c r="P309" s="469" t="n"/>
      <x:c r="Q309" s="469" t="n"/>
      <x:c r="R309" s="469" t="n"/>
      <x:c r="S309" s="469" t="n"/>
      <x:c r="T309" s="469" t="n"/>
      <x:c r="U309" s="469" t="n"/>
      <x:c r="V309" s="470" t="n"/>
      <x:c r="W309" s="469" t="n"/>
    </x:row>
    <x:row r="310" s="36" customFormat="1" ht="42" customHeight="1">
      <x:c r="A310" s="469" t="n"/>
      <x:c r="B310" s="469" t="n"/>
      <x:c r="C310" s="469" t="n"/>
      <x:c r="D310" s="469" t="n"/>
      <x:c r="E310" s="469" t="n"/>
      <x:c r="F310" s="469" t="n"/>
      <x:c r="G310" s="469" t="n"/>
      <x:c r="H310" s="469" t="n"/>
      <x:c r="I310" s="470" t="n"/>
      <x:c r="J310" s="469" t="n"/>
      <x:c r="K310" s="469" t="n"/>
      <x:c r="L310" s="470" t="n"/>
      <x:c r="M310" s="469" t="n"/>
      <x:c r="N310" s="469" t="n"/>
      <x:c r="O310" s="469" t="n"/>
      <x:c r="P310" s="469" t="n"/>
      <x:c r="Q310" s="469" t="n"/>
      <x:c r="R310" s="469" t="n"/>
      <x:c r="S310" s="469" t="n"/>
      <x:c r="T310" s="469" t="n"/>
      <x:c r="U310" s="469" t="n"/>
      <x:c r="V310" s="470" t="n"/>
      <x:c r="W310" s="469" t="n"/>
    </x:row>
    <x:row r="311" s="36" customFormat="1" ht="42" customHeight="1">
      <x:c r="A311" s="469" t="n"/>
      <x:c r="B311" s="469" t="n"/>
      <x:c r="C311" s="469" t="n"/>
      <x:c r="D311" s="469" t="n"/>
      <x:c r="E311" s="469" t="n"/>
      <x:c r="F311" s="469" t="n"/>
      <x:c r="G311" s="469" t="n"/>
      <x:c r="H311" s="469" t="n"/>
      <x:c r="I311" s="470" t="n"/>
      <x:c r="J311" s="469" t="n"/>
      <x:c r="K311" s="469" t="n"/>
      <x:c r="L311" s="470" t="n"/>
      <x:c r="M311" s="469" t="n"/>
      <x:c r="N311" s="469" t="n"/>
      <x:c r="O311" s="469" t="n"/>
      <x:c r="P311" s="469" t="n"/>
      <x:c r="Q311" s="469" t="n"/>
      <x:c r="R311" s="469" t="n"/>
      <x:c r="S311" s="469" t="n"/>
      <x:c r="T311" s="469" t="n"/>
      <x:c r="U311" s="469" t="n"/>
      <x:c r="V311" s="470" t="n"/>
      <x:c r="W311" s="469" t="n"/>
    </x:row>
    <x:row r="312" s="36" customFormat="1" ht="42" customHeight="1">
      <x:c r="A312" s="469" t="n"/>
      <x:c r="B312" s="469" t="n"/>
      <x:c r="C312" s="469" t="n"/>
      <x:c r="D312" s="469" t="n"/>
      <x:c r="E312" s="469" t="n"/>
      <x:c r="F312" s="469" t="n"/>
      <x:c r="G312" s="469" t="n"/>
      <x:c r="H312" s="469" t="n"/>
      <x:c r="I312" s="470" t="n"/>
      <x:c r="J312" s="469" t="n"/>
      <x:c r="K312" s="469" t="n"/>
      <x:c r="L312" s="470" t="n"/>
      <x:c r="M312" s="469" t="n"/>
      <x:c r="N312" s="469" t="n"/>
      <x:c r="O312" s="469" t="n"/>
      <x:c r="P312" s="469" t="n"/>
      <x:c r="Q312" s="469" t="n"/>
      <x:c r="R312" s="469" t="n"/>
      <x:c r="S312" s="469" t="n"/>
      <x:c r="T312" s="469" t="n"/>
      <x:c r="U312" s="469" t="n"/>
      <x:c r="V312" s="470" t="n"/>
      <x:c r="W312" s="469" t="n"/>
    </x:row>
    <x:row r="313" s="36" customFormat="1" ht="42" customHeight="1">
      <x:c r="A313" s="469" t="n"/>
      <x:c r="B313" s="469" t="n"/>
      <x:c r="C313" s="469" t="n"/>
      <x:c r="D313" s="469" t="n"/>
      <x:c r="E313" s="469" t="n"/>
      <x:c r="F313" s="469" t="n"/>
      <x:c r="G313" s="469" t="n"/>
      <x:c r="H313" s="469" t="n"/>
      <x:c r="I313" s="470" t="n"/>
      <x:c r="J313" s="469" t="n"/>
      <x:c r="K313" s="469" t="n"/>
      <x:c r="L313" s="470" t="n"/>
      <x:c r="M313" s="469" t="n"/>
      <x:c r="N313" s="469" t="n"/>
      <x:c r="O313" s="469" t="n"/>
      <x:c r="P313" s="469" t="n"/>
      <x:c r="Q313" s="469" t="n"/>
      <x:c r="R313" s="469" t="n"/>
      <x:c r="S313" s="469" t="n"/>
      <x:c r="T313" s="469" t="n"/>
      <x:c r="U313" s="469" t="n"/>
      <x:c r="V313" s="470" t="n"/>
      <x:c r="W313" s="469" t="n"/>
    </x:row>
    <x:row r="314" s="36" customFormat="1" ht="42" customHeight="1">
      <x:c r="A314" s="469" t="n"/>
      <x:c r="B314" s="469" t="n"/>
      <x:c r="C314" s="469" t="n"/>
      <x:c r="D314" s="469" t="n"/>
      <x:c r="E314" s="469" t="n"/>
      <x:c r="F314" s="469" t="n"/>
      <x:c r="G314" s="469" t="n"/>
      <x:c r="H314" s="469" t="n"/>
      <x:c r="I314" s="470" t="n"/>
      <x:c r="J314" s="469" t="n"/>
      <x:c r="K314" s="469" t="n"/>
      <x:c r="L314" s="470" t="n"/>
      <x:c r="M314" s="469" t="n"/>
      <x:c r="N314" s="469" t="n"/>
      <x:c r="O314" s="469" t="n"/>
      <x:c r="P314" s="469" t="n"/>
      <x:c r="Q314" s="469" t="n"/>
      <x:c r="R314" s="469" t="n"/>
      <x:c r="S314" s="469" t="n"/>
      <x:c r="T314" s="469" t="n"/>
      <x:c r="U314" s="469" t="n"/>
      <x:c r="V314" s="470" t="n"/>
      <x:c r="W314" s="469" t="n"/>
    </x:row>
    <x:row r="315" s="36" customFormat="1" ht="42" customHeight="1">
      <x:c r="A315" s="469" t="n"/>
      <x:c r="B315" s="469" t="n"/>
      <x:c r="C315" s="469" t="n"/>
      <x:c r="D315" s="469" t="n"/>
      <x:c r="E315" s="469" t="n"/>
      <x:c r="F315" s="469" t="n"/>
      <x:c r="G315" s="469" t="n"/>
      <x:c r="H315" s="469" t="n"/>
      <x:c r="I315" s="470" t="n"/>
      <x:c r="J315" s="469" t="n"/>
      <x:c r="K315" s="469" t="n"/>
      <x:c r="L315" s="470" t="n"/>
      <x:c r="M315" s="469" t="n"/>
      <x:c r="N315" s="469" t="n"/>
      <x:c r="O315" s="469" t="n"/>
      <x:c r="P315" s="469" t="n"/>
      <x:c r="Q315" s="469" t="n"/>
      <x:c r="R315" s="469" t="n"/>
      <x:c r="S315" s="469" t="n"/>
      <x:c r="T315" s="469" t="n"/>
      <x:c r="U315" s="469" t="n"/>
      <x:c r="V315" s="470" t="n"/>
      <x:c r="W315" s="469" t="n"/>
    </x:row>
    <x:row r="316" s="36" customFormat="1" ht="42" customHeight="1">
      <x:c r="A316" s="469" t="n"/>
      <x:c r="B316" s="469" t="n"/>
      <x:c r="C316" s="469" t="n"/>
      <x:c r="D316" s="469" t="n"/>
      <x:c r="E316" s="469" t="n"/>
      <x:c r="F316" s="469" t="n"/>
      <x:c r="G316" s="469" t="n"/>
      <x:c r="H316" s="469" t="n"/>
      <x:c r="I316" s="470" t="n"/>
      <x:c r="J316" s="469" t="n"/>
      <x:c r="K316" s="469" t="n"/>
      <x:c r="L316" s="470" t="n"/>
      <x:c r="M316" s="469" t="n"/>
      <x:c r="N316" s="469" t="n"/>
      <x:c r="O316" s="469" t="n"/>
      <x:c r="P316" s="469" t="n"/>
      <x:c r="Q316" s="469" t="n"/>
      <x:c r="R316" s="469" t="n"/>
      <x:c r="S316" s="469" t="n"/>
      <x:c r="T316" s="469" t="n"/>
      <x:c r="U316" s="469" t="n"/>
      <x:c r="V316" s="470" t="n"/>
      <x:c r="W316" s="469" t="n"/>
    </x:row>
    <x:row r="317" s="36" customFormat="1" ht="42" customHeight="1">
      <x:c r="A317" s="469" t="n"/>
      <x:c r="B317" s="469" t="n"/>
      <x:c r="C317" s="469" t="n"/>
      <x:c r="D317" s="469" t="n"/>
      <x:c r="E317" s="469" t="n"/>
      <x:c r="F317" s="469" t="n"/>
      <x:c r="G317" s="469" t="n"/>
      <x:c r="H317" s="469" t="n"/>
      <x:c r="I317" s="470" t="n"/>
      <x:c r="J317" s="469" t="n"/>
      <x:c r="K317" s="469" t="n"/>
      <x:c r="L317" s="470" t="n"/>
      <x:c r="M317" s="469" t="n"/>
      <x:c r="N317" s="469" t="n"/>
      <x:c r="O317" s="469" t="n"/>
      <x:c r="P317" s="469" t="n"/>
      <x:c r="Q317" s="469" t="n"/>
      <x:c r="R317" s="469" t="n"/>
      <x:c r="S317" s="469" t="n"/>
      <x:c r="T317" s="469" t="n"/>
      <x:c r="U317" s="469" t="n"/>
      <x:c r="V317" s="470" t="n"/>
      <x:c r="W317" s="469" t="n"/>
    </x:row>
    <x:row r="318" s="36" customFormat="1" ht="42" customHeight="1">
      <x:c r="A318" s="469" t="n"/>
      <x:c r="B318" s="469" t="n"/>
      <x:c r="C318" s="469" t="n"/>
      <x:c r="D318" s="469" t="n"/>
      <x:c r="E318" s="469" t="n"/>
      <x:c r="F318" s="469" t="n"/>
      <x:c r="G318" s="469" t="n"/>
      <x:c r="H318" s="469" t="n"/>
      <x:c r="I318" s="470" t="n"/>
      <x:c r="J318" s="469" t="n"/>
      <x:c r="K318" s="469" t="n"/>
      <x:c r="L318" s="470" t="n"/>
      <x:c r="M318" s="469" t="n"/>
      <x:c r="N318" s="469" t="n"/>
      <x:c r="O318" s="469" t="n"/>
      <x:c r="P318" s="469" t="n"/>
      <x:c r="Q318" s="469" t="n"/>
      <x:c r="R318" s="469" t="n"/>
      <x:c r="S318" s="469" t="n"/>
      <x:c r="T318" s="469" t="n"/>
      <x:c r="U318" s="469" t="n"/>
      <x:c r="V318" s="470" t="n"/>
      <x:c r="W318" s="469" t="n"/>
    </x:row>
    <x:row r="319" s="36" customFormat="1" ht="42" customHeight="1">
      <x:c r="A319" s="469" t="n"/>
      <x:c r="B319" s="469" t="n"/>
      <x:c r="C319" s="469" t="n"/>
      <x:c r="D319" s="469" t="n"/>
      <x:c r="E319" s="469" t="n"/>
      <x:c r="F319" s="469" t="n"/>
      <x:c r="G319" s="469" t="n"/>
      <x:c r="H319" s="469" t="n"/>
      <x:c r="I319" s="470" t="n"/>
      <x:c r="J319" s="469" t="n"/>
      <x:c r="K319" s="469" t="n"/>
      <x:c r="L319" s="470" t="n"/>
      <x:c r="M319" s="469" t="n"/>
      <x:c r="N319" s="469" t="n"/>
      <x:c r="O319" s="469" t="n"/>
      <x:c r="P319" s="469" t="n"/>
      <x:c r="Q319" s="469" t="n"/>
      <x:c r="R319" s="469" t="n"/>
      <x:c r="S319" s="469" t="n"/>
      <x:c r="T319" s="469" t="n"/>
      <x:c r="U319" s="469" t="n"/>
      <x:c r="V319" s="470" t="n"/>
      <x:c r="W319" s="469" t="n"/>
    </x:row>
    <x:row r="320" s="36" customFormat="1" ht="42" customHeight="1">
      <x:c r="A320" s="469" t="n"/>
      <x:c r="B320" s="469" t="n"/>
      <x:c r="C320" s="469" t="n"/>
      <x:c r="D320" s="469" t="n"/>
      <x:c r="E320" s="469" t="n"/>
      <x:c r="F320" s="469" t="n"/>
      <x:c r="G320" s="469" t="n"/>
      <x:c r="H320" s="469" t="n"/>
      <x:c r="I320" s="470" t="n"/>
      <x:c r="J320" s="469" t="n"/>
      <x:c r="K320" s="469" t="n"/>
      <x:c r="L320" s="470" t="n"/>
      <x:c r="M320" s="469" t="n"/>
      <x:c r="N320" s="469" t="n"/>
      <x:c r="O320" s="469" t="n"/>
      <x:c r="P320" s="469" t="n"/>
      <x:c r="Q320" s="469" t="n"/>
      <x:c r="R320" s="469" t="n"/>
      <x:c r="S320" s="469" t="n"/>
      <x:c r="T320" s="469" t="n"/>
      <x:c r="U320" s="469" t="n"/>
      <x:c r="V320" s="470" t="n"/>
      <x:c r="W320" s="469" t="n"/>
    </x:row>
    <x:row r="321" s="36" customFormat="1" ht="42" customHeight="1">
      <x:c r="A321" s="469" t="n"/>
      <x:c r="B321" s="469" t="n"/>
      <x:c r="C321" s="469" t="n"/>
      <x:c r="D321" s="469" t="n"/>
      <x:c r="E321" s="469" t="n"/>
      <x:c r="F321" s="469" t="n"/>
      <x:c r="G321" s="469" t="n"/>
      <x:c r="H321" s="469" t="n"/>
      <x:c r="I321" s="470" t="n"/>
      <x:c r="J321" s="469" t="n"/>
      <x:c r="K321" s="469" t="n"/>
      <x:c r="L321" s="470" t="n"/>
      <x:c r="M321" s="469" t="n"/>
      <x:c r="N321" s="469" t="n"/>
      <x:c r="O321" s="469" t="n"/>
      <x:c r="P321" s="469" t="n"/>
      <x:c r="Q321" s="469" t="n"/>
      <x:c r="R321" s="469" t="n"/>
      <x:c r="S321" s="469" t="n"/>
      <x:c r="T321" s="469" t="n"/>
      <x:c r="U321" s="469" t="n"/>
      <x:c r="V321" s="470" t="n"/>
      <x:c r="W321" s="469" t="n"/>
    </x:row>
    <x:row r="322" s="36" customFormat="1" ht="42" customHeight="1">
      <x:c r="A322" s="469" t="n"/>
      <x:c r="B322" s="469" t="n"/>
      <x:c r="C322" s="469" t="n"/>
      <x:c r="D322" s="469" t="n"/>
      <x:c r="E322" s="469" t="n"/>
      <x:c r="F322" s="469" t="n"/>
      <x:c r="G322" s="469" t="n"/>
      <x:c r="H322" s="469" t="n"/>
      <x:c r="I322" s="470" t="n"/>
      <x:c r="J322" s="469" t="n"/>
      <x:c r="K322" s="469" t="n"/>
      <x:c r="L322" s="470" t="n"/>
      <x:c r="M322" s="469" t="n"/>
      <x:c r="N322" s="469" t="n"/>
      <x:c r="O322" s="469" t="n"/>
      <x:c r="P322" s="469" t="n"/>
      <x:c r="Q322" s="469" t="n"/>
      <x:c r="R322" s="469" t="n"/>
      <x:c r="S322" s="469" t="n"/>
      <x:c r="T322" s="469" t="n"/>
      <x:c r="U322" s="469" t="n"/>
      <x:c r="V322" s="470" t="n"/>
      <x:c r="W322" s="469" t="n"/>
    </x:row>
    <x:row r="323" s="36" customFormat="1" ht="42" customHeight="1">
      <x:c r="A323" s="469" t="n"/>
      <x:c r="B323" s="469" t="n"/>
      <x:c r="C323" s="469" t="n"/>
      <x:c r="D323" s="469" t="n"/>
      <x:c r="E323" s="469" t="n"/>
      <x:c r="F323" s="469" t="n"/>
      <x:c r="G323" s="469" t="n"/>
      <x:c r="H323" s="469" t="n"/>
      <x:c r="I323" s="470" t="n"/>
      <x:c r="J323" s="469" t="n"/>
      <x:c r="K323" s="469" t="n"/>
      <x:c r="L323" s="470" t="n"/>
      <x:c r="M323" s="469" t="n"/>
      <x:c r="N323" s="469" t="n"/>
      <x:c r="O323" s="469" t="n"/>
      <x:c r="P323" s="469" t="n"/>
      <x:c r="Q323" s="469" t="n"/>
      <x:c r="R323" s="469" t="n"/>
      <x:c r="S323" s="469" t="n"/>
      <x:c r="T323" s="469" t="n"/>
      <x:c r="U323" s="469" t="n"/>
      <x:c r="V323" s="470" t="n"/>
      <x:c r="W323" s="469" t="n"/>
    </x:row>
    <x:row r="324" s="36" customFormat="1" ht="42" customHeight="1">
      <x:c r="A324" s="469" t="n"/>
      <x:c r="B324" s="469" t="n"/>
      <x:c r="C324" s="469" t="n"/>
      <x:c r="D324" s="469" t="n"/>
      <x:c r="E324" s="469" t="n"/>
      <x:c r="F324" s="469" t="n"/>
      <x:c r="G324" s="469" t="n"/>
      <x:c r="H324" s="469" t="n"/>
      <x:c r="I324" s="470" t="n"/>
      <x:c r="J324" s="469" t="n"/>
      <x:c r="K324" s="469" t="n"/>
      <x:c r="L324" s="470" t="n"/>
      <x:c r="M324" s="469" t="n"/>
      <x:c r="N324" s="469" t="n"/>
      <x:c r="O324" s="469" t="n"/>
      <x:c r="P324" s="469" t="n"/>
      <x:c r="Q324" s="469" t="n"/>
      <x:c r="R324" s="469" t="n"/>
      <x:c r="S324" s="469" t="n"/>
      <x:c r="T324" s="469" t="n"/>
      <x:c r="U324" s="469" t="n"/>
      <x:c r="V324" s="470" t="n"/>
      <x:c r="W324" s="469" t="n"/>
    </x:row>
    <x:row r="325" s="36" customFormat="1" ht="42" customHeight="1">
      <x:c r="A325" s="469" t="n"/>
      <x:c r="B325" s="469" t="n"/>
      <x:c r="C325" s="469" t="n"/>
      <x:c r="D325" s="469" t="n"/>
      <x:c r="E325" s="469" t="n"/>
      <x:c r="F325" s="469" t="n"/>
      <x:c r="G325" s="469" t="n"/>
      <x:c r="H325" s="469" t="n"/>
      <x:c r="I325" s="470" t="n"/>
      <x:c r="J325" s="469" t="n"/>
      <x:c r="K325" s="469" t="n"/>
      <x:c r="L325" s="470" t="n"/>
      <x:c r="M325" s="469" t="n"/>
      <x:c r="N325" s="469" t="n"/>
      <x:c r="O325" s="469" t="n"/>
      <x:c r="P325" s="469" t="n"/>
      <x:c r="Q325" s="469" t="n"/>
      <x:c r="R325" s="469" t="n"/>
      <x:c r="S325" s="469" t="n"/>
      <x:c r="T325" s="469" t="n"/>
      <x:c r="U325" s="469" t="n"/>
      <x:c r="V325" s="470" t="n"/>
      <x:c r="W325" s="469" t="n"/>
    </x:row>
    <x:row r="326" s="36" customFormat="1" ht="42" customHeight="1">
      <x:c r="A326" s="469" t="n"/>
      <x:c r="B326" s="469" t="n"/>
      <x:c r="C326" s="469" t="n"/>
      <x:c r="D326" s="469" t="n"/>
      <x:c r="E326" s="469" t="n"/>
      <x:c r="F326" s="469" t="n"/>
      <x:c r="G326" s="469" t="n"/>
      <x:c r="H326" s="469" t="n"/>
      <x:c r="I326" s="470" t="n"/>
      <x:c r="J326" s="469" t="n"/>
      <x:c r="K326" s="469" t="n"/>
      <x:c r="L326" s="470" t="n"/>
      <x:c r="M326" s="469" t="n"/>
      <x:c r="N326" s="469" t="n"/>
      <x:c r="O326" s="469" t="n"/>
      <x:c r="P326" s="469" t="n"/>
      <x:c r="Q326" s="469" t="n"/>
      <x:c r="R326" s="469" t="n"/>
      <x:c r="S326" s="469" t="n"/>
      <x:c r="T326" s="469" t="n"/>
      <x:c r="U326" s="469" t="n"/>
      <x:c r="V326" s="470" t="n"/>
      <x:c r="W326" s="469" t="n"/>
    </x:row>
    <x:row r="327" s="36" customFormat="1" ht="42" customHeight="1">
      <x:c r="A327" s="469" t="n"/>
      <x:c r="B327" s="469" t="n"/>
      <x:c r="C327" s="469" t="n"/>
      <x:c r="D327" s="469" t="n"/>
      <x:c r="E327" s="469" t="n"/>
      <x:c r="F327" s="469" t="n"/>
      <x:c r="G327" s="469" t="n"/>
      <x:c r="H327" s="469" t="n"/>
      <x:c r="I327" s="470" t="n"/>
      <x:c r="J327" s="469" t="n"/>
      <x:c r="K327" s="469" t="n"/>
      <x:c r="L327" s="470" t="n"/>
      <x:c r="M327" s="469" t="n"/>
      <x:c r="N327" s="469" t="n"/>
      <x:c r="O327" s="469" t="n"/>
      <x:c r="P327" s="469" t="n"/>
      <x:c r="Q327" s="469" t="n"/>
      <x:c r="R327" s="469" t="n"/>
      <x:c r="S327" s="469" t="n"/>
      <x:c r="T327" s="469" t="n"/>
      <x:c r="U327" s="469" t="n"/>
      <x:c r="V327" s="470" t="n"/>
      <x:c r="W327" s="469" t="n"/>
    </x:row>
    <x:row r="328" s="36" customFormat="1" ht="42" customHeight="1">
      <x:c r="A328" s="469" t="n"/>
      <x:c r="B328" s="469" t="n"/>
      <x:c r="C328" s="469" t="n"/>
      <x:c r="D328" s="469" t="n"/>
      <x:c r="E328" s="469" t="n"/>
      <x:c r="F328" s="469" t="n"/>
      <x:c r="G328" s="469" t="n"/>
      <x:c r="H328" s="469" t="n"/>
      <x:c r="I328" s="470" t="n"/>
      <x:c r="J328" s="469" t="n"/>
      <x:c r="K328" s="469" t="n"/>
      <x:c r="L328" s="470" t="n"/>
      <x:c r="M328" s="469" t="n"/>
      <x:c r="N328" s="469" t="n"/>
      <x:c r="O328" s="469" t="n"/>
      <x:c r="P328" s="469" t="n"/>
      <x:c r="Q328" s="469" t="n"/>
      <x:c r="R328" s="469" t="n"/>
      <x:c r="S328" s="469" t="n"/>
      <x:c r="T328" s="469" t="n"/>
      <x:c r="U328" s="469" t="n"/>
      <x:c r="V328" s="470" t="n"/>
      <x:c r="W328" s="469" t="n"/>
    </x:row>
    <x:row r="329" s="36" customFormat="1" ht="42" customHeight="1">
      <x:c r="A329" s="469" t="n"/>
      <x:c r="B329" s="469" t="n"/>
      <x:c r="C329" s="469" t="n"/>
      <x:c r="D329" s="469" t="n"/>
      <x:c r="E329" s="469" t="n"/>
      <x:c r="F329" s="469" t="n"/>
      <x:c r="G329" s="469" t="n"/>
      <x:c r="H329" s="469" t="n"/>
      <x:c r="I329" s="470" t="n"/>
      <x:c r="J329" s="469" t="n"/>
      <x:c r="K329" s="469" t="n"/>
      <x:c r="L329" s="470" t="n"/>
      <x:c r="M329" s="469" t="n"/>
      <x:c r="N329" s="469" t="n"/>
      <x:c r="O329" s="469" t="n"/>
      <x:c r="P329" s="469" t="n"/>
      <x:c r="Q329" s="469" t="n"/>
      <x:c r="R329" s="469" t="n"/>
      <x:c r="S329" s="469" t="n"/>
      <x:c r="T329" s="469" t="n"/>
      <x:c r="U329" s="469" t="n"/>
      <x:c r="V329" s="470" t="n"/>
      <x:c r="W329" s="469" t="n"/>
    </x:row>
    <x:row r="330" s="36" customFormat="1" ht="42" customHeight="1">
      <x:c r="A330" s="469" t="n"/>
      <x:c r="B330" s="469" t="n"/>
      <x:c r="C330" s="469" t="n"/>
      <x:c r="D330" s="469" t="n"/>
      <x:c r="E330" s="469" t="n"/>
      <x:c r="F330" s="469" t="n"/>
      <x:c r="G330" s="469" t="n"/>
      <x:c r="H330" s="469" t="n"/>
      <x:c r="I330" s="470" t="n"/>
      <x:c r="J330" s="469" t="n"/>
      <x:c r="K330" s="469" t="n"/>
      <x:c r="L330" s="470" t="n"/>
      <x:c r="M330" s="469" t="n"/>
      <x:c r="N330" s="469" t="n"/>
      <x:c r="O330" s="469" t="n"/>
      <x:c r="P330" s="469" t="n"/>
      <x:c r="Q330" s="469" t="n"/>
      <x:c r="R330" s="469" t="n"/>
      <x:c r="S330" s="469" t="n"/>
      <x:c r="T330" s="469" t="n"/>
      <x:c r="U330" s="469" t="n"/>
      <x:c r="V330" s="470" t="n"/>
      <x:c r="W330" s="469" t="n"/>
    </x:row>
    <x:row r="331" s="36" customFormat="1" ht="42" customHeight="1">
      <x:c r="A331" s="469" t="n"/>
      <x:c r="B331" s="469" t="n"/>
      <x:c r="C331" s="469" t="n"/>
      <x:c r="D331" s="469" t="n"/>
      <x:c r="E331" s="469" t="n"/>
      <x:c r="F331" s="469" t="n"/>
      <x:c r="G331" s="469" t="n"/>
      <x:c r="H331" s="469" t="n"/>
      <x:c r="I331" s="470" t="n"/>
      <x:c r="J331" s="469" t="n"/>
      <x:c r="K331" s="469" t="n"/>
      <x:c r="L331" s="470" t="n"/>
      <x:c r="M331" s="469" t="n"/>
      <x:c r="N331" s="469" t="n"/>
      <x:c r="O331" s="469" t="n"/>
      <x:c r="P331" s="469" t="n"/>
      <x:c r="Q331" s="469" t="n"/>
      <x:c r="R331" s="469" t="n"/>
      <x:c r="S331" s="469" t="n"/>
      <x:c r="T331" s="469" t="n"/>
      <x:c r="U331" s="469" t="n"/>
      <x:c r="V331" s="470" t="n"/>
      <x:c r="W331" s="469" t="n"/>
    </x:row>
    <x:row r="332" s="36" customFormat="1" ht="42" customHeight="1">
      <x:c r="A332" s="469" t="n"/>
      <x:c r="B332" s="469" t="n"/>
      <x:c r="C332" s="469" t="n"/>
      <x:c r="D332" s="469" t="n"/>
      <x:c r="E332" s="469" t="n"/>
      <x:c r="F332" s="469" t="n"/>
      <x:c r="G332" s="469" t="n"/>
      <x:c r="H332" s="469" t="n"/>
      <x:c r="I332" s="470" t="n"/>
      <x:c r="J332" s="469" t="n"/>
      <x:c r="K332" s="469" t="n"/>
      <x:c r="L332" s="470" t="n"/>
      <x:c r="M332" s="469" t="n"/>
      <x:c r="N332" s="469" t="n"/>
      <x:c r="O332" s="469" t="n"/>
      <x:c r="P332" s="469" t="n"/>
      <x:c r="Q332" s="469" t="n"/>
      <x:c r="R332" s="469" t="n"/>
      <x:c r="S332" s="469" t="n"/>
      <x:c r="T332" s="469" t="n"/>
      <x:c r="U332" s="469" t="n"/>
      <x:c r="V332" s="470" t="n"/>
      <x:c r="W332" s="469" t="n"/>
    </x:row>
    <x:row r="333" s="36" customFormat="1" ht="42" customHeight="1">
      <x:c r="A333" s="469" t="n"/>
      <x:c r="B333" s="469" t="n"/>
      <x:c r="C333" s="469" t="n"/>
      <x:c r="D333" s="469" t="n"/>
      <x:c r="E333" s="469" t="n"/>
      <x:c r="F333" s="469" t="n"/>
      <x:c r="G333" s="469" t="n"/>
      <x:c r="H333" s="469" t="n"/>
      <x:c r="I333" s="470" t="n"/>
      <x:c r="J333" s="469" t="n"/>
      <x:c r="K333" s="469" t="n"/>
      <x:c r="L333" s="470" t="n"/>
      <x:c r="M333" s="469" t="n"/>
      <x:c r="N333" s="469" t="n"/>
      <x:c r="O333" s="469" t="n"/>
      <x:c r="P333" s="469" t="n"/>
      <x:c r="Q333" s="469" t="n"/>
      <x:c r="R333" s="469" t="n"/>
      <x:c r="S333" s="469" t="n"/>
      <x:c r="T333" s="469" t="n"/>
      <x:c r="U333" s="469" t="n"/>
      <x:c r="V333" s="470" t="n"/>
      <x:c r="W333" s="469" t="n"/>
    </x:row>
    <x:row r="334" s="36" customFormat="1" ht="42" customHeight="1">
      <x:c r="A334" s="469" t="n"/>
      <x:c r="B334" s="469" t="n"/>
      <x:c r="C334" s="469" t="n"/>
      <x:c r="D334" s="469" t="n"/>
      <x:c r="E334" s="469" t="n"/>
      <x:c r="F334" s="469" t="n"/>
      <x:c r="G334" s="469" t="n"/>
      <x:c r="H334" s="469" t="n"/>
      <x:c r="I334" s="470" t="n"/>
      <x:c r="J334" s="469" t="n"/>
      <x:c r="K334" s="469" t="n"/>
      <x:c r="L334" s="470" t="n"/>
      <x:c r="M334" s="469" t="n"/>
      <x:c r="N334" s="469" t="n"/>
      <x:c r="O334" s="469" t="n"/>
      <x:c r="P334" s="469" t="n"/>
      <x:c r="Q334" s="469" t="n"/>
      <x:c r="R334" s="469" t="n"/>
      <x:c r="S334" s="469" t="n"/>
      <x:c r="T334" s="469" t="n"/>
      <x:c r="U334" s="469" t="n"/>
      <x:c r="V334" s="470" t="n"/>
      <x:c r="W334" s="469" t="n"/>
    </x:row>
    <x:row r="335" s="36" customFormat="1" ht="42" customHeight="1">
      <x:c r="A335" s="469" t="n"/>
      <x:c r="B335" s="469" t="n"/>
      <x:c r="C335" s="469" t="n"/>
      <x:c r="D335" s="469" t="n"/>
      <x:c r="E335" s="469" t="n"/>
      <x:c r="F335" s="469" t="n"/>
      <x:c r="G335" s="469" t="n"/>
      <x:c r="H335" s="469" t="n"/>
      <x:c r="I335" s="470" t="n"/>
      <x:c r="J335" s="469" t="n"/>
      <x:c r="K335" s="469" t="n"/>
      <x:c r="L335" s="470" t="n"/>
      <x:c r="M335" s="469" t="n"/>
      <x:c r="N335" s="469" t="n"/>
      <x:c r="O335" s="469" t="n"/>
      <x:c r="P335" s="469" t="n"/>
      <x:c r="Q335" s="469" t="n"/>
      <x:c r="R335" s="469" t="n"/>
      <x:c r="S335" s="469" t="n"/>
      <x:c r="T335" s="469" t="n"/>
      <x:c r="U335" s="469" t="n"/>
      <x:c r="V335" s="470" t="n"/>
      <x:c r="W335" s="469" t="n"/>
    </x:row>
    <x:row r="336" s="36" customFormat="1" ht="42" customHeight="1">
      <x:c r="A336" s="469" t="n"/>
      <x:c r="B336" s="469" t="n"/>
      <x:c r="C336" s="469" t="n"/>
      <x:c r="D336" s="469" t="n"/>
      <x:c r="E336" s="469" t="n"/>
      <x:c r="F336" s="469" t="n"/>
      <x:c r="G336" s="469" t="n"/>
      <x:c r="H336" s="469" t="n"/>
      <x:c r="I336" s="470" t="n"/>
      <x:c r="J336" s="469" t="n"/>
      <x:c r="K336" s="469" t="n"/>
      <x:c r="L336" s="470" t="n"/>
      <x:c r="M336" s="469" t="n"/>
      <x:c r="N336" s="469" t="n"/>
      <x:c r="O336" s="469" t="n"/>
      <x:c r="P336" s="469" t="n"/>
      <x:c r="Q336" s="469" t="n"/>
      <x:c r="R336" s="469" t="n"/>
      <x:c r="S336" s="469" t="n"/>
      <x:c r="T336" s="469" t="n"/>
      <x:c r="U336" s="469" t="n"/>
      <x:c r="V336" s="470" t="n"/>
      <x:c r="W336" s="469" t="n"/>
    </x:row>
    <x:row r="337" s="36" customFormat="1" ht="42" customHeight="1">
      <x:c r="A337" s="469" t="n"/>
      <x:c r="B337" s="469" t="n"/>
      <x:c r="C337" s="469" t="n"/>
      <x:c r="D337" s="469" t="n"/>
      <x:c r="E337" s="469" t="n"/>
      <x:c r="F337" s="469" t="n"/>
      <x:c r="G337" s="469" t="n"/>
      <x:c r="H337" s="469" t="n"/>
      <x:c r="I337" s="470" t="n"/>
      <x:c r="J337" s="469" t="n"/>
      <x:c r="K337" s="469" t="n"/>
      <x:c r="L337" s="470" t="n"/>
      <x:c r="M337" s="469" t="n"/>
      <x:c r="N337" s="469" t="n"/>
      <x:c r="O337" s="469" t="n"/>
      <x:c r="P337" s="469" t="n"/>
      <x:c r="Q337" s="469" t="n"/>
      <x:c r="R337" s="469" t="n"/>
      <x:c r="S337" s="469" t="n"/>
      <x:c r="T337" s="469" t="n"/>
      <x:c r="U337" s="469" t="n"/>
      <x:c r="V337" s="470" t="n"/>
      <x:c r="W337" s="469" t="n"/>
    </x:row>
    <x:row r="338" s="36" customFormat="1" ht="42" customHeight="1">
      <x:c r="A338" s="469" t="n"/>
      <x:c r="B338" s="469" t="n"/>
      <x:c r="C338" s="469" t="n"/>
      <x:c r="D338" s="469" t="n"/>
      <x:c r="E338" s="469" t="n"/>
      <x:c r="F338" s="469" t="n"/>
      <x:c r="G338" s="469" t="n"/>
      <x:c r="H338" s="469" t="n"/>
      <x:c r="I338" s="470" t="n"/>
      <x:c r="J338" s="469" t="n"/>
      <x:c r="K338" s="469" t="n"/>
      <x:c r="L338" s="470" t="n"/>
      <x:c r="M338" s="469" t="n"/>
      <x:c r="N338" s="469" t="n"/>
      <x:c r="O338" s="469" t="n"/>
      <x:c r="P338" s="469" t="n"/>
      <x:c r="Q338" s="469" t="n"/>
      <x:c r="R338" s="469" t="n"/>
      <x:c r="S338" s="469" t="n"/>
      <x:c r="T338" s="469" t="n"/>
      <x:c r="U338" s="469" t="n"/>
      <x:c r="V338" s="470" t="n"/>
      <x:c r="W338" s="469" t="n"/>
    </x:row>
    <x:row r="339" s="36" customFormat="1" ht="42" customHeight="1">
      <x:c r="A339" s="469" t="n"/>
      <x:c r="B339" s="469" t="n"/>
      <x:c r="C339" s="469" t="n"/>
      <x:c r="D339" s="469" t="n"/>
      <x:c r="E339" s="469" t="n"/>
      <x:c r="F339" s="469" t="n"/>
      <x:c r="G339" s="469" t="n"/>
      <x:c r="H339" s="469" t="n"/>
      <x:c r="I339" s="470" t="n"/>
      <x:c r="J339" s="469" t="n"/>
      <x:c r="K339" s="469" t="n"/>
      <x:c r="L339" s="470" t="n"/>
      <x:c r="M339" s="469" t="n"/>
      <x:c r="N339" s="469" t="n"/>
      <x:c r="O339" s="469" t="n"/>
      <x:c r="P339" s="469" t="n"/>
      <x:c r="Q339" s="469" t="n"/>
      <x:c r="R339" s="469" t="n"/>
      <x:c r="S339" s="469" t="n"/>
      <x:c r="T339" s="469" t="n"/>
      <x:c r="U339" s="469" t="n"/>
      <x:c r="V339" s="470" t="n"/>
      <x:c r="W339" s="469" t="n"/>
    </x:row>
    <x:row r="340" s="36" customFormat="1" ht="42" customHeight="1">
      <x:c r="A340" s="469" t="n"/>
      <x:c r="B340" s="469" t="n"/>
      <x:c r="C340" s="469" t="n"/>
      <x:c r="D340" s="469" t="n"/>
      <x:c r="E340" s="469" t="n"/>
      <x:c r="F340" s="469" t="n"/>
      <x:c r="G340" s="469" t="n"/>
      <x:c r="H340" s="469" t="n"/>
      <x:c r="I340" s="470" t="n"/>
      <x:c r="J340" s="469" t="n"/>
      <x:c r="K340" s="469" t="n"/>
      <x:c r="L340" s="470" t="n"/>
      <x:c r="M340" s="469" t="n"/>
      <x:c r="N340" s="469" t="n"/>
      <x:c r="O340" s="469" t="n"/>
      <x:c r="P340" s="469" t="n"/>
      <x:c r="Q340" s="469" t="n"/>
      <x:c r="R340" s="469" t="n"/>
      <x:c r="S340" s="469" t="n"/>
      <x:c r="T340" s="469" t="n"/>
      <x:c r="U340" s="469" t="n"/>
      <x:c r="V340" s="470" t="n"/>
      <x:c r="W340" s="469" t="n"/>
    </x:row>
    <x:row r="341" s="36" customFormat="1" ht="42" customHeight="1">
      <x:c r="A341" s="469" t="n"/>
      <x:c r="B341" s="469" t="n"/>
      <x:c r="C341" s="469" t="n"/>
      <x:c r="D341" s="469" t="n"/>
      <x:c r="E341" s="469" t="n"/>
      <x:c r="F341" s="469" t="n"/>
      <x:c r="G341" s="469" t="n"/>
      <x:c r="H341" s="469" t="n"/>
      <x:c r="I341" s="470" t="n"/>
      <x:c r="J341" s="469" t="n"/>
      <x:c r="K341" s="469" t="n"/>
      <x:c r="L341" s="470" t="n"/>
      <x:c r="M341" s="469" t="n"/>
      <x:c r="N341" s="469" t="n"/>
      <x:c r="O341" s="469" t="n"/>
      <x:c r="P341" s="469" t="n"/>
      <x:c r="Q341" s="469" t="n"/>
      <x:c r="R341" s="469" t="n"/>
      <x:c r="S341" s="469" t="n"/>
      <x:c r="T341" s="469" t="n"/>
      <x:c r="U341" s="469" t="n"/>
      <x:c r="V341" s="470" t="n"/>
      <x:c r="W341" s="469" t="n"/>
    </x:row>
    <x:row r="342" s="36" customFormat="1" ht="42" customHeight="1">
      <x:c r="A342" s="469" t="n"/>
      <x:c r="B342" s="469" t="n"/>
      <x:c r="C342" s="469" t="n"/>
      <x:c r="D342" s="469" t="n"/>
      <x:c r="E342" s="469" t="n"/>
      <x:c r="F342" s="469" t="n"/>
      <x:c r="G342" s="469" t="n"/>
      <x:c r="H342" s="469" t="n"/>
      <x:c r="I342" s="470" t="n"/>
      <x:c r="J342" s="469" t="n"/>
      <x:c r="K342" s="469" t="n"/>
      <x:c r="L342" s="470" t="n"/>
      <x:c r="M342" s="469" t="n"/>
      <x:c r="N342" s="469" t="n"/>
      <x:c r="O342" s="469" t="n"/>
      <x:c r="P342" s="469" t="n"/>
      <x:c r="Q342" s="469" t="n"/>
      <x:c r="R342" s="469" t="n"/>
      <x:c r="S342" s="469" t="n"/>
      <x:c r="T342" s="469" t="n"/>
      <x:c r="U342" s="469" t="n"/>
      <x:c r="V342" s="470" t="n"/>
      <x:c r="W342" s="469" t="n"/>
    </x:row>
    <x:row r="343" s="36" customFormat="1" ht="42" customHeight="1">
      <x:c r="A343" s="469" t="n"/>
      <x:c r="B343" s="469" t="n"/>
      <x:c r="C343" s="469" t="n"/>
      <x:c r="D343" s="469" t="n"/>
      <x:c r="E343" s="469" t="n"/>
      <x:c r="F343" s="469" t="n"/>
      <x:c r="G343" s="469" t="n"/>
      <x:c r="H343" s="469" t="n"/>
      <x:c r="I343" s="470" t="n"/>
      <x:c r="J343" s="469" t="n"/>
      <x:c r="K343" s="469" t="n"/>
      <x:c r="L343" s="470" t="n"/>
      <x:c r="M343" s="469" t="n"/>
      <x:c r="N343" s="469" t="n"/>
      <x:c r="O343" s="469" t="n"/>
      <x:c r="P343" s="469" t="n"/>
      <x:c r="Q343" s="469" t="n"/>
      <x:c r="R343" s="469" t="n"/>
      <x:c r="S343" s="469" t="n"/>
      <x:c r="T343" s="469" t="n"/>
      <x:c r="U343" s="469" t="n"/>
      <x:c r="V343" s="470" t="n"/>
      <x:c r="W343" s="469" t="n"/>
    </x:row>
    <x:row r="344" s="36" customFormat="1" ht="42" customHeight="1">
      <x:c r="A344" s="469" t="n"/>
      <x:c r="B344" s="469" t="n"/>
      <x:c r="C344" s="469" t="n"/>
      <x:c r="D344" s="469" t="n"/>
      <x:c r="E344" s="469" t="n"/>
      <x:c r="F344" s="469" t="n"/>
      <x:c r="G344" s="469" t="n"/>
      <x:c r="H344" s="469" t="n"/>
      <x:c r="I344" s="470" t="n"/>
      <x:c r="J344" s="469" t="n"/>
      <x:c r="K344" s="469" t="n"/>
      <x:c r="L344" s="470" t="n"/>
      <x:c r="M344" s="469" t="n"/>
      <x:c r="N344" s="469" t="n"/>
      <x:c r="O344" s="469" t="n"/>
      <x:c r="P344" s="469" t="n"/>
      <x:c r="Q344" s="469" t="n"/>
      <x:c r="R344" s="469" t="n"/>
      <x:c r="S344" s="469" t="n"/>
      <x:c r="T344" s="469" t="n"/>
      <x:c r="U344" s="469" t="n"/>
      <x:c r="V344" s="470" t="n"/>
      <x:c r="W344" s="469" t="n"/>
    </x:row>
    <x:row r="345" s="36" customFormat="1" ht="42" customHeight="1">
      <x:c r="A345" s="469" t="n"/>
      <x:c r="B345" s="469" t="n"/>
      <x:c r="C345" s="469" t="n"/>
      <x:c r="D345" s="469" t="n"/>
      <x:c r="E345" s="469" t="n"/>
      <x:c r="F345" s="469" t="n"/>
      <x:c r="G345" s="469" t="n"/>
      <x:c r="H345" s="469" t="n"/>
      <x:c r="I345" s="470" t="n"/>
      <x:c r="J345" s="469" t="n"/>
      <x:c r="K345" s="469" t="n"/>
      <x:c r="L345" s="470" t="n"/>
      <x:c r="M345" s="469" t="n"/>
      <x:c r="N345" s="469" t="n"/>
      <x:c r="O345" s="469" t="n"/>
      <x:c r="P345" s="469" t="n"/>
      <x:c r="Q345" s="469" t="n"/>
      <x:c r="R345" s="469" t="n"/>
      <x:c r="S345" s="469" t="n"/>
      <x:c r="T345" s="469" t="n"/>
      <x:c r="U345" s="469" t="n"/>
      <x:c r="V345" s="470" t="n"/>
      <x:c r="W345" s="469" t="n"/>
    </x:row>
    <x:row r="346" s="36" customFormat="1" ht="42" customHeight="1">
      <x:c r="A346" s="469" t="n"/>
      <x:c r="B346" s="469" t="n"/>
      <x:c r="C346" s="469" t="n"/>
      <x:c r="D346" s="469" t="n"/>
      <x:c r="E346" s="469" t="n"/>
      <x:c r="F346" s="469" t="n"/>
      <x:c r="G346" s="469" t="n"/>
      <x:c r="H346" s="469" t="n"/>
      <x:c r="I346" s="470" t="n"/>
      <x:c r="J346" s="469" t="n"/>
      <x:c r="K346" s="469" t="n"/>
      <x:c r="L346" s="470" t="n"/>
      <x:c r="M346" s="469" t="n"/>
      <x:c r="N346" s="469" t="n"/>
      <x:c r="O346" s="469" t="n"/>
      <x:c r="P346" s="469" t="n"/>
      <x:c r="Q346" s="469" t="n"/>
      <x:c r="R346" s="469" t="n"/>
      <x:c r="S346" s="469" t="n"/>
      <x:c r="T346" s="469" t="n"/>
      <x:c r="U346" s="469" t="n"/>
      <x:c r="V346" s="470" t="n"/>
      <x:c r="W346" s="469" t="n"/>
    </x:row>
    <x:row r="347" s="36" customFormat="1" ht="42" customHeight="1">
      <x:c r="A347" s="469" t="n"/>
      <x:c r="B347" s="469" t="n"/>
      <x:c r="C347" s="469" t="n"/>
      <x:c r="D347" s="469" t="n"/>
      <x:c r="E347" s="469" t="n"/>
      <x:c r="F347" s="469" t="n"/>
      <x:c r="G347" s="469" t="n"/>
      <x:c r="H347" s="469" t="n"/>
      <x:c r="I347" s="470" t="n"/>
      <x:c r="J347" s="469" t="n"/>
      <x:c r="K347" s="469" t="n"/>
      <x:c r="L347" s="470" t="n"/>
      <x:c r="M347" s="469" t="n"/>
      <x:c r="N347" s="469" t="n"/>
      <x:c r="O347" s="469" t="n"/>
      <x:c r="P347" s="469" t="n"/>
      <x:c r="Q347" s="469" t="n"/>
      <x:c r="R347" s="469" t="n"/>
      <x:c r="S347" s="469" t="n"/>
      <x:c r="T347" s="469" t="n"/>
      <x:c r="U347" s="469" t="n"/>
      <x:c r="V347" s="470" t="n"/>
      <x:c r="W347" s="469" t="n"/>
    </x:row>
    <x:row r="348" s="36" customFormat="1" ht="42" customHeight="1">
      <x:c r="A348" s="469" t="n"/>
      <x:c r="B348" s="469" t="n"/>
      <x:c r="C348" s="469" t="n"/>
      <x:c r="D348" s="469" t="n"/>
      <x:c r="E348" s="469" t="n"/>
      <x:c r="F348" s="469" t="n"/>
      <x:c r="G348" s="469" t="n"/>
      <x:c r="H348" s="469" t="n"/>
      <x:c r="I348" s="470" t="n"/>
      <x:c r="J348" s="469" t="n"/>
      <x:c r="K348" s="469" t="n"/>
      <x:c r="L348" s="470" t="n"/>
      <x:c r="M348" s="469" t="n"/>
      <x:c r="N348" s="469" t="n"/>
      <x:c r="O348" s="469" t="n"/>
      <x:c r="P348" s="469" t="n"/>
      <x:c r="Q348" s="469" t="n"/>
      <x:c r="R348" s="469" t="n"/>
      <x:c r="S348" s="469" t="n"/>
      <x:c r="T348" s="469" t="n"/>
      <x:c r="U348" s="469" t="n"/>
      <x:c r="V348" s="470" t="n"/>
      <x:c r="W348" s="469" t="n"/>
    </x:row>
    <x:row r="349" s="36" customFormat="1" ht="42" customHeight="1">
      <x:c r="A349" s="469" t="n"/>
      <x:c r="B349" s="469" t="n"/>
      <x:c r="C349" s="469" t="n"/>
      <x:c r="D349" s="469" t="n"/>
      <x:c r="E349" s="469" t="n"/>
      <x:c r="F349" s="469" t="n"/>
      <x:c r="G349" s="469" t="n"/>
      <x:c r="H349" s="469" t="n"/>
      <x:c r="I349" s="470" t="n"/>
      <x:c r="J349" s="469" t="n"/>
      <x:c r="K349" s="469" t="n"/>
      <x:c r="L349" s="470" t="n"/>
      <x:c r="M349" s="469" t="n"/>
      <x:c r="N349" s="469" t="n"/>
      <x:c r="O349" s="469" t="n"/>
      <x:c r="P349" s="469" t="n"/>
      <x:c r="Q349" s="469" t="n"/>
      <x:c r="R349" s="469" t="n"/>
      <x:c r="S349" s="469" t="n"/>
      <x:c r="T349" s="469" t="n"/>
      <x:c r="U349" s="469" t="n"/>
      <x:c r="V349" s="470" t="n"/>
      <x:c r="W349" s="469" t="n"/>
    </x:row>
    <x:row r="350" s="36" customFormat="1" ht="42" customHeight="1">
      <x:c r="A350" s="469" t="n"/>
      <x:c r="B350" s="469" t="n"/>
      <x:c r="C350" s="469" t="n"/>
      <x:c r="D350" s="469" t="n"/>
      <x:c r="E350" s="469" t="n"/>
      <x:c r="F350" s="469" t="n"/>
      <x:c r="G350" s="469" t="n"/>
      <x:c r="H350" s="469" t="n"/>
      <x:c r="I350" s="470" t="n"/>
      <x:c r="J350" s="469" t="n"/>
      <x:c r="K350" s="469" t="n"/>
      <x:c r="L350" s="470" t="n"/>
      <x:c r="M350" s="469" t="n"/>
      <x:c r="N350" s="469" t="n"/>
      <x:c r="O350" s="469" t="n"/>
      <x:c r="P350" s="469" t="n"/>
      <x:c r="Q350" s="469" t="n"/>
      <x:c r="R350" s="469" t="n"/>
      <x:c r="S350" s="469" t="n"/>
      <x:c r="T350" s="469" t="n"/>
      <x:c r="U350" s="469" t="n"/>
      <x:c r="V350" s="470" t="n"/>
      <x:c r="W350" s="469" t="n"/>
    </x:row>
    <x:row r="351" s="36" customFormat="1" ht="42" customHeight="1">
      <x:c r="A351" s="469" t="n"/>
      <x:c r="B351" s="469" t="n"/>
      <x:c r="C351" s="469" t="n"/>
      <x:c r="D351" s="469" t="n"/>
      <x:c r="E351" s="469" t="n"/>
      <x:c r="F351" s="469" t="n"/>
      <x:c r="G351" s="469" t="n"/>
      <x:c r="H351" s="469" t="n"/>
      <x:c r="I351" s="470" t="n"/>
      <x:c r="J351" s="469" t="n"/>
      <x:c r="K351" s="469" t="n"/>
      <x:c r="L351" s="470" t="n"/>
      <x:c r="M351" s="469" t="n"/>
      <x:c r="N351" s="469" t="n"/>
      <x:c r="O351" s="469" t="n"/>
      <x:c r="P351" s="469" t="n"/>
      <x:c r="Q351" s="469" t="n"/>
      <x:c r="R351" s="469" t="n"/>
      <x:c r="S351" s="469" t="n"/>
      <x:c r="T351" s="469" t="n"/>
      <x:c r="U351" s="469" t="n"/>
      <x:c r="V351" s="470" t="n"/>
      <x:c r="W351" s="469" t="n"/>
    </x:row>
    <x:row r="352" s="36" customFormat="1" ht="42" customHeight="1">
      <x:c r="A352" s="469" t="n"/>
      <x:c r="B352" s="469" t="n"/>
      <x:c r="C352" s="469" t="n"/>
      <x:c r="D352" s="469" t="n"/>
      <x:c r="E352" s="469" t="n"/>
      <x:c r="F352" s="469" t="n"/>
      <x:c r="G352" s="469" t="n"/>
      <x:c r="H352" s="469" t="n"/>
      <x:c r="I352" s="470" t="n"/>
      <x:c r="J352" s="469" t="n"/>
      <x:c r="K352" s="469" t="n"/>
      <x:c r="L352" s="470" t="n"/>
      <x:c r="M352" s="469" t="n"/>
      <x:c r="N352" s="469" t="n"/>
      <x:c r="O352" s="469" t="n"/>
      <x:c r="P352" s="469" t="n"/>
      <x:c r="Q352" s="469" t="n"/>
      <x:c r="R352" s="469" t="n"/>
      <x:c r="S352" s="469" t="n"/>
      <x:c r="T352" s="469" t="n"/>
      <x:c r="U352" s="469" t="n"/>
      <x:c r="V352" s="470" t="n"/>
      <x:c r="W352" s="469" t="n"/>
    </x:row>
    <x:row r="353" s="36" customFormat="1" ht="42" customHeight="1">
      <x:c r="A353" s="469" t="n"/>
      <x:c r="B353" s="469" t="n"/>
      <x:c r="C353" s="469" t="n"/>
      <x:c r="D353" s="469" t="n"/>
      <x:c r="E353" s="469" t="n"/>
      <x:c r="F353" s="469" t="n"/>
      <x:c r="G353" s="469" t="n"/>
      <x:c r="H353" s="469" t="n"/>
      <x:c r="I353" s="470" t="n"/>
      <x:c r="J353" s="469" t="n"/>
      <x:c r="K353" s="469" t="n"/>
      <x:c r="L353" s="470" t="n"/>
      <x:c r="M353" s="469" t="n"/>
      <x:c r="N353" s="469" t="n"/>
      <x:c r="O353" s="469" t="n"/>
      <x:c r="P353" s="469" t="n"/>
      <x:c r="Q353" s="469" t="n"/>
      <x:c r="R353" s="469" t="n"/>
      <x:c r="S353" s="469" t="n"/>
      <x:c r="T353" s="469" t="n"/>
      <x:c r="U353" s="469" t="n"/>
      <x:c r="V353" s="470" t="n"/>
      <x:c r="W353" s="469" t="n"/>
    </x:row>
    <x:row r="354" s="36" customFormat="1" ht="42" customHeight="1">
      <x:c r="A354" s="469" t="n"/>
      <x:c r="B354" s="469" t="n"/>
      <x:c r="C354" s="469" t="n"/>
      <x:c r="D354" s="469" t="n"/>
      <x:c r="E354" s="469" t="n"/>
      <x:c r="F354" s="469" t="n"/>
      <x:c r="G354" s="469" t="n"/>
      <x:c r="H354" s="469" t="n"/>
      <x:c r="I354" s="470" t="n"/>
      <x:c r="J354" s="469" t="n"/>
      <x:c r="K354" s="469" t="n"/>
      <x:c r="L354" s="470" t="n"/>
      <x:c r="M354" s="469" t="n"/>
      <x:c r="N354" s="469" t="n"/>
      <x:c r="O354" s="469" t="n"/>
      <x:c r="P354" s="469" t="n"/>
      <x:c r="Q354" s="469" t="n"/>
      <x:c r="R354" s="469" t="n"/>
      <x:c r="S354" s="469" t="n"/>
      <x:c r="T354" s="469" t="n"/>
      <x:c r="U354" s="469" t="n"/>
      <x:c r="V354" s="470" t="n"/>
      <x:c r="W354" s="469" t="n"/>
    </x:row>
    <x:row r="355" s="36" customFormat="1" ht="42" customHeight="1">
      <x:c r="A355" s="469" t="n"/>
      <x:c r="B355" s="469" t="n"/>
      <x:c r="C355" s="469" t="n"/>
      <x:c r="D355" s="469" t="n"/>
      <x:c r="E355" s="469" t="n"/>
      <x:c r="F355" s="469" t="n"/>
      <x:c r="G355" s="469" t="n"/>
      <x:c r="H355" s="469" t="n"/>
      <x:c r="I355" s="470" t="n"/>
      <x:c r="J355" s="469" t="n"/>
      <x:c r="K355" s="469" t="n"/>
      <x:c r="L355" s="470" t="n"/>
      <x:c r="M355" s="469" t="n"/>
      <x:c r="N355" s="469" t="n"/>
      <x:c r="O355" s="469" t="n"/>
      <x:c r="P355" s="469" t="n"/>
      <x:c r="Q355" s="469" t="n"/>
      <x:c r="R355" s="469" t="n"/>
      <x:c r="S355" s="469" t="n"/>
      <x:c r="T355" s="469" t="n"/>
      <x:c r="U355" s="469" t="n"/>
      <x:c r="V355" s="470" t="n"/>
      <x:c r="W355" s="469" t="n"/>
    </x:row>
    <x:row r="356" s="36" customFormat="1" ht="42" customHeight="1">
      <x:c r="A356" s="469" t="n"/>
      <x:c r="B356" s="469" t="n"/>
      <x:c r="C356" s="469" t="n"/>
      <x:c r="D356" s="469" t="n"/>
      <x:c r="E356" s="469" t="n"/>
      <x:c r="F356" s="469" t="n"/>
      <x:c r="G356" s="469" t="n"/>
      <x:c r="H356" s="469" t="n"/>
      <x:c r="I356" s="470" t="n"/>
      <x:c r="J356" s="469" t="n"/>
      <x:c r="K356" s="469" t="n"/>
      <x:c r="L356" s="470" t="n"/>
      <x:c r="M356" s="469" t="n"/>
      <x:c r="N356" s="469" t="n"/>
      <x:c r="O356" s="469" t="n"/>
      <x:c r="P356" s="469" t="n"/>
      <x:c r="Q356" s="469" t="n"/>
      <x:c r="R356" s="469" t="n"/>
      <x:c r="S356" s="469" t="n"/>
      <x:c r="T356" s="469" t="n"/>
      <x:c r="U356" s="469" t="n"/>
      <x:c r="V356" s="470" t="n"/>
      <x:c r="W356" s="469" t="n"/>
    </x:row>
    <x:row r="357" s="36" customFormat="1" ht="42" customHeight="1">
      <x:c r="A357" s="469" t="n"/>
      <x:c r="B357" s="469" t="n"/>
      <x:c r="C357" s="469" t="n"/>
      <x:c r="D357" s="469" t="n"/>
      <x:c r="E357" s="469" t="n"/>
      <x:c r="F357" s="469" t="n"/>
      <x:c r="G357" s="469" t="n"/>
      <x:c r="H357" s="469" t="n"/>
      <x:c r="I357" s="470" t="n"/>
      <x:c r="J357" s="469" t="n"/>
      <x:c r="K357" s="469" t="n"/>
      <x:c r="L357" s="470" t="n"/>
      <x:c r="M357" s="469" t="n"/>
      <x:c r="N357" s="469" t="n"/>
      <x:c r="O357" s="469" t="n"/>
      <x:c r="P357" s="469" t="n"/>
      <x:c r="Q357" s="469" t="n"/>
      <x:c r="R357" s="469" t="n"/>
      <x:c r="S357" s="469" t="n"/>
      <x:c r="T357" s="469" t="n"/>
      <x:c r="U357" s="469" t="n"/>
      <x:c r="V357" s="470" t="n"/>
      <x:c r="W357" s="469" t="n"/>
    </x:row>
    <x:row r="358" s="36" customFormat="1" ht="42" customHeight="1">
      <x:c r="A358" s="469" t="n"/>
      <x:c r="B358" s="469" t="n"/>
      <x:c r="C358" s="469" t="n"/>
      <x:c r="D358" s="469" t="n"/>
      <x:c r="E358" s="469" t="n"/>
      <x:c r="F358" s="469" t="n"/>
      <x:c r="G358" s="469" t="n"/>
      <x:c r="H358" s="469" t="n"/>
      <x:c r="I358" s="470" t="n"/>
      <x:c r="J358" s="469" t="n"/>
      <x:c r="K358" s="469" t="n"/>
      <x:c r="L358" s="470" t="n"/>
      <x:c r="M358" s="469" t="n"/>
      <x:c r="N358" s="469" t="n"/>
      <x:c r="O358" s="469" t="n"/>
      <x:c r="P358" s="469" t="n"/>
      <x:c r="Q358" s="469" t="n"/>
      <x:c r="R358" s="469" t="n"/>
      <x:c r="S358" s="469" t="n"/>
      <x:c r="T358" s="469" t="n"/>
      <x:c r="U358" s="469" t="n"/>
      <x:c r="V358" s="470" t="n"/>
      <x:c r="W358" s="469" t="n"/>
    </x:row>
    <x:row r="359" s="36" customFormat="1" ht="42" customHeight="1">
      <x:c r="A359" s="469" t="n"/>
      <x:c r="B359" s="469" t="n"/>
      <x:c r="C359" s="469" t="n"/>
      <x:c r="D359" s="469" t="n"/>
      <x:c r="E359" s="469" t="n"/>
      <x:c r="F359" s="469" t="n"/>
      <x:c r="G359" s="469" t="n"/>
      <x:c r="H359" s="469" t="n"/>
      <x:c r="I359" s="470" t="n"/>
      <x:c r="J359" s="469" t="n"/>
      <x:c r="K359" s="469" t="n"/>
      <x:c r="L359" s="470" t="n"/>
      <x:c r="M359" s="469" t="n"/>
      <x:c r="N359" s="469" t="n"/>
      <x:c r="O359" s="469" t="n"/>
      <x:c r="P359" s="469" t="n"/>
      <x:c r="Q359" s="469" t="n"/>
      <x:c r="R359" s="469" t="n"/>
      <x:c r="S359" s="469" t="n"/>
      <x:c r="T359" s="469" t="n"/>
      <x:c r="U359" s="469" t="n"/>
      <x:c r="V359" s="470" t="n"/>
      <x:c r="W359" s="469" t="n"/>
    </x:row>
    <x:row r="360" s="36" customFormat="1" ht="42" customHeight="1">
      <x:c r="A360" s="469" t="n"/>
      <x:c r="B360" s="469" t="n"/>
      <x:c r="C360" s="469" t="n"/>
      <x:c r="D360" s="469" t="n"/>
      <x:c r="E360" s="469" t="n"/>
      <x:c r="F360" s="469" t="n"/>
      <x:c r="G360" s="469" t="n"/>
      <x:c r="H360" s="469" t="n"/>
      <x:c r="I360" s="470" t="n"/>
      <x:c r="J360" s="469" t="n"/>
      <x:c r="K360" s="469" t="n"/>
      <x:c r="L360" s="470" t="n"/>
      <x:c r="M360" s="469" t="n"/>
      <x:c r="N360" s="469" t="n"/>
      <x:c r="O360" s="469" t="n"/>
      <x:c r="P360" s="469" t="n"/>
      <x:c r="Q360" s="469" t="n"/>
      <x:c r="R360" s="469" t="n"/>
      <x:c r="S360" s="469" t="n"/>
      <x:c r="T360" s="469" t="n"/>
      <x:c r="U360" s="469" t="n"/>
      <x:c r="V360" s="470" t="n"/>
      <x:c r="W360" s="469" t="n"/>
    </x:row>
    <x:row r="361" s="36" customFormat="1" ht="42" customHeight="1">
      <x:c r="A361" s="469" t="n"/>
      <x:c r="B361" s="469" t="n"/>
      <x:c r="C361" s="469" t="n"/>
      <x:c r="D361" s="469" t="n"/>
      <x:c r="E361" s="469" t="n"/>
      <x:c r="F361" s="469" t="n"/>
      <x:c r="G361" s="469" t="n"/>
      <x:c r="H361" s="469" t="n"/>
      <x:c r="I361" s="470" t="n"/>
      <x:c r="J361" s="469" t="n"/>
      <x:c r="K361" s="469" t="n"/>
      <x:c r="L361" s="470" t="n"/>
      <x:c r="M361" s="469" t="n"/>
      <x:c r="N361" s="469" t="n"/>
      <x:c r="O361" s="469" t="n"/>
      <x:c r="P361" s="469" t="n"/>
      <x:c r="Q361" s="469" t="n"/>
      <x:c r="R361" s="469" t="n"/>
      <x:c r="S361" s="469" t="n"/>
      <x:c r="T361" s="469" t="n"/>
      <x:c r="U361" s="469" t="n"/>
      <x:c r="V361" s="470" t="n"/>
      <x:c r="W361" s="469" t="n"/>
    </x:row>
    <x:row r="362" s="36" customFormat="1" ht="42" customHeight="1">
      <x:c r="A362" s="469" t="n"/>
      <x:c r="B362" s="469" t="n"/>
      <x:c r="C362" s="469" t="n"/>
      <x:c r="D362" s="469" t="n"/>
      <x:c r="E362" s="469" t="n"/>
      <x:c r="F362" s="469" t="n"/>
      <x:c r="G362" s="469" t="n"/>
      <x:c r="H362" s="469" t="n"/>
      <x:c r="I362" s="470" t="n"/>
      <x:c r="J362" s="469" t="n"/>
      <x:c r="K362" s="469" t="n"/>
      <x:c r="L362" s="470" t="n"/>
      <x:c r="M362" s="469" t="n"/>
      <x:c r="N362" s="469" t="n"/>
      <x:c r="O362" s="469" t="n"/>
      <x:c r="P362" s="469" t="n"/>
      <x:c r="Q362" s="469" t="n"/>
      <x:c r="R362" s="469" t="n"/>
      <x:c r="S362" s="469" t="n"/>
      <x:c r="T362" s="469" t="n"/>
      <x:c r="U362" s="469" t="n"/>
      <x:c r="V362" s="470" t="n"/>
      <x:c r="W362" s="469" t="n"/>
    </x:row>
    <x:row r="363" s="36" customFormat="1" ht="42" customHeight="1">
      <x:c r="A363" s="469" t="n"/>
      <x:c r="B363" s="469" t="n"/>
      <x:c r="C363" s="469" t="n"/>
      <x:c r="D363" s="469" t="n"/>
      <x:c r="E363" s="469" t="n"/>
      <x:c r="F363" s="469" t="n"/>
      <x:c r="G363" s="469" t="n"/>
      <x:c r="H363" s="469" t="n"/>
      <x:c r="I363" s="470" t="n"/>
      <x:c r="J363" s="469" t="n"/>
      <x:c r="K363" s="469" t="n"/>
      <x:c r="L363" s="470" t="n"/>
      <x:c r="M363" s="469" t="n"/>
      <x:c r="N363" s="469" t="n"/>
      <x:c r="O363" s="469" t="n"/>
      <x:c r="P363" s="469" t="n"/>
      <x:c r="Q363" s="469" t="n"/>
      <x:c r="R363" s="469" t="n"/>
      <x:c r="S363" s="469" t="n"/>
      <x:c r="T363" s="469" t="n"/>
      <x:c r="U363" s="469" t="n"/>
      <x:c r="V363" s="470" t="n"/>
      <x:c r="W363" s="469" t="n"/>
    </x:row>
    <x:row r="364" s="36" customFormat="1" ht="42" customHeight="1">
      <x:c r="A364" s="469" t="n"/>
      <x:c r="B364" s="469" t="n"/>
      <x:c r="C364" s="469" t="n"/>
      <x:c r="D364" s="469" t="n"/>
      <x:c r="E364" s="469" t="n"/>
      <x:c r="F364" s="469" t="n"/>
      <x:c r="G364" s="469" t="n"/>
      <x:c r="H364" s="469" t="n"/>
      <x:c r="I364" s="470" t="n"/>
      <x:c r="J364" s="469" t="n"/>
      <x:c r="K364" s="469" t="n"/>
      <x:c r="L364" s="470" t="n"/>
      <x:c r="M364" s="469" t="n"/>
      <x:c r="N364" s="469" t="n"/>
      <x:c r="O364" s="469" t="n"/>
      <x:c r="P364" s="469" t="n"/>
      <x:c r="Q364" s="469" t="n"/>
      <x:c r="R364" s="469" t="n"/>
      <x:c r="S364" s="469" t="n"/>
      <x:c r="T364" s="469" t="n"/>
      <x:c r="U364" s="469" t="n"/>
      <x:c r="V364" s="470" t="n"/>
      <x:c r="W364" s="469" t="n"/>
    </x:row>
    <x:row r="365" s="36" customFormat="1" ht="42" customHeight="1">
      <x:c r="A365" s="469" t="n"/>
      <x:c r="B365" s="469" t="n"/>
      <x:c r="C365" s="469" t="n"/>
      <x:c r="D365" s="469" t="n"/>
      <x:c r="E365" s="469" t="n"/>
      <x:c r="F365" s="469" t="n"/>
      <x:c r="G365" s="469" t="n"/>
      <x:c r="H365" s="469" t="n"/>
      <x:c r="I365" s="470" t="n"/>
      <x:c r="J365" s="469" t="n"/>
      <x:c r="K365" s="469" t="n"/>
      <x:c r="L365" s="470" t="n"/>
      <x:c r="M365" s="469" t="n"/>
      <x:c r="N365" s="469" t="n"/>
      <x:c r="O365" s="469" t="n"/>
      <x:c r="P365" s="469" t="n"/>
      <x:c r="Q365" s="469" t="n"/>
      <x:c r="R365" s="469" t="n"/>
      <x:c r="S365" s="469" t="n"/>
      <x:c r="T365" s="469" t="n"/>
      <x:c r="U365" s="469" t="n"/>
      <x:c r="V365" s="470" t="n"/>
      <x:c r="W365" s="469" t="n"/>
    </x:row>
    <x:row r="366" s="36" customFormat="1" ht="42" customHeight="1">
      <x:c r="A366" s="469" t="n"/>
      <x:c r="B366" s="469" t="n"/>
      <x:c r="C366" s="469" t="n"/>
      <x:c r="D366" s="469" t="n"/>
      <x:c r="E366" s="469" t="n"/>
      <x:c r="F366" s="469" t="n"/>
      <x:c r="G366" s="469" t="n"/>
      <x:c r="H366" s="469" t="n"/>
      <x:c r="I366" s="470" t="n"/>
      <x:c r="J366" s="469" t="n"/>
      <x:c r="K366" s="469" t="n"/>
      <x:c r="L366" s="470" t="n"/>
      <x:c r="M366" s="469" t="n"/>
      <x:c r="N366" s="469" t="n"/>
      <x:c r="O366" s="469" t="n"/>
      <x:c r="P366" s="469" t="n"/>
      <x:c r="Q366" s="469" t="n"/>
      <x:c r="R366" s="469" t="n"/>
      <x:c r="S366" s="469" t="n"/>
      <x:c r="T366" s="469" t="n"/>
      <x:c r="U366" s="469" t="n"/>
      <x:c r="V366" s="470" t="n"/>
      <x:c r="W366" s="469" t="n"/>
    </x:row>
    <x:row r="367" s="36" customFormat="1" ht="42" customHeight="1">
      <x:c r="A367" s="469" t="n"/>
      <x:c r="B367" s="469" t="n"/>
      <x:c r="C367" s="469" t="n"/>
      <x:c r="D367" s="469" t="n"/>
      <x:c r="E367" s="469" t="n"/>
      <x:c r="F367" s="469" t="n"/>
      <x:c r="G367" s="469" t="n"/>
      <x:c r="H367" s="469" t="n"/>
      <x:c r="I367" s="470" t="n"/>
      <x:c r="J367" s="469" t="n"/>
      <x:c r="K367" s="469" t="n"/>
      <x:c r="L367" s="470" t="n"/>
      <x:c r="M367" s="469" t="n"/>
      <x:c r="N367" s="469" t="n"/>
      <x:c r="O367" s="469" t="n"/>
      <x:c r="P367" s="469" t="n"/>
      <x:c r="Q367" s="469" t="n"/>
      <x:c r="R367" s="469" t="n"/>
      <x:c r="S367" s="469" t="n"/>
      <x:c r="T367" s="469" t="n"/>
      <x:c r="U367" s="469" t="n"/>
      <x:c r="V367" s="470" t="n"/>
      <x:c r="W367" s="469" t="n"/>
    </x:row>
    <x:row r="368" s="36" customFormat="1" ht="42" customHeight="1">
      <x:c r="A368" s="469" t="n"/>
      <x:c r="B368" s="469" t="n"/>
      <x:c r="C368" s="469" t="n"/>
      <x:c r="D368" s="469" t="n"/>
      <x:c r="E368" s="469" t="n"/>
      <x:c r="F368" s="469" t="n"/>
      <x:c r="G368" s="469" t="n"/>
      <x:c r="H368" s="469" t="n"/>
      <x:c r="I368" s="470" t="n"/>
      <x:c r="J368" s="469" t="n"/>
      <x:c r="K368" s="469" t="n"/>
      <x:c r="L368" s="470" t="n"/>
      <x:c r="M368" s="469" t="n"/>
      <x:c r="N368" s="469" t="n"/>
      <x:c r="O368" s="469" t="n"/>
      <x:c r="P368" s="469" t="n"/>
      <x:c r="Q368" s="469" t="n"/>
      <x:c r="R368" s="469" t="n"/>
      <x:c r="S368" s="469" t="n"/>
      <x:c r="T368" s="469" t="n"/>
      <x:c r="U368" s="469" t="n"/>
      <x:c r="V368" s="470" t="n"/>
      <x:c r="W368" s="469" t="n"/>
    </x:row>
    <x:row r="369" s="36" customFormat="1" ht="42" customHeight="1">
      <x:c r="A369" s="469" t="n"/>
      <x:c r="B369" s="469" t="n"/>
      <x:c r="C369" s="469" t="n"/>
      <x:c r="D369" s="469" t="n"/>
      <x:c r="E369" s="469" t="n"/>
      <x:c r="F369" s="469" t="n"/>
      <x:c r="G369" s="469" t="n"/>
      <x:c r="H369" s="469" t="n"/>
      <x:c r="I369" s="470" t="n"/>
      <x:c r="J369" s="469" t="n"/>
      <x:c r="K369" s="469" t="n"/>
      <x:c r="L369" s="470" t="n"/>
      <x:c r="M369" s="469" t="n"/>
      <x:c r="N369" s="469" t="n"/>
      <x:c r="O369" s="469" t="n"/>
      <x:c r="P369" s="469" t="n"/>
      <x:c r="Q369" s="469" t="n"/>
      <x:c r="R369" s="469" t="n"/>
      <x:c r="S369" s="469" t="n"/>
      <x:c r="T369" s="469" t="n"/>
      <x:c r="U369" s="469" t="n"/>
      <x:c r="V369" s="470" t="n"/>
      <x:c r="W369" s="469" t="n"/>
    </x:row>
    <x:row r="370" s="36" customFormat="1" ht="42" customHeight="1">
      <x:c r="A370" s="469" t="n"/>
      <x:c r="B370" s="469" t="n"/>
      <x:c r="C370" s="469" t="n"/>
      <x:c r="D370" s="469" t="n"/>
      <x:c r="E370" s="469" t="n"/>
      <x:c r="F370" s="469" t="n"/>
      <x:c r="G370" s="469" t="n"/>
      <x:c r="H370" s="469" t="n"/>
      <x:c r="I370" s="470" t="n"/>
      <x:c r="J370" s="469" t="n"/>
      <x:c r="K370" s="469" t="n"/>
      <x:c r="L370" s="470" t="n"/>
      <x:c r="M370" s="469" t="n"/>
      <x:c r="N370" s="469" t="n"/>
      <x:c r="O370" s="469" t="n"/>
      <x:c r="P370" s="469" t="n"/>
      <x:c r="Q370" s="469" t="n"/>
      <x:c r="R370" s="469" t="n"/>
      <x:c r="S370" s="469" t="n"/>
      <x:c r="T370" s="469" t="n"/>
      <x:c r="U370" s="469" t="n"/>
      <x:c r="V370" s="470" t="n"/>
      <x:c r="W370" s="469" t="n"/>
    </x:row>
    <x:row r="371" s="36" customFormat="1" ht="42" customHeight="1">
      <x:c r="A371" s="469" t="n"/>
      <x:c r="B371" s="469" t="n"/>
      <x:c r="C371" s="469" t="n"/>
      <x:c r="D371" s="469" t="n"/>
      <x:c r="E371" s="469" t="n"/>
      <x:c r="F371" s="469" t="n"/>
      <x:c r="G371" s="469" t="n"/>
      <x:c r="H371" s="469" t="n"/>
      <x:c r="I371" s="470" t="n"/>
      <x:c r="J371" s="469" t="n"/>
      <x:c r="K371" s="469" t="n"/>
      <x:c r="L371" s="470" t="n"/>
      <x:c r="M371" s="469" t="n"/>
      <x:c r="N371" s="469" t="n"/>
      <x:c r="O371" s="469" t="n"/>
      <x:c r="P371" s="469" t="n"/>
      <x:c r="Q371" s="469" t="n"/>
      <x:c r="R371" s="469" t="n"/>
      <x:c r="S371" s="469" t="n"/>
      <x:c r="T371" s="469" t="n"/>
      <x:c r="U371" s="469" t="n"/>
      <x:c r="V371" s="470" t="n"/>
      <x:c r="W371" s="469" t="n"/>
    </x:row>
    <x:row r="372" s="36" customFormat="1" ht="42" customHeight="1">
      <x:c r="A372" s="469" t="n"/>
      <x:c r="B372" s="469" t="n"/>
      <x:c r="C372" s="469" t="n"/>
      <x:c r="D372" s="469" t="n"/>
      <x:c r="E372" s="469" t="n"/>
      <x:c r="F372" s="469" t="n"/>
      <x:c r="G372" s="469" t="n"/>
      <x:c r="H372" s="469" t="n"/>
      <x:c r="I372" s="470" t="n"/>
      <x:c r="J372" s="469" t="n"/>
      <x:c r="K372" s="469" t="n"/>
      <x:c r="L372" s="470" t="n"/>
      <x:c r="M372" s="469" t="n"/>
      <x:c r="N372" s="469" t="n"/>
      <x:c r="O372" s="469" t="n"/>
      <x:c r="P372" s="469" t="n"/>
      <x:c r="Q372" s="469" t="n"/>
      <x:c r="R372" s="469" t="n"/>
      <x:c r="S372" s="469" t="n"/>
      <x:c r="T372" s="469" t="n"/>
      <x:c r="U372" s="469" t="n"/>
      <x:c r="V372" s="470" t="n"/>
      <x:c r="W372" s="469" t="n"/>
    </x:row>
    <x:row r="373" s="36" customFormat="1" ht="42" customHeight="1">
      <x:c r="A373" s="469" t="n"/>
      <x:c r="B373" s="469" t="n"/>
      <x:c r="C373" s="469" t="n"/>
      <x:c r="D373" s="469" t="n"/>
      <x:c r="E373" s="469" t="n"/>
      <x:c r="F373" s="469" t="n"/>
      <x:c r="G373" s="469" t="n"/>
      <x:c r="H373" s="469" t="n"/>
      <x:c r="I373" s="470" t="n"/>
      <x:c r="J373" s="469" t="n"/>
      <x:c r="K373" s="469" t="n"/>
      <x:c r="L373" s="470" t="n"/>
      <x:c r="M373" s="469" t="n"/>
      <x:c r="N373" s="469" t="n"/>
      <x:c r="O373" s="469" t="n"/>
      <x:c r="P373" s="469" t="n"/>
      <x:c r="Q373" s="469" t="n"/>
      <x:c r="R373" s="469" t="n"/>
      <x:c r="S373" s="469" t="n"/>
      <x:c r="T373" s="469" t="n"/>
      <x:c r="U373" s="469" t="n"/>
      <x:c r="V373" s="470" t="n"/>
      <x:c r="W373" s="469" t="n"/>
    </x:row>
    <x:row r="374" s="36" customFormat="1" ht="42" customHeight="1">
      <x:c r="A374" s="469" t="n"/>
      <x:c r="B374" s="469" t="n"/>
      <x:c r="C374" s="469" t="n"/>
      <x:c r="D374" s="469" t="n"/>
      <x:c r="E374" s="469" t="n"/>
      <x:c r="F374" s="469" t="n"/>
      <x:c r="G374" s="469" t="n"/>
      <x:c r="H374" s="469" t="n"/>
      <x:c r="I374" s="470" t="n"/>
      <x:c r="J374" s="469" t="n"/>
      <x:c r="K374" s="469" t="n"/>
      <x:c r="L374" s="470" t="n"/>
      <x:c r="M374" s="469" t="n"/>
      <x:c r="N374" s="469" t="n"/>
      <x:c r="O374" s="469" t="n"/>
      <x:c r="P374" s="469" t="n"/>
      <x:c r="Q374" s="469" t="n"/>
      <x:c r="R374" s="469" t="n"/>
      <x:c r="S374" s="469" t="n"/>
      <x:c r="T374" s="469" t="n"/>
      <x:c r="U374" s="469" t="n"/>
      <x:c r="V374" s="470" t="n"/>
      <x:c r="W374" s="469" t="n"/>
    </x:row>
    <x:row r="375" s="36" customFormat="1" ht="42" customHeight="1">
      <x:c r="A375" s="469" t="n"/>
      <x:c r="B375" s="469" t="n"/>
      <x:c r="C375" s="469" t="n"/>
      <x:c r="D375" s="469" t="n"/>
      <x:c r="E375" s="469" t="n"/>
      <x:c r="F375" s="469" t="n"/>
      <x:c r="G375" s="469" t="n"/>
      <x:c r="H375" s="469" t="n"/>
      <x:c r="I375" s="470" t="n"/>
      <x:c r="J375" s="469" t="n"/>
      <x:c r="K375" s="469" t="n"/>
      <x:c r="L375" s="470" t="n"/>
      <x:c r="M375" s="469" t="n"/>
      <x:c r="N375" s="469" t="n"/>
      <x:c r="O375" s="469" t="n"/>
      <x:c r="P375" s="469" t="n"/>
      <x:c r="Q375" s="469" t="n"/>
      <x:c r="R375" s="469" t="n"/>
      <x:c r="S375" s="469" t="n"/>
      <x:c r="T375" s="469" t="n"/>
      <x:c r="U375" s="469" t="n"/>
      <x:c r="V375" s="470" t="n"/>
      <x:c r="W375" s="469" t="n"/>
    </x:row>
    <x:row r="376" s="36" customFormat="1" ht="42" customHeight="1">
      <x:c r="A376" s="469" t="n"/>
      <x:c r="B376" s="469" t="n"/>
      <x:c r="C376" s="469" t="n"/>
      <x:c r="D376" s="469" t="n"/>
      <x:c r="E376" s="469" t="n"/>
      <x:c r="F376" s="469" t="n"/>
      <x:c r="G376" s="469" t="n"/>
      <x:c r="H376" s="469" t="n"/>
      <x:c r="I376" s="470" t="n"/>
      <x:c r="J376" s="469" t="n"/>
      <x:c r="K376" s="469" t="n"/>
      <x:c r="L376" s="470" t="n"/>
      <x:c r="M376" s="469" t="n"/>
      <x:c r="N376" s="469" t="n"/>
      <x:c r="O376" s="469" t="n"/>
      <x:c r="P376" s="469" t="n"/>
      <x:c r="Q376" s="469" t="n"/>
      <x:c r="R376" s="469" t="n"/>
      <x:c r="S376" s="469" t="n"/>
      <x:c r="T376" s="469" t="n"/>
      <x:c r="U376" s="469" t="n"/>
      <x:c r="V376" s="470" t="n"/>
      <x:c r="W376" s="469" t="n"/>
    </x:row>
    <x:row r="377" s="36" customFormat="1" ht="42" customHeight="1">
      <x:c r="A377" s="469" t="n"/>
      <x:c r="B377" s="469" t="n"/>
      <x:c r="C377" s="469" t="n"/>
      <x:c r="D377" s="469" t="n"/>
      <x:c r="E377" s="469" t="n"/>
      <x:c r="F377" s="469" t="n"/>
      <x:c r="G377" s="469" t="n"/>
      <x:c r="H377" s="469" t="n"/>
      <x:c r="I377" s="470" t="n"/>
      <x:c r="J377" s="469" t="n"/>
      <x:c r="K377" s="469" t="n"/>
      <x:c r="L377" s="470" t="n"/>
      <x:c r="M377" s="469" t="n"/>
      <x:c r="N377" s="469" t="n"/>
      <x:c r="O377" s="469" t="n"/>
      <x:c r="P377" s="469" t="n"/>
      <x:c r="Q377" s="469" t="n"/>
      <x:c r="R377" s="469" t="n"/>
      <x:c r="S377" s="469" t="n"/>
      <x:c r="T377" s="469" t="n"/>
      <x:c r="U377" s="469" t="n"/>
      <x:c r="V377" s="470" t="n"/>
      <x:c r="W377" s="469" t="n"/>
    </x:row>
    <x:row r="378" s="36" customFormat="1" ht="42" customHeight="1">
      <x:c r="A378" s="469" t="n"/>
      <x:c r="B378" s="469" t="n"/>
      <x:c r="C378" s="469" t="n"/>
      <x:c r="D378" s="469" t="n"/>
      <x:c r="E378" s="469" t="n"/>
      <x:c r="F378" s="469" t="n"/>
      <x:c r="G378" s="469" t="n"/>
      <x:c r="H378" s="469" t="n"/>
      <x:c r="I378" s="470" t="n"/>
      <x:c r="J378" s="469" t="n"/>
      <x:c r="K378" s="469" t="n"/>
      <x:c r="L378" s="470" t="n"/>
      <x:c r="M378" s="469" t="n"/>
      <x:c r="N378" s="469" t="n"/>
      <x:c r="O378" s="469" t="n"/>
      <x:c r="P378" s="469" t="n"/>
      <x:c r="Q378" s="469" t="n"/>
      <x:c r="R378" s="469" t="n"/>
      <x:c r="S378" s="469" t="n"/>
      <x:c r="T378" s="469" t="n"/>
      <x:c r="U378" s="469" t="n"/>
      <x:c r="V378" s="470" t="n"/>
      <x:c r="W378" s="469" t="n"/>
    </x:row>
    <x:row r="379" s="36" customFormat="1" ht="42" customHeight="1">
      <x:c r="A379" s="469" t="n"/>
      <x:c r="B379" s="469" t="n"/>
      <x:c r="C379" s="469" t="n"/>
      <x:c r="D379" s="469" t="n"/>
      <x:c r="E379" s="469" t="n"/>
      <x:c r="F379" s="469" t="n"/>
      <x:c r="G379" s="469" t="n"/>
      <x:c r="H379" s="469" t="n"/>
      <x:c r="I379" s="470" t="n"/>
      <x:c r="J379" s="469" t="n"/>
      <x:c r="K379" s="469" t="n"/>
      <x:c r="L379" s="470" t="n"/>
      <x:c r="M379" s="469" t="n"/>
      <x:c r="N379" s="469" t="n"/>
      <x:c r="O379" s="469" t="n"/>
      <x:c r="P379" s="469" t="n"/>
      <x:c r="Q379" s="469" t="n"/>
      <x:c r="R379" s="469" t="n"/>
      <x:c r="S379" s="469" t="n"/>
      <x:c r="T379" s="469" t="n"/>
      <x:c r="U379" s="469" t="n"/>
      <x:c r="V379" s="470" t="n"/>
      <x:c r="W379" s="469" t="n"/>
    </x:row>
    <x:row r="380" s="36" customFormat="1" ht="42" customHeight="1">
      <x:c r="A380" s="469" t="n"/>
      <x:c r="B380" s="469" t="n"/>
      <x:c r="C380" s="469" t="n"/>
      <x:c r="D380" s="469" t="n"/>
      <x:c r="E380" s="469" t="n"/>
      <x:c r="F380" s="469" t="n"/>
      <x:c r="G380" s="469" t="n"/>
      <x:c r="H380" s="469" t="n"/>
      <x:c r="I380" s="470" t="n"/>
      <x:c r="J380" s="469" t="n"/>
      <x:c r="K380" s="469" t="n"/>
      <x:c r="L380" s="470" t="n"/>
      <x:c r="M380" s="469" t="n"/>
      <x:c r="N380" s="469" t="n"/>
      <x:c r="O380" s="469" t="n"/>
      <x:c r="P380" s="469" t="n"/>
      <x:c r="Q380" s="469" t="n"/>
      <x:c r="R380" s="469" t="n"/>
      <x:c r="S380" s="469" t="n"/>
      <x:c r="T380" s="469" t="n"/>
      <x:c r="U380" s="469" t="n"/>
      <x:c r="V380" s="470" t="n"/>
      <x:c r="W380" s="469" t="n"/>
    </x:row>
    <x:row r="381" s="36" customFormat="1" ht="42" customHeight="1">
      <x:c r="A381" s="469" t="n"/>
      <x:c r="B381" s="469" t="n"/>
      <x:c r="C381" s="469" t="n"/>
      <x:c r="D381" s="469" t="n"/>
      <x:c r="E381" s="469" t="n"/>
      <x:c r="F381" s="469" t="n"/>
      <x:c r="G381" s="469" t="n"/>
      <x:c r="H381" s="469" t="n"/>
      <x:c r="I381" s="470" t="n"/>
      <x:c r="J381" s="469" t="n"/>
      <x:c r="K381" s="469" t="n"/>
      <x:c r="L381" s="470" t="n"/>
      <x:c r="M381" s="469" t="n"/>
      <x:c r="N381" s="469" t="n"/>
      <x:c r="O381" s="469" t="n"/>
      <x:c r="P381" s="469" t="n"/>
      <x:c r="Q381" s="469" t="n"/>
      <x:c r="R381" s="469" t="n"/>
      <x:c r="S381" s="469" t="n"/>
      <x:c r="T381" s="469" t="n"/>
      <x:c r="U381" s="469" t="n"/>
      <x:c r="V381" s="470" t="n"/>
      <x:c r="W381" s="469" t="n"/>
    </x:row>
    <x:row r="382" s="36" customFormat="1" ht="42" customHeight="1">
      <x:c r="A382" s="469" t="n"/>
      <x:c r="B382" s="469" t="n"/>
      <x:c r="C382" s="469" t="n"/>
      <x:c r="D382" s="469" t="n"/>
      <x:c r="E382" s="469" t="n"/>
      <x:c r="F382" s="469" t="n"/>
      <x:c r="G382" s="469" t="n"/>
      <x:c r="H382" s="469" t="n"/>
      <x:c r="I382" s="470" t="n"/>
      <x:c r="J382" s="469" t="n"/>
      <x:c r="K382" s="469" t="n"/>
      <x:c r="L382" s="470" t="n"/>
      <x:c r="M382" s="469" t="n"/>
      <x:c r="N382" s="469" t="n"/>
      <x:c r="O382" s="469" t="n"/>
      <x:c r="P382" s="469" t="n"/>
      <x:c r="Q382" s="469" t="n"/>
      <x:c r="R382" s="469" t="n"/>
      <x:c r="S382" s="469" t="n"/>
      <x:c r="T382" s="469" t="n"/>
      <x:c r="U382" s="469" t="n"/>
      <x:c r="V382" s="470" t="n"/>
      <x:c r="W382" s="469" t="n"/>
    </x:row>
    <x:row r="383" s="36" customFormat="1" ht="42" customHeight="1">
      <x:c r="A383" s="469" t="n"/>
      <x:c r="B383" s="469" t="n"/>
      <x:c r="C383" s="469" t="n"/>
      <x:c r="D383" s="469" t="n"/>
      <x:c r="E383" s="469" t="n"/>
      <x:c r="F383" s="469" t="n"/>
      <x:c r="G383" s="469" t="n"/>
      <x:c r="H383" s="469" t="n"/>
      <x:c r="I383" s="470" t="n"/>
      <x:c r="J383" s="469" t="n"/>
      <x:c r="K383" s="469" t="n"/>
      <x:c r="L383" s="470" t="n"/>
      <x:c r="M383" s="469" t="n"/>
      <x:c r="N383" s="469" t="n"/>
      <x:c r="O383" s="469" t="n"/>
      <x:c r="P383" s="469" t="n"/>
      <x:c r="Q383" s="469" t="n"/>
      <x:c r="R383" s="469" t="n"/>
      <x:c r="S383" s="469" t="n"/>
      <x:c r="T383" s="469" t="n"/>
      <x:c r="U383" s="469" t="n"/>
      <x:c r="V383" s="470" t="n"/>
      <x:c r="W383" s="469" t="n"/>
    </x:row>
    <x:row r="384" s="36" customFormat="1" ht="42" customHeight="1">
      <x:c r="A384" s="469" t="n"/>
      <x:c r="B384" s="469" t="n"/>
      <x:c r="C384" s="469" t="n"/>
      <x:c r="D384" s="469" t="n"/>
      <x:c r="E384" s="469" t="n"/>
      <x:c r="F384" s="469" t="n"/>
      <x:c r="G384" s="469" t="n"/>
      <x:c r="H384" s="469" t="n"/>
      <x:c r="I384" s="470" t="n"/>
      <x:c r="J384" s="469" t="n"/>
      <x:c r="K384" s="469" t="n"/>
      <x:c r="L384" s="470" t="n"/>
      <x:c r="M384" s="469" t="n"/>
      <x:c r="N384" s="469" t="n"/>
      <x:c r="O384" s="469" t="n"/>
      <x:c r="P384" s="469" t="n"/>
      <x:c r="Q384" s="469" t="n"/>
      <x:c r="R384" s="469" t="n"/>
      <x:c r="S384" s="469" t="n"/>
      <x:c r="T384" s="469" t="n"/>
      <x:c r="U384" s="469" t="n"/>
      <x:c r="V384" s="470" t="n"/>
      <x:c r="W384" s="469" t="n"/>
    </x:row>
    <x:row r="385" s="36" customFormat="1" ht="42" customHeight="1">
      <x:c r="A385" s="469" t="n"/>
      <x:c r="B385" s="469" t="n"/>
      <x:c r="C385" s="469" t="n"/>
      <x:c r="D385" s="469" t="n"/>
      <x:c r="E385" s="469" t="n"/>
      <x:c r="F385" s="469" t="n"/>
      <x:c r="G385" s="469" t="n"/>
      <x:c r="H385" s="469" t="n"/>
      <x:c r="I385" s="470" t="n"/>
      <x:c r="J385" s="469" t="n"/>
      <x:c r="K385" s="469" t="n"/>
      <x:c r="L385" s="470" t="n"/>
      <x:c r="M385" s="469" t="n"/>
      <x:c r="N385" s="469" t="n"/>
      <x:c r="O385" s="469" t="n"/>
      <x:c r="P385" s="469" t="n"/>
      <x:c r="Q385" s="469" t="n"/>
      <x:c r="R385" s="469" t="n"/>
      <x:c r="S385" s="469" t="n"/>
      <x:c r="T385" s="469" t="n"/>
      <x:c r="U385" s="469" t="n"/>
      <x:c r="V385" s="470" t="n"/>
      <x:c r="W385" s="469" t="n"/>
    </x:row>
    <x:row r="386" s="36" customFormat="1" ht="42" customHeight="1">
      <x:c r="A386" s="469" t="n"/>
      <x:c r="B386" s="469" t="n"/>
      <x:c r="C386" s="469" t="n"/>
      <x:c r="D386" s="469" t="n"/>
      <x:c r="E386" s="469" t="n"/>
      <x:c r="F386" s="469" t="n"/>
      <x:c r="G386" s="469" t="n"/>
      <x:c r="H386" s="469" t="n"/>
      <x:c r="I386" s="470" t="n"/>
      <x:c r="J386" s="469" t="n"/>
      <x:c r="K386" s="469" t="n"/>
      <x:c r="L386" s="470" t="n"/>
      <x:c r="M386" s="469" t="n"/>
      <x:c r="N386" s="469" t="n"/>
      <x:c r="O386" s="469" t="n"/>
      <x:c r="P386" s="469" t="n"/>
      <x:c r="Q386" s="469" t="n"/>
      <x:c r="R386" s="469" t="n"/>
      <x:c r="S386" s="469" t="n"/>
      <x:c r="T386" s="469" t="n"/>
      <x:c r="U386" s="469" t="n"/>
      <x:c r="V386" s="470" t="n"/>
      <x:c r="W386" s="469" t="n"/>
    </x:row>
    <x:row r="387" s="36" customFormat="1" ht="42" customHeight="1">
      <x:c r="A387" s="469" t="n"/>
      <x:c r="B387" s="469" t="n"/>
      <x:c r="C387" s="469" t="n"/>
      <x:c r="D387" s="469" t="n"/>
      <x:c r="E387" s="469" t="n"/>
      <x:c r="F387" s="469" t="n"/>
      <x:c r="G387" s="469" t="n"/>
      <x:c r="H387" s="469" t="n"/>
      <x:c r="I387" s="470" t="n"/>
      <x:c r="J387" s="469" t="n"/>
      <x:c r="K387" s="469" t="n"/>
      <x:c r="L387" s="470" t="n"/>
      <x:c r="M387" s="469" t="n"/>
      <x:c r="N387" s="469" t="n"/>
      <x:c r="O387" s="469" t="n"/>
      <x:c r="P387" s="469" t="n"/>
      <x:c r="Q387" s="469" t="n"/>
      <x:c r="R387" s="469" t="n"/>
      <x:c r="S387" s="469" t="n"/>
      <x:c r="T387" s="469" t="n"/>
      <x:c r="U387" s="469" t="n"/>
      <x:c r="V387" s="470" t="n"/>
      <x:c r="W387" s="469" t="n"/>
    </x:row>
    <x:row r="388" s="36" customFormat="1" ht="42" customHeight="1">
      <x:c r="A388" s="469" t="n"/>
      <x:c r="B388" s="469" t="n"/>
      <x:c r="C388" s="469" t="n"/>
      <x:c r="D388" s="469" t="n"/>
      <x:c r="E388" s="469" t="n"/>
      <x:c r="F388" s="469" t="n"/>
      <x:c r="G388" s="469" t="n"/>
      <x:c r="H388" s="469" t="n"/>
      <x:c r="I388" s="470" t="n"/>
      <x:c r="J388" s="469" t="n"/>
      <x:c r="K388" s="469" t="n"/>
      <x:c r="L388" s="470" t="n"/>
      <x:c r="M388" s="469" t="n"/>
      <x:c r="N388" s="469" t="n"/>
      <x:c r="O388" s="469" t="n"/>
      <x:c r="P388" s="469" t="n"/>
      <x:c r="Q388" s="469" t="n"/>
      <x:c r="R388" s="469" t="n"/>
      <x:c r="S388" s="469" t="n"/>
      <x:c r="T388" s="469" t="n"/>
      <x:c r="U388" s="469" t="n"/>
      <x:c r="V388" s="470" t="n"/>
      <x:c r="W388" s="469" t="n"/>
    </x:row>
    <x:row r="389" s="36" customFormat="1" ht="42" customHeight="1">
      <x:c r="A389" s="469" t="n"/>
      <x:c r="B389" s="469" t="n"/>
      <x:c r="C389" s="469" t="n"/>
      <x:c r="D389" s="469" t="n"/>
      <x:c r="E389" s="469" t="n"/>
      <x:c r="F389" s="469" t="n"/>
      <x:c r="G389" s="469" t="n"/>
      <x:c r="H389" s="469" t="n"/>
      <x:c r="I389" s="470" t="n"/>
      <x:c r="J389" s="469" t="n"/>
      <x:c r="K389" s="469" t="n"/>
      <x:c r="L389" s="470" t="n"/>
      <x:c r="M389" s="469" t="n"/>
      <x:c r="N389" s="469" t="n"/>
      <x:c r="O389" s="469" t="n"/>
      <x:c r="P389" s="469" t="n"/>
      <x:c r="Q389" s="469" t="n"/>
      <x:c r="R389" s="469" t="n"/>
      <x:c r="S389" s="469" t="n"/>
      <x:c r="T389" s="469" t="n"/>
      <x:c r="U389" s="469" t="n"/>
      <x:c r="V389" s="470" t="n"/>
      <x:c r="W389" s="469" t="n"/>
    </x:row>
    <x:row r="390" s="36" customFormat="1" ht="42" customHeight="1">
      <x:c r="A390" s="469" t="n"/>
      <x:c r="B390" s="469" t="n"/>
      <x:c r="C390" s="469" t="n"/>
      <x:c r="D390" s="469" t="n"/>
      <x:c r="E390" s="469" t="n"/>
      <x:c r="F390" s="469" t="n"/>
      <x:c r="G390" s="469" t="n"/>
      <x:c r="H390" s="469" t="n"/>
      <x:c r="I390" s="470" t="n"/>
      <x:c r="J390" s="469" t="n"/>
      <x:c r="K390" s="469" t="n"/>
      <x:c r="L390" s="470" t="n"/>
      <x:c r="M390" s="469" t="n"/>
      <x:c r="N390" s="469" t="n"/>
      <x:c r="O390" s="469" t="n"/>
      <x:c r="P390" s="469" t="n"/>
      <x:c r="Q390" s="469" t="n"/>
      <x:c r="R390" s="469" t="n"/>
      <x:c r="S390" s="469" t="n"/>
      <x:c r="T390" s="469" t="n"/>
      <x:c r="U390" s="469" t="n"/>
      <x:c r="V390" s="470" t="n"/>
      <x:c r="W390" s="469" t="n"/>
    </x:row>
    <x:row r="391" s="36" customFormat="1" ht="42" customHeight="1">
      <x:c r="A391" s="469" t="n"/>
      <x:c r="B391" s="469" t="n"/>
      <x:c r="C391" s="469" t="n"/>
      <x:c r="D391" s="469" t="n"/>
      <x:c r="E391" s="469" t="n"/>
      <x:c r="F391" s="469" t="n"/>
      <x:c r="G391" s="469" t="n"/>
      <x:c r="H391" s="469" t="n"/>
      <x:c r="I391" s="470" t="n"/>
      <x:c r="J391" s="469" t="n"/>
      <x:c r="K391" s="469" t="n"/>
      <x:c r="L391" s="470" t="n"/>
      <x:c r="M391" s="469" t="n"/>
      <x:c r="N391" s="469" t="n"/>
      <x:c r="O391" s="469" t="n"/>
      <x:c r="P391" s="469" t="n"/>
      <x:c r="Q391" s="469" t="n"/>
      <x:c r="R391" s="469" t="n"/>
      <x:c r="S391" s="469" t="n"/>
      <x:c r="T391" s="469" t="n"/>
      <x:c r="U391" s="469" t="n"/>
      <x:c r="V391" s="470" t="n"/>
      <x:c r="W391" s="469" t="n"/>
    </x:row>
    <x:row r="392" s="36" customFormat="1" ht="42" customHeight="1">
      <x:c r="A392" s="469" t="n"/>
      <x:c r="B392" s="469" t="n"/>
      <x:c r="C392" s="469" t="n"/>
      <x:c r="D392" s="469" t="n"/>
      <x:c r="E392" s="469" t="n"/>
      <x:c r="F392" s="469" t="n"/>
      <x:c r="G392" s="469" t="n"/>
      <x:c r="H392" s="469" t="n"/>
      <x:c r="I392" s="470" t="n"/>
      <x:c r="J392" s="469" t="n"/>
      <x:c r="K392" s="469" t="n"/>
      <x:c r="L392" s="470" t="n"/>
      <x:c r="M392" s="469" t="n"/>
      <x:c r="N392" s="469" t="n"/>
      <x:c r="O392" s="469" t="n"/>
      <x:c r="P392" s="469" t="n"/>
      <x:c r="Q392" s="469" t="n"/>
      <x:c r="R392" s="469" t="n"/>
      <x:c r="S392" s="469" t="n"/>
      <x:c r="T392" s="469" t="n"/>
      <x:c r="U392" s="469" t="n"/>
      <x:c r="V392" s="470" t="n"/>
      <x:c r="W392" s="469" t="n"/>
    </x:row>
    <x:row r="393" s="36" customFormat="1" ht="42" customHeight="1">
      <x:c r="A393" s="469" t="n"/>
      <x:c r="B393" s="469" t="n"/>
      <x:c r="C393" s="469" t="n"/>
      <x:c r="D393" s="469" t="n"/>
      <x:c r="E393" s="469" t="n"/>
      <x:c r="F393" s="469" t="n"/>
      <x:c r="G393" s="469" t="n"/>
      <x:c r="H393" s="469" t="n"/>
      <x:c r="I393" s="470" t="n"/>
      <x:c r="J393" s="469" t="n"/>
      <x:c r="K393" s="469" t="n"/>
      <x:c r="L393" s="470" t="n"/>
      <x:c r="M393" s="469" t="n"/>
      <x:c r="N393" s="469" t="n"/>
      <x:c r="O393" s="469" t="n"/>
      <x:c r="P393" s="469" t="n"/>
      <x:c r="Q393" s="469" t="n"/>
      <x:c r="R393" s="469" t="n"/>
      <x:c r="S393" s="469" t="n"/>
      <x:c r="T393" s="469" t="n"/>
      <x:c r="U393" s="469" t="n"/>
      <x:c r="V393" s="470" t="n"/>
      <x:c r="W393" s="469" t="n"/>
    </x:row>
    <x:row r="394" s="36" customFormat="1" ht="42" customHeight="1">
      <x:c r="A394" s="469" t="n"/>
      <x:c r="B394" s="469" t="n"/>
      <x:c r="C394" s="469" t="n"/>
      <x:c r="D394" s="469" t="n"/>
      <x:c r="E394" s="469" t="n"/>
      <x:c r="F394" s="469" t="n"/>
      <x:c r="G394" s="469" t="n"/>
      <x:c r="H394" s="469" t="n"/>
      <x:c r="I394" s="470" t="n"/>
      <x:c r="J394" s="469" t="n"/>
      <x:c r="K394" s="469" t="n"/>
      <x:c r="L394" s="470" t="n"/>
      <x:c r="M394" s="469" t="n"/>
      <x:c r="N394" s="469" t="n"/>
      <x:c r="O394" s="469" t="n"/>
      <x:c r="P394" s="469" t="n"/>
      <x:c r="Q394" s="469" t="n"/>
      <x:c r="R394" s="469" t="n"/>
      <x:c r="S394" s="469" t="n"/>
      <x:c r="T394" s="469" t="n"/>
      <x:c r="U394" s="469" t="n"/>
      <x:c r="V394" s="470" t="n"/>
      <x:c r="W394" s="469" t="n"/>
    </x:row>
    <x:row r="395" s="36" customFormat="1" ht="42" customHeight="1">
      <x:c r="A395" s="469" t="n"/>
      <x:c r="B395" s="469" t="n"/>
      <x:c r="C395" s="469" t="n"/>
      <x:c r="D395" s="469" t="n"/>
      <x:c r="E395" s="469" t="n"/>
      <x:c r="F395" s="469" t="n"/>
      <x:c r="G395" s="469" t="n"/>
      <x:c r="H395" s="469" t="n"/>
      <x:c r="I395" s="470" t="n"/>
      <x:c r="J395" s="469" t="n"/>
      <x:c r="K395" s="469" t="n"/>
      <x:c r="L395" s="470" t="n"/>
      <x:c r="M395" s="469" t="n"/>
      <x:c r="N395" s="469" t="n"/>
      <x:c r="O395" s="469" t="n"/>
      <x:c r="P395" s="469" t="n"/>
      <x:c r="Q395" s="469" t="n"/>
      <x:c r="R395" s="469" t="n"/>
      <x:c r="S395" s="469" t="n"/>
      <x:c r="T395" s="469" t="n"/>
      <x:c r="U395" s="469" t="n"/>
      <x:c r="V395" s="470" t="n"/>
      <x:c r="W395" s="469" t="n"/>
    </x:row>
    <x:row r="396" s="36" customFormat="1" ht="42" customHeight="1">
      <x:c r="A396" s="469" t="n"/>
      <x:c r="B396" s="469" t="n"/>
      <x:c r="C396" s="469" t="n"/>
      <x:c r="D396" s="469" t="n"/>
      <x:c r="E396" s="469" t="n"/>
      <x:c r="F396" s="469" t="n"/>
      <x:c r="G396" s="469" t="n"/>
      <x:c r="H396" s="469" t="n"/>
      <x:c r="I396" s="470" t="n"/>
      <x:c r="J396" s="469" t="n"/>
      <x:c r="K396" s="469" t="n"/>
      <x:c r="L396" s="470" t="n"/>
      <x:c r="M396" s="469" t="n"/>
      <x:c r="N396" s="469" t="n"/>
      <x:c r="O396" s="469" t="n"/>
      <x:c r="P396" s="469" t="n"/>
      <x:c r="Q396" s="469" t="n"/>
      <x:c r="R396" s="469" t="n"/>
      <x:c r="S396" s="469" t="n"/>
      <x:c r="T396" s="469" t="n"/>
      <x:c r="U396" s="469" t="n"/>
      <x:c r="V396" s="470" t="n"/>
      <x:c r="W396" s="469" t="n"/>
    </x:row>
    <x:row r="397" s="36" customFormat="1" ht="42" customHeight="1">
      <x:c r="A397" s="469" t="n"/>
      <x:c r="B397" s="469" t="n"/>
      <x:c r="C397" s="469" t="n"/>
      <x:c r="D397" s="469" t="n"/>
      <x:c r="E397" s="469" t="n"/>
      <x:c r="F397" s="469" t="n"/>
      <x:c r="G397" s="469" t="n"/>
      <x:c r="H397" s="469" t="n"/>
      <x:c r="I397" s="470" t="n"/>
      <x:c r="J397" s="469" t="n"/>
      <x:c r="K397" s="469" t="n"/>
      <x:c r="L397" s="470" t="n"/>
      <x:c r="M397" s="469" t="n"/>
      <x:c r="N397" s="469" t="n"/>
      <x:c r="O397" s="469" t="n"/>
      <x:c r="P397" s="469" t="n"/>
      <x:c r="Q397" s="469" t="n"/>
      <x:c r="R397" s="469" t="n"/>
      <x:c r="S397" s="469" t="n"/>
      <x:c r="T397" s="469" t="n"/>
      <x:c r="U397" s="469" t="n"/>
      <x:c r="V397" s="470" t="n"/>
      <x:c r="W397" s="469" t="n"/>
    </x:row>
    <x:row r="398" s="36" customFormat="1" ht="42" customHeight="1">
      <x:c r="A398" s="469" t="n"/>
      <x:c r="B398" s="469" t="n"/>
      <x:c r="C398" s="469" t="n"/>
      <x:c r="D398" s="469" t="n"/>
      <x:c r="E398" s="469" t="n"/>
      <x:c r="F398" s="469" t="n"/>
      <x:c r="G398" s="469" t="n"/>
      <x:c r="H398" s="469" t="n"/>
      <x:c r="I398" s="470" t="n"/>
      <x:c r="J398" s="469" t="n"/>
      <x:c r="K398" s="469" t="n"/>
      <x:c r="L398" s="470" t="n"/>
      <x:c r="M398" s="469" t="n"/>
      <x:c r="N398" s="469" t="n"/>
      <x:c r="O398" s="469" t="n"/>
      <x:c r="P398" s="469" t="n"/>
      <x:c r="Q398" s="469" t="n"/>
      <x:c r="R398" s="469" t="n"/>
      <x:c r="S398" s="469" t="n"/>
      <x:c r="T398" s="469" t="n"/>
      <x:c r="U398" s="469" t="n"/>
      <x:c r="V398" s="470" t="n"/>
      <x:c r="W398" s="469" t="n"/>
    </x:row>
    <x:row r="399" s="36" customFormat="1" ht="42" customHeight="1">
      <x:c r="A399" s="469" t="n"/>
      <x:c r="B399" s="469" t="n"/>
      <x:c r="C399" s="469" t="n"/>
      <x:c r="D399" s="469" t="n"/>
      <x:c r="E399" s="469" t="n"/>
      <x:c r="F399" s="469" t="n"/>
      <x:c r="G399" s="469" t="n"/>
      <x:c r="H399" s="469" t="n"/>
      <x:c r="I399" s="470" t="n"/>
      <x:c r="J399" s="469" t="n"/>
      <x:c r="K399" s="469" t="n"/>
      <x:c r="L399" s="470" t="n"/>
      <x:c r="M399" s="469" t="n"/>
      <x:c r="N399" s="469" t="n"/>
      <x:c r="O399" s="469" t="n"/>
      <x:c r="P399" s="469" t="n"/>
      <x:c r="Q399" s="469" t="n"/>
      <x:c r="R399" s="469" t="n"/>
      <x:c r="S399" s="469" t="n"/>
      <x:c r="T399" s="469" t="n"/>
      <x:c r="U399" s="469" t="n"/>
      <x:c r="V399" s="470" t="n"/>
      <x:c r="W399" s="469" t="n"/>
    </x:row>
    <x:row r="400" s="36" customFormat="1" ht="42" customHeight="1">
      <x:c r="A400" s="469" t="n"/>
      <x:c r="B400" s="469" t="n"/>
      <x:c r="C400" s="469" t="n"/>
      <x:c r="D400" s="469" t="n"/>
      <x:c r="E400" s="469" t="n"/>
      <x:c r="F400" s="469" t="n"/>
      <x:c r="G400" s="469" t="n"/>
      <x:c r="H400" s="469" t="n"/>
      <x:c r="I400" s="470" t="n"/>
      <x:c r="J400" s="469" t="n"/>
      <x:c r="K400" s="469" t="n"/>
      <x:c r="L400" s="470" t="n"/>
      <x:c r="M400" s="469" t="n"/>
      <x:c r="N400" s="469" t="n"/>
      <x:c r="O400" s="469" t="n"/>
      <x:c r="P400" s="469" t="n"/>
      <x:c r="Q400" s="469" t="n"/>
      <x:c r="R400" s="469" t="n"/>
      <x:c r="S400" s="469" t="n"/>
      <x:c r="T400" s="469" t="n"/>
      <x:c r="U400" s="469" t="n"/>
      <x:c r="V400" s="470" t="n"/>
      <x:c r="W400" s="469" t="n"/>
    </x:row>
    <x:row r="401" s="36" customFormat="1" ht="42" customHeight="1">
      <x:c r="A401" s="469" t="n"/>
      <x:c r="B401" s="469" t="n"/>
      <x:c r="C401" s="469" t="n"/>
      <x:c r="D401" s="469" t="n"/>
      <x:c r="E401" s="469" t="n"/>
      <x:c r="F401" s="469" t="n"/>
      <x:c r="G401" s="469" t="n"/>
      <x:c r="H401" s="469" t="n"/>
      <x:c r="I401" s="470" t="n"/>
      <x:c r="J401" s="469" t="n"/>
      <x:c r="K401" s="469" t="n"/>
      <x:c r="L401" s="470" t="n"/>
      <x:c r="M401" s="469" t="n"/>
      <x:c r="N401" s="469" t="n"/>
      <x:c r="O401" s="469" t="n"/>
      <x:c r="P401" s="469" t="n"/>
      <x:c r="Q401" s="469" t="n"/>
      <x:c r="R401" s="469" t="n"/>
      <x:c r="S401" s="469" t="n"/>
      <x:c r="T401" s="469" t="n"/>
      <x:c r="U401" s="469" t="n"/>
      <x:c r="V401" s="470" t="n"/>
      <x:c r="W401" s="469" t="n"/>
    </x:row>
    <x:row r="402" s="36" customFormat="1" ht="42" customHeight="1">
      <x:c r="A402" s="469" t="n"/>
      <x:c r="B402" s="469" t="n"/>
      <x:c r="C402" s="469" t="n"/>
      <x:c r="D402" s="469" t="n"/>
      <x:c r="E402" s="469" t="n"/>
      <x:c r="F402" s="469" t="n"/>
      <x:c r="G402" s="469" t="n"/>
      <x:c r="H402" s="469" t="n"/>
      <x:c r="I402" s="470" t="n"/>
      <x:c r="J402" s="469" t="n"/>
      <x:c r="K402" s="469" t="n"/>
      <x:c r="L402" s="470" t="n"/>
      <x:c r="M402" s="469" t="n"/>
      <x:c r="N402" s="469" t="n"/>
      <x:c r="O402" s="469" t="n"/>
      <x:c r="P402" s="469" t="n"/>
      <x:c r="Q402" s="469" t="n"/>
      <x:c r="R402" s="469" t="n"/>
      <x:c r="S402" s="469" t="n"/>
      <x:c r="T402" s="469" t="n"/>
      <x:c r="U402" s="469" t="n"/>
      <x:c r="V402" s="470" t="n"/>
      <x:c r="W402" s="469" t="n"/>
    </x:row>
    <x:row r="403" s="36" customFormat="1" ht="42" customHeight="1">
      <x:c r="A403" s="469" t="n"/>
      <x:c r="B403" s="469" t="n"/>
      <x:c r="C403" s="469" t="n"/>
      <x:c r="D403" s="469" t="n"/>
      <x:c r="E403" s="469" t="n"/>
      <x:c r="F403" s="469" t="n"/>
      <x:c r="G403" s="469" t="n"/>
      <x:c r="H403" s="469" t="n"/>
      <x:c r="I403" s="470" t="n"/>
      <x:c r="J403" s="469" t="n"/>
      <x:c r="K403" s="469" t="n"/>
      <x:c r="L403" s="470" t="n"/>
      <x:c r="M403" s="469" t="n"/>
      <x:c r="N403" s="469" t="n"/>
      <x:c r="O403" s="469" t="n"/>
      <x:c r="P403" s="469" t="n"/>
      <x:c r="Q403" s="469" t="n"/>
      <x:c r="R403" s="469" t="n"/>
      <x:c r="S403" s="469" t="n"/>
      <x:c r="T403" s="469" t="n"/>
      <x:c r="U403" s="469" t="n"/>
      <x:c r="V403" s="470" t="n"/>
      <x:c r="W403" s="469" t="n"/>
    </x:row>
    <x:row r="404" s="36" customFormat="1" ht="42" customHeight="1">
      <x:c r="A404" s="469" t="n"/>
      <x:c r="B404" s="469" t="n"/>
      <x:c r="C404" s="469" t="n"/>
      <x:c r="D404" s="469" t="n"/>
      <x:c r="E404" s="469" t="n"/>
      <x:c r="F404" s="469" t="n"/>
      <x:c r="G404" s="469" t="n"/>
      <x:c r="H404" s="469" t="n"/>
      <x:c r="I404" s="470" t="n"/>
      <x:c r="J404" s="469" t="n"/>
      <x:c r="K404" s="469" t="n"/>
      <x:c r="L404" s="470" t="n"/>
      <x:c r="M404" s="469" t="n"/>
      <x:c r="N404" s="469" t="n"/>
      <x:c r="O404" s="469" t="n"/>
      <x:c r="P404" s="469" t="n"/>
      <x:c r="Q404" s="469" t="n"/>
      <x:c r="R404" s="469" t="n"/>
      <x:c r="S404" s="469" t="n"/>
      <x:c r="T404" s="469" t="n"/>
      <x:c r="U404" s="469" t="n"/>
      <x:c r="V404" s="470" t="n"/>
      <x:c r="W404" s="469" t="n"/>
    </x:row>
    <x:row r="405" s="36" customFormat="1" ht="42" customHeight="1">
      <x:c r="A405" s="469" t="n"/>
      <x:c r="B405" s="469" t="n"/>
      <x:c r="C405" s="469" t="n"/>
      <x:c r="D405" s="469" t="n"/>
      <x:c r="E405" s="469" t="n"/>
      <x:c r="F405" s="469" t="n"/>
      <x:c r="G405" s="469" t="n"/>
      <x:c r="H405" s="469" t="n"/>
      <x:c r="I405" s="470" t="n"/>
      <x:c r="J405" s="469" t="n"/>
      <x:c r="K405" s="469" t="n"/>
      <x:c r="L405" s="470" t="n"/>
      <x:c r="M405" s="469" t="n"/>
      <x:c r="N405" s="469" t="n"/>
      <x:c r="O405" s="469" t="n"/>
      <x:c r="P405" s="469" t="n"/>
      <x:c r="Q405" s="469" t="n"/>
      <x:c r="R405" s="469" t="n"/>
      <x:c r="S405" s="469" t="n"/>
      <x:c r="T405" s="469" t="n"/>
      <x:c r="U405" s="469" t="n"/>
      <x:c r="V405" s="470" t="n"/>
      <x:c r="W405" s="469" t="n"/>
    </x:row>
    <x:row r="406" s="36" customFormat="1" ht="42" customHeight="1">
      <x:c r="A406" s="469" t="n"/>
      <x:c r="B406" s="469" t="n"/>
      <x:c r="C406" s="469" t="n"/>
      <x:c r="D406" s="469" t="n"/>
      <x:c r="E406" s="469" t="n"/>
      <x:c r="F406" s="469" t="n"/>
      <x:c r="G406" s="469" t="n"/>
      <x:c r="H406" s="469" t="n"/>
      <x:c r="I406" s="470" t="n"/>
      <x:c r="J406" s="469" t="n"/>
      <x:c r="K406" s="469" t="n"/>
      <x:c r="L406" s="470" t="n"/>
      <x:c r="M406" s="469" t="n"/>
      <x:c r="N406" s="469" t="n"/>
      <x:c r="O406" s="469" t="n"/>
      <x:c r="P406" s="469" t="n"/>
      <x:c r="Q406" s="469" t="n"/>
      <x:c r="R406" s="469" t="n"/>
      <x:c r="S406" s="469" t="n"/>
      <x:c r="T406" s="469" t="n"/>
      <x:c r="U406" s="469" t="n"/>
      <x:c r="V406" s="470" t="n"/>
      <x:c r="W406" s="469" t="n"/>
    </x:row>
    <x:row r="407" s="36" customFormat="1" ht="42" customHeight="1">
      <x:c r="A407" s="469" t="n"/>
      <x:c r="B407" s="469" t="n"/>
      <x:c r="C407" s="469" t="n"/>
      <x:c r="D407" s="469" t="n"/>
      <x:c r="E407" s="469" t="n"/>
      <x:c r="F407" s="469" t="n"/>
      <x:c r="G407" s="469" t="n"/>
      <x:c r="H407" s="469" t="n"/>
      <x:c r="I407" s="470" t="n"/>
      <x:c r="J407" s="469" t="n"/>
      <x:c r="K407" s="469" t="n"/>
      <x:c r="L407" s="470" t="n"/>
      <x:c r="M407" s="469" t="n"/>
      <x:c r="N407" s="469" t="n"/>
      <x:c r="O407" s="469" t="n"/>
      <x:c r="P407" s="469" t="n"/>
      <x:c r="Q407" s="469" t="n"/>
      <x:c r="R407" s="469" t="n"/>
      <x:c r="S407" s="469" t="n"/>
      <x:c r="T407" s="469" t="n"/>
      <x:c r="U407" s="469" t="n"/>
      <x:c r="V407" s="470" t="n"/>
      <x:c r="W407" s="469" t="n"/>
    </x:row>
    <x:row r="408" s="36" customFormat="1" ht="42" customHeight="1">
      <x:c r="A408" s="469" t="n"/>
      <x:c r="B408" s="469" t="n"/>
      <x:c r="C408" s="469" t="n"/>
      <x:c r="D408" s="469" t="n"/>
      <x:c r="E408" s="469" t="n"/>
      <x:c r="F408" s="469" t="n"/>
      <x:c r="G408" s="469" t="n"/>
      <x:c r="H408" s="469" t="n"/>
      <x:c r="I408" s="470" t="n"/>
      <x:c r="J408" s="469" t="n"/>
      <x:c r="K408" s="469" t="n"/>
      <x:c r="L408" s="470" t="n"/>
      <x:c r="M408" s="469" t="n"/>
      <x:c r="N408" s="469" t="n"/>
      <x:c r="O408" s="469" t="n"/>
      <x:c r="P408" s="469" t="n"/>
      <x:c r="Q408" s="469" t="n"/>
      <x:c r="R408" s="469" t="n"/>
      <x:c r="S408" s="469" t="n"/>
      <x:c r="T408" s="469" t="n"/>
      <x:c r="U408" s="469" t="n"/>
      <x:c r="V408" s="470" t="n"/>
      <x:c r="W408" s="469" t="n"/>
    </x:row>
    <x:row r="409" s="36" customFormat="1" ht="42" customHeight="1">
      <x:c r="A409" s="469" t="n"/>
      <x:c r="B409" s="469" t="n"/>
      <x:c r="C409" s="469" t="n"/>
      <x:c r="D409" s="469" t="n"/>
      <x:c r="E409" s="469" t="n"/>
      <x:c r="F409" s="469" t="n"/>
      <x:c r="G409" s="469" t="n"/>
      <x:c r="H409" s="469" t="n"/>
      <x:c r="I409" s="470" t="n"/>
      <x:c r="J409" s="469" t="n"/>
      <x:c r="K409" s="469" t="n"/>
      <x:c r="L409" s="470" t="n"/>
      <x:c r="M409" s="469" t="n"/>
      <x:c r="N409" s="469" t="n"/>
      <x:c r="O409" s="469" t="n"/>
      <x:c r="P409" s="469" t="n"/>
      <x:c r="Q409" s="469" t="n"/>
      <x:c r="R409" s="469" t="n"/>
      <x:c r="S409" s="469" t="n"/>
      <x:c r="T409" s="469" t="n"/>
      <x:c r="U409" s="469" t="n"/>
      <x:c r="V409" s="470" t="n"/>
      <x:c r="W409" s="469" t="n"/>
    </x:row>
    <x:row r="410" s="36" customFormat="1" ht="42" customHeight="1">
      <x:c r="A410" s="469" t="n"/>
      <x:c r="B410" s="469" t="n"/>
      <x:c r="C410" s="469" t="n"/>
      <x:c r="D410" s="469" t="n"/>
      <x:c r="E410" s="469" t="n"/>
      <x:c r="F410" s="469" t="n"/>
      <x:c r="G410" s="469" t="n"/>
      <x:c r="H410" s="469" t="n"/>
      <x:c r="I410" s="470" t="n"/>
      <x:c r="J410" s="469" t="n"/>
      <x:c r="K410" s="469" t="n"/>
      <x:c r="L410" s="470" t="n"/>
      <x:c r="M410" s="469" t="n"/>
      <x:c r="N410" s="469" t="n"/>
      <x:c r="O410" s="469" t="n"/>
      <x:c r="P410" s="469" t="n"/>
      <x:c r="Q410" s="469" t="n"/>
      <x:c r="R410" s="469" t="n"/>
      <x:c r="S410" s="469" t="n"/>
      <x:c r="T410" s="469" t="n"/>
      <x:c r="U410" s="469" t="n"/>
      <x:c r="V410" s="470" t="n"/>
      <x:c r="W410" s="469" t="n"/>
    </x:row>
    <x:row r="411" s="36" customFormat="1" ht="42" customHeight="1">
      <x:c r="A411" s="469" t="n"/>
      <x:c r="B411" s="469" t="n"/>
      <x:c r="C411" s="469" t="n"/>
      <x:c r="D411" s="469" t="n"/>
      <x:c r="E411" s="469" t="n"/>
      <x:c r="F411" s="469" t="n"/>
      <x:c r="G411" s="469" t="n"/>
      <x:c r="H411" s="469" t="n"/>
      <x:c r="I411" s="470" t="n"/>
      <x:c r="J411" s="469" t="n"/>
      <x:c r="K411" s="469" t="n"/>
      <x:c r="L411" s="470" t="n"/>
      <x:c r="M411" s="469" t="n"/>
      <x:c r="N411" s="469" t="n"/>
      <x:c r="O411" s="469" t="n"/>
      <x:c r="P411" s="469" t="n"/>
      <x:c r="Q411" s="469" t="n"/>
      <x:c r="R411" s="469" t="n"/>
      <x:c r="S411" s="469" t="n"/>
      <x:c r="T411" s="469" t="n"/>
      <x:c r="U411" s="469" t="n"/>
      <x:c r="V411" s="470" t="n"/>
      <x:c r="W411" s="469" t="n"/>
    </x:row>
    <x:row r="412" s="36" customFormat="1" ht="42" customHeight="1">
      <x:c r="A412" s="469" t="n"/>
      <x:c r="B412" s="469" t="n"/>
      <x:c r="C412" s="469" t="n"/>
      <x:c r="D412" s="469" t="n"/>
      <x:c r="E412" s="469" t="n"/>
      <x:c r="F412" s="469" t="n"/>
      <x:c r="G412" s="469" t="n"/>
      <x:c r="H412" s="469" t="n"/>
      <x:c r="I412" s="470" t="n"/>
      <x:c r="J412" s="469" t="n"/>
      <x:c r="K412" s="469" t="n"/>
      <x:c r="L412" s="470" t="n"/>
      <x:c r="M412" s="469" t="n"/>
      <x:c r="N412" s="469" t="n"/>
      <x:c r="O412" s="469" t="n"/>
      <x:c r="P412" s="469" t="n"/>
      <x:c r="Q412" s="469" t="n"/>
      <x:c r="R412" s="469" t="n"/>
      <x:c r="S412" s="469" t="n"/>
      <x:c r="T412" s="469" t="n"/>
      <x:c r="U412" s="469" t="n"/>
      <x:c r="V412" s="470" t="n"/>
      <x:c r="W412" s="469" t="n"/>
    </x:row>
    <x:row r="413" s="36" customFormat="1" ht="42" customHeight="1">
      <x:c r="A413" s="469" t="n"/>
      <x:c r="B413" s="469" t="n"/>
      <x:c r="C413" s="469" t="n"/>
      <x:c r="D413" s="469" t="n"/>
      <x:c r="E413" s="469" t="n"/>
      <x:c r="F413" s="469" t="n"/>
      <x:c r="G413" s="469" t="n"/>
      <x:c r="H413" s="469" t="n"/>
      <x:c r="I413" s="470" t="n"/>
      <x:c r="J413" s="469" t="n"/>
      <x:c r="K413" s="469" t="n"/>
      <x:c r="L413" s="470" t="n"/>
      <x:c r="M413" s="469" t="n"/>
      <x:c r="N413" s="469" t="n"/>
      <x:c r="O413" s="469" t="n"/>
      <x:c r="P413" s="469" t="n"/>
      <x:c r="Q413" s="469" t="n"/>
      <x:c r="R413" s="469" t="n"/>
      <x:c r="S413" s="469" t="n"/>
      <x:c r="T413" s="469" t="n"/>
      <x:c r="U413" s="469" t="n"/>
      <x:c r="V413" s="470" t="n"/>
      <x:c r="W413" s="469" t="n"/>
    </x:row>
    <x:row r="414" s="36" customFormat="1" ht="42" customHeight="1">
      <x:c r="A414" s="469" t="n"/>
      <x:c r="B414" s="469" t="n"/>
      <x:c r="C414" s="469" t="n"/>
      <x:c r="D414" s="469" t="n"/>
      <x:c r="E414" s="469" t="n"/>
      <x:c r="F414" s="469" t="n"/>
      <x:c r="G414" s="469" t="n"/>
      <x:c r="H414" s="469" t="n"/>
      <x:c r="I414" s="470" t="n"/>
      <x:c r="J414" s="469" t="n"/>
      <x:c r="K414" s="469" t="n"/>
      <x:c r="L414" s="470" t="n"/>
      <x:c r="M414" s="469" t="n"/>
      <x:c r="N414" s="469" t="n"/>
      <x:c r="O414" s="469" t="n"/>
      <x:c r="P414" s="469" t="n"/>
      <x:c r="Q414" s="469" t="n"/>
      <x:c r="R414" s="469" t="n"/>
      <x:c r="S414" s="469" t="n"/>
      <x:c r="T414" s="469" t="n"/>
      <x:c r="U414" s="469" t="n"/>
      <x:c r="V414" s="470" t="n"/>
      <x:c r="W414" s="469" t="n"/>
    </x:row>
    <x:row r="415" s="36" customFormat="1" ht="42" customHeight="1">
      <x:c r="A415" s="469" t="n"/>
      <x:c r="B415" s="469" t="n"/>
      <x:c r="C415" s="469" t="n"/>
      <x:c r="D415" s="469" t="n"/>
      <x:c r="E415" s="469" t="n"/>
      <x:c r="F415" s="469" t="n"/>
      <x:c r="G415" s="469" t="n"/>
      <x:c r="H415" s="469" t="n"/>
      <x:c r="I415" s="470" t="n"/>
      <x:c r="J415" s="469" t="n"/>
      <x:c r="K415" s="469" t="n"/>
      <x:c r="L415" s="470" t="n"/>
      <x:c r="M415" s="469" t="n"/>
      <x:c r="N415" s="469" t="n"/>
      <x:c r="O415" s="469" t="n"/>
      <x:c r="P415" s="469" t="n"/>
      <x:c r="Q415" s="469" t="n"/>
      <x:c r="R415" s="469" t="n"/>
      <x:c r="S415" s="469" t="n"/>
      <x:c r="T415" s="469" t="n"/>
      <x:c r="U415" s="469" t="n"/>
      <x:c r="V415" s="470" t="n"/>
      <x:c r="W415" s="469" t="n"/>
    </x:row>
    <x:row r="416" s="36" customFormat="1" ht="42" customHeight="1">
      <x:c r="A416" s="469" t="n"/>
      <x:c r="B416" s="469" t="n"/>
      <x:c r="C416" s="469" t="n"/>
      <x:c r="D416" s="469" t="n"/>
      <x:c r="E416" s="469" t="n"/>
      <x:c r="F416" s="469" t="n"/>
      <x:c r="G416" s="469" t="n"/>
      <x:c r="H416" s="469" t="n"/>
      <x:c r="I416" s="470" t="n"/>
      <x:c r="J416" s="469" t="n"/>
      <x:c r="K416" s="469" t="n"/>
      <x:c r="L416" s="470" t="n"/>
      <x:c r="M416" s="469" t="n"/>
      <x:c r="N416" s="469" t="n"/>
      <x:c r="O416" s="469" t="n"/>
      <x:c r="P416" s="469" t="n"/>
      <x:c r="Q416" s="469" t="n"/>
      <x:c r="R416" s="469" t="n"/>
      <x:c r="S416" s="469" t="n"/>
      <x:c r="T416" s="469" t="n"/>
      <x:c r="U416" s="469" t="n"/>
      <x:c r="V416" s="470" t="n"/>
      <x:c r="W416" s="469" t="n"/>
    </x:row>
    <x:row r="417" s="36" customFormat="1" ht="42" customHeight="1">
      <x:c r="A417" s="469" t="n"/>
      <x:c r="B417" s="469" t="n"/>
      <x:c r="C417" s="469" t="n"/>
      <x:c r="D417" s="469" t="n"/>
      <x:c r="E417" s="469" t="n"/>
      <x:c r="F417" s="469" t="n"/>
      <x:c r="G417" s="469" t="n"/>
      <x:c r="H417" s="469" t="n"/>
      <x:c r="I417" s="470" t="n"/>
      <x:c r="J417" s="469" t="n"/>
      <x:c r="K417" s="469" t="n"/>
      <x:c r="L417" s="470" t="n"/>
      <x:c r="M417" s="469" t="n"/>
      <x:c r="N417" s="469" t="n"/>
      <x:c r="O417" s="469" t="n"/>
      <x:c r="P417" s="469" t="n"/>
      <x:c r="Q417" s="469" t="n"/>
      <x:c r="R417" s="469" t="n"/>
      <x:c r="S417" s="469" t="n"/>
      <x:c r="T417" s="469" t="n"/>
      <x:c r="U417" s="469" t="n"/>
      <x:c r="V417" s="470" t="n"/>
      <x:c r="W417" s="469" t="n"/>
    </x:row>
    <x:row r="418" s="36" customFormat="1" ht="42" customHeight="1">
      <x:c r="A418" s="469" t="n"/>
      <x:c r="B418" s="469" t="n"/>
      <x:c r="C418" s="469" t="n"/>
      <x:c r="D418" s="469" t="n"/>
      <x:c r="E418" s="469" t="n"/>
      <x:c r="F418" s="469" t="n"/>
      <x:c r="G418" s="469" t="n"/>
      <x:c r="H418" s="469" t="n"/>
      <x:c r="I418" s="470" t="n"/>
      <x:c r="J418" s="469" t="n"/>
      <x:c r="K418" s="469" t="n"/>
      <x:c r="L418" s="470" t="n"/>
      <x:c r="M418" s="469" t="n"/>
      <x:c r="N418" s="469" t="n"/>
      <x:c r="O418" s="469" t="n"/>
      <x:c r="P418" s="469" t="n"/>
      <x:c r="Q418" s="469" t="n"/>
      <x:c r="R418" s="469" t="n"/>
      <x:c r="S418" s="469" t="n"/>
      <x:c r="T418" s="469" t="n"/>
      <x:c r="U418" s="469" t="n"/>
      <x:c r="V418" s="470" t="n"/>
      <x:c r="W418" s="469" t="n"/>
    </x:row>
    <x:row r="419" s="36" customFormat="1" ht="42" customHeight="1">
      <x:c r="A419" s="469" t="n"/>
      <x:c r="B419" s="469" t="n"/>
      <x:c r="C419" s="469" t="n"/>
      <x:c r="D419" s="469" t="n"/>
      <x:c r="E419" s="469" t="n"/>
      <x:c r="F419" s="469" t="n"/>
      <x:c r="G419" s="469" t="n"/>
      <x:c r="H419" s="469" t="n"/>
      <x:c r="I419" s="470" t="n"/>
      <x:c r="J419" s="469" t="n"/>
      <x:c r="K419" s="469" t="n"/>
      <x:c r="L419" s="470" t="n"/>
      <x:c r="M419" s="469" t="n"/>
      <x:c r="N419" s="469" t="n"/>
      <x:c r="O419" s="469" t="n"/>
      <x:c r="P419" s="469" t="n"/>
      <x:c r="Q419" s="469" t="n"/>
      <x:c r="R419" s="469" t="n"/>
      <x:c r="S419" s="469" t="n"/>
      <x:c r="T419" s="469" t="n"/>
      <x:c r="U419" s="469" t="n"/>
      <x:c r="V419" s="470" t="n"/>
      <x:c r="W419" s="469" t="n"/>
    </x:row>
    <x:row r="420" s="36" customFormat="1" ht="42" customHeight="1">
      <x:c r="A420" s="469" t="n"/>
      <x:c r="B420" s="469" t="n"/>
      <x:c r="C420" s="469" t="n"/>
      <x:c r="D420" s="469" t="n"/>
      <x:c r="E420" s="469" t="n"/>
      <x:c r="F420" s="469" t="n"/>
      <x:c r="G420" s="469" t="n"/>
      <x:c r="H420" s="469" t="n"/>
      <x:c r="I420" s="470" t="n"/>
      <x:c r="J420" s="469" t="n"/>
      <x:c r="K420" s="469" t="n"/>
      <x:c r="L420" s="470" t="n"/>
      <x:c r="M420" s="469" t="n"/>
      <x:c r="N420" s="469" t="n"/>
      <x:c r="O420" s="469" t="n"/>
      <x:c r="P420" s="469" t="n"/>
      <x:c r="Q420" s="469" t="n"/>
      <x:c r="R420" s="469" t="n"/>
      <x:c r="S420" s="469" t="n"/>
      <x:c r="T420" s="469" t="n"/>
      <x:c r="U420" s="469" t="n"/>
      <x:c r="V420" s="470" t="n"/>
      <x:c r="W420" s="469" t="n"/>
    </x:row>
    <x:row r="421" s="36" customFormat="1" ht="42" customHeight="1">
      <x:c r="A421" s="469" t="n"/>
      <x:c r="B421" s="469" t="n"/>
      <x:c r="C421" s="469" t="n"/>
      <x:c r="D421" s="469" t="n"/>
      <x:c r="E421" s="469" t="n"/>
      <x:c r="F421" s="469" t="n"/>
      <x:c r="G421" s="469" t="n"/>
      <x:c r="H421" s="469" t="n"/>
      <x:c r="I421" s="470" t="n"/>
      <x:c r="J421" s="469" t="n"/>
      <x:c r="K421" s="469" t="n"/>
      <x:c r="L421" s="470" t="n"/>
      <x:c r="M421" s="469" t="n"/>
      <x:c r="N421" s="469" t="n"/>
      <x:c r="O421" s="469" t="n"/>
      <x:c r="P421" s="469" t="n"/>
      <x:c r="Q421" s="469" t="n"/>
      <x:c r="R421" s="469" t="n"/>
      <x:c r="S421" s="469" t="n"/>
      <x:c r="T421" s="469" t="n"/>
      <x:c r="U421" s="469" t="n"/>
      <x:c r="V421" s="470" t="n"/>
      <x:c r="W421" s="469" t="n"/>
    </x:row>
    <x:row r="422" s="36" customFormat="1" ht="42" customHeight="1">
      <x:c r="A422" s="469" t="n"/>
      <x:c r="B422" s="469" t="n"/>
      <x:c r="C422" s="469" t="n"/>
      <x:c r="D422" s="469" t="n"/>
      <x:c r="E422" s="469" t="n"/>
      <x:c r="F422" s="469" t="n"/>
      <x:c r="G422" s="469" t="n"/>
      <x:c r="H422" s="469" t="n"/>
      <x:c r="I422" s="470" t="n"/>
      <x:c r="J422" s="469" t="n"/>
      <x:c r="K422" s="469" t="n"/>
      <x:c r="L422" s="470" t="n"/>
      <x:c r="M422" s="469" t="n"/>
      <x:c r="N422" s="469" t="n"/>
      <x:c r="O422" s="469" t="n"/>
      <x:c r="P422" s="469" t="n"/>
      <x:c r="Q422" s="469" t="n"/>
      <x:c r="R422" s="469" t="n"/>
      <x:c r="S422" s="469" t="n"/>
      <x:c r="T422" s="469" t="n"/>
      <x:c r="U422" s="469" t="n"/>
      <x:c r="V422" s="470" t="n"/>
      <x:c r="W422" s="469" t="n"/>
    </x:row>
    <x:row r="423" s="36" customFormat="1" ht="42" customHeight="1">
      <x:c r="A423" s="469" t="n"/>
      <x:c r="B423" s="469" t="n"/>
      <x:c r="C423" s="469" t="n"/>
      <x:c r="D423" s="469" t="n"/>
      <x:c r="E423" s="469" t="n"/>
      <x:c r="F423" s="469" t="n"/>
      <x:c r="G423" s="469" t="n"/>
      <x:c r="H423" s="469" t="n"/>
      <x:c r="I423" s="470" t="n"/>
      <x:c r="J423" s="469" t="n"/>
      <x:c r="K423" s="469" t="n"/>
      <x:c r="L423" s="470" t="n"/>
      <x:c r="M423" s="469" t="n"/>
      <x:c r="N423" s="469" t="n"/>
      <x:c r="O423" s="469" t="n"/>
      <x:c r="P423" s="469" t="n"/>
      <x:c r="Q423" s="469" t="n"/>
      <x:c r="R423" s="469" t="n"/>
      <x:c r="S423" s="469" t="n"/>
      <x:c r="T423" s="469" t="n"/>
      <x:c r="U423" s="469" t="n"/>
      <x:c r="V423" s="470" t="n"/>
      <x:c r="W423" s="469" t="n"/>
    </x:row>
    <x:row r="424" s="36" customFormat="1" ht="42" customHeight="1">
      <x:c r="A424" s="469" t="n"/>
      <x:c r="B424" s="469" t="n"/>
      <x:c r="C424" s="469" t="n"/>
      <x:c r="D424" s="469" t="n"/>
      <x:c r="E424" s="469" t="n"/>
      <x:c r="F424" s="469" t="n"/>
      <x:c r="G424" s="469" t="n"/>
      <x:c r="H424" s="469" t="n"/>
      <x:c r="I424" s="470" t="n"/>
      <x:c r="J424" s="469" t="n"/>
      <x:c r="K424" s="469" t="n"/>
      <x:c r="L424" s="470" t="n"/>
      <x:c r="M424" s="469" t="n"/>
      <x:c r="N424" s="469" t="n"/>
      <x:c r="O424" s="469" t="n"/>
      <x:c r="P424" s="469" t="n"/>
      <x:c r="Q424" s="469" t="n"/>
      <x:c r="R424" s="469" t="n"/>
      <x:c r="S424" s="469" t="n"/>
      <x:c r="T424" s="469" t="n"/>
      <x:c r="U424" s="469" t="n"/>
      <x:c r="V424" s="470" t="n"/>
      <x:c r="W424" s="469" t="n"/>
    </x:row>
    <x:row r="425" s="36" customFormat="1" ht="42" customHeight="1">
      <x:c r="A425" s="469" t="n"/>
      <x:c r="B425" s="469" t="n"/>
      <x:c r="C425" s="469" t="n"/>
      <x:c r="D425" s="469" t="n"/>
      <x:c r="E425" s="469" t="n"/>
      <x:c r="F425" s="469" t="n"/>
      <x:c r="G425" s="469" t="n"/>
      <x:c r="H425" s="469" t="n"/>
      <x:c r="I425" s="470" t="n"/>
      <x:c r="J425" s="469" t="n"/>
      <x:c r="K425" s="469" t="n"/>
      <x:c r="L425" s="470" t="n"/>
      <x:c r="M425" s="469" t="n"/>
      <x:c r="N425" s="469" t="n"/>
      <x:c r="O425" s="469" t="n"/>
      <x:c r="P425" s="469" t="n"/>
      <x:c r="Q425" s="469" t="n"/>
      <x:c r="R425" s="469" t="n"/>
      <x:c r="S425" s="469" t="n"/>
      <x:c r="T425" s="469" t="n"/>
      <x:c r="U425" s="469" t="n"/>
      <x:c r="V425" s="470" t="n"/>
      <x:c r="W425" s="469" t="n"/>
    </x:row>
    <x:row r="426" s="36" customFormat="1" ht="42" customHeight="1">
      <x:c r="A426" s="469" t="n"/>
      <x:c r="B426" s="469" t="n"/>
      <x:c r="C426" s="469" t="n"/>
      <x:c r="D426" s="469" t="n"/>
      <x:c r="E426" s="469" t="n"/>
      <x:c r="F426" s="469" t="n"/>
      <x:c r="G426" s="469" t="n"/>
      <x:c r="H426" s="469" t="n"/>
      <x:c r="I426" s="470" t="n"/>
      <x:c r="J426" s="469" t="n"/>
      <x:c r="K426" s="469" t="n"/>
      <x:c r="L426" s="470" t="n"/>
      <x:c r="M426" s="469" t="n"/>
      <x:c r="N426" s="469" t="n"/>
      <x:c r="O426" s="469" t="n"/>
      <x:c r="P426" s="469" t="n"/>
      <x:c r="Q426" s="469" t="n"/>
      <x:c r="R426" s="469" t="n"/>
      <x:c r="S426" s="469" t="n"/>
      <x:c r="T426" s="469" t="n"/>
      <x:c r="U426" s="469" t="n"/>
      <x:c r="V426" s="470" t="n"/>
      <x:c r="W426" s="469" t="n"/>
    </x:row>
    <x:row r="427" s="36" customFormat="1" ht="42" customHeight="1">
      <x:c r="A427" s="469" t="n"/>
      <x:c r="B427" s="469" t="n"/>
      <x:c r="C427" s="469" t="n"/>
      <x:c r="D427" s="469" t="n"/>
      <x:c r="E427" s="469" t="n"/>
      <x:c r="F427" s="469" t="n"/>
      <x:c r="G427" s="469" t="n"/>
      <x:c r="H427" s="469" t="n"/>
      <x:c r="I427" s="470" t="n"/>
      <x:c r="J427" s="469" t="n"/>
      <x:c r="K427" s="469" t="n"/>
      <x:c r="L427" s="470" t="n"/>
      <x:c r="M427" s="469" t="n"/>
      <x:c r="N427" s="469" t="n"/>
      <x:c r="O427" s="469" t="n"/>
      <x:c r="P427" s="469" t="n"/>
      <x:c r="Q427" s="469" t="n"/>
      <x:c r="R427" s="469" t="n"/>
      <x:c r="S427" s="469" t="n"/>
      <x:c r="T427" s="469" t="n"/>
      <x:c r="U427" s="469" t="n"/>
      <x:c r="V427" s="470" t="n"/>
      <x:c r="W427" s="469" t="n"/>
    </x:row>
    <x:row r="428" s="36" customFormat="1" ht="42" customHeight="1">
      <x:c r="A428" s="469" t="n"/>
      <x:c r="B428" s="469" t="n"/>
      <x:c r="C428" s="469" t="n"/>
      <x:c r="D428" s="469" t="n"/>
      <x:c r="E428" s="469" t="n"/>
      <x:c r="F428" s="469" t="n"/>
      <x:c r="G428" s="469" t="n"/>
      <x:c r="H428" s="469" t="n"/>
      <x:c r="I428" s="470" t="n"/>
      <x:c r="J428" s="469" t="n"/>
      <x:c r="K428" s="469" t="n"/>
      <x:c r="L428" s="470" t="n"/>
      <x:c r="M428" s="469" t="n"/>
      <x:c r="N428" s="469" t="n"/>
      <x:c r="O428" s="469" t="n"/>
      <x:c r="P428" s="469" t="n"/>
      <x:c r="Q428" s="469" t="n"/>
      <x:c r="R428" s="469" t="n"/>
      <x:c r="S428" s="469" t="n"/>
      <x:c r="T428" s="469" t="n"/>
      <x:c r="U428" s="469" t="n"/>
      <x:c r="V428" s="470" t="n"/>
      <x:c r="W428" s="469" t="n"/>
    </x:row>
    <x:row r="429" s="36" customFormat="1" ht="42" customHeight="1">
      <x:c r="A429" s="469" t="n"/>
      <x:c r="B429" s="469" t="n"/>
      <x:c r="C429" s="469" t="n"/>
      <x:c r="D429" s="469" t="n"/>
      <x:c r="E429" s="469" t="n"/>
      <x:c r="F429" s="469" t="n"/>
      <x:c r="G429" s="469" t="n"/>
      <x:c r="H429" s="469" t="n"/>
      <x:c r="I429" s="470" t="n"/>
      <x:c r="J429" s="469" t="n"/>
      <x:c r="K429" s="469" t="n"/>
      <x:c r="L429" s="470" t="n"/>
      <x:c r="M429" s="469" t="n"/>
      <x:c r="N429" s="469" t="n"/>
      <x:c r="O429" s="469" t="n"/>
      <x:c r="P429" s="469" t="n"/>
      <x:c r="Q429" s="469" t="n"/>
      <x:c r="R429" s="469" t="n"/>
      <x:c r="S429" s="469" t="n"/>
      <x:c r="T429" s="469" t="n"/>
      <x:c r="U429" s="469" t="n"/>
      <x:c r="V429" s="470" t="n"/>
      <x:c r="W429" s="469" t="n"/>
    </x:row>
    <x:row r="430" s="36" customFormat="1" ht="42" customHeight="1">
      <x:c r="A430" s="469" t="n"/>
      <x:c r="B430" s="469" t="n"/>
      <x:c r="C430" s="469" t="n"/>
      <x:c r="D430" s="469" t="n"/>
      <x:c r="E430" s="469" t="n"/>
      <x:c r="F430" s="469" t="n"/>
      <x:c r="G430" s="469" t="n"/>
      <x:c r="H430" s="469" t="n"/>
      <x:c r="I430" s="470" t="n"/>
      <x:c r="J430" s="469" t="n"/>
      <x:c r="K430" s="469" t="n"/>
      <x:c r="L430" s="470" t="n"/>
      <x:c r="M430" s="469" t="n"/>
      <x:c r="N430" s="469" t="n"/>
      <x:c r="O430" s="469" t="n"/>
      <x:c r="P430" s="469" t="n"/>
      <x:c r="Q430" s="469" t="n"/>
      <x:c r="R430" s="469" t="n"/>
      <x:c r="S430" s="469" t="n"/>
      <x:c r="T430" s="469" t="n"/>
      <x:c r="U430" s="469" t="n"/>
      <x:c r="V430" s="470" t="n"/>
      <x:c r="W430" s="469" t="n"/>
    </x:row>
    <x:row r="431" s="36" customFormat="1" ht="42" customHeight="1">
      <x:c r="A431" s="469" t="n"/>
      <x:c r="B431" s="469" t="n"/>
      <x:c r="C431" s="469" t="n"/>
      <x:c r="D431" s="469" t="n"/>
      <x:c r="E431" s="469" t="n"/>
      <x:c r="F431" s="469" t="n"/>
      <x:c r="G431" s="469" t="n"/>
      <x:c r="H431" s="469" t="n"/>
      <x:c r="I431" s="470" t="n"/>
      <x:c r="J431" s="469" t="n"/>
      <x:c r="K431" s="469" t="n"/>
      <x:c r="L431" s="470" t="n"/>
      <x:c r="M431" s="469" t="n"/>
      <x:c r="N431" s="469" t="n"/>
      <x:c r="O431" s="469" t="n"/>
      <x:c r="P431" s="469" t="n"/>
      <x:c r="Q431" s="469" t="n"/>
      <x:c r="R431" s="469" t="n"/>
      <x:c r="S431" s="469" t="n"/>
      <x:c r="T431" s="469" t="n"/>
      <x:c r="U431" s="469" t="n"/>
      <x:c r="V431" s="470" t="n"/>
      <x:c r="W431" s="469" t="n"/>
    </x:row>
    <x:row r="432" s="36" customFormat="1" ht="42" customHeight="1">
      <x:c r="A432" s="469" t="n"/>
      <x:c r="B432" s="469" t="n"/>
      <x:c r="C432" s="469" t="n"/>
      <x:c r="D432" s="469" t="n"/>
      <x:c r="E432" s="469" t="n"/>
      <x:c r="F432" s="469" t="n"/>
      <x:c r="G432" s="469" t="n"/>
      <x:c r="H432" s="469" t="n"/>
      <x:c r="I432" s="470" t="n"/>
      <x:c r="J432" s="469" t="n"/>
      <x:c r="K432" s="469" t="n"/>
      <x:c r="L432" s="470" t="n"/>
      <x:c r="M432" s="469" t="n"/>
      <x:c r="N432" s="469" t="n"/>
      <x:c r="O432" s="469" t="n"/>
      <x:c r="P432" s="469" t="n"/>
      <x:c r="Q432" s="469" t="n"/>
      <x:c r="R432" s="469" t="n"/>
      <x:c r="S432" s="469" t="n"/>
      <x:c r="T432" s="469" t="n"/>
      <x:c r="U432" s="469" t="n"/>
      <x:c r="V432" s="470" t="n"/>
      <x:c r="W432" s="469" t="n"/>
    </x:row>
    <x:row r="433" s="36" customFormat="1" ht="42" customHeight="1">
      <x:c r="A433" s="469" t="n"/>
      <x:c r="B433" s="469" t="n"/>
      <x:c r="C433" s="469" t="n"/>
      <x:c r="D433" s="469" t="n"/>
      <x:c r="E433" s="469" t="n"/>
      <x:c r="F433" s="469" t="n"/>
      <x:c r="G433" s="469" t="n"/>
      <x:c r="H433" s="469" t="n"/>
      <x:c r="I433" s="470" t="n"/>
      <x:c r="J433" s="469" t="n"/>
      <x:c r="K433" s="469" t="n"/>
      <x:c r="L433" s="470" t="n"/>
      <x:c r="M433" s="469" t="n"/>
      <x:c r="N433" s="469" t="n"/>
      <x:c r="O433" s="469" t="n"/>
      <x:c r="P433" s="469" t="n"/>
      <x:c r="Q433" s="469" t="n"/>
      <x:c r="R433" s="469" t="n"/>
      <x:c r="S433" s="469" t="n"/>
      <x:c r="T433" s="469" t="n"/>
      <x:c r="U433" s="469" t="n"/>
      <x:c r="V433" s="470" t="n"/>
      <x:c r="W433" s="469" t="n"/>
    </x:row>
    <x:row r="434" s="36" customFormat="1" ht="42" customHeight="1">
      <x:c r="A434" s="469" t="n"/>
      <x:c r="B434" s="469" t="n"/>
      <x:c r="C434" s="469" t="n"/>
      <x:c r="D434" s="469" t="n"/>
      <x:c r="E434" s="469" t="n"/>
      <x:c r="F434" s="469" t="n"/>
      <x:c r="G434" s="469" t="n"/>
      <x:c r="H434" s="469" t="n"/>
      <x:c r="I434" s="470" t="n"/>
      <x:c r="J434" s="469" t="n"/>
      <x:c r="K434" s="469" t="n"/>
      <x:c r="L434" s="470" t="n"/>
      <x:c r="M434" s="469" t="n"/>
      <x:c r="N434" s="469" t="n"/>
      <x:c r="O434" s="469" t="n"/>
      <x:c r="P434" s="469" t="n"/>
      <x:c r="Q434" s="469" t="n"/>
      <x:c r="R434" s="469" t="n"/>
      <x:c r="S434" s="469" t="n"/>
      <x:c r="T434" s="469" t="n"/>
      <x:c r="U434" s="469" t="n"/>
      <x:c r="V434" s="470" t="n"/>
      <x:c r="W434" s="469" t="n"/>
    </x:row>
    <x:row r="435" s="36" customFormat="1" ht="42" customHeight="1">
      <x:c r="A435" s="469" t="n"/>
      <x:c r="B435" s="469" t="n"/>
      <x:c r="C435" s="469" t="n"/>
      <x:c r="D435" s="469" t="n"/>
      <x:c r="E435" s="469" t="n"/>
      <x:c r="F435" s="469" t="n"/>
      <x:c r="G435" s="469" t="n"/>
      <x:c r="H435" s="469" t="n"/>
      <x:c r="I435" s="470" t="n"/>
      <x:c r="J435" s="469" t="n"/>
      <x:c r="K435" s="469" t="n"/>
      <x:c r="L435" s="470" t="n"/>
      <x:c r="M435" s="469" t="n"/>
      <x:c r="N435" s="469" t="n"/>
      <x:c r="O435" s="469" t="n"/>
      <x:c r="P435" s="469" t="n"/>
      <x:c r="Q435" s="469" t="n"/>
      <x:c r="R435" s="469" t="n"/>
      <x:c r="S435" s="469" t="n"/>
      <x:c r="T435" s="469" t="n"/>
      <x:c r="U435" s="469" t="n"/>
      <x:c r="V435" s="470" t="n"/>
      <x:c r="W435" s="469" t="n"/>
    </x:row>
    <x:row r="436" s="36" customFormat="1" ht="42" customHeight="1">
      <x:c r="A436" s="469" t="n"/>
      <x:c r="B436" s="469" t="n"/>
      <x:c r="C436" s="469" t="n"/>
      <x:c r="D436" s="469" t="n"/>
      <x:c r="E436" s="469" t="n"/>
      <x:c r="F436" s="469" t="n"/>
      <x:c r="G436" s="469" t="n"/>
      <x:c r="H436" s="469" t="n"/>
      <x:c r="I436" s="470" t="n"/>
      <x:c r="J436" s="469" t="n"/>
      <x:c r="K436" s="469" t="n"/>
      <x:c r="L436" s="470" t="n"/>
      <x:c r="M436" s="469" t="n"/>
      <x:c r="N436" s="469" t="n"/>
      <x:c r="O436" s="469" t="n"/>
      <x:c r="P436" s="469" t="n"/>
      <x:c r="Q436" s="469" t="n"/>
      <x:c r="R436" s="469" t="n"/>
      <x:c r="S436" s="469" t="n"/>
      <x:c r="T436" s="469" t="n"/>
      <x:c r="U436" s="469" t="n"/>
      <x:c r="V436" s="470" t="n"/>
      <x:c r="W436" s="469" t="n"/>
    </x:row>
    <x:row r="437" s="36" customFormat="1" ht="42" customHeight="1">
      <x:c r="A437" s="469" t="n"/>
      <x:c r="B437" s="469" t="n"/>
      <x:c r="C437" s="469" t="n"/>
      <x:c r="D437" s="469" t="n"/>
      <x:c r="E437" s="469" t="n"/>
      <x:c r="F437" s="469" t="n"/>
      <x:c r="G437" s="469" t="n"/>
      <x:c r="H437" s="469" t="n"/>
      <x:c r="I437" s="470" t="n"/>
      <x:c r="J437" s="469" t="n"/>
      <x:c r="K437" s="469" t="n"/>
      <x:c r="L437" s="470" t="n"/>
      <x:c r="M437" s="469" t="n"/>
      <x:c r="N437" s="469" t="n"/>
      <x:c r="O437" s="469" t="n"/>
      <x:c r="P437" s="469" t="n"/>
      <x:c r="Q437" s="469" t="n"/>
      <x:c r="R437" s="469" t="n"/>
      <x:c r="S437" s="469" t="n"/>
      <x:c r="T437" s="469" t="n"/>
      <x:c r="U437" s="469" t="n"/>
      <x:c r="V437" s="470" t="n"/>
      <x:c r="W437" s="469" t="n"/>
    </x:row>
    <x:row r="438" s="36" customFormat="1" ht="42" customHeight="1">
      <x:c r="A438" s="469" t="n"/>
      <x:c r="B438" s="469" t="n"/>
      <x:c r="C438" s="469" t="n"/>
      <x:c r="D438" s="469" t="n"/>
      <x:c r="E438" s="469" t="n"/>
      <x:c r="F438" s="469" t="n"/>
      <x:c r="G438" s="469" t="n"/>
      <x:c r="H438" s="469" t="n"/>
      <x:c r="I438" s="470" t="n"/>
      <x:c r="J438" s="469" t="n"/>
      <x:c r="K438" s="469" t="n"/>
      <x:c r="L438" s="470" t="n"/>
      <x:c r="M438" s="469" t="n"/>
      <x:c r="N438" s="469" t="n"/>
      <x:c r="O438" s="469" t="n"/>
      <x:c r="P438" s="469" t="n"/>
      <x:c r="Q438" s="469" t="n"/>
      <x:c r="R438" s="469" t="n"/>
      <x:c r="S438" s="469" t="n"/>
      <x:c r="T438" s="469" t="n"/>
      <x:c r="U438" s="469" t="n"/>
      <x:c r="V438" s="470" t="n"/>
      <x:c r="W438" s="469" t="n"/>
    </x:row>
    <x:row r="439" s="36" customFormat="1" ht="42" customHeight="1">
      <x:c r="A439" s="469" t="n"/>
      <x:c r="B439" s="469" t="n"/>
      <x:c r="C439" s="469" t="n"/>
      <x:c r="D439" s="469" t="n"/>
      <x:c r="E439" s="469" t="n"/>
      <x:c r="F439" s="469" t="n"/>
      <x:c r="G439" s="469" t="n"/>
      <x:c r="H439" s="469" t="n"/>
      <x:c r="I439" s="470" t="n"/>
      <x:c r="J439" s="469" t="n"/>
      <x:c r="K439" s="469" t="n"/>
      <x:c r="L439" s="470" t="n"/>
      <x:c r="M439" s="469" t="n"/>
      <x:c r="N439" s="469" t="n"/>
      <x:c r="O439" s="469" t="n"/>
      <x:c r="P439" s="469" t="n"/>
      <x:c r="Q439" s="469" t="n"/>
      <x:c r="R439" s="469" t="n"/>
      <x:c r="S439" s="469" t="n"/>
      <x:c r="T439" s="469" t="n"/>
      <x:c r="U439" s="469" t="n"/>
      <x:c r="V439" s="470" t="n"/>
      <x:c r="W439" s="469" t="n"/>
    </x:row>
    <x:row r="440" s="36" customFormat="1" ht="42" customHeight="1">
      <x:c r="A440" s="469" t="n"/>
      <x:c r="B440" s="469" t="n"/>
      <x:c r="C440" s="469" t="n"/>
      <x:c r="D440" s="469" t="n"/>
      <x:c r="E440" s="469" t="n"/>
      <x:c r="F440" s="469" t="n"/>
      <x:c r="G440" s="469" t="n"/>
      <x:c r="H440" s="469" t="n"/>
      <x:c r="I440" s="470" t="n"/>
      <x:c r="J440" s="469" t="n"/>
      <x:c r="K440" s="469" t="n"/>
      <x:c r="L440" s="470" t="n"/>
      <x:c r="M440" s="469" t="n"/>
      <x:c r="N440" s="469" t="n"/>
      <x:c r="O440" s="469" t="n"/>
      <x:c r="P440" s="469" t="n"/>
      <x:c r="Q440" s="469" t="n"/>
      <x:c r="R440" s="469" t="n"/>
      <x:c r="S440" s="469" t="n"/>
      <x:c r="T440" s="469" t="n"/>
      <x:c r="U440" s="469" t="n"/>
      <x:c r="V440" s="470" t="n"/>
      <x:c r="W440" s="469" t="n"/>
    </x:row>
    <x:row r="441" s="36" customFormat="1" ht="42" customHeight="1">
      <x:c r="A441" s="469" t="n"/>
      <x:c r="B441" s="469" t="n"/>
      <x:c r="C441" s="469" t="n"/>
      <x:c r="D441" s="469" t="n"/>
      <x:c r="E441" s="469" t="n"/>
      <x:c r="F441" s="469" t="n"/>
      <x:c r="G441" s="469" t="n"/>
      <x:c r="H441" s="469" t="n"/>
      <x:c r="I441" s="470" t="n"/>
      <x:c r="J441" s="469" t="n"/>
      <x:c r="K441" s="469" t="n"/>
      <x:c r="L441" s="470" t="n"/>
      <x:c r="M441" s="469" t="n"/>
      <x:c r="N441" s="469" t="n"/>
      <x:c r="O441" s="469" t="n"/>
      <x:c r="P441" s="469" t="n"/>
      <x:c r="Q441" s="469" t="n"/>
      <x:c r="R441" s="469" t="n"/>
      <x:c r="S441" s="469" t="n"/>
      <x:c r="T441" s="469" t="n"/>
      <x:c r="U441" s="469" t="n"/>
      <x:c r="V441" s="470" t="n"/>
      <x:c r="W441" s="469" t="n"/>
    </x:row>
    <x:row r="442" s="36" customFormat="1" ht="42" customHeight="1">
      <x:c r="A442" s="469" t="n"/>
      <x:c r="B442" s="469" t="n"/>
      <x:c r="C442" s="469" t="n"/>
      <x:c r="D442" s="469" t="n"/>
      <x:c r="E442" s="469" t="n"/>
      <x:c r="F442" s="469" t="n"/>
      <x:c r="G442" s="469" t="n"/>
      <x:c r="H442" s="469" t="n"/>
      <x:c r="I442" s="470" t="n"/>
      <x:c r="J442" s="469" t="n"/>
      <x:c r="K442" s="469" t="n"/>
      <x:c r="L442" s="470" t="n"/>
      <x:c r="M442" s="469" t="n"/>
      <x:c r="N442" s="469" t="n"/>
      <x:c r="O442" s="469" t="n"/>
      <x:c r="P442" s="469" t="n"/>
      <x:c r="Q442" s="469" t="n"/>
      <x:c r="R442" s="469" t="n"/>
      <x:c r="S442" s="469" t="n"/>
      <x:c r="T442" s="469" t="n"/>
      <x:c r="U442" s="469" t="n"/>
      <x:c r="V442" s="470" t="n"/>
      <x:c r="W442" s="469" t="n"/>
    </x:row>
    <x:row r="443" s="36" customFormat="1" ht="42" customHeight="1">
      <x:c r="A443" s="469" t="n"/>
      <x:c r="B443" s="469" t="n"/>
      <x:c r="C443" s="469" t="n"/>
      <x:c r="D443" s="469" t="n"/>
      <x:c r="E443" s="469" t="n"/>
      <x:c r="F443" s="469" t="n"/>
      <x:c r="G443" s="469" t="n"/>
      <x:c r="H443" s="469" t="n"/>
      <x:c r="I443" s="470" t="n"/>
      <x:c r="J443" s="469" t="n"/>
      <x:c r="K443" s="469" t="n"/>
      <x:c r="L443" s="470" t="n"/>
      <x:c r="M443" s="469" t="n"/>
      <x:c r="N443" s="469" t="n"/>
      <x:c r="O443" s="469" t="n"/>
      <x:c r="P443" s="469" t="n"/>
      <x:c r="Q443" s="469" t="n"/>
      <x:c r="R443" s="469" t="n"/>
      <x:c r="S443" s="469" t="n"/>
      <x:c r="T443" s="469" t="n"/>
      <x:c r="U443" s="469" t="n"/>
      <x:c r="V443" s="470" t="n"/>
      <x:c r="W443" s="469" t="n"/>
    </x:row>
    <x:row r="444" s="36" customFormat="1" ht="42" customHeight="1">
      <x:c r="A444" s="469" t="n"/>
      <x:c r="B444" s="469" t="n"/>
      <x:c r="C444" s="469" t="n"/>
      <x:c r="D444" s="469" t="n"/>
      <x:c r="E444" s="469" t="n"/>
      <x:c r="F444" s="469" t="n"/>
      <x:c r="G444" s="469" t="n"/>
      <x:c r="H444" s="469" t="n"/>
      <x:c r="I444" s="470" t="n"/>
      <x:c r="J444" s="469" t="n"/>
      <x:c r="K444" s="469" t="n"/>
      <x:c r="L444" s="470" t="n"/>
      <x:c r="M444" s="469" t="n"/>
      <x:c r="N444" s="469" t="n"/>
      <x:c r="O444" s="469" t="n"/>
      <x:c r="P444" s="469" t="n"/>
      <x:c r="Q444" s="469" t="n"/>
      <x:c r="R444" s="469" t="n"/>
      <x:c r="S444" s="469" t="n"/>
      <x:c r="T444" s="469" t="n"/>
      <x:c r="U444" s="469" t="n"/>
      <x:c r="V444" s="470" t="n"/>
      <x:c r="W444" s="469" t="n"/>
    </x:row>
    <x:row r="445" s="36" customFormat="1" ht="42" customHeight="1">
      <x:c r="A445" s="469" t="n"/>
      <x:c r="B445" s="469" t="n"/>
      <x:c r="C445" s="469" t="n"/>
      <x:c r="D445" s="469" t="n"/>
      <x:c r="E445" s="469" t="n"/>
      <x:c r="F445" s="469" t="n"/>
      <x:c r="G445" s="469" t="n"/>
      <x:c r="H445" s="469" t="n"/>
      <x:c r="I445" s="470" t="n"/>
      <x:c r="J445" s="469" t="n"/>
      <x:c r="K445" s="469" t="n"/>
      <x:c r="L445" s="470" t="n"/>
      <x:c r="M445" s="469" t="n"/>
      <x:c r="N445" s="469" t="n"/>
      <x:c r="O445" s="469" t="n"/>
      <x:c r="P445" s="469" t="n"/>
      <x:c r="Q445" s="469" t="n"/>
      <x:c r="R445" s="469" t="n"/>
      <x:c r="S445" s="469" t="n"/>
      <x:c r="T445" s="469" t="n"/>
      <x:c r="U445" s="469" t="n"/>
      <x:c r="V445" s="470" t="n"/>
      <x:c r="W445" s="469" t="n"/>
    </x:row>
    <x:row r="446" s="36" customFormat="1" ht="42" customHeight="1">
      <x:c r="A446" s="469" t="n"/>
      <x:c r="B446" s="469" t="n"/>
      <x:c r="C446" s="469" t="n"/>
      <x:c r="D446" s="469" t="n"/>
      <x:c r="E446" s="469" t="n"/>
      <x:c r="F446" s="469" t="n"/>
      <x:c r="G446" s="469" t="n"/>
      <x:c r="H446" s="469" t="n"/>
      <x:c r="I446" s="470" t="n"/>
      <x:c r="J446" s="469" t="n"/>
      <x:c r="K446" s="469" t="n"/>
      <x:c r="L446" s="470" t="n"/>
      <x:c r="M446" s="469" t="n"/>
      <x:c r="N446" s="469" t="n"/>
      <x:c r="O446" s="469" t="n"/>
      <x:c r="P446" s="469" t="n"/>
      <x:c r="Q446" s="469" t="n"/>
      <x:c r="R446" s="469" t="n"/>
      <x:c r="S446" s="469" t="n"/>
      <x:c r="T446" s="469" t="n"/>
      <x:c r="U446" s="469" t="n"/>
      <x:c r="V446" s="470" t="n"/>
      <x:c r="W446" s="469" t="n"/>
    </x:row>
    <x:row r="447" s="36" customFormat="1" ht="42" customHeight="1">
      <x:c r="A447" s="469" t="n"/>
      <x:c r="B447" s="469" t="n"/>
      <x:c r="C447" s="469" t="n"/>
      <x:c r="D447" s="469" t="n"/>
      <x:c r="E447" s="469" t="n"/>
      <x:c r="F447" s="469" t="n"/>
      <x:c r="G447" s="469" t="n"/>
      <x:c r="H447" s="469" t="n"/>
      <x:c r="I447" s="470" t="n"/>
      <x:c r="J447" s="469" t="n"/>
      <x:c r="K447" s="469" t="n"/>
      <x:c r="L447" s="470" t="n"/>
      <x:c r="M447" s="469" t="n"/>
      <x:c r="N447" s="469" t="n"/>
      <x:c r="O447" s="469" t="n"/>
      <x:c r="P447" s="469" t="n"/>
      <x:c r="Q447" s="469" t="n"/>
      <x:c r="R447" s="469" t="n"/>
      <x:c r="S447" s="469" t="n"/>
      <x:c r="T447" s="469" t="n"/>
      <x:c r="U447" s="469" t="n"/>
      <x:c r="V447" s="470" t="n"/>
      <x:c r="W447" s="469" t="n"/>
    </x:row>
    <x:row r="448" s="36" customFormat="1" ht="42" customHeight="1">
      <x:c r="A448" s="469" t="n"/>
      <x:c r="B448" s="469" t="n"/>
      <x:c r="C448" s="469" t="n"/>
      <x:c r="D448" s="469" t="n"/>
      <x:c r="E448" s="469" t="n"/>
      <x:c r="F448" s="469" t="n"/>
      <x:c r="G448" s="469" t="n"/>
      <x:c r="H448" s="469" t="n"/>
      <x:c r="I448" s="470" t="n"/>
      <x:c r="J448" s="469" t="n"/>
      <x:c r="K448" s="469" t="n"/>
      <x:c r="L448" s="470" t="n"/>
      <x:c r="M448" s="469" t="n"/>
      <x:c r="N448" s="469" t="n"/>
      <x:c r="O448" s="469" t="n"/>
      <x:c r="P448" s="469" t="n"/>
      <x:c r="Q448" s="469" t="n"/>
      <x:c r="R448" s="469" t="n"/>
      <x:c r="S448" s="469" t="n"/>
      <x:c r="T448" s="469" t="n"/>
      <x:c r="U448" s="469" t="n"/>
      <x:c r="V448" s="470" t="n"/>
      <x:c r="W448" s="469" t="n"/>
    </x:row>
    <x:row r="449" s="36" customFormat="1" ht="42" customHeight="1">
      <x:c r="A449" s="469" t="n"/>
      <x:c r="B449" s="469" t="n"/>
      <x:c r="C449" s="469" t="n"/>
      <x:c r="D449" s="469" t="n"/>
      <x:c r="E449" s="469" t="n"/>
      <x:c r="F449" s="469" t="n"/>
      <x:c r="G449" s="469" t="n"/>
      <x:c r="H449" s="469" t="n"/>
      <x:c r="I449" s="470" t="n"/>
      <x:c r="J449" s="469" t="n"/>
      <x:c r="K449" s="469" t="n"/>
      <x:c r="L449" s="470" t="n"/>
      <x:c r="M449" s="469" t="n"/>
      <x:c r="N449" s="469" t="n"/>
      <x:c r="O449" s="469" t="n"/>
      <x:c r="P449" s="469" t="n"/>
      <x:c r="Q449" s="469" t="n"/>
      <x:c r="R449" s="469" t="n"/>
      <x:c r="S449" s="469" t="n"/>
      <x:c r="T449" s="469" t="n"/>
      <x:c r="U449" s="469" t="n"/>
      <x:c r="V449" s="470" t="n"/>
      <x:c r="W449" s="469" t="n"/>
    </x:row>
    <x:row r="450" s="36" customFormat="1" ht="42" customHeight="1">
      <x:c r="A450" s="469" t="n"/>
      <x:c r="B450" s="469" t="n"/>
      <x:c r="C450" s="469" t="n"/>
      <x:c r="D450" s="469" t="n"/>
      <x:c r="E450" s="469" t="n"/>
      <x:c r="F450" s="469" t="n"/>
      <x:c r="G450" s="469" t="n"/>
      <x:c r="H450" s="469" t="n"/>
      <x:c r="I450" s="470" t="n"/>
      <x:c r="J450" s="469" t="n"/>
      <x:c r="K450" s="469" t="n"/>
      <x:c r="L450" s="470" t="n"/>
      <x:c r="M450" s="469" t="n"/>
      <x:c r="N450" s="469" t="n"/>
      <x:c r="O450" s="469" t="n"/>
      <x:c r="P450" s="469" t="n"/>
      <x:c r="Q450" s="469" t="n"/>
      <x:c r="R450" s="469" t="n"/>
      <x:c r="S450" s="469" t="n"/>
      <x:c r="T450" s="469" t="n"/>
      <x:c r="U450" s="469" t="n"/>
      <x:c r="V450" s="470" t="n"/>
      <x:c r="W450" s="469" t="n"/>
    </x:row>
    <x:row r="451" s="36" customFormat="1" ht="42" customHeight="1">
      <x:c r="A451" s="469" t="n"/>
      <x:c r="B451" s="469" t="n"/>
      <x:c r="C451" s="469" t="n"/>
      <x:c r="D451" s="469" t="n"/>
      <x:c r="E451" s="469" t="n"/>
      <x:c r="F451" s="469" t="n"/>
      <x:c r="G451" s="469" t="n"/>
      <x:c r="H451" s="469" t="n"/>
      <x:c r="I451" s="470" t="n"/>
      <x:c r="J451" s="469" t="n"/>
      <x:c r="K451" s="469" t="n"/>
      <x:c r="L451" s="470" t="n"/>
      <x:c r="M451" s="469" t="n"/>
      <x:c r="N451" s="469" t="n"/>
      <x:c r="O451" s="469" t="n"/>
      <x:c r="P451" s="469" t="n"/>
      <x:c r="Q451" s="469" t="n"/>
      <x:c r="R451" s="469" t="n"/>
      <x:c r="S451" s="469" t="n"/>
      <x:c r="T451" s="469" t="n"/>
      <x:c r="U451" s="469" t="n"/>
      <x:c r="V451" s="470" t="n"/>
      <x:c r="W451" s="469" t="n"/>
    </x:row>
    <x:row r="452" s="36" customFormat="1" ht="42" customHeight="1">
      <x:c r="A452" s="469" t="n"/>
      <x:c r="B452" s="469" t="n"/>
      <x:c r="C452" s="469" t="n"/>
      <x:c r="D452" s="469" t="n"/>
      <x:c r="E452" s="469" t="n"/>
      <x:c r="F452" s="469" t="n"/>
      <x:c r="G452" s="469" t="n"/>
      <x:c r="H452" s="469" t="n"/>
      <x:c r="I452" s="470" t="n"/>
      <x:c r="J452" s="469" t="n"/>
      <x:c r="K452" s="469" t="n"/>
      <x:c r="L452" s="470" t="n"/>
      <x:c r="M452" s="469" t="n"/>
      <x:c r="N452" s="469" t="n"/>
      <x:c r="O452" s="469" t="n"/>
      <x:c r="P452" s="469" t="n"/>
      <x:c r="Q452" s="469" t="n"/>
      <x:c r="R452" s="469" t="n"/>
      <x:c r="S452" s="469" t="n"/>
      <x:c r="T452" s="469" t="n"/>
      <x:c r="U452" s="469" t="n"/>
      <x:c r="V452" s="470" t="n"/>
      <x:c r="W452" s="469" t="n"/>
    </x:row>
    <x:row r="453" s="36" customFormat="1" ht="42" customHeight="1">
      <x:c r="A453" s="469" t="n"/>
      <x:c r="B453" s="469" t="n"/>
      <x:c r="C453" s="469" t="n"/>
      <x:c r="D453" s="469" t="n"/>
      <x:c r="E453" s="469" t="n"/>
      <x:c r="F453" s="469" t="n"/>
      <x:c r="G453" s="469" t="n"/>
      <x:c r="H453" s="469" t="n"/>
      <x:c r="I453" s="470" t="n"/>
      <x:c r="J453" s="469" t="n"/>
      <x:c r="K453" s="469" t="n"/>
      <x:c r="L453" s="470" t="n"/>
      <x:c r="M453" s="469" t="n"/>
      <x:c r="N453" s="469" t="n"/>
      <x:c r="O453" s="469" t="n"/>
      <x:c r="P453" s="469" t="n"/>
      <x:c r="Q453" s="469" t="n"/>
      <x:c r="R453" s="469" t="n"/>
      <x:c r="S453" s="469" t="n"/>
      <x:c r="T453" s="469" t="n"/>
      <x:c r="U453" s="469" t="n"/>
      <x:c r="V453" s="470" t="n"/>
      <x:c r="W453" s="469" t="n"/>
    </x:row>
    <x:row r="454" s="36" customFormat="1" ht="42" customHeight="1">
      <x:c r="A454" s="469" t="n"/>
      <x:c r="B454" s="469" t="n"/>
      <x:c r="C454" s="469" t="n"/>
      <x:c r="D454" s="469" t="n"/>
      <x:c r="E454" s="469" t="n"/>
      <x:c r="F454" s="469" t="n"/>
      <x:c r="G454" s="469" t="n"/>
      <x:c r="H454" s="469" t="n"/>
      <x:c r="I454" s="470" t="n"/>
      <x:c r="J454" s="469" t="n"/>
      <x:c r="K454" s="469" t="n"/>
      <x:c r="L454" s="470" t="n"/>
      <x:c r="M454" s="469" t="n"/>
      <x:c r="N454" s="469" t="n"/>
      <x:c r="O454" s="469" t="n"/>
      <x:c r="P454" s="469" t="n"/>
      <x:c r="Q454" s="469" t="n"/>
      <x:c r="R454" s="469" t="n"/>
      <x:c r="S454" s="469" t="n"/>
      <x:c r="T454" s="469" t="n"/>
      <x:c r="U454" s="469" t="n"/>
      <x:c r="V454" s="470" t="n"/>
      <x:c r="W454" s="469" t="n"/>
    </x:row>
    <x:row r="455" s="36" customFormat="1" ht="42" customHeight="1">
      <x:c r="A455" s="469" t="n"/>
      <x:c r="B455" s="469" t="n"/>
      <x:c r="C455" s="469" t="n"/>
      <x:c r="D455" s="469" t="n"/>
      <x:c r="E455" s="469" t="n"/>
      <x:c r="F455" s="469" t="n"/>
      <x:c r="G455" s="469" t="n"/>
      <x:c r="H455" s="469" t="n"/>
      <x:c r="I455" s="470" t="n"/>
      <x:c r="J455" s="469" t="n"/>
      <x:c r="K455" s="469" t="n"/>
      <x:c r="L455" s="470" t="n"/>
      <x:c r="M455" s="469" t="n"/>
      <x:c r="N455" s="469" t="n"/>
      <x:c r="O455" s="469" t="n"/>
      <x:c r="P455" s="469" t="n"/>
      <x:c r="Q455" s="469" t="n"/>
      <x:c r="R455" s="469" t="n"/>
      <x:c r="S455" s="469" t="n"/>
      <x:c r="T455" s="469" t="n"/>
      <x:c r="U455" s="469" t="n"/>
      <x:c r="V455" s="470" t="n"/>
      <x:c r="W455" s="469" t="n"/>
    </x:row>
    <x:row r="456" s="36" customFormat="1" ht="42" customHeight="1">
      <x:c r="A456" s="469" t="n"/>
      <x:c r="B456" s="469" t="n"/>
      <x:c r="C456" s="469" t="n"/>
      <x:c r="D456" s="469" t="n"/>
      <x:c r="E456" s="469" t="n"/>
      <x:c r="F456" s="469" t="n"/>
      <x:c r="G456" s="469" t="n"/>
      <x:c r="H456" s="469" t="n"/>
      <x:c r="I456" s="470" t="n"/>
      <x:c r="J456" s="469" t="n"/>
      <x:c r="K456" s="469" t="n"/>
      <x:c r="L456" s="470" t="n"/>
      <x:c r="M456" s="469" t="n"/>
      <x:c r="N456" s="469" t="n"/>
      <x:c r="O456" s="469" t="n"/>
      <x:c r="P456" s="469" t="n"/>
      <x:c r="Q456" s="469" t="n"/>
      <x:c r="R456" s="469" t="n"/>
      <x:c r="S456" s="469" t="n"/>
      <x:c r="T456" s="469" t="n"/>
      <x:c r="U456" s="469" t="n"/>
      <x:c r="V456" s="470" t="n"/>
      <x:c r="W456" s="469" t="n"/>
    </x:row>
    <x:row r="457" s="36" customFormat="1" ht="42" customHeight="1">
      <x:c r="A457" s="469" t="n"/>
      <x:c r="B457" s="469" t="n"/>
      <x:c r="C457" s="469" t="n"/>
      <x:c r="D457" s="469" t="n"/>
      <x:c r="E457" s="469" t="n"/>
      <x:c r="F457" s="469" t="n"/>
      <x:c r="G457" s="469" t="n"/>
      <x:c r="H457" s="469" t="n"/>
      <x:c r="I457" s="470" t="n"/>
      <x:c r="J457" s="469" t="n"/>
      <x:c r="K457" s="469" t="n"/>
      <x:c r="L457" s="470" t="n"/>
      <x:c r="M457" s="469" t="n"/>
      <x:c r="N457" s="469" t="n"/>
      <x:c r="O457" s="469" t="n"/>
      <x:c r="P457" s="469" t="n"/>
      <x:c r="Q457" s="469" t="n"/>
      <x:c r="R457" s="469" t="n"/>
      <x:c r="S457" s="469" t="n"/>
      <x:c r="T457" s="469" t="n"/>
      <x:c r="U457" s="469" t="n"/>
      <x:c r="V457" s="470" t="n"/>
      <x:c r="W457" s="469" t="n"/>
    </x:row>
    <x:row r="458" s="36" customFormat="1" ht="42" customHeight="1">
      <x:c r="A458" s="469" t="n"/>
      <x:c r="B458" s="469" t="n"/>
      <x:c r="C458" s="469" t="n"/>
      <x:c r="D458" s="469" t="n"/>
      <x:c r="E458" s="469" t="n"/>
      <x:c r="F458" s="469" t="n"/>
      <x:c r="G458" s="469" t="n"/>
      <x:c r="H458" s="469" t="n"/>
      <x:c r="I458" s="470" t="n"/>
      <x:c r="J458" s="469" t="n"/>
      <x:c r="K458" s="469" t="n"/>
      <x:c r="L458" s="470" t="n"/>
      <x:c r="M458" s="469" t="n"/>
      <x:c r="N458" s="469" t="n"/>
      <x:c r="O458" s="469" t="n"/>
      <x:c r="P458" s="469" t="n"/>
      <x:c r="Q458" s="469" t="n"/>
      <x:c r="R458" s="469" t="n"/>
      <x:c r="S458" s="469" t="n"/>
      <x:c r="T458" s="469" t="n"/>
      <x:c r="U458" s="469" t="n"/>
      <x:c r="V458" s="470" t="n"/>
      <x:c r="W458" s="469" t="n"/>
    </x:row>
    <x:row r="459" s="36" customFormat="1" ht="42" customHeight="1">
      <x:c r="A459" s="469" t="n"/>
      <x:c r="B459" s="469" t="n"/>
      <x:c r="C459" s="469" t="n"/>
      <x:c r="D459" s="469" t="n"/>
      <x:c r="E459" s="469" t="n"/>
      <x:c r="F459" s="469" t="n"/>
      <x:c r="G459" s="469" t="n"/>
      <x:c r="H459" s="469" t="n"/>
      <x:c r="I459" s="470" t="n"/>
      <x:c r="J459" s="469" t="n"/>
      <x:c r="K459" s="469" t="n"/>
      <x:c r="L459" s="470" t="n"/>
      <x:c r="M459" s="469" t="n"/>
      <x:c r="N459" s="469" t="n"/>
      <x:c r="O459" s="469" t="n"/>
      <x:c r="P459" s="469" t="n"/>
      <x:c r="Q459" s="469" t="n"/>
      <x:c r="R459" s="469" t="n"/>
      <x:c r="S459" s="469" t="n"/>
      <x:c r="T459" s="469" t="n"/>
      <x:c r="U459" s="469" t="n"/>
      <x:c r="V459" s="470" t="n"/>
      <x:c r="W459" s="469" t="n"/>
    </x:row>
    <x:row r="460" s="36" customFormat="1" ht="42" customHeight="1">
      <x:c r="A460" s="469" t="n"/>
      <x:c r="B460" s="469" t="n"/>
      <x:c r="C460" s="469" t="n"/>
      <x:c r="D460" s="469" t="n"/>
      <x:c r="E460" s="469" t="n"/>
      <x:c r="F460" s="469" t="n"/>
      <x:c r="G460" s="469" t="n"/>
      <x:c r="H460" s="469" t="n"/>
      <x:c r="I460" s="470" t="n"/>
      <x:c r="J460" s="469" t="n"/>
      <x:c r="K460" s="469" t="n"/>
      <x:c r="L460" s="470" t="n"/>
      <x:c r="M460" s="469" t="n"/>
      <x:c r="N460" s="469" t="n"/>
      <x:c r="O460" s="469" t="n"/>
      <x:c r="P460" s="469" t="n"/>
      <x:c r="Q460" s="469" t="n"/>
      <x:c r="R460" s="469" t="n"/>
      <x:c r="S460" s="469" t="n"/>
      <x:c r="T460" s="469" t="n"/>
      <x:c r="U460" s="469" t="n"/>
      <x:c r="V460" s="470" t="n"/>
      <x:c r="W460" s="469" t="n"/>
    </x:row>
    <x:row r="461" s="36" customFormat="1" ht="42" customHeight="1">
      <x:c r="A461" s="469" t="n"/>
      <x:c r="B461" s="469" t="n"/>
      <x:c r="C461" s="469" t="n"/>
      <x:c r="D461" s="469" t="n"/>
      <x:c r="E461" s="469" t="n"/>
      <x:c r="F461" s="469" t="n"/>
      <x:c r="G461" s="469" t="n"/>
      <x:c r="H461" s="469" t="n"/>
      <x:c r="I461" s="470" t="n"/>
      <x:c r="J461" s="469" t="n"/>
      <x:c r="K461" s="469" t="n"/>
      <x:c r="L461" s="470" t="n"/>
      <x:c r="M461" s="469" t="n"/>
      <x:c r="N461" s="469" t="n"/>
      <x:c r="O461" s="469" t="n"/>
      <x:c r="P461" s="469" t="n"/>
      <x:c r="Q461" s="469" t="n"/>
      <x:c r="R461" s="469" t="n"/>
      <x:c r="S461" s="469" t="n"/>
      <x:c r="T461" s="469" t="n"/>
      <x:c r="U461" s="469" t="n"/>
      <x:c r="V461" s="470" t="n"/>
      <x:c r="W461" s="469" t="n"/>
    </x:row>
    <x:row r="462" s="36" customFormat="1" ht="42" customHeight="1">
      <x:c r="A462" s="469" t="n"/>
      <x:c r="B462" s="469" t="n"/>
      <x:c r="C462" s="469" t="n"/>
      <x:c r="D462" s="469" t="n"/>
      <x:c r="E462" s="469" t="n"/>
      <x:c r="F462" s="469" t="n"/>
      <x:c r="G462" s="469" t="n"/>
      <x:c r="H462" s="469" t="n"/>
      <x:c r="I462" s="470" t="n"/>
      <x:c r="J462" s="469" t="n"/>
      <x:c r="K462" s="469" t="n"/>
      <x:c r="L462" s="470" t="n"/>
      <x:c r="M462" s="469" t="n"/>
      <x:c r="N462" s="469" t="n"/>
      <x:c r="O462" s="469" t="n"/>
      <x:c r="P462" s="469" t="n"/>
      <x:c r="Q462" s="469" t="n"/>
      <x:c r="R462" s="469" t="n"/>
      <x:c r="S462" s="469" t="n"/>
      <x:c r="T462" s="469" t="n"/>
      <x:c r="U462" s="469" t="n"/>
      <x:c r="V462" s="470" t="n"/>
      <x:c r="W462" s="469" t="n"/>
    </x:row>
    <x:row r="463" s="36" customFormat="1" ht="42" customHeight="1">
      <x:c r="A463" s="469" t="n"/>
      <x:c r="B463" s="469" t="n"/>
      <x:c r="C463" s="469" t="n"/>
      <x:c r="D463" s="469" t="n"/>
      <x:c r="E463" s="469" t="n"/>
      <x:c r="F463" s="469" t="n"/>
      <x:c r="G463" s="469" t="n"/>
      <x:c r="H463" s="469" t="n"/>
      <x:c r="I463" s="470" t="n"/>
      <x:c r="J463" s="469" t="n"/>
      <x:c r="K463" s="469" t="n"/>
      <x:c r="L463" s="470" t="n"/>
      <x:c r="M463" s="469" t="n"/>
      <x:c r="N463" s="469" t="n"/>
      <x:c r="O463" s="469" t="n"/>
      <x:c r="P463" s="469" t="n"/>
      <x:c r="Q463" s="469" t="n"/>
      <x:c r="R463" s="469" t="n"/>
      <x:c r="S463" s="469" t="n"/>
      <x:c r="T463" s="469" t="n"/>
      <x:c r="U463" s="469" t="n"/>
      <x:c r="V463" s="470" t="n"/>
      <x:c r="W463" s="469" t="n"/>
    </x:row>
    <x:row r="464" s="36" customFormat="1" ht="42" customHeight="1">
      <x:c r="A464" s="469" t="n"/>
      <x:c r="B464" s="469" t="n"/>
      <x:c r="C464" s="469" t="n"/>
      <x:c r="D464" s="469" t="n"/>
      <x:c r="E464" s="469" t="n"/>
      <x:c r="F464" s="469" t="n"/>
      <x:c r="G464" s="469" t="n"/>
      <x:c r="H464" s="469" t="n"/>
      <x:c r="I464" s="470" t="n"/>
      <x:c r="J464" s="469" t="n"/>
      <x:c r="K464" s="469" t="n"/>
      <x:c r="L464" s="470" t="n"/>
      <x:c r="M464" s="469" t="n"/>
      <x:c r="N464" s="469" t="n"/>
      <x:c r="O464" s="469" t="n"/>
      <x:c r="P464" s="469" t="n"/>
      <x:c r="Q464" s="469" t="n"/>
      <x:c r="R464" s="469" t="n"/>
      <x:c r="S464" s="469" t="n"/>
      <x:c r="T464" s="469" t="n"/>
      <x:c r="U464" s="469" t="n"/>
      <x:c r="V464" s="470" t="n"/>
      <x:c r="W464" s="469" t="n"/>
    </x:row>
    <x:row r="465" s="36" customFormat="1" ht="42" customHeight="1">
      <x:c r="A465" s="469" t="n"/>
      <x:c r="B465" s="469" t="n"/>
      <x:c r="C465" s="469" t="n"/>
      <x:c r="D465" s="469" t="n"/>
      <x:c r="E465" s="469" t="n"/>
      <x:c r="F465" s="469" t="n"/>
      <x:c r="G465" s="469" t="n"/>
      <x:c r="H465" s="469" t="n"/>
      <x:c r="I465" s="470" t="n"/>
      <x:c r="J465" s="469" t="n"/>
      <x:c r="K465" s="469" t="n"/>
      <x:c r="L465" s="470" t="n"/>
      <x:c r="M465" s="469" t="n"/>
      <x:c r="N465" s="469" t="n"/>
      <x:c r="O465" s="469" t="n"/>
      <x:c r="P465" s="469" t="n"/>
      <x:c r="Q465" s="469" t="n"/>
      <x:c r="R465" s="469" t="n"/>
      <x:c r="S465" s="469" t="n"/>
      <x:c r="T465" s="469" t="n"/>
      <x:c r="U465" s="469" t="n"/>
      <x:c r="V465" s="470" t="n"/>
      <x:c r="W465" s="469" t="n"/>
    </x:row>
    <x:row r="466" s="36" customFormat="1" ht="42" customHeight="1">
      <x:c r="A466" s="469" t="n"/>
      <x:c r="B466" s="469" t="n"/>
      <x:c r="C466" s="469" t="n"/>
      <x:c r="D466" s="469" t="n"/>
      <x:c r="E466" s="469" t="n"/>
      <x:c r="F466" s="469" t="n"/>
      <x:c r="G466" s="469" t="n"/>
      <x:c r="H466" s="469" t="n"/>
      <x:c r="I466" s="470" t="n"/>
      <x:c r="J466" s="469" t="n"/>
      <x:c r="K466" s="469" t="n"/>
      <x:c r="L466" s="470" t="n"/>
      <x:c r="M466" s="469" t="n"/>
      <x:c r="N466" s="469" t="n"/>
      <x:c r="O466" s="469" t="n"/>
      <x:c r="P466" s="469" t="n"/>
      <x:c r="Q466" s="469" t="n"/>
      <x:c r="R466" s="469" t="n"/>
      <x:c r="S466" s="469" t="n"/>
      <x:c r="T466" s="469" t="n"/>
      <x:c r="U466" s="469" t="n"/>
      <x:c r="V466" s="470" t="n"/>
      <x:c r="W466" s="469" t="n"/>
    </x:row>
    <x:row r="467" s="36" customFormat="1" ht="42" customHeight="1">
      <x:c r="A467" s="469" t="n"/>
      <x:c r="B467" s="469" t="n"/>
      <x:c r="C467" s="469" t="n"/>
      <x:c r="D467" s="469" t="n"/>
      <x:c r="E467" s="469" t="n"/>
      <x:c r="F467" s="469" t="n"/>
      <x:c r="G467" s="469" t="n"/>
      <x:c r="H467" s="469" t="n"/>
      <x:c r="I467" s="470" t="n"/>
      <x:c r="J467" s="469" t="n"/>
      <x:c r="K467" s="469" t="n"/>
      <x:c r="L467" s="470" t="n"/>
      <x:c r="M467" s="469" t="n"/>
      <x:c r="N467" s="469" t="n"/>
      <x:c r="O467" s="469" t="n"/>
      <x:c r="P467" s="469" t="n"/>
      <x:c r="Q467" s="469" t="n"/>
      <x:c r="R467" s="469" t="n"/>
      <x:c r="S467" s="469" t="n"/>
      <x:c r="T467" s="469" t="n"/>
      <x:c r="U467" s="469" t="n"/>
      <x:c r="V467" s="470" t="n"/>
      <x:c r="W467" s="469" t="n"/>
    </x:row>
    <x:row r="468" s="36" customFormat="1" ht="42" customHeight="1">
      <x:c r="A468" s="469" t="n"/>
      <x:c r="B468" s="469" t="n"/>
      <x:c r="C468" s="469" t="n"/>
      <x:c r="D468" s="469" t="n"/>
      <x:c r="E468" s="469" t="n"/>
      <x:c r="F468" s="469" t="n"/>
      <x:c r="G468" s="469" t="n"/>
      <x:c r="H468" s="469" t="n"/>
      <x:c r="I468" s="470" t="n"/>
      <x:c r="J468" s="469" t="n"/>
      <x:c r="K468" s="469" t="n"/>
      <x:c r="L468" s="470" t="n"/>
      <x:c r="M468" s="469" t="n"/>
      <x:c r="N468" s="469" t="n"/>
      <x:c r="O468" s="469" t="n"/>
      <x:c r="P468" s="469" t="n"/>
      <x:c r="Q468" s="469" t="n"/>
      <x:c r="R468" s="469" t="n"/>
      <x:c r="S468" s="469" t="n"/>
      <x:c r="T468" s="469" t="n"/>
      <x:c r="U468" s="469" t="n"/>
      <x:c r="V468" s="470" t="n"/>
      <x:c r="W468" s="469" t="n"/>
    </x:row>
    <x:row r="469" s="36" customFormat="1" ht="42" customHeight="1">
      <x:c r="A469" s="469" t="n"/>
      <x:c r="B469" s="469" t="n"/>
      <x:c r="C469" s="469" t="n"/>
      <x:c r="D469" s="469" t="n"/>
      <x:c r="E469" s="469" t="n"/>
      <x:c r="F469" s="469" t="n"/>
      <x:c r="G469" s="469" t="n"/>
      <x:c r="H469" s="469" t="n"/>
      <x:c r="I469" s="470" t="n"/>
      <x:c r="J469" s="469" t="n"/>
      <x:c r="K469" s="469" t="n"/>
      <x:c r="L469" s="470" t="n"/>
      <x:c r="M469" s="469" t="n"/>
      <x:c r="N469" s="469" t="n"/>
      <x:c r="O469" s="469" t="n"/>
      <x:c r="P469" s="469" t="n"/>
      <x:c r="Q469" s="469" t="n"/>
      <x:c r="R469" s="469" t="n"/>
      <x:c r="S469" s="469" t="n"/>
      <x:c r="T469" s="469" t="n"/>
      <x:c r="U469" s="469" t="n"/>
      <x:c r="V469" s="470" t="n"/>
      <x:c r="W469" s="469" t="n"/>
    </x:row>
    <x:row r="470" s="36" customFormat="1" ht="42" customHeight="1">
      <x:c r="A470" s="469" t="n"/>
      <x:c r="B470" s="469" t="n"/>
      <x:c r="C470" s="469" t="n"/>
      <x:c r="D470" s="469" t="n"/>
      <x:c r="E470" s="469" t="n"/>
      <x:c r="F470" s="469" t="n"/>
      <x:c r="G470" s="469" t="n"/>
      <x:c r="H470" s="469" t="n"/>
      <x:c r="I470" s="470" t="n"/>
      <x:c r="J470" s="469" t="n"/>
      <x:c r="K470" s="469" t="n"/>
      <x:c r="L470" s="470" t="n"/>
      <x:c r="M470" s="469" t="n"/>
      <x:c r="N470" s="469" t="n"/>
      <x:c r="O470" s="469" t="n"/>
      <x:c r="P470" s="469" t="n"/>
      <x:c r="Q470" s="469" t="n"/>
      <x:c r="R470" s="469" t="n"/>
      <x:c r="S470" s="469" t="n"/>
      <x:c r="T470" s="469" t="n"/>
      <x:c r="U470" s="469" t="n"/>
      <x:c r="V470" s="470" t="n"/>
      <x:c r="W470" s="469" t="n"/>
    </x:row>
    <x:row r="471" s="36" customFormat="1" ht="42" customHeight="1">
      <x:c r="A471" s="469" t="n"/>
      <x:c r="B471" s="469" t="n"/>
      <x:c r="C471" s="469" t="n"/>
      <x:c r="D471" s="469" t="n"/>
      <x:c r="E471" s="469" t="n"/>
      <x:c r="F471" s="469" t="n"/>
      <x:c r="G471" s="469" t="n"/>
      <x:c r="H471" s="469" t="n"/>
      <x:c r="I471" s="470" t="n"/>
      <x:c r="J471" s="469" t="n"/>
      <x:c r="K471" s="469" t="n"/>
      <x:c r="L471" s="470" t="n"/>
      <x:c r="M471" s="469" t="n"/>
      <x:c r="N471" s="469" t="n"/>
      <x:c r="O471" s="469" t="n"/>
      <x:c r="P471" s="469" t="n"/>
      <x:c r="Q471" s="469" t="n"/>
      <x:c r="R471" s="469" t="n"/>
      <x:c r="S471" s="469" t="n"/>
      <x:c r="T471" s="469" t="n"/>
      <x:c r="U471" s="469" t="n"/>
      <x:c r="V471" s="470" t="n"/>
      <x:c r="W471" s="469" t="n"/>
    </x:row>
    <x:row r="472" s="36" customFormat="1" ht="42" customHeight="1">
      <x:c r="A472" s="469" t="n"/>
      <x:c r="B472" s="469" t="n"/>
      <x:c r="C472" s="469" t="n"/>
      <x:c r="D472" s="469" t="n"/>
      <x:c r="E472" s="469" t="n"/>
      <x:c r="F472" s="469" t="n"/>
      <x:c r="G472" s="469" t="n"/>
      <x:c r="H472" s="469" t="n"/>
      <x:c r="I472" s="470" t="n"/>
      <x:c r="J472" s="469" t="n"/>
      <x:c r="K472" s="469" t="n"/>
      <x:c r="L472" s="470" t="n"/>
      <x:c r="M472" s="469" t="n"/>
      <x:c r="N472" s="469" t="n"/>
      <x:c r="O472" s="469" t="n"/>
      <x:c r="P472" s="469" t="n"/>
      <x:c r="Q472" s="469" t="n"/>
      <x:c r="R472" s="469" t="n"/>
      <x:c r="S472" s="469" t="n"/>
      <x:c r="T472" s="469" t="n"/>
      <x:c r="U472" s="469" t="n"/>
      <x:c r="V472" s="470" t="n"/>
      <x:c r="W472" s="469" t="n"/>
    </x:row>
    <x:row r="473" s="36" customFormat="1" ht="42" customHeight="1">
      <x:c r="A473" s="469" t="n"/>
      <x:c r="B473" s="469" t="n"/>
      <x:c r="C473" s="469" t="n"/>
      <x:c r="D473" s="469" t="n"/>
      <x:c r="E473" s="469" t="n"/>
      <x:c r="F473" s="469" t="n"/>
      <x:c r="G473" s="469" t="n"/>
      <x:c r="H473" s="469" t="n"/>
      <x:c r="I473" s="470" t="n"/>
      <x:c r="J473" s="469" t="n"/>
      <x:c r="K473" s="469" t="n"/>
      <x:c r="L473" s="470" t="n"/>
      <x:c r="M473" s="469" t="n"/>
      <x:c r="N473" s="469" t="n"/>
      <x:c r="O473" s="469" t="n"/>
      <x:c r="P473" s="469" t="n"/>
      <x:c r="Q473" s="469" t="n"/>
      <x:c r="R473" s="469" t="n"/>
      <x:c r="S473" s="469" t="n"/>
      <x:c r="T473" s="469" t="n"/>
      <x:c r="U473" s="469" t="n"/>
      <x:c r="V473" s="470" t="n"/>
      <x:c r="W473" s="469" t="n"/>
    </x:row>
    <x:row r="474" s="36" customFormat="1" ht="42" customHeight="1">
      <x:c r="A474" s="469" t="n"/>
      <x:c r="B474" s="469" t="n"/>
      <x:c r="C474" s="469" t="n"/>
      <x:c r="D474" s="469" t="n"/>
      <x:c r="E474" s="469" t="n"/>
      <x:c r="F474" s="469" t="n"/>
      <x:c r="G474" s="469" t="n"/>
      <x:c r="H474" s="469" t="n"/>
      <x:c r="I474" s="470" t="n"/>
      <x:c r="J474" s="469" t="n"/>
      <x:c r="K474" s="469" t="n"/>
      <x:c r="L474" s="470" t="n"/>
      <x:c r="M474" s="469" t="n"/>
      <x:c r="N474" s="469" t="n"/>
      <x:c r="O474" s="469" t="n"/>
      <x:c r="P474" s="469" t="n"/>
      <x:c r="Q474" s="469" t="n"/>
      <x:c r="R474" s="469" t="n"/>
      <x:c r="S474" s="469" t="n"/>
      <x:c r="T474" s="469" t="n"/>
      <x:c r="U474" s="469" t="n"/>
      <x:c r="V474" s="470" t="n"/>
      <x:c r="W474" s="469" t="n"/>
    </x:row>
    <x:row r="475" s="36" customFormat="1" ht="42" customHeight="1">
      <x:c r="A475" s="469" t="n"/>
      <x:c r="B475" s="469" t="n"/>
      <x:c r="C475" s="469" t="n"/>
      <x:c r="D475" s="469" t="n"/>
      <x:c r="E475" s="469" t="n"/>
      <x:c r="F475" s="469" t="n"/>
      <x:c r="G475" s="469" t="n"/>
      <x:c r="H475" s="469" t="n"/>
      <x:c r="I475" s="470" t="n"/>
      <x:c r="J475" s="469" t="n"/>
      <x:c r="K475" s="469" t="n"/>
      <x:c r="L475" s="470" t="n"/>
      <x:c r="M475" s="469" t="n"/>
      <x:c r="N475" s="469" t="n"/>
      <x:c r="O475" s="469" t="n"/>
      <x:c r="P475" s="469" t="n"/>
      <x:c r="Q475" s="469" t="n"/>
      <x:c r="R475" s="469" t="n"/>
      <x:c r="S475" s="469" t="n"/>
      <x:c r="T475" s="469" t="n"/>
      <x:c r="U475" s="469" t="n"/>
      <x:c r="V475" s="470" t="n"/>
      <x:c r="W475" s="469" t="n"/>
    </x:row>
    <x:row r="476" s="36" customFormat="1" ht="42" customHeight="1">
      <x:c r="A476" s="469" t="n"/>
      <x:c r="B476" s="469" t="n"/>
      <x:c r="C476" s="469" t="n"/>
      <x:c r="D476" s="469" t="n"/>
      <x:c r="E476" s="469" t="n"/>
      <x:c r="F476" s="469" t="n"/>
      <x:c r="G476" s="469" t="n"/>
      <x:c r="H476" s="469" t="n"/>
      <x:c r="I476" s="470" t="n"/>
      <x:c r="J476" s="469" t="n"/>
      <x:c r="K476" s="469" t="n"/>
      <x:c r="L476" s="470" t="n"/>
      <x:c r="M476" s="469" t="n"/>
      <x:c r="N476" s="469" t="n"/>
      <x:c r="O476" s="469" t="n"/>
      <x:c r="P476" s="469" t="n"/>
      <x:c r="Q476" s="469" t="n"/>
      <x:c r="R476" s="469" t="n"/>
      <x:c r="S476" s="469" t="n"/>
      <x:c r="T476" s="469" t="n"/>
      <x:c r="U476" s="469" t="n"/>
      <x:c r="V476" s="470" t="n"/>
      <x:c r="W476" s="469" t="n"/>
    </x:row>
    <x:row r="477" s="36" customFormat="1" ht="42" customHeight="1">
      <x:c r="A477" s="469" t="n"/>
      <x:c r="B477" s="469" t="n"/>
      <x:c r="C477" s="469" t="n"/>
      <x:c r="D477" s="469" t="n"/>
      <x:c r="E477" s="469" t="n"/>
      <x:c r="F477" s="469" t="n"/>
      <x:c r="G477" s="469" t="n"/>
      <x:c r="H477" s="469" t="n"/>
      <x:c r="I477" s="470" t="n"/>
      <x:c r="J477" s="469" t="n"/>
      <x:c r="K477" s="469" t="n"/>
      <x:c r="L477" s="470" t="n"/>
      <x:c r="M477" s="469" t="n"/>
      <x:c r="N477" s="469" t="n"/>
      <x:c r="O477" s="469" t="n"/>
      <x:c r="P477" s="469" t="n"/>
      <x:c r="Q477" s="469" t="n"/>
      <x:c r="R477" s="469" t="n"/>
      <x:c r="S477" s="469" t="n"/>
      <x:c r="T477" s="469" t="n"/>
      <x:c r="U477" s="469" t="n"/>
      <x:c r="V477" s="470" t="n"/>
      <x:c r="W477" s="469" t="n"/>
    </x:row>
    <x:row r="478" s="36" customFormat="1" ht="42" customHeight="1">
      <x:c r="A478" s="469" t="n"/>
      <x:c r="B478" s="469" t="n"/>
      <x:c r="C478" s="469" t="n"/>
      <x:c r="D478" s="469" t="n"/>
      <x:c r="E478" s="469" t="n"/>
      <x:c r="F478" s="469" t="n"/>
      <x:c r="G478" s="469" t="n"/>
      <x:c r="H478" s="469" t="n"/>
      <x:c r="I478" s="470" t="n"/>
      <x:c r="J478" s="469" t="n"/>
      <x:c r="K478" s="469" t="n"/>
      <x:c r="L478" s="470" t="n"/>
      <x:c r="M478" s="469" t="n"/>
      <x:c r="N478" s="469" t="n"/>
      <x:c r="O478" s="469" t="n"/>
      <x:c r="P478" s="469" t="n"/>
      <x:c r="Q478" s="469" t="n"/>
      <x:c r="R478" s="469" t="n"/>
      <x:c r="S478" s="469" t="n"/>
      <x:c r="T478" s="469" t="n"/>
      <x:c r="U478" s="469" t="n"/>
      <x:c r="V478" s="470" t="n"/>
      <x:c r="W478" s="469" t="n"/>
    </x:row>
    <x:row r="479" s="36" customFormat="1" ht="42" customHeight="1">
      <x:c r="A479" s="469" t="n"/>
      <x:c r="B479" s="469" t="n"/>
      <x:c r="C479" s="469" t="n"/>
      <x:c r="D479" s="469" t="n"/>
      <x:c r="E479" s="469" t="n"/>
      <x:c r="F479" s="469" t="n"/>
      <x:c r="G479" s="469" t="n"/>
      <x:c r="H479" s="469" t="n"/>
      <x:c r="I479" s="470" t="n"/>
      <x:c r="J479" s="469" t="n"/>
      <x:c r="K479" s="469" t="n"/>
      <x:c r="L479" s="470" t="n"/>
      <x:c r="M479" s="469" t="n"/>
      <x:c r="N479" s="469" t="n"/>
      <x:c r="O479" s="469" t="n"/>
      <x:c r="P479" s="469" t="n"/>
      <x:c r="Q479" s="469" t="n"/>
      <x:c r="R479" s="469" t="n"/>
      <x:c r="S479" s="469" t="n"/>
      <x:c r="T479" s="469" t="n"/>
      <x:c r="U479" s="469" t="n"/>
      <x:c r="V479" s="470" t="n"/>
      <x:c r="W479" s="469" t="n"/>
    </x:row>
    <x:row r="480" s="36" customFormat="1" ht="42" customHeight="1">
      <x:c r="A480" s="469" t="n"/>
      <x:c r="B480" s="469" t="n"/>
      <x:c r="C480" s="469" t="n"/>
      <x:c r="D480" s="469" t="n"/>
      <x:c r="E480" s="469" t="n"/>
      <x:c r="F480" s="469" t="n"/>
      <x:c r="G480" s="469" t="n"/>
      <x:c r="H480" s="469" t="n"/>
      <x:c r="I480" s="470" t="n"/>
      <x:c r="J480" s="469" t="n"/>
      <x:c r="K480" s="469" t="n"/>
      <x:c r="L480" s="470" t="n"/>
      <x:c r="M480" s="469" t="n"/>
      <x:c r="N480" s="469" t="n"/>
      <x:c r="O480" s="469" t="n"/>
      <x:c r="P480" s="469" t="n"/>
      <x:c r="Q480" s="469" t="n"/>
      <x:c r="R480" s="469" t="n"/>
      <x:c r="S480" s="469" t="n"/>
      <x:c r="T480" s="469" t="n"/>
      <x:c r="U480" s="469" t="n"/>
      <x:c r="V480" s="470" t="n"/>
      <x:c r="W480" s="469" t="n"/>
    </x:row>
    <x:row r="481" s="36" customFormat="1" ht="42" customHeight="1">
      <x:c r="A481" s="469" t="n"/>
      <x:c r="B481" s="469" t="n"/>
      <x:c r="C481" s="469" t="n"/>
      <x:c r="D481" s="469" t="n"/>
      <x:c r="E481" s="469" t="n"/>
      <x:c r="F481" s="469" t="n"/>
      <x:c r="G481" s="469" t="n"/>
      <x:c r="H481" s="469" t="n"/>
      <x:c r="I481" s="470" t="n"/>
      <x:c r="J481" s="469" t="n"/>
      <x:c r="K481" s="469" t="n"/>
      <x:c r="L481" s="470" t="n"/>
      <x:c r="M481" s="469" t="n"/>
      <x:c r="N481" s="469" t="n"/>
      <x:c r="O481" s="469" t="n"/>
      <x:c r="P481" s="469" t="n"/>
      <x:c r="Q481" s="469" t="n"/>
      <x:c r="R481" s="469" t="n"/>
      <x:c r="S481" s="469" t="n"/>
      <x:c r="T481" s="469" t="n"/>
      <x:c r="U481" s="469" t="n"/>
      <x:c r="V481" s="470" t="n"/>
      <x:c r="W481" s="469" t="n"/>
    </x:row>
    <x:row r="482" s="36" customFormat="1" ht="42" customHeight="1">
      <x:c r="A482" s="469" t="n"/>
      <x:c r="B482" s="469" t="n"/>
      <x:c r="C482" s="469" t="n"/>
      <x:c r="D482" s="469" t="n"/>
      <x:c r="E482" s="469" t="n"/>
      <x:c r="F482" s="469" t="n"/>
      <x:c r="G482" s="469" t="n"/>
      <x:c r="H482" s="469" t="n"/>
      <x:c r="I482" s="470" t="n"/>
      <x:c r="J482" s="469" t="n"/>
      <x:c r="K482" s="469" t="n"/>
      <x:c r="L482" s="470" t="n"/>
      <x:c r="M482" s="469" t="n"/>
      <x:c r="N482" s="469" t="n"/>
      <x:c r="O482" s="469" t="n"/>
      <x:c r="P482" s="469" t="n"/>
      <x:c r="Q482" s="469" t="n"/>
      <x:c r="R482" s="469" t="n"/>
      <x:c r="S482" s="469" t="n"/>
      <x:c r="T482" s="469" t="n"/>
      <x:c r="U482" s="469" t="n"/>
      <x:c r="V482" s="470" t="n"/>
      <x:c r="W482" s="469" t="n"/>
    </x:row>
    <x:row r="483" s="36" customFormat="1" ht="42" customHeight="1">
      <x:c r="A483" s="469" t="n"/>
      <x:c r="B483" s="469" t="n"/>
      <x:c r="C483" s="469" t="n"/>
      <x:c r="D483" s="469" t="n"/>
      <x:c r="E483" s="469" t="n"/>
      <x:c r="F483" s="469" t="n"/>
      <x:c r="G483" s="469" t="n"/>
      <x:c r="H483" s="469" t="n"/>
      <x:c r="I483" s="470" t="n"/>
      <x:c r="J483" s="469" t="n"/>
      <x:c r="K483" s="469" t="n"/>
      <x:c r="L483" s="470" t="n"/>
      <x:c r="M483" s="469" t="n"/>
      <x:c r="N483" s="469" t="n"/>
      <x:c r="O483" s="469" t="n"/>
      <x:c r="P483" s="469" t="n"/>
      <x:c r="Q483" s="469" t="n"/>
      <x:c r="R483" s="469" t="n"/>
      <x:c r="S483" s="469" t="n"/>
      <x:c r="T483" s="469" t="n"/>
      <x:c r="U483" s="469" t="n"/>
      <x:c r="V483" s="470" t="n"/>
      <x:c r="W483" s="469" t="n"/>
    </x:row>
    <x:row r="484" s="36" customFormat="1" ht="42" customHeight="1">
      <x:c r="A484" s="469" t="n"/>
      <x:c r="B484" s="469" t="n"/>
      <x:c r="C484" s="469" t="n"/>
      <x:c r="D484" s="469" t="n"/>
      <x:c r="E484" s="469" t="n"/>
      <x:c r="F484" s="469" t="n"/>
      <x:c r="G484" s="469" t="n"/>
      <x:c r="H484" s="469" t="n"/>
      <x:c r="I484" s="470" t="n"/>
      <x:c r="J484" s="469" t="n"/>
      <x:c r="K484" s="469" t="n"/>
      <x:c r="L484" s="470" t="n"/>
      <x:c r="M484" s="469" t="n"/>
      <x:c r="N484" s="469" t="n"/>
      <x:c r="O484" s="469" t="n"/>
      <x:c r="P484" s="469" t="n"/>
      <x:c r="Q484" s="469" t="n"/>
      <x:c r="R484" s="469" t="n"/>
      <x:c r="S484" s="469" t="n"/>
      <x:c r="T484" s="469" t="n"/>
      <x:c r="U484" s="469" t="n"/>
      <x:c r="V484" s="470" t="n"/>
      <x:c r="W484" s="469" t="n"/>
    </x:row>
    <x:row r="485" s="36" customFormat="1" ht="42" customHeight="1">
      <x:c r="A485" s="469" t="n"/>
      <x:c r="B485" s="469" t="n"/>
      <x:c r="C485" s="469" t="n"/>
      <x:c r="D485" s="469" t="n"/>
      <x:c r="E485" s="469" t="n"/>
      <x:c r="F485" s="469" t="n"/>
      <x:c r="G485" s="469" t="n"/>
      <x:c r="H485" s="469" t="n"/>
      <x:c r="I485" s="470" t="n"/>
      <x:c r="J485" s="469" t="n"/>
      <x:c r="K485" s="469" t="n"/>
      <x:c r="L485" s="470" t="n"/>
      <x:c r="M485" s="469" t="n"/>
      <x:c r="N485" s="469" t="n"/>
      <x:c r="O485" s="469" t="n"/>
      <x:c r="P485" s="469" t="n"/>
      <x:c r="Q485" s="469" t="n"/>
      <x:c r="R485" s="469" t="n"/>
      <x:c r="S485" s="469" t="n"/>
      <x:c r="T485" s="469" t="n"/>
      <x:c r="U485" s="469" t="n"/>
      <x:c r="V485" s="470" t="n"/>
      <x:c r="W485" s="469" t="n"/>
    </x:row>
    <x:row r="486" s="36" customFormat="1" ht="42" customHeight="1">
      <x:c r="A486" s="469" t="n"/>
      <x:c r="B486" s="469" t="n"/>
      <x:c r="C486" s="469" t="n"/>
      <x:c r="D486" s="469" t="n"/>
      <x:c r="E486" s="469" t="n"/>
      <x:c r="F486" s="469" t="n"/>
      <x:c r="G486" s="469" t="n"/>
      <x:c r="H486" s="469" t="n"/>
      <x:c r="I486" s="470" t="n"/>
      <x:c r="J486" s="469" t="n"/>
      <x:c r="K486" s="469" t="n"/>
      <x:c r="L486" s="470" t="n"/>
      <x:c r="M486" s="469" t="n"/>
      <x:c r="N486" s="469" t="n"/>
      <x:c r="O486" s="469" t="n"/>
      <x:c r="P486" s="469" t="n"/>
      <x:c r="Q486" s="469" t="n"/>
      <x:c r="R486" s="469" t="n"/>
      <x:c r="S486" s="469" t="n"/>
      <x:c r="T486" s="469" t="n"/>
      <x:c r="U486" s="469" t="n"/>
      <x:c r="V486" s="470" t="n"/>
      <x:c r="W486" s="469" t="n"/>
    </x:row>
    <x:row r="487" s="36" customFormat="1" ht="42" customHeight="1">
      <x:c r="A487" s="469" t="n"/>
      <x:c r="B487" s="469" t="n"/>
      <x:c r="C487" s="469" t="n"/>
      <x:c r="D487" s="469" t="n"/>
      <x:c r="E487" s="469" t="n"/>
      <x:c r="F487" s="469" t="n"/>
      <x:c r="G487" s="469" t="n"/>
      <x:c r="H487" s="469" t="n"/>
      <x:c r="I487" s="470" t="n"/>
      <x:c r="J487" s="469" t="n"/>
      <x:c r="K487" s="469" t="n"/>
      <x:c r="L487" s="470" t="n"/>
      <x:c r="M487" s="469" t="n"/>
      <x:c r="N487" s="469" t="n"/>
      <x:c r="O487" s="469" t="n"/>
      <x:c r="P487" s="469" t="n"/>
      <x:c r="Q487" s="469" t="n"/>
      <x:c r="R487" s="469" t="n"/>
      <x:c r="S487" s="469" t="n"/>
      <x:c r="T487" s="469" t="n"/>
      <x:c r="U487" s="469" t="n"/>
      <x:c r="V487" s="470" t="n"/>
      <x:c r="W487" s="469" t="n"/>
    </x:row>
    <x:row r="488" s="36" customFormat="1" ht="42" customHeight="1">
      <x:c r="A488" s="469" t="n"/>
      <x:c r="B488" s="469" t="n"/>
      <x:c r="C488" s="469" t="n"/>
      <x:c r="D488" s="469" t="n"/>
      <x:c r="E488" s="469" t="n"/>
      <x:c r="F488" s="469" t="n"/>
      <x:c r="G488" s="469" t="n"/>
      <x:c r="H488" s="469" t="n"/>
      <x:c r="I488" s="470" t="n"/>
      <x:c r="J488" s="469" t="n"/>
      <x:c r="K488" s="469" t="n"/>
      <x:c r="L488" s="470" t="n"/>
      <x:c r="M488" s="469" t="n"/>
      <x:c r="N488" s="469" t="n"/>
      <x:c r="O488" s="469" t="n"/>
      <x:c r="P488" s="469" t="n"/>
      <x:c r="Q488" s="469" t="n"/>
      <x:c r="R488" s="469" t="n"/>
      <x:c r="S488" s="469" t="n"/>
      <x:c r="T488" s="469" t="n"/>
      <x:c r="U488" s="469" t="n"/>
      <x:c r="V488" s="470" t="n"/>
      <x:c r="W488" s="469" t="n"/>
    </x:row>
    <x:row r="489" s="36" customFormat="1" ht="42" customHeight="1">
      <x:c r="A489" s="469" t="n"/>
      <x:c r="B489" s="469" t="n"/>
      <x:c r="C489" s="469" t="n"/>
      <x:c r="D489" s="469" t="n"/>
      <x:c r="E489" s="469" t="n"/>
      <x:c r="F489" s="469" t="n"/>
      <x:c r="G489" s="469" t="n"/>
      <x:c r="H489" s="469" t="n"/>
      <x:c r="I489" s="470" t="n"/>
      <x:c r="J489" s="469" t="n"/>
      <x:c r="K489" s="469" t="n"/>
      <x:c r="L489" s="470" t="n"/>
      <x:c r="M489" s="469" t="n"/>
      <x:c r="N489" s="469" t="n"/>
      <x:c r="O489" s="469" t="n"/>
      <x:c r="P489" s="469" t="n"/>
      <x:c r="Q489" s="469" t="n"/>
      <x:c r="R489" s="469" t="n"/>
      <x:c r="S489" s="469" t="n"/>
      <x:c r="T489" s="469" t="n"/>
      <x:c r="U489" s="469" t="n"/>
      <x:c r="V489" s="470" t="n"/>
      <x:c r="W489" s="469" t="n"/>
    </x:row>
    <x:row r="490" s="36" customFormat="1" ht="42" customHeight="1">
      <x:c r="A490" s="469" t="n"/>
      <x:c r="B490" s="469" t="n"/>
      <x:c r="C490" s="469" t="n"/>
      <x:c r="D490" s="469" t="n"/>
      <x:c r="E490" s="469" t="n"/>
      <x:c r="F490" s="469" t="n"/>
      <x:c r="G490" s="469" t="n"/>
      <x:c r="H490" s="469" t="n"/>
      <x:c r="I490" s="470" t="n"/>
      <x:c r="J490" s="469" t="n"/>
      <x:c r="K490" s="469" t="n"/>
      <x:c r="L490" s="470" t="n"/>
      <x:c r="M490" s="469" t="n"/>
      <x:c r="N490" s="469" t="n"/>
      <x:c r="O490" s="469" t="n"/>
      <x:c r="P490" s="469" t="n"/>
      <x:c r="Q490" s="469" t="n"/>
      <x:c r="R490" s="469" t="n"/>
      <x:c r="S490" s="469" t="n"/>
      <x:c r="T490" s="469" t="n"/>
      <x:c r="U490" s="469" t="n"/>
      <x:c r="V490" s="470" t="n"/>
      <x:c r="W490" s="469" t="n"/>
    </x:row>
    <x:row r="491" s="36" customFormat="1" ht="42" customHeight="1">
      <x:c r="A491" s="469" t="n"/>
      <x:c r="B491" s="469" t="n"/>
      <x:c r="C491" s="469" t="n"/>
      <x:c r="D491" s="469" t="n"/>
      <x:c r="E491" s="469" t="n"/>
      <x:c r="F491" s="469" t="n"/>
      <x:c r="G491" s="469" t="n"/>
      <x:c r="H491" s="469" t="n"/>
      <x:c r="I491" s="470" t="n"/>
      <x:c r="J491" s="469" t="n"/>
      <x:c r="K491" s="469" t="n"/>
      <x:c r="L491" s="470" t="n"/>
      <x:c r="M491" s="469" t="n"/>
      <x:c r="N491" s="469" t="n"/>
      <x:c r="O491" s="469" t="n"/>
      <x:c r="P491" s="469" t="n"/>
      <x:c r="Q491" s="469" t="n"/>
      <x:c r="R491" s="469" t="n"/>
      <x:c r="S491" s="469" t="n"/>
      <x:c r="T491" s="469" t="n"/>
      <x:c r="U491" s="469" t="n"/>
      <x:c r="V491" s="470" t="n"/>
      <x:c r="W491" s="469" t="n"/>
    </x:row>
    <x:row r="492" s="36" customFormat="1" ht="42" customHeight="1">
      <x:c r="A492" s="469" t="n"/>
      <x:c r="B492" s="469" t="n"/>
      <x:c r="C492" s="469" t="n"/>
      <x:c r="D492" s="469" t="n"/>
      <x:c r="E492" s="469" t="n"/>
      <x:c r="F492" s="469" t="n"/>
      <x:c r="G492" s="469" t="n"/>
      <x:c r="H492" s="469" t="n"/>
      <x:c r="I492" s="470" t="n"/>
      <x:c r="J492" s="469" t="n"/>
      <x:c r="K492" s="469" t="n"/>
      <x:c r="L492" s="470" t="n"/>
      <x:c r="M492" s="469" t="n"/>
      <x:c r="N492" s="469" t="n"/>
      <x:c r="O492" s="469" t="n"/>
      <x:c r="P492" s="469" t="n"/>
      <x:c r="Q492" s="469" t="n"/>
      <x:c r="R492" s="469" t="n"/>
      <x:c r="S492" s="469" t="n"/>
      <x:c r="T492" s="469" t="n"/>
      <x:c r="U492" s="469" t="n"/>
      <x:c r="V492" s="470" t="n"/>
      <x:c r="W492" s="469" t="n"/>
    </x:row>
    <x:row r="493" s="36" customFormat="1" ht="42" customHeight="1">
      <x:c r="A493" s="469" t="n"/>
      <x:c r="B493" s="469" t="n"/>
      <x:c r="C493" s="469" t="n"/>
      <x:c r="D493" s="469" t="n"/>
      <x:c r="E493" s="469" t="n"/>
      <x:c r="F493" s="469" t="n"/>
      <x:c r="G493" s="469" t="n"/>
      <x:c r="H493" s="469" t="n"/>
      <x:c r="I493" s="470" t="n"/>
      <x:c r="J493" s="469" t="n"/>
      <x:c r="K493" s="469" t="n"/>
      <x:c r="L493" s="470" t="n"/>
      <x:c r="M493" s="469" t="n"/>
      <x:c r="N493" s="469" t="n"/>
      <x:c r="O493" s="469" t="n"/>
      <x:c r="P493" s="469" t="n"/>
      <x:c r="Q493" s="469" t="n"/>
      <x:c r="R493" s="469" t="n"/>
      <x:c r="S493" s="469" t="n"/>
      <x:c r="T493" s="469" t="n"/>
      <x:c r="U493" s="469" t="n"/>
      <x:c r="V493" s="470" t="n"/>
      <x:c r="W493" s="469" t="n"/>
    </x:row>
    <x:row r="494" s="36" customFormat="1" ht="42" customHeight="1">
      <x:c r="A494" s="469" t="n"/>
      <x:c r="B494" s="469" t="n"/>
      <x:c r="C494" s="469" t="n"/>
      <x:c r="D494" s="469" t="n"/>
      <x:c r="E494" s="469" t="n"/>
      <x:c r="F494" s="469" t="n"/>
      <x:c r="G494" s="469" t="n"/>
      <x:c r="H494" s="469" t="n"/>
      <x:c r="I494" s="470" t="n"/>
      <x:c r="J494" s="469" t="n"/>
      <x:c r="K494" s="469" t="n"/>
      <x:c r="L494" s="470" t="n"/>
      <x:c r="M494" s="469" t="n"/>
      <x:c r="N494" s="469" t="n"/>
      <x:c r="O494" s="469" t="n"/>
      <x:c r="P494" s="469" t="n"/>
      <x:c r="Q494" s="469" t="n"/>
      <x:c r="R494" s="469" t="n"/>
      <x:c r="S494" s="469" t="n"/>
      <x:c r="T494" s="469" t="n"/>
      <x:c r="U494" s="469" t="n"/>
      <x:c r="V494" s="470" t="n"/>
      <x:c r="W494" s="469" t="n"/>
    </x:row>
    <x:row r="495" s="36" customFormat="1" ht="42" customHeight="1">
      <x:c r="A495" s="469" t="n"/>
      <x:c r="B495" s="469" t="n"/>
      <x:c r="C495" s="469" t="n"/>
      <x:c r="D495" s="469" t="n"/>
      <x:c r="E495" s="469" t="n"/>
      <x:c r="F495" s="469" t="n"/>
      <x:c r="G495" s="469" t="n"/>
      <x:c r="H495" s="469" t="n"/>
      <x:c r="I495" s="470" t="n"/>
      <x:c r="J495" s="469" t="n"/>
      <x:c r="K495" s="469" t="n"/>
      <x:c r="L495" s="470" t="n"/>
      <x:c r="M495" s="469" t="n"/>
      <x:c r="N495" s="469" t="n"/>
      <x:c r="O495" s="469" t="n"/>
      <x:c r="P495" s="469" t="n"/>
      <x:c r="Q495" s="469" t="n"/>
      <x:c r="R495" s="469" t="n"/>
      <x:c r="S495" s="469" t="n"/>
      <x:c r="T495" s="469" t="n"/>
      <x:c r="U495" s="469" t="n"/>
      <x:c r="V495" s="470" t="n"/>
      <x:c r="W495" s="469" t="n"/>
    </x:row>
    <x:row r="496" s="36" customFormat="1" ht="42" customHeight="1">
      <x:c r="A496" s="469" t="n"/>
      <x:c r="B496" s="469" t="n"/>
      <x:c r="C496" s="469" t="n"/>
      <x:c r="D496" s="469" t="n"/>
      <x:c r="E496" s="469" t="n"/>
      <x:c r="F496" s="469" t="n"/>
      <x:c r="G496" s="469" t="n"/>
      <x:c r="H496" s="469" t="n"/>
      <x:c r="I496" s="470" t="n"/>
      <x:c r="J496" s="469" t="n"/>
      <x:c r="K496" s="469" t="n"/>
      <x:c r="L496" s="470" t="n"/>
      <x:c r="M496" s="469" t="n"/>
      <x:c r="N496" s="469" t="n"/>
      <x:c r="O496" s="469" t="n"/>
      <x:c r="P496" s="469" t="n"/>
      <x:c r="Q496" s="469" t="n"/>
      <x:c r="R496" s="469" t="n"/>
      <x:c r="S496" s="469" t="n"/>
      <x:c r="T496" s="469" t="n"/>
      <x:c r="U496" s="469" t="n"/>
      <x:c r="V496" s="470" t="n"/>
      <x:c r="W496" s="469" t="n"/>
    </x:row>
    <x:row r="497" s="36" customFormat="1" ht="42" customHeight="1">
      <x:c r="A497" s="469" t="n"/>
      <x:c r="B497" s="469" t="n"/>
      <x:c r="C497" s="469" t="n"/>
      <x:c r="D497" s="469" t="n"/>
      <x:c r="E497" s="469" t="n"/>
      <x:c r="F497" s="469" t="n"/>
      <x:c r="G497" s="469" t="n"/>
      <x:c r="H497" s="469" t="n"/>
      <x:c r="I497" s="470" t="n"/>
      <x:c r="J497" s="469" t="n"/>
      <x:c r="K497" s="469" t="n"/>
      <x:c r="L497" s="470" t="n"/>
      <x:c r="M497" s="469" t="n"/>
      <x:c r="N497" s="469" t="n"/>
      <x:c r="O497" s="469" t="n"/>
      <x:c r="P497" s="469" t="n"/>
      <x:c r="Q497" s="469" t="n"/>
      <x:c r="R497" s="469" t="n"/>
      <x:c r="S497" s="469" t="n"/>
      <x:c r="T497" s="469" t="n"/>
      <x:c r="U497" s="469" t="n"/>
      <x:c r="V497" s="470" t="n"/>
      <x:c r="W497" s="469" t="n"/>
    </x:row>
    <x:row r="498" s="36" customFormat="1" ht="42" customHeight="1">
      <x:c r="A498" s="469" t="n"/>
      <x:c r="B498" s="469" t="n"/>
      <x:c r="C498" s="469" t="n"/>
      <x:c r="D498" s="469" t="n"/>
      <x:c r="E498" s="469" t="n"/>
      <x:c r="F498" s="469" t="n"/>
      <x:c r="G498" s="469" t="n"/>
      <x:c r="H498" s="469" t="n"/>
      <x:c r="I498" s="470" t="n"/>
      <x:c r="J498" s="469" t="n"/>
      <x:c r="K498" s="469" t="n"/>
      <x:c r="L498" s="470" t="n"/>
      <x:c r="M498" s="469" t="n"/>
      <x:c r="N498" s="469" t="n"/>
      <x:c r="O498" s="469" t="n"/>
      <x:c r="P498" s="469" t="n"/>
      <x:c r="Q498" s="469" t="n"/>
      <x:c r="R498" s="469" t="n"/>
      <x:c r="S498" s="469" t="n"/>
      <x:c r="T498" s="469" t="n"/>
      <x:c r="U498" s="469" t="n"/>
      <x:c r="V498" s="470" t="n"/>
      <x:c r="W498" s="469" t="n"/>
    </x:row>
    <x:row r="499" s="36" customFormat="1" ht="42" customHeight="1">
      <x:c r="A499" s="469" t="n"/>
      <x:c r="B499" s="469" t="n"/>
      <x:c r="C499" s="469" t="n"/>
      <x:c r="D499" s="469" t="n"/>
      <x:c r="E499" s="469" t="n"/>
      <x:c r="F499" s="469" t="n"/>
      <x:c r="G499" s="469" t="n"/>
      <x:c r="H499" s="469" t="n"/>
      <x:c r="I499" s="470" t="n"/>
      <x:c r="J499" s="469" t="n"/>
      <x:c r="K499" s="469" t="n"/>
      <x:c r="L499" s="470" t="n"/>
      <x:c r="M499" s="469" t="n"/>
      <x:c r="N499" s="469" t="n"/>
      <x:c r="O499" s="469" t="n"/>
      <x:c r="P499" s="469" t="n"/>
      <x:c r="Q499" s="469" t="n"/>
      <x:c r="R499" s="469" t="n"/>
      <x:c r="S499" s="469" t="n"/>
      <x:c r="T499" s="469" t="n"/>
      <x:c r="U499" s="469" t="n"/>
      <x:c r="V499" s="470" t="n"/>
      <x:c r="W499" s="469" t="n"/>
    </x:row>
    <x:row r="500" s="36" customFormat="1" ht="42" customHeight="1">
      <x:c r="A500" s="469" t="n"/>
      <x:c r="B500" s="469" t="n"/>
      <x:c r="C500" s="469" t="n"/>
      <x:c r="D500" s="469" t="n"/>
      <x:c r="E500" s="469" t="n"/>
      <x:c r="F500" s="469" t="n"/>
      <x:c r="G500" s="469" t="n"/>
      <x:c r="H500" s="469" t="n"/>
      <x:c r="I500" s="470" t="n"/>
      <x:c r="J500" s="469" t="n"/>
      <x:c r="K500" s="469" t="n"/>
      <x:c r="L500" s="470" t="n"/>
      <x:c r="M500" s="469" t="n"/>
      <x:c r="N500" s="469" t="n"/>
      <x:c r="O500" s="469" t="n"/>
      <x:c r="P500" s="469" t="n"/>
      <x:c r="Q500" s="469" t="n"/>
      <x:c r="R500" s="469" t="n"/>
      <x:c r="S500" s="469" t="n"/>
      <x:c r="T500" s="469" t="n"/>
      <x:c r="U500" s="469" t="n"/>
      <x:c r="V500" s="470" t="n"/>
      <x:c r="W500" s="469" t="n"/>
    </x:row>
    <x:row r="501" s="36" customFormat="1" ht="42" customHeight="1">
      <x:c r="A501" s="469" t="n"/>
      <x:c r="B501" s="469" t="n"/>
      <x:c r="C501" s="469" t="n"/>
      <x:c r="D501" s="469" t="n"/>
      <x:c r="E501" s="469" t="n"/>
      <x:c r="F501" s="469" t="n"/>
      <x:c r="G501" s="469" t="n"/>
      <x:c r="H501" s="469" t="n"/>
      <x:c r="I501" s="470" t="n"/>
      <x:c r="J501" s="469" t="n"/>
      <x:c r="K501" s="469" t="n"/>
      <x:c r="L501" s="470" t="n"/>
      <x:c r="M501" s="469" t="n"/>
      <x:c r="N501" s="469" t="n"/>
      <x:c r="O501" s="469" t="n"/>
      <x:c r="P501" s="469" t="n"/>
      <x:c r="Q501" s="469" t="n"/>
      <x:c r="R501" s="469" t="n"/>
      <x:c r="S501" s="469" t="n"/>
      <x:c r="T501" s="469" t="n"/>
      <x:c r="U501" s="469" t="n"/>
      <x:c r="V501" s="470" t="n"/>
      <x:c r="W501" s="469" t="n"/>
    </x:row>
    <x:row r="502" s="36" customFormat="1" ht="42" customHeight="1">
      <x:c r="A502" s="469" t="n"/>
      <x:c r="B502" s="469" t="n"/>
      <x:c r="C502" s="469" t="n"/>
      <x:c r="D502" s="469" t="n"/>
      <x:c r="E502" s="469" t="n"/>
      <x:c r="F502" s="469" t="n"/>
      <x:c r="G502" s="469" t="n"/>
      <x:c r="H502" s="469" t="n"/>
      <x:c r="I502" s="470" t="n"/>
      <x:c r="J502" s="469" t="n"/>
      <x:c r="K502" s="469" t="n"/>
      <x:c r="L502" s="470" t="n"/>
      <x:c r="M502" s="469" t="n"/>
      <x:c r="N502" s="469" t="n"/>
      <x:c r="O502" s="469" t="n"/>
      <x:c r="P502" s="469" t="n"/>
      <x:c r="Q502" s="469" t="n"/>
      <x:c r="R502" s="469" t="n"/>
      <x:c r="S502" s="469" t="n"/>
      <x:c r="T502" s="469" t="n"/>
      <x:c r="U502" s="469" t="n"/>
      <x:c r="V502" s="470" t="n"/>
      <x:c r="W502" s="469" t="n"/>
    </x:row>
  </x:sheetData>
  <x:mergeCells>
    <x:mergeCell ref="G1:J1"/>
    <x:mergeCell ref="A1:F1"/>
    <x:mergeCell ref="N1:W1"/>
    <x:mergeCell ref="K1:M1"/>
  </x:mergeCells>
  <x:conditionalFormatting sqref="G3:G502">
    <x:cfRule type="containsText" dxfId="3" priority="1" operator="containsText" text="PENDING"/>
    <x:cfRule type="containsText" dxfId="4" priority="2" operator="containsText" text="ACCEPT"/>
    <x:cfRule type="containsText" dxfId="4" priority="3" operator="containsText" text="CORRECT"/>
    <x:cfRule type="containsText" dxfId="0" priority="4" operator="containsText" text="REJECT"/>
    <x:cfRule type="containsText" dxfId="0" priority="5" operator="containsText" text="INCORRECT"/>
  </x:conditionalFormatting>
  <x:conditionalFormatting sqref="K3:K502">
    <x:cfRule type="containsText" dxfId="4" priority="6" operator="containsText" text="APPLIED"/>
    <x:cfRule type="containsText" dxfId="25" priority="7" operator="containsText" text="REJECTED"/>
    <x:cfRule type="containsText" dxfId="3" priority="8" operator="containsText" text="PENDING"/>
    <x:cfRule type="containsText" dxfId="3" priority="9" operator="containsText" text="WAITING_FOR_HUMAN"/>
    <x:cfRule type="containsText" dxfId="0" priority="10" operator="containsText" text="NEEDS_REPLAN"/>
    <x:cfRule type="containsText" dxfId="9" priority="11" operator="containsText" text="QUEUED"/>
  </x:conditionalFormatting>
  <x:dataValidations count="1">
    <x:dataValidation type="list" allowBlank="0" showDropDown="0" showInputMessage="0" showErrorMessage="0" sqref="G3:G502">
      <x:formula1>"PENDING,ACCEPT,REJECT,CORRECT,INCORRECT"</x:formula1>
    </x:dataValidation>
  </x:dataValidations>
  <x:pageMargins left="0.7" right="0.7" top="0.75" bottom="0.75" header="0.3" footer="0.3"/>
  <x:tableParts count="1">
    <x:tablePart xmlns:r="http://schemas.openxmlformats.org/officeDocument/2006/relationships" r:id="R6353878ce5704fb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6" hidden="0" customWidth="1"/>
    <x:col min="2" max="2" width="19" hidden="0" customWidth="1"/>
    <x:col min="3" max="3" width="22" hidden="0" customWidth="1"/>
    <x:col min="4" max="4" width="16" hidden="0" customWidth="1"/>
    <x:col min="5" max="5" width="15" hidden="0" customWidth="1"/>
    <x:col min="6" max="6" width="15" hidden="0" customWidth="1"/>
    <x:col min="7" max="7" width="17" hidden="0" customWidth="1"/>
    <x:col min="8" max="8" width="12" hidden="0" customWidth="1"/>
    <x:col min="9" max="9" width="34" hidden="0" customWidth="1"/>
    <x:col min="10" max="10" width="19" hidden="0" customWidth="1"/>
    <x:col min="11" max="11" width="24" hidden="0" customWidth="1"/>
    <x:col min="12" max="12" width="16" hidden="0" customWidth="1"/>
    <x:col min="13" max="13" width="52" hidden="0" customWidth="1"/>
    <x:col min="14" max="14" width="19" hidden="0" customWidth="1"/>
    <x:col min="15" max="15" width="19" hidden="0" customWidth="1"/>
  </x:cols>
  <x:sheetData>
    <x:row r="1" ht="27" customHeight="1">
      <x:c r="A1" s="678" t="str">
        <x:v>INSPECTION IDENTITY</x:v>
      </x:c>
      <x:c r="B1" s="679"/>
      <x:c r="C1" s="688"/>
      <x:c r="D1" s="689" t="str">
        <x:v>RESULTS</x:v>
      </x:c>
      <x:c r="E1" s="689"/>
      <x:c r="F1" s="689"/>
      <x:c r="G1" s="689"/>
      <x:c r="H1" s="690"/>
      <x:c r="I1" s="699" t="str">
        <x:v>SAMPLE AND STATUS</x:v>
      </x:c>
      <x:c r="J1" s="700"/>
      <x:c r="K1" s="700"/>
      <x:c r="L1" s="701"/>
      <x:c r="M1" s="710" t="str">
        <x:v>AUDIT TIMESTAMPS</x:v>
      </x:c>
      <x:c r="N1" s="711"/>
      <x:c r="O1" s="712"/>
    </x:row>
    <x:row r="2" ht="34" customHeight="1">
      <x:c r="A2" s="717" t="str">
        <x:v>qa_batch_id</x:v>
      </x:c>
      <x:c r="B2" s="717" t="str">
        <x:v>inspection_at</x:v>
      </x:c>
      <x:c r="C2" s="717" t="str">
        <x:v>operators</x:v>
      </x:c>
      <x:c r="D2" s="717" t="str">
        <x:v>requested_count</x:v>
      </x:c>
      <x:c r="E2" s="717" t="str">
        <x:v>checked_count</x:v>
      </x:c>
      <x:c r="F2" s="717" t="str">
        <x:v>correct_count</x:v>
      </x:c>
      <x:c r="G2" s="717" t="str">
        <x:v>incorrect_count</x:v>
      </x:c>
      <x:c r="H2" s="717" t="str">
        <x:v>accuracy</x:v>
      </x:c>
      <x:c r="I2" s="717" t="str">
        <x:v>source_ids</x:v>
      </x:c>
      <x:c r="J2" s="717" t="str">
        <x:v>sample_method</x:v>
      </x:c>
      <x:c r="K2" s="717" t="str">
        <x:v>detail_status</x:v>
      </x:c>
      <x:c r="L2" s="717" t="str">
        <x:v>batch_status</x:v>
      </x:c>
      <x:c r="M2" s="717" t="str">
        <x:v>notes</x:v>
      </x:c>
      <x:c r="N2" s="717" t="str">
        <x:v>recorded_at</x:v>
      </x:c>
      <x:c r="O2" s="717" t="str">
        <x:v>last_synced_at</x:v>
      </x:c>
    </x:row>
    <x:row r="3" ht="44" customHeight="1">
      <x:c r="A3" s="721" t="str">
        <x:v>QA-20260831-TEAM-001</x:v>
      </x:c>
      <x:c r="B3" s="724" t="n">
        <x:v>46265</x:v>
      </x:c>
      <x:c r="C3" s="722" t="str">
        <x:v>Jokic; Ana</x:v>
      </x:c>
      <x:c r="D3" s="721" t="n">
        <x:v>7</x:v>
      </x:c>
      <x:c r="E3" s="721" t="n">
        <x:v>7</x:v>
      </x:c>
      <x:c r="F3" s="721" t="n">
        <x:v>7</x:v>
      </x:c>
      <x:c r="G3" s="721" t="n">
        <x:v>0</x:v>
      </x:c>
      <x:c r="H3" s="726" t="n">
        <x:f>IF(E3=0,0,F3/E3)</x:f>
        <x:v>1</x:v>
      </x:c>
      <x:c r="I3" s="722" t="str"/>
      <x:c r="J3" s="721" t="str">
        <x:v>TEAM_REPORTED</x:v>
      </x:c>
      <x:c r="K3" s="721" t="str">
        <x:v>SUMMARY_ONLY</x:v>
      </x:c>
      <x:c r="L3" s="721" t="str">
        <x:v>COMPLETE</x:v>
      </x:c>
      <x:c r="M3" s="722" t="str">
        <x:v>Team-reported summary: seven sources were checked and all were correct. Individual source IDs were not supplied.</x:v>
      </x:c>
      <x:c r="N3" s="730" t="n">
        <x:v>46265.50171296296</x:v>
      </x:c>
      <x:c r="O3" s="730" t="n">
        <x:v>46265.50171296296</x:v>
      </x:c>
    </x:row>
    <x:row r="4">
      <x:c r="B4" s="725"/>
      <x:c r="C4" s="723"/>
      <x:c r="H4" s="727"/>
      <x:c r="I4" s="723"/>
      <x:c r="M4" s="723"/>
      <x:c r="N4" s="725"/>
      <x:c r="O4" s="725"/>
    </x:row>
    <x:row r="5">
      <x:c r="B5" s="725"/>
      <x:c r="C5" s="723"/>
      <x:c r="H5" s="727"/>
      <x:c r="I5" s="723"/>
      <x:c r="M5" s="723"/>
      <x:c r="N5" s="725"/>
      <x:c r="O5" s="725"/>
    </x:row>
    <x:row r="6">
      <x:c r="B6" s="725"/>
      <x:c r="C6" s="723"/>
      <x:c r="H6" s="727"/>
      <x:c r="I6" s="723"/>
      <x:c r="M6" s="723"/>
      <x:c r="N6" s="725"/>
      <x:c r="O6" s="725"/>
    </x:row>
    <x:row r="7">
      <x:c r="B7" s="725"/>
      <x:c r="C7" s="723"/>
      <x:c r="H7" s="727"/>
      <x:c r="I7" s="723"/>
      <x:c r="M7" s="723"/>
      <x:c r="N7" s="725"/>
      <x:c r="O7" s="725"/>
    </x:row>
    <x:row r="8">
      <x:c r="B8" s="725"/>
      <x:c r="C8" s="723"/>
      <x:c r="H8" s="727"/>
      <x:c r="I8" s="723"/>
      <x:c r="M8" s="723"/>
      <x:c r="N8" s="725"/>
      <x:c r="O8" s="725"/>
    </x:row>
    <x:row r="9">
      <x:c r="B9" s="725"/>
      <x:c r="C9" s="723"/>
      <x:c r="H9" s="727"/>
      <x:c r="I9" s="723"/>
      <x:c r="M9" s="723"/>
      <x:c r="N9" s="725"/>
      <x:c r="O9" s="725"/>
    </x:row>
    <x:row r="10">
      <x:c r="B10" s="725"/>
      <x:c r="C10" s="723"/>
      <x:c r="H10" s="727"/>
      <x:c r="I10" s="723"/>
      <x:c r="M10" s="723"/>
      <x:c r="N10" s="725"/>
      <x:c r="O10" s="725"/>
    </x:row>
    <x:row r="11">
      <x:c r="B11" s="725"/>
      <x:c r="C11" s="723"/>
      <x:c r="H11" s="727"/>
      <x:c r="I11" s="723"/>
      <x:c r="M11" s="723"/>
      <x:c r="N11" s="725"/>
      <x:c r="O11" s="725"/>
    </x:row>
    <x:row r="12">
      <x:c r="B12" s="725"/>
      <x:c r="C12" s="723"/>
      <x:c r="H12" s="727"/>
      <x:c r="I12" s="723"/>
      <x:c r="M12" s="723"/>
      <x:c r="N12" s="725"/>
      <x:c r="O12" s="725"/>
    </x:row>
    <x:row r="13">
      <x:c r="B13" s="725"/>
      <x:c r="C13" s="723"/>
      <x:c r="H13" s="727"/>
      <x:c r="I13" s="723"/>
      <x:c r="M13" s="723"/>
      <x:c r="N13" s="725"/>
      <x:c r="O13" s="725"/>
    </x:row>
    <x:row r="14">
      <x:c r="B14" s="725"/>
      <x:c r="C14" s="723"/>
      <x:c r="H14" s="727"/>
      <x:c r="I14" s="723"/>
      <x:c r="M14" s="723"/>
      <x:c r="N14" s="725"/>
      <x:c r="O14" s="725"/>
    </x:row>
    <x:row r="15">
      <x:c r="B15" s="725"/>
      <x:c r="C15" s="723"/>
      <x:c r="H15" s="727"/>
      <x:c r="I15" s="723"/>
      <x:c r="M15" s="723"/>
      <x:c r="N15" s="725"/>
      <x:c r="O15" s="725"/>
    </x:row>
    <x:row r="16">
      <x:c r="B16" s="725"/>
      <x:c r="C16" s="723"/>
      <x:c r="H16" s="727"/>
      <x:c r="I16" s="723"/>
      <x:c r="M16" s="723"/>
      <x:c r="N16" s="725"/>
      <x:c r="O16" s="725"/>
    </x:row>
    <x:row r="17">
      <x:c r="B17" s="725"/>
      <x:c r="C17" s="723"/>
      <x:c r="H17" s="727"/>
      <x:c r="I17" s="723"/>
      <x:c r="M17" s="723"/>
      <x:c r="N17" s="725"/>
      <x:c r="O17" s="725"/>
    </x:row>
    <x:row r="18">
      <x:c r="B18" s="725"/>
      <x:c r="C18" s="723"/>
      <x:c r="H18" s="727"/>
      <x:c r="I18" s="723"/>
      <x:c r="M18" s="723"/>
      <x:c r="N18" s="725"/>
      <x:c r="O18" s="725"/>
    </x:row>
    <x:row r="19">
      <x:c r="B19" s="725"/>
      <x:c r="C19" s="723"/>
      <x:c r="H19" s="727"/>
      <x:c r="I19" s="723"/>
      <x:c r="M19" s="723"/>
      <x:c r="N19" s="725"/>
      <x:c r="O19" s="725"/>
    </x:row>
    <x:row r="20">
      <x:c r="B20" s="725"/>
      <x:c r="C20" s="723"/>
      <x:c r="H20" s="727"/>
      <x:c r="I20" s="723"/>
      <x:c r="M20" s="723"/>
      <x:c r="N20" s="725"/>
      <x:c r="O20" s="725"/>
    </x:row>
    <x:row r="21">
      <x:c r="B21" s="725"/>
      <x:c r="C21" s="723"/>
      <x:c r="H21" s="727"/>
      <x:c r="I21" s="723"/>
      <x:c r="M21" s="723"/>
      <x:c r="N21" s="725"/>
      <x:c r="O21" s="725"/>
    </x:row>
    <x:row r="22">
      <x:c r="B22" s="725"/>
      <x:c r="C22" s="723"/>
      <x:c r="H22" s="727"/>
      <x:c r="I22" s="723"/>
      <x:c r="M22" s="723"/>
      <x:c r="N22" s="725"/>
      <x:c r="O22" s="725"/>
    </x:row>
    <x:row r="23">
      <x:c r="B23" s="725"/>
      <x:c r="C23" s="723"/>
      <x:c r="H23" s="727"/>
      <x:c r="I23" s="723"/>
      <x:c r="M23" s="723"/>
      <x:c r="N23" s="725"/>
      <x:c r="O23" s="725"/>
    </x:row>
    <x:row r="24">
      <x:c r="B24" s="725"/>
      <x:c r="C24" s="723"/>
      <x:c r="H24" s="727"/>
      <x:c r="I24" s="723"/>
      <x:c r="M24" s="723"/>
      <x:c r="N24" s="725"/>
      <x:c r="O24" s="725"/>
    </x:row>
    <x:row r="25">
      <x:c r="B25" s="725"/>
      <x:c r="C25" s="723"/>
      <x:c r="H25" s="727"/>
      <x:c r="I25" s="723"/>
      <x:c r="M25" s="723"/>
      <x:c r="N25" s="725"/>
      <x:c r="O25" s="725"/>
    </x:row>
    <x:row r="26">
      <x:c r="B26" s="725"/>
      <x:c r="C26" s="723"/>
      <x:c r="H26" s="727"/>
      <x:c r="I26" s="723"/>
      <x:c r="M26" s="723"/>
      <x:c r="N26" s="725"/>
      <x:c r="O26" s="725"/>
    </x:row>
    <x:row r="27">
      <x:c r="B27" s="725"/>
      <x:c r="C27" s="723"/>
      <x:c r="H27" s="727"/>
      <x:c r="I27" s="723"/>
      <x:c r="M27" s="723"/>
      <x:c r="N27" s="725"/>
      <x:c r="O27" s="725"/>
    </x:row>
    <x:row r="28">
      <x:c r="B28" s="725"/>
      <x:c r="C28" s="723"/>
      <x:c r="H28" s="727"/>
      <x:c r="I28" s="723"/>
      <x:c r="M28" s="723"/>
      <x:c r="N28" s="725"/>
      <x:c r="O28" s="725"/>
    </x:row>
    <x:row r="29">
      <x:c r="B29" s="725"/>
      <x:c r="C29" s="723"/>
      <x:c r="H29" s="727"/>
      <x:c r="I29" s="723"/>
      <x:c r="M29" s="723"/>
      <x:c r="N29" s="725"/>
      <x:c r="O29" s="725"/>
    </x:row>
    <x:row r="30">
      <x:c r="B30" s="725"/>
      <x:c r="C30" s="723"/>
      <x:c r="H30" s="727"/>
      <x:c r="I30" s="723"/>
      <x:c r="M30" s="723"/>
      <x:c r="N30" s="725"/>
      <x:c r="O30" s="725"/>
    </x:row>
    <x:row r="31">
      <x:c r="B31" s="725"/>
      <x:c r="C31" s="723"/>
      <x:c r="H31" s="727"/>
      <x:c r="I31" s="723"/>
      <x:c r="M31" s="723"/>
      <x:c r="N31" s="725"/>
      <x:c r="O31" s="725"/>
    </x:row>
    <x:row r="32">
      <x:c r="B32" s="725"/>
      <x:c r="C32" s="723"/>
      <x:c r="H32" s="727"/>
      <x:c r="I32" s="723"/>
      <x:c r="M32" s="723"/>
      <x:c r="N32" s="725"/>
      <x:c r="O32" s="725"/>
    </x:row>
    <x:row r="33">
      <x:c r="B33" s="725"/>
      <x:c r="C33" s="723"/>
      <x:c r="H33" s="727"/>
      <x:c r="I33" s="723"/>
      <x:c r="M33" s="723"/>
      <x:c r="N33" s="725"/>
      <x:c r="O33" s="725"/>
    </x:row>
    <x:row r="34">
      <x:c r="B34" s="725"/>
      <x:c r="C34" s="723"/>
      <x:c r="H34" s="727"/>
      <x:c r="I34" s="723"/>
      <x:c r="M34" s="723"/>
      <x:c r="N34" s="725"/>
      <x:c r="O34" s="725"/>
    </x:row>
    <x:row r="35">
      <x:c r="B35" s="725"/>
      <x:c r="C35" s="723"/>
      <x:c r="H35" s="727"/>
      <x:c r="I35" s="723"/>
      <x:c r="M35" s="723"/>
      <x:c r="N35" s="725"/>
      <x:c r="O35" s="725"/>
    </x:row>
    <x:row r="36">
      <x:c r="B36" s="725"/>
      <x:c r="C36" s="723"/>
      <x:c r="H36" s="727"/>
      <x:c r="I36" s="723"/>
      <x:c r="M36" s="723"/>
      <x:c r="N36" s="725"/>
      <x:c r="O36" s="725"/>
    </x:row>
    <x:row r="37">
      <x:c r="B37" s="725"/>
      <x:c r="C37" s="723"/>
      <x:c r="H37" s="727"/>
      <x:c r="I37" s="723"/>
      <x:c r="M37" s="723"/>
      <x:c r="N37" s="725"/>
      <x:c r="O37" s="725"/>
    </x:row>
    <x:row r="38">
      <x:c r="B38" s="725"/>
      <x:c r="C38" s="723"/>
      <x:c r="H38" s="727"/>
      <x:c r="I38" s="723"/>
      <x:c r="M38" s="723"/>
      <x:c r="N38" s="725"/>
      <x:c r="O38" s="725"/>
    </x:row>
    <x:row r="39">
      <x:c r="B39" s="725"/>
      <x:c r="C39" s="723"/>
      <x:c r="H39" s="727"/>
      <x:c r="I39" s="723"/>
      <x:c r="M39" s="723"/>
      <x:c r="N39" s="725"/>
      <x:c r="O39" s="725"/>
    </x:row>
    <x:row r="40">
      <x:c r="B40" s="725"/>
      <x:c r="C40" s="723"/>
      <x:c r="H40" s="727"/>
      <x:c r="I40" s="723"/>
      <x:c r="M40" s="723"/>
      <x:c r="N40" s="725"/>
      <x:c r="O40" s="725"/>
    </x:row>
    <x:row r="41">
      <x:c r="B41" s="725"/>
      <x:c r="C41" s="723"/>
      <x:c r="H41" s="727"/>
      <x:c r="I41" s="723"/>
      <x:c r="M41" s="723"/>
      <x:c r="N41" s="725"/>
      <x:c r="O41" s="725"/>
    </x:row>
    <x:row r="42">
      <x:c r="B42" s="725"/>
      <x:c r="C42" s="723"/>
      <x:c r="H42" s="727"/>
      <x:c r="I42" s="723"/>
      <x:c r="M42" s="723"/>
      <x:c r="N42" s="725"/>
      <x:c r="O42" s="725"/>
    </x:row>
    <x:row r="43">
      <x:c r="B43" s="725"/>
      <x:c r="C43" s="723"/>
      <x:c r="H43" s="727"/>
      <x:c r="I43" s="723"/>
      <x:c r="M43" s="723"/>
      <x:c r="N43" s="725"/>
      <x:c r="O43" s="725"/>
    </x:row>
    <x:row r="44">
      <x:c r="B44" s="725"/>
      <x:c r="C44" s="723"/>
      <x:c r="H44" s="727"/>
      <x:c r="I44" s="723"/>
      <x:c r="M44" s="723"/>
      <x:c r="N44" s="725"/>
      <x:c r="O44" s="725"/>
    </x:row>
    <x:row r="45">
      <x:c r="B45" s="725"/>
      <x:c r="C45" s="723"/>
      <x:c r="H45" s="727"/>
      <x:c r="I45" s="723"/>
      <x:c r="M45" s="723"/>
      <x:c r="N45" s="725"/>
      <x:c r="O45" s="725"/>
    </x:row>
    <x:row r="46">
      <x:c r="B46" s="725"/>
      <x:c r="C46" s="723"/>
      <x:c r="H46" s="727"/>
      <x:c r="I46" s="723"/>
      <x:c r="M46" s="723"/>
      <x:c r="N46" s="725"/>
      <x:c r="O46" s="725"/>
    </x:row>
    <x:row r="47">
      <x:c r="B47" s="725"/>
      <x:c r="C47" s="723"/>
      <x:c r="H47" s="727"/>
      <x:c r="I47" s="723"/>
      <x:c r="M47" s="723"/>
      <x:c r="N47" s="725"/>
      <x:c r="O47" s="725"/>
    </x:row>
    <x:row r="48">
      <x:c r="B48" s="725"/>
      <x:c r="C48" s="723"/>
      <x:c r="H48" s="727"/>
      <x:c r="I48" s="723"/>
      <x:c r="M48" s="723"/>
      <x:c r="N48" s="725"/>
      <x:c r="O48" s="725"/>
    </x:row>
    <x:row r="49">
      <x:c r="B49" s="725"/>
      <x:c r="C49" s="723"/>
      <x:c r="H49" s="727"/>
      <x:c r="I49" s="723"/>
      <x:c r="M49" s="723"/>
      <x:c r="N49" s="725"/>
      <x:c r="O49" s="725"/>
    </x:row>
    <x:row r="50">
      <x:c r="B50" s="725"/>
      <x:c r="C50" s="723"/>
      <x:c r="H50" s="727"/>
      <x:c r="I50" s="723"/>
      <x:c r="M50" s="723"/>
      <x:c r="N50" s="725"/>
      <x:c r="O50" s="725"/>
    </x:row>
    <x:row r="51">
      <x:c r="B51" s="725"/>
      <x:c r="C51" s="723"/>
      <x:c r="H51" s="727"/>
      <x:c r="I51" s="723"/>
      <x:c r="M51" s="723"/>
      <x:c r="N51" s="725"/>
      <x:c r="O51" s="725"/>
    </x:row>
    <x:row r="52">
      <x:c r="B52" s="725"/>
      <x:c r="C52" s="723"/>
      <x:c r="H52" s="727"/>
      <x:c r="I52" s="723"/>
      <x:c r="M52" s="723"/>
      <x:c r="N52" s="725"/>
      <x:c r="O52" s="725"/>
    </x:row>
    <x:row r="53">
      <x:c r="B53" s="725"/>
      <x:c r="C53" s="723"/>
      <x:c r="H53" s="727"/>
      <x:c r="I53" s="723"/>
      <x:c r="M53" s="723"/>
      <x:c r="N53" s="725"/>
      <x:c r="O53" s="725"/>
    </x:row>
    <x:row r="54">
      <x:c r="B54" s="725"/>
      <x:c r="C54" s="723"/>
      <x:c r="H54" s="727"/>
      <x:c r="I54" s="723"/>
      <x:c r="M54" s="723"/>
      <x:c r="N54" s="725"/>
      <x:c r="O54" s="725"/>
    </x:row>
    <x:row r="55">
      <x:c r="B55" s="725"/>
      <x:c r="C55" s="723"/>
      <x:c r="H55" s="727"/>
      <x:c r="I55" s="723"/>
      <x:c r="M55" s="723"/>
      <x:c r="N55" s="725"/>
      <x:c r="O55" s="725"/>
    </x:row>
    <x:row r="56">
      <x:c r="B56" s="725"/>
      <x:c r="C56" s="723"/>
      <x:c r="H56" s="727"/>
      <x:c r="I56" s="723"/>
      <x:c r="M56" s="723"/>
      <x:c r="N56" s="725"/>
      <x:c r="O56" s="725"/>
    </x:row>
    <x:row r="57">
      <x:c r="B57" s="725"/>
      <x:c r="C57" s="723"/>
      <x:c r="H57" s="727"/>
      <x:c r="I57" s="723"/>
      <x:c r="M57" s="723"/>
      <x:c r="N57" s="725"/>
      <x:c r="O57" s="725"/>
    </x:row>
    <x:row r="58">
      <x:c r="B58" s="725"/>
      <x:c r="C58" s="723"/>
      <x:c r="H58" s="727"/>
      <x:c r="I58" s="723"/>
      <x:c r="M58" s="723"/>
      <x:c r="N58" s="725"/>
      <x:c r="O58" s="725"/>
    </x:row>
    <x:row r="59">
      <x:c r="B59" s="725"/>
      <x:c r="C59" s="723"/>
      <x:c r="H59" s="727"/>
      <x:c r="I59" s="723"/>
      <x:c r="M59" s="723"/>
      <x:c r="N59" s="725"/>
      <x:c r="O59" s="725"/>
    </x:row>
    <x:row r="60">
      <x:c r="B60" s="725"/>
      <x:c r="C60" s="723"/>
      <x:c r="H60" s="727"/>
      <x:c r="I60" s="723"/>
      <x:c r="M60" s="723"/>
      <x:c r="N60" s="725"/>
      <x:c r="O60" s="725"/>
    </x:row>
    <x:row r="61">
      <x:c r="B61" s="725"/>
      <x:c r="C61" s="723"/>
      <x:c r="H61" s="727"/>
      <x:c r="I61" s="723"/>
      <x:c r="M61" s="723"/>
      <x:c r="N61" s="725"/>
      <x:c r="O61" s="725"/>
    </x:row>
    <x:row r="62">
      <x:c r="B62" s="725"/>
      <x:c r="C62" s="723"/>
      <x:c r="H62" s="727"/>
      <x:c r="I62" s="723"/>
      <x:c r="M62" s="723"/>
      <x:c r="N62" s="725"/>
      <x:c r="O62" s="725"/>
    </x:row>
    <x:row r="63">
      <x:c r="B63" s="725"/>
      <x:c r="C63" s="723"/>
      <x:c r="H63" s="727"/>
      <x:c r="I63" s="723"/>
      <x:c r="M63" s="723"/>
      <x:c r="N63" s="725"/>
      <x:c r="O63" s="725"/>
    </x:row>
    <x:row r="64">
      <x:c r="B64" s="725"/>
      <x:c r="C64" s="723"/>
      <x:c r="H64" s="727"/>
      <x:c r="I64" s="723"/>
      <x:c r="M64" s="723"/>
      <x:c r="N64" s="725"/>
      <x:c r="O64" s="725"/>
    </x:row>
    <x:row r="65">
      <x:c r="B65" s="725"/>
      <x:c r="C65" s="723"/>
      <x:c r="H65" s="727"/>
      <x:c r="I65" s="723"/>
      <x:c r="M65" s="723"/>
      <x:c r="N65" s="725"/>
      <x:c r="O65" s="725"/>
    </x:row>
    <x:row r="66">
      <x:c r="B66" s="725"/>
      <x:c r="C66" s="723"/>
      <x:c r="H66" s="727"/>
      <x:c r="I66" s="723"/>
      <x:c r="M66" s="723"/>
      <x:c r="N66" s="725"/>
      <x:c r="O66" s="725"/>
    </x:row>
    <x:row r="67">
      <x:c r="B67" s="725"/>
      <x:c r="C67" s="723"/>
      <x:c r="H67" s="727"/>
      <x:c r="I67" s="723"/>
      <x:c r="M67" s="723"/>
      <x:c r="N67" s="725"/>
      <x:c r="O67" s="725"/>
    </x:row>
    <x:row r="68">
      <x:c r="B68" s="725"/>
      <x:c r="C68" s="723"/>
      <x:c r="H68" s="727"/>
      <x:c r="I68" s="723"/>
      <x:c r="M68" s="723"/>
      <x:c r="N68" s="725"/>
      <x:c r="O68" s="725"/>
    </x:row>
    <x:row r="69">
      <x:c r="B69" s="725"/>
      <x:c r="C69" s="723"/>
      <x:c r="H69" s="727"/>
      <x:c r="I69" s="723"/>
      <x:c r="M69" s="723"/>
      <x:c r="N69" s="725"/>
      <x:c r="O69" s="725"/>
    </x:row>
    <x:row r="70">
      <x:c r="B70" s="725"/>
      <x:c r="C70" s="723"/>
      <x:c r="H70" s="727"/>
      <x:c r="I70" s="723"/>
      <x:c r="M70" s="723"/>
      <x:c r="N70" s="725"/>
      <x:c r="O70" s="725"/>
    </x:row>
    <x:row r="71">
      <x:c r="B71" s="725"/>
      <x:c r="C71" s="723"/>
      <x:c r="H71" s="727"/>
      <x:c r="I71" s="723"/>
      <x:c r="M71" s="723"/>
      <x:c r="N71" s="725"/>
      <x:c r="O71" s="725"/>
    </x:row>
    <x:row r="72">
      <x:c r="B72" s="725"/>
      <x:c r="C72" s="723"/>
      <x:c r="H72" s="727"/>
      <x:c r="I72" s="723"/>
      <x:c r="M72" s="723"/>
      <x:c r="N72" s="725"/>
      <x:c r="O72" s="725"/>
    </x:row>
    <x:row r="73">
      <x:c r="B73" s="725"/>
      <x:c r="C73" s="723"/>
      <x:c r="H73" s="727"/>
      <x:c r="I73" s="723"/>
      <x:c r="M73" s="723"/>
      <x:c r="N73" s="725"/>
      <x:c r="O73" s="725"/>
    </x:row>
    <x:row r="74">
      <x:c r="B74" s="725"/>
      <x:c r="C74" s="723"/>
      <x:c r="H74" s="727"/>
      <x:c r="I74" s="723"/>
      <x:c r="M74" s="723"/>
      <x:c r="N74" s="725"/>
      <x:c r="O74" s="725"/>
    </x:row>
    <x:row r="75">
      <x:c r="B75" s="725"/>
      <x:c r="C75" s="723"/>
      <x:c r="H75" s="727"/>
      <x:c r="I75" s="723"/>
      <x:c r="M75" s="723"/>
      <x:c r="N75" s="725"/>
      <x:c r="O75" s="725"/>
    </x:row>
    <x:row r="76">
      <x:c r="B76" s="725"/>
      <x:c r="C76" s="723"/>
      <x:c r="H76" s="727"/>
      <x:c r="I76" s="723"/>
      <x:c r="M76" s="723"/>
      <x:c r="N76" s="725"/>
      <x:c r="O76" s="725"/>
    </x:row>
    <x:row r="77">
      <x:c r="B77" s="725"/>
      <x:c r="C77" s="723"/>
      <x:c r="H77" s="727"/>
      <x:c r="I77" s="723"/>
      <x:c r="M77" s="723"/>
      <x:c r="N77" s="725"/>
      <x:c r="O77" s="725"/>
    </x:row>
    <x:row r="78">
      <x:c r="B78" s="725"/>
      <x:c r="C78" s="723"/>
      <x:c r="H78" s="727"/>
      <x:c r="I78" s="723"/>
      <x:c r="M78" s="723"/>
      <x:c r="N78" s="725"/>
      <x:c r="O78" s="725"/>
    </x:row>
    <x:row r="79">
      <x:c r="B79" s="725"/>
      <x:c r="C79" s="723"/>
      <x:c r="H79" s="727"/>
      <x:c r="I79" s="723"/>
      <x:c r="M79" s="723"/>
      <x:c r="N79" s="725"/>
      <x:c r="O79" s="725"/>
    </x:row>
    <x:row r="80">
      <x:c r="B80" s="725"/>
      <x:c r="C80" s="723"/>
      <x:c r="H80" s="727"/>
      <x:c r="I80" s="723"/>
      <x:c r="M80" s="723"/>
      <x:c r="N80" s="725"/>
      <x:c r="O80" s="725"/>
    </x:row>
    <x:row r="81">
      <x:c r="B81" s="725"/>
      <x:c r="C81" s="723"/>
      <x:c r="H81" s="727"/>
      <x:c r="I81" s="723"/>
      <x:c r="M81" s="723"/>
      <x:c r="N81" s="725"/>
      <x:c r="O81" s="725"/>
    </x:row>
    <x:row r="82">
      <x:c r="B82" s="725"/>
      <x:c r="C82" s="723"/>
      <x:c r="H82" s="727"/>
      <x:c r="I82" s="723"/>
      <x:c r="M82" s="723"/>
      <x:c r="N82" s="725"/>
      <x:c r="O82" s="725"/>
    </x:row>
    <x:row r="83">
      <x:c r="B83" s="725"/>
      <x:c r="C83" s="723"/>
      <x:c r="H83" s="727"/>
      <x:c r="I83" s="723"/>
      <x:c r="M83" s="723"/>
      <x:c r="N83" s="725"/>
      <x:c r="O83" s="725"/>
    </x:row>
    <x:row r="84">
      <x:c r="B84" s="725"/>
      <x:c r="C84" s="723"/>
      <x:c r="H84" s="727"/>
      <x:c r="I84" s="723"/>
      <x:c r="M84" s="723"/>
      <x:c r="N84" s="725"/>
      <x:c r="O84" s="725"/>
    </x:row>
    <x:row r="85">
      <x:c r="B85" s="725"/>
      <x:c r="C85" s="723"/>
      <x:c r="H85" s="727"/>
      <x:c r="I85" s="723"/>
      <x:c r="M85" s="723"/>
      <x:c r="N85" s="725"/>
      <x:c r="O85" s="725"/>
    </x:row>
    <x:row r="86">
      <x:c r="B86" s="725"/>
      <x:c r="C86" s="723"/>
      <x:c r="H86" s="727"/>
      <x:c r="I86" s="723"/>
      <x:c r="M86" s="723"/>
      <x:c r="N86" s="725"/>
      <x:c r="O86" s="725"/>
    </x:row>
    <x:row r="87">
      <x:c r="B87" s="725"/>
      <x:c r="C87" s="723"/>
      <x:c r="H87" s="727"/>
      <x:c r="I87" s="723"/>
      <x:c r="M87" s="723"/>
      <x:c r="N87" s="725"/>
      <x:c r="O87" s="725"/>
    </x:row>
    <x:row r="88">
      <x:c r="B88" s="725"/>
      <x:c r="C88" s="723"/>
      <x:c r="H88" s="727"/>
      <x:c r="I88" s="723"/>
      <x:c r="M88" s="723"/>
      <x:c r="N88" s="725"/>
      <x:c r="O88" s="725"/>
    </x:row>
    <x:row r="89">
      <x:c r="B89" s="725"/>
      <x:c r="C89" s="723"/>
      <x:c r="H89" s="727"/>
      <x:c r="I89" s="723"/>
      <x:c r="M89" s="723"/>
      <x:c r="N89" s="725"/>
      <x:c r="O89" s="725"/>
    </x:row>
    <x:row r="90">
      <x:c r="B90" s="725"/>
      <x:c r="C90" s="723"/>
      <x:c r="H90" s="727"/>
      <x:c r="I90" s="723"/>
      <x:c r="M90" s="723"/>
      <x:c r="N90" s="725"/>
      <x:c r="O90" s="725"/>
    </x:row>
    <x:row r="91">
      <x:c r="B91" s="725"/>
      <x:c r="C91" s="723"/>
      <x:c r="H91" s="727"/>
      <x:c r="I91" s="723"/>
      <x:c r="M91" s="723"/>
      <x:c r="N91" s="725"/>
      <x:c r="O91" s="725"/>
    </x:row>
    <x:row r="92">
      <x:c r="B92" s="725"/>
      <x:c r="C92" s="723"/>
      <x:c r="H92" s="727"/>
      <x:c r="I92" s="723"/>
      <x:c r="M92" s="723"/>
      <x:c r="N92" s="725"/>
      <x:c r="O92" s="725"/>
    </x:row>
    <x:row r="93">
      <x:c r="B93" s="725"/>
      <x:c r="C93" s="723"/>
      <x:c r="H93" s="727"/>
      <x:c r="I93" s="723"/>
      <x:c r="M93" s="723"/>
      <x:c r="N93" s="725"/>
      <x:c r="O93" s="725"/>
    </x:row>
    <x:row r="94">
      <x:c r="B94" s="725"/>
      <x:c r="C94" s="723"/>
      <x:c r="H94" s="727"/>
      <x:c r="I94" s="723"/>
      <x:c r="M94" s="723"/>
      <x:c r="N94" s="725"/>
      <x:c r="O94" s="725"/>
    </x:row>
    <x:row r="95">
      <x:c r="B95" s="725"/>
      <x:c r="C95" s="723"/>
      <x:c r="H95" s="727"/>
      <x:c r="I95" s="723"/>
      <x:c r="M95" s="723"/>
      <x:c r="N95" s="725"/>
      <x:c r="O95" s="725"/>
    </x:row>
    <x:row r="96">
      <x:c r="B96" s="725"/>
      <x:c r="C96" s="723"/>
      <x:c r="H96" s="727"/>
      <x:c r="I96" s="723"/>
      <x:c r="M96" s="723"/>
      <x:c r="N96" s="725"/>
      <x:c r="O96" s="725"/>
    </x:row>
    <x:row r="97">
      <x:c r="B97" s="725"/>
      <x:c r="C97" s="723"/>
      <x:c r="H97" s="727"/>
      <x:c r="I97" s="723"/>
      <x:c r="M97" s="723"/>
      <x:c r="N97" s="725"/>
      <x:c r="O97" s="725"/>
    </x:row>
    <x:row r="98">
      <x:c r="B98" s="725"/>
      <x:c r="C98" s="723"/>
      <x:c r="H98" s="727"/>
      <x:c r="I98" s="723"/>
      <x:c r="M98" s="723"/>
      <x:c r="N98" s="725"/>
      <x:c r="O98" s="725"/>
    </x:row>
    <x:row r="99">
      <x:c r="B99" s="725"/>
      <x:c r="C99" s="723"/>
      <x:c r="H99" s="727"/>
      <x:c r="I99" s="723"/>
      <x:c r="M99" s="723"/>
      <x:c r="N99" s="725"/>
      <x:c r="O99" s="725"/>
    </x:row>
    <x:row r="100">
      <x:c r="B100" s="725"/>
      <x:c r="C100" s="723"/>
      <x:c r="H100" s="727"/>
      <x:c r="I100" s="723"/>
      <x:c r="M100" s="723"/>
      <x:c r="N100" s="725"/>
      <x:c r="O100" s="725"/>
    </x:row>
    <x:row r="101">
      <x:c r="B101" s="725"/>
      <x:c r="C101" s="723"/>
      <x:c r="H101" s="727"/>
      <x:c r="I101" s="723"/>
      <x:c r="M101" s="723"/>
      <x:c r="N101" s="725"/>
      <x:c r="O101" s="725"/>
    </x:row>
    <x:row r="102">
      <x:c r="B102" s="725"/>
      <x:c r="C102" s="723"/>
      <x:c r="H102" s="727"/>
      <x:c r="I102" s="723"/>
      <x:c r="M102" s="723"/>
      <x:c r="N102" s="725"/>
      <x:c r="O102" s="725"/>
    </x:row>
    <x:row r="103">
      <x:c r="B103" s="725"/>
      <x:c r="C103" s="723"/>
      <x:c r="H103" s="727"/>
      <x:c r="I103" s="723"/>
      <x:c r="M103" s="723"/>
      <x:c r="N103" s="725"/>
      <x:c r="O103" s="725"/>
    </x:row>
    <x:row r="104">
      <x:c r="B104" s="725"/>
      <x:c r="C104" s="723"/>
      <x:c r="H104" s="727"/>
      <x:c r="I104" s="723"/>
      <x:c r="M104" s="723"/>
      <x:c r="N104" s="725"/>
      <x:c r="O104" s="725"/>
    </x:row>
    <x:row r="105">
      <x:c r="B105" s="725"/>
      <x:c r="C105" s="723"/>
      <x:c r="H105" s="727"/>
      <x:c r="I105" s="723"/>
      <x:c r="M105" s="723"/>
      <x:c r="N105" s="725"/>
      <x:c r="O105" s="725"/>
    </x:row>
    <x:row r="106">
      <x:c r="B106" s="725"/>
      <x:c r="C106" s="723"/>
      <x:c r="H106" s="727"/>
      <x:c r="I106" s="723"/>
      <x:c r="M106" s="723"/>
      <x:c r="N106" s="725"/>
      <x:c r="O106" s="725"/>
    </x:row>
    <x:row r="107">
      <x:c r="B107" s="725"/>
      <x:c r="C107" s="723"/>
      <x:c r="H107" s="727"/>
      <x:c r="I107" s="723"/>
      <x:c r="M107" s="723"/>
      <x:c r="N107" s="725"/>
      <x:c r="O107" s="725"/>
    </x:row>
    <x:row r="108">
      <x:c r="B108" s="725"/>
      <x:c r="C108" s="723"/>
      <x:c r="H108" s="727"/>
      <x:c r="I108" s="723"/>
      <x:c r="M108" s="723"/>
      <x:c r="N108" s="725"/>
      <x:c r="O108" s="725"/>
    </x:row>
    <x:row r="109">
      <x:c r="B109" s="725"/>
      <x:c r="C109" s="723"/>
      <x:c r="H109" s="727"/>
      <x:c r="I109" s="723"/>
      <x:c r="M109" s="723"/>
      <x:c r="N109" s="725"/>
      <x:c r="O109" s="725"/>
    </x:row>
    <x:row r="110">
      <x:c r="B110" s="725"/>
      <x:c r="C110" s="723"/>
      <x:c r="H110" s="727"/>
      <x:c r="I110" s="723"/>
      <x:c r="M110" s="723"/>
      <x:c r="N110" s="725"/>
      <x:c r="O110" s="725"/>
    </x:row>
    <x:row r="111">
      <x:c r="B111" s="725"/>
      <x:c r="C111" s="723"/>
      <x:c r="H111" s="727"/>
      <x:c r="I111" s="723"/>
      <x:c r="M111" s="723"/>
      <x:c r="N111" s="725"/>
      <x:c r="O111" s="725"/>
    </x:row>
    <x:row r="112">
      <x:c r="B112" s="725"/>
      <x:c r="C112" s="723"/>
      <x:c r="H112" s="727"/>
      <x:c r="I112" s="723"/>
      <x:c r="M112" s="723"/>
      <x:c r="N112" s="725"/>
      <x:c r="O112" s="725"/>
    </x:row>
    <x:row r="113">
      <x:c r="B113" s="725"/>
      <x:c r="C113" s="723"/>
      <x:c r="H113" s="727"/>
      <x:c r="I113" s="723"/>
      <x:c r="M113" s="723"/>
      <x:c r="N113" s="725"/>
      <x:c r="O113" s="725"/>
    </x:row>
    <x:row r="114">
      <x:c r="B114" s="725"/>
      <x:c r="C114" s="723"/>
      <x:c r="H114" s="727"/>
      <x:c r="I114" s="723"/>
      <x:c r="M114" s="723"/>
      <x:c r="N114" s="725"/>
      <x:c r="O114" s="725"/>
    </x:row>
    <x:row r="115">
      <x:c r="B115" s="725"/>
      <x:c r="C115" s="723"/>
      <x:c r="H115" s="727"/>
      <x:c r="I115" s="723"/>
      <x:c r="M115" s="723"/>
      <x:c r="N115" s="725"/>
      <x:c r="O115" s="725"/>
    </x:row>
    <x:row r="116">
      <x:c r="B116" s="725"/>
      <x:c r="C116" s="723"/>
      <x:c r="H116" s="727"/>
      <x:c r="I116" s="723"/>
      <x:c r="M116" s="723"/>
      <x:c r="N116" s="725"/>
      <x:c r="O116" s="725"/>
    </x:row>
    <x:row r="117">
      <x:c r="B117" s="725"/>
      <x:c r="C117" s="723"/>
      <x:c r="H117" s="727"/>
      <x:c r="I117" s="723"/>
      <x:c r="M117" s="723"/>
      <x:c r="N117" s="725"/>
      <x:c r="O117" s="725"/>
    </x:row>
    <x:row r="118">
      <x:c r="B118" s="725"/>
      <x:c r="C118" s="723"/>
      <x:c r="H118" s="727"/>
      <x:c r="I118" s="723"/>
      <x:c r="M118" s="723"/>
      <x:c r="N118" s="725"/>
      <x:c r="O118" s="725"/>
    </x:row>
    <x:row r="119">
      <x:c r="B119" s="725"/>
      <x:c r="C119" s="723"/>
      <x:c r="H119" s="727"/>
      <x:c r="I119" s="723"/>
      <x:c r="M119" s="723"/>
      <x:c r="N119" s="725"/>
      <x:c r="O119" s="725"/>
    </x:row>
    <x:row r="120">
      <x:c r="B120" s="725"/>
      <x:c r="C120" s="723"/>
      <x:c r="H120" s="727"/>
      <x:c r="I120" s="723"/>
      <x:c r="M120" s="723"/>
      <x:c r="N120" s="725"/>
      <x:c r="O120" s="725"/>
    </x:row>
    <x:row r="121">
      <x:c r="B121" s="725"/>
      <x:c r="C121" s="723"/>
      <x:c r="H121" s="727"/>
      <x:c r="I121" s="723"/>
      <x:c r="M121" s="723"/>
      <x:c r="N121" s="725"/>
      <x:c r="O121" s="725"/>
    </x:row>
    <x:row r="122">
      <x:c r="B122" s="725"/>
      <x:c r="C122" s="723"/>
      <x:c r="H122" s="727"/>
      <x:c r="I122" s="723"/>
      <x:c r="M122" s="723"/>
      <x:c r="N122" s="725"/>
      <x:c r="O122" s="725"/>
    </x:row>
    <x:row r="123">
      <x:c r="B123" s="725"/>
      <x:c r="C123" s="723"/>
      <x:c r="H123" s="727"/>
      <x:c r="I123" s="723"/>
      <x:c r="M123" s="723"/>
      <x:c r="N123" s="725"/>
      <x:c r="O123" s="725"/>
    </x:row>
    <x:row r="124">
      <x:c r="B124" s="725"/>
      <x:c r="C124" s="723"/>
      <x:c r="H124" s="727"/>
      <x:c r="I124" s="723"/>
      <x:c r="M124" s="723"/>
      <x:c r="N124" s="725"/>
      <x:c r="O124" s="725"/>
    </x:row>
    <x:row r="125">
      <x:c r="B125" s="725"/>
      <x:c r="C125" s="723"/>
      <x:c r="H125" s="727"/>
      <x:c r="I125" s="723"/>
      <x:c r="M125" s="723"/>
      <x:c r="N125" s="725"/>
      <x:c r="O125" s="725"/>
    </x:row>
    <x:row r="126">
      <x:c r="B126" s="725"/>
      <x:c r="C126" s="723"/>
      <x:c r="H126" s="727"/>
      <x:c r="I126" s="723"/>
      <x:c r="M126" s="723"/>
      <x:c r="N126" s="725"/>
      <x:c r="O126" s="725"/>
    </x:row>
    <x:row r="127">
      <x:c r="B127" s="725"/>
      <x:c r="C127" s="723"/>
      <x:c r="H127" s="727"/>
      <x:c r="I127" s="723"/>
      <x:c r="M127" s="723"/>
      <x:c r="N127" s="725"/>
      <x:c r="O127" s="725"/>
    </x:row>
    <x:row r="128">
      <x:c r="B128" s="725"/>
      <x:c r="C128" s="723"/>
      <x:c r="H128" s="727"/>
      <x:c r="I128" s="723"/>
      <x:c r="M128" s="723"/>
      <x:c r="N128" s="725"/>
      <x:c r="O128" s="725"/>
    </x:row>
    <x:row r="129">
      <x:c r="B129" s="725"/>
      <x:c r="C129" s="723"/>
      <x:c r="H129" s="727"/>
      <x:c r="I129" s="723"/>
      <x:c r="M129" s="723"/>
      <x:c r="N129" s="725"/>
      <x:c r="O129" s="725"/>
    </x:row>
    <x:row r="130">
      <x:c r="B130" s="725"/>
      <x:c r="C130" s="723"/>
      <x:c r="H130" s="727"/>
      <x:c r="I130" s="723"/>
      <x:c r="M130" s="723"/>
      <x:c r="N130" s="725"/>
      <x:c r="O130" s="725"/>
    </x:row>
    <x:row r="131">
      <x:c r="B131" s="725"/>
      <x:c r="C131" s="723"/>
      <x:c r="H131" s="727"/>
      <x:c r="I131" s="723"/>
      <x:c r="M131" s="723"/>
      <x:c r="N131" s="725"/>
      <x:c r="O131" s="725"/>
    </x:row>
    <x:row r="132">
      <x:c r="B132" s="725"/>
      <x:c r="C132" s="723"/>
      <x:c r="H132" s="727"/>
      <x:c r="I132" s="723"/>
      <x:c r="M132" s="723"/>
      <x:c r="N132" s="725"/>
      <x:c r="O132" s="725"/>
    </x:row>
    <x:row r="133">
      <x:c r="B133" s="725"/>
      <x:c r="C133" s="723"/>
      <x:c r="H133" s="727"/>
      <x:c r="I133" s="723"/>
      <x:c r="M133" s="723"/>
      <x:c r="N133" s="725"/>
      <x:c r="O133" s="725"/>
    </x:row>
    <x:row r="134">
      <x:c r="B134" s="725"/>
      <x:c r="C134" s="723"/>
      <x:c r="H134" s="727"/>
      <x:c r="I134" s="723"/>
      <x:c r="M134" s="723"/>
      <x:c r="N134" s="725"/>
      <x:c r="O134" s="725"/>
    </x:row>
    <x:row r="135">
      <x:c r="B135" s="725"/>
      <x:c r="C135" s="723"/>
      <x:c r="H135" s="727"/>
      <x:c r="I135" s="723"/>
      <x:c r="M135" s="723"/>
      <x:c r="N135" s="725"/>
      <x:c r="O135" s="725"/>
    </x:row>
    <x:row r="136">
      <x:c r="B136" s="725"/>
      <x:c r="C136" s="723"/>
      <x:c r="H136" s="727"/>
      <x:c r="I136" s="723"/>
      <x:c r="M136" s="723"/>
      <x:c r="N136" s="725"/>
      <x:c r="O136" s="725"/>
    </x:row>
    <x:row r="137">
      <x:c r="B137" s="725"/>
      <x:c r="C137" s="723"/>
      <x:c r="H137" s="727"/>
      <x:c r="I137" s="723"/>
      <x:c r="M137" s="723"/>
      <x:c r="N137" s="725"/>
      <x:c r="O137" s="725"/>
    </x:row>
    <x:row r="138">
      <x:c r="B138" s="725"/>
      <x:c r="C138" s="723"/>
      <x:c r="H138" s="727"/>
      <x:c r="I138" s="723"/>
      <x:c r="M138" s="723"/>
      <x:c r="N138" s="725"/>
      <x:c r="O138" s="725"/>
    </x:row>
    <x:row r="139">
      <x:c r="B139" s="725"/>
      <x:c r="C139" s="723"/>
      <x:c r="H139" s="727"/>
      <x:c r="I139" s="723"/>
      <x:c r="M139" s="723"/>
      <x:c r="N139" s="725"/>
      <x:c r="O139" s="725"/>
    </x:row>
    <x:row r="140">
      <x:c r="B140" s="725"/>
      <x:c r="C140" s="723"/>
      <x:c r="H140" s="727"/>
      <x:c r="I140" s="723"/>
      <x:c r="M140" s="723"/>
      <x:c r="N140" s="725"/>
      <x:c r="O140" s="725"/>
    </x:row>
    <x:row r="141">
      <x:c r="B141" s="725"/>
      <x:c r="C141" s="723"/>
      <x:c r="H141" s="727"/>
      <x:c r="I141" s="723"/>
      <x:c r="M141" s="723"/>
      <x:c r="N141" s="725"/>
      <x:c r="O141" s="725"/>
    </x:row>
    <x:row r="142">
      <x:c r="B142" s="725"/>
      <x:c r="C142" s="723"/>
      <x:c r="H142" s="727"/>
      <x:c r="I142" s="723"/>
      <x:c r="M142" s="723"/>
      <x:c r="N142" s="725"/>
      <x:c r="O142" s="725"/>
    </x:row>
    <x:row r="143">
      <x:c r="B143" s="725"/>
      <x:c r="C143" s="723"/>
      <x:c r="H143" s="727"/>
      <x:c r="I143" s="723"/>
      <x:c r="M143" s="723"/>
      <x:c r="N143" s="725"/>
      <x:c r="O143" s="725"/>
    </x:row>
    <x:row r="144">
      <x:c r="B144" s="725"/>
      <x:c r="C144" s="723"/>
      <x:c r="H144" s="727"/>
      <x:c r="I144" s="723"/>
      <x:c r="M144" s="723"/>
      <x:c r="N144" s="725"/>
      <x:c r="O144" s="725"/>
    </x:row>
    <x:row r="145">
      <x:c r="B145" s="725"/>
      <x:c r="C145" s="723"/>
      <x:c r="H145" s="727"/>
      <x:c r="I145" s="723"/>
      <x:c r="M145" s="723"/>
      <x:c r="N145" s="725"/>
      <x:c r="O145" s="725"/>
    </x:row>
    <x:row r="146">
      <x:c r="B146" s="725"/>
      <x:c r="C146" s="723"/>
      <x:c r="H146" s="727"/>
      <x:c r="I146" s="723"/>
      <x:c r="M146" s="723"/>
      <x:c r="N146" s="725"/>
      <x:c r="O146" s="725"/>
    </x:row>
    <x:row r="147">
      <x:c r="B147" s="725"/>
      <x:c r="C147" s="723"/>
      <x:c r="H147" s="727"/>
      <x:c r="I147" s="723"/>
      <x:c r="M147" s="723"/>
      <x:c r="N147" s="725"/>
      <x:c r="O147" s="725"/>
    </x:row>
    <x:row r="148">
      <x:c r="B148" s="725"/>
      <x:c r="C148" s="723"/>
      <x:c r="H148" s="727"/>
      <x:c r="I148" s="723"/>
      <x:c r="M148" s="723"/>
      <x:c r="N148" s="725"/>
      <x:c r="O148" s="725"/>
    </x:row>
    <x:row r="149">
      <x:c r="B149" s="725"/>
      <x:c r="C149" s="723"/>
      <x:c r="H149" s="727"/>
      <x:c r="I149" s="723"/>
      <x:c r="M149" s="723"/>
      <x:c r="N149" s="725"/>
      <x:c r="O149" s="725"/>
    </x:row>
    <x:row r="150">
      <x:c r="B150" s="725"/>
      <x:c r="C150" s="723"/>
      <x:c r="H150" s="727"/>
      <x:c r="I150" s="723"/>
      <x:c r="M150" s="723"/>
      <x:c r="N150" s="725"/>
      <x:c r="O150" s="725"/>
    </x:row>
    <x:row r="151">
      <x:c r="B151" s="725"/>
      <x:c r="C151" s="723"/>
      <x:c r="H151" s="727"/>
      <x:c r="I151" s="723"/>
      <x:c r="M151" s="723"/>
      <x:c r="N151" s="725"/>
      <x:c r="O151" s="725"/>
    </x:row>
    <x:row r="152">
      <x:c r="B152" s="725"/>
      <x:c r="C152" s="723"/>
      <x:c r="H152" s="727"/>
      <x:c r="I152" s="723"/>
      <x:c r="M152" s="723"/>
      <x:c r="N152" s="725"/>
      <x:c r="O152" s="725"/>
    </x:row>
    <x:row r="153">
      <x:c r="B153" s="725"/>
      <x:c r="C153" s="723"/>
      <x:c r="H153" s="727"/>
      <x:c r="I153" s="723"/>
      <x:c r="M153" s="723"/>
      <x:c r="N153" s="725"/>
      <x:c r="O153" s="725"/>
    </x:row>
    <x:row r="154">
      <x:c r="B154" s="725"/>
      <x:c r="C154" s="723"/>
      <x:c r="H154" s="727"/>
      <x:c r="I154" s="723"/>
      <x:c r="M154" s="723"/>
      <x:c r="N154" s="725"/>
      <x:c r="O154" s="725"/>
    </x:row>
    <x:row r="155">
      <x:c r="B155" s="725"/>
      <x:c r="C155" s="723"/>
      <x:c r="H155" s="727"/>
      <x:c r="I155" s="723"/>
      <x:c r="M155" s="723"/>
      <x:c r="N155" s="725"/>
      <x:c r="O155" s="725"/>
    </x:row>
    <x:row r="156">
      <x:c r="B156" s="725"/>
      <x:c r="C156" s="723"/>
      <x:c r="H156" s="727"/>
      <x:c r="I156" s="723"/>
      <x:c r="M156" s="723"/>
      <x:c r="N156" s="725"/>
      <x:c r="O156" s="725"/>
    </x:row>
    <x:row r="157">
      <x:c r="B157" s="725"/>
      <x:c r="C157" s="723"/>
      <x:c r="H157" s="727"/>
      <x:c r="I157" s="723"/>
      <x:c r="M157" s="723"/>
      <x:c r="N157" s="725"/>
      <x:c r="O157" s="725"/>
    </x:row>
    <x:row r="158">
      <x:c r="B158" s="725"/>
      <x:c r="C158" s="723"/>
      <x:c r="H158" s="727"/>
      <x:c r="I158" s="723"/>
      <x:c r="M158" s="723"/>
      <x:c r="N158" s="725"/>
      <x:c r="O158" s="725"/>
    </x:row>
    <x:row r="159">
      <x:c r="B159" s="725"/>
      <x:c r="C159" s="723"/>
      <x:c r="H159" s="727"/>
      <x:c r="I159" s="723"/>
      <x:c r="M159" s="723"/>
      <x:c r="N159" s="725"/>
      <x:c r="O159" s="725"/>
    </x:row>
    <x:row r="160">
      <x:c r="B160" s="725"/>
      <x:c r="C160" s="723"/>
      <x:c r="H160" s="727"/>
      <x:c r="I160" s="723"/>
      <x:c r="M160" s="723"/>
      <x:c r="N160" s="725"/>
      <x:c r="O160" s="725"/>
    </x:row>
    <x:row r="161">
      <x:c r="B161" s="725"/>
      <x:c r="C161" s="723"/>
      <x:c r="H161" s="727"/>
      <x:c r="I161" s="723"/>
      <x:c r="M161" s="723"/>
      <x:c r="N161" s="725"/>
      <x:c r="O161" s="725"/>
    </x:row>
    <x:row r="162">
      <x:c r="B162" s="725"/>
      <x:c r="C162" s="723"/>
      <x:c r="H162" s="727"/>
      <x:c r="I162" s="723"/>
      <x:c r="M162" s="723"/>
      <x:c r="N162" s="725"/>
      <x:c r="O162" s="725"/>
    </x:row>
    <x:row r="163">
      <x:c r="B163" s="725"/>
      <x:c r="C163" s="723"/>
      <x:c r="H163" s="727"/>
      <x:c r="I163" s="723"/>
      <x:c r="M163" s="723"/>
      <x:c r="N163" s="725"/>
      <x:c r="O163" s="725"/>
    </x:row>
    <x:row r="164">
      <x:c r="B164" s="725"/>
      <x:c r="C164" s="723"/>
      <x:c r="H164" s="727"/>
      <x:c r="I164" s="723"/>
      <x:c r="M164" s="723"/>
      <x:c r="N164" s="725"/>
      <x:c r="O164" s="725"/>
    </x:row>
    <x:row r="165">
      <x:c r="B165" s="725"/>
      <x:c r="C165" s="723"/>
      <x:c r="H165" s="727"/>
      <x:c r="I165" s="723"/>
      <x:c r="M165" s="723"/>
      <x:c r="N165" s="725"/>
      <x:c r="O165" s="725"/>
    </x:row>
    <x:row r="166">
      <x:c r="B166" s="725"/>
      <x:c r="C166" s="723"/>
      <x:c r="H166" s="727"/>
      <x:c r="I166" s="723"/>
      <x:c r="M166" s="723"/>
      <x:c r="N166" s="725"/>
      <x:c r="O166" s="725"/>
    </x:row>
    <x:row r="167">
      <x:c r="B167" s="725"/>
      <x:c r="C167" s="723"/>
      <x:c r="H167" s="727"/>
      <x:c r="I167" s="723"/>
      <x:c r="M167" s="723"/>
      <x:c r="N167" s="725"/>
      <x:c r="O167" s="725"/>
    </x:row>
    <x:row r="168">
      <x:c r="B168" s="725"/>
      <x:c r="C168" s="723"/>
      <x:c r="H168" s="727"/>
      <x:c r="I168" s="723"/>
      <x:c r="M168" s="723"/>
      <x:c r="N168" s="725"/>
      <x:c r="O168" s="725"/>
    </x:row>
    <x:row r="169">
      <x:c r="B169" s="725"/>
      <x:c r="C169" s="723"/>
      <x:c r="H169" s="727"/>
      <x:c r="I169" s="723"/>
      <x:c r="M169" s="723"/>
      <x:c r="N169" s="725"/>
      <x:c r="O169" s="725"/>
    </x:row>
    <x:row r="170">
      <x:c r="B170" s="725"/>
      <x:c r="C170" s="723"/>
      <x:c r="H170" s="727"/>
      <x:c r="I170" s="723"/>
      <x:c r="M170" s="723"/>
      <x:c r="N170" s="725"/>
      <x:c r="O170" s="725"/>
    </x:row>
    <x:row r="171">
      <x:c r="B171" s="725"/>
      <x:c r="C171" s="723"/>
      <x:c r="H171" s="727"/>
      <x:c r="I171" s="723"/>
      <x:c r="M171" s="723"/>
      <x:c r="N171" s="725"/>
      <x:c r="O171" s="725"/>
    </x:row>
    <x:row r="172">
      <x:c r="B172" s="725"/>
      <x:c r="C172" s="723"/>
      <x:c r="H172" s="727"/>
      <x:c r="I172" s="723"/>
      <x:c r="M172" s="723"/>
      <x:c r="N172" s="725"/>
      <x:c r="O172" s="725"/>
    </x:row>
    <x:row r="173">
      <x:c r="B173" s="725"/>
      <x:c r="C173" s="723"/>
      <x:c r="H173" s="727"/>
      <x:c r="I173" s="723"/>
      <x:c r="M173" s="723"/>
      <x:c r="N173" s="725"/>
      <x:c r="O173" s="725"/>
    </x:row>
    <x:row r="174">
      <x:c r="B174" s="725"/>
      <x:c r="C174" s="723"/>
      <x:c r="H174" s="727"/>
      <x:c r="I174" s="723"/>
      <x:c r="M174" s="723"/>
      <x:c r="N174" s="725"/>
      <x:c r="O174" s="725"/>
    </x:row>
    <x:row r="175">
      <x:c r="B175" s="725"/>
      <x:c r="C175" s="723"/>
      <x:c r="H175" s="727"/>
      <x:c r="I175" s="723"/>
      <x:c r="M175" s="723"/>
      <x:c r="N175" s="725"/>
      <x:c r="O175" s="725"/>
    </x:row>
    <x:row r="176">
      <x:c r="B176" s="725"/>
      <x:c r="C176" s="723"/>
      <x:c r="H176" s="727"/>
      <x:c r="I176" s="723"/>
      <x:c r="M176" s="723"/>
      <x:c r="N176" s="725"/>
      <x:c r="O176" s="725"/>
    </x:row>
    <x:row r="177">
      <x:c r="B177" s="725"/>
      <x:c r="C177" s="723"/>
      <x:c r="H177" s="727"/>
      <x:c r="I177" s="723"/>
      <x:c r="M177" s="723"/>
      <x:c r="N177" s="725"/>
      <x:c r="O177" s="725"/>
    </x:row>
    <x:row r="178">
      <x:c r="B178" s="725"/>
      <x:c r="C178" s="723"/>
      <x:c r="H178" s="727"/>
      <x:c r="I178" s="723"/>
      <x:c r="M178" s="723"/>
      <x:c r="N178" s="725"/>
      <x:c r="O178" s="725"/>
    </x:row>
    <x:row r="179">
      <x:c r="B179" s="725"/>
      <x:c r="C179" s="723"/>
      <x:c r="H179" s="727"/>
      <x:c r="I179" s="723"/>
      <x:c r="M179" s="723"/>
      <x:c r="N179" s="725"/>
      <x:c r="O179" s="725"/>
    </x:row>
    <x:row r="180">
      <x:c r="B180" s="725"/>
      <x:c r="C180" s="723"/>
      <x:c r="H180" s="727"/>
      <x:c r="I180" s="723"/>
      <x:c r="M180" s="723"/>
      <x:c r="N180" s="725"/>
      <x:c r="O180" s="725"/>
    </x:row>
    <x:row r="181">
      <x:c r="B181" s="725"/>
      <x:c r="C181" s="723"/>
      <x:c r="H181" s="727"/>
      <x:c r="I181" s="723"/>
      <x:c r="M181" s="723"/>
      <x:c r="N181" s="725"/>
      <x:c r="O181" s="725"/>
    </x:row>
    <x:row r="182">
      <x:c r="B182" s="725"/>
      <x:c r="C182" s="723"/>
      <x:c r="H182" s="727"/>
      <x:c r="I182" s="723"/>
      <x:c r="M182" s="723"/>
      <x:c r="N182" s="725"/>
      <x:c r="O182" s="725"/>
    </x:row>
    <x:row r="183">
      <x:c r="B183" s="725"/>
      <x:c r="C183" s="723"/>
      <x:c r="H183" s="727"/>
      <x:c r="I183" s="723"/>
      <x:c r="M183" s="723"/>
      <x:c r="N183" s="725"/>
      <x:c r="O183" s="725"/>
    </x:row>
    <x:row r="184">
      <x:c r="B184" s="725"/>
      <x:c r="C184" s="723"/>
      <x:c r="H184" s="727"/>
      <x:c r="I184" s="723"/>
      <x:c r="M184" s="723"/>
      <x:c r="N184" s="725"/>
      <x:c r="O184" s="725"/>
    </x:row>
    <x:row r="185">
      <x:c r="B185" s="725"/>
      <x:c r="C185" s="723"/>
      <x:c r="H185" s="727"/>
      <x:c r="I185" s="723"/>
      <x:c r="M185" s="723"/>
      <x:c r="N185" s="725"/>
      <x:c r="O185" s="725"/>
    </x:row>
    <x:row r="186">
      <x:c r="B186" s="725"/>
      <x:c r="C186" s="723"/>
      <x:c r="H186" s="727"/>
      <x:c r="I186" s="723"/>
      <x:c r="M186" s="723"/>
      <x:c r="N186" s="725"/>
      <x:c r="O186" s="725"/>
    </x:row>
    <x:row r="187">
      <x:c r="B187" s="725"/>
      <x:c r="C187" s="723"/>
      <x:c r="H187" s="727"/>
      <x:c r="I187" s="723"/>
      <x:c r="M187" s="723"/>
      <x:c r="N187" s="725"/>
      <x:c r="O187" s="725"/>
    </x:row>
    <x:row r="188">
      <x:c r="B188" s="725"/>
      <x:c r="C188" s="723"/>
      <x:c r="H188" s="727"/>
      <x:c r="I188" s="723"/>
      <x:c r="M188" s="723"/>
      <x:c r="N188" s="725"/>
      <x:c r="O188" s="725"/>
    </x:row>
    <x:row r="189">
      <x:c r="B189" s="725"/>
      <x:c r="C189" s="723"/>
      <x:c r="H189" s="727"/>
      <x:c r="I189" s="723"/>
      <x:c r="M189" s="723"/>
      <x:c r="N189" s="725"/>
      <x:c r="O189" s="725"/>
    </x:row>
    <x:row r="190">
      <x:c r="B190" s="725"/>
      <x:c r="C190" s="723"/>
      <x:c r="H190" s="727"/>
      <x:c r="I190" s="723"/>
      <x:c r="M190" s="723"/>
      <x:c r="N190" s="725"/>
      <x:c r="O190" s="725"/>
    </x:row>
    <x:row r="191">
      <x:c r="B191" s="725"/>
      <x:c r="C191" s="723"/>
      <x:c r="H191" s="727"/>
      <x:c r="I191" s="723"/>
      <x:c r="M191" s="723"/>
      <x:c r="N191" s="725"/>
      <x:c r="O191" s="725"/>
    </x:row>
    <x:row r="192">
      <x:c r="B192" s="725"/>
      <x:c r="C192" s="723"/>
      <x:c r="H192" s="727"/>
      <x:c r="I192" s="723"/>
      <x:c r="M192" s="723"/>
      <x:c r="N192" s="725"/>
      <x:c r="O192" s="725"/>
    </x:row>
    <x:row r="193">
      <x:c r="B193" s="725"/>
      <x:c r="C193" s="723"/>
      <x:c r="H193" s="727"/>
      <x:c r="I193" s="723"/>
      <x:c r="M193" s="723"/>
      <x:c r="N193" s="725"/>
      <x:c r="O193" s="725"/>
    </x:row>
    <x:row r="194">
      <x:c r="B194" s="725"/>
      <x:c r="C194" s="723"/>
      <x:c r="H194" s="727"/>
      <x:c r="I194" s="723"/>
      <x:c r="M194" s="723"/>
      <x:c r="N194" s="725"/>
      <x:c r="O194" s="725"/>
    </x:row>
    <x:row r="195">
      <x:c r="B195" s="725"/>
      <x:c r="C195" s="723"/>
      <x:c r="H195" s="727"/>
      <x:c r="I195" s="723"/>
      <x:c r="M195" s="723"/>
      <x:c r="N195" s="725"/>
      <x:c r="O195" s="725"/>
    </x:row>
    <x:row r="196">
      <x:c r="B196" s="725"/>
      <x:c r="C196" s="723"/>
      <x:c r="H196" s="727"/>
      <x:c r="I196" s="723"/>
      <x:c r="M196" s="723"/>
      <x:c r="N196" s="725"/>
      <x:c r="O196" s="725"/>
    </x:row>
    <x:row r="197">
      <x:c r="B197" s="725"/>
      <x:c r="C197" s="723"/>
      <x:c r="H197" s="727"/>
      <x:c r="I197" s="723"/>
      <x:c r="M197" s="723"/>
      <x:c r="N197" s="725"/>
      <x:c r="O197" s="725"/>
    </x:row>
    <x:row r="198">
      <x:c r="B198" s="725"/>
      <x:c r="C198" s="723"/>
      <x:c r="H198" s="727"/>
      <x:c r="I198" s="723"/>
      <x:c r="M198" s="723"/>
      <x:c r="N198" s="725"/>
      <x:c r="O198" s="725"/>
    </x:row>
    <x:row r="199">
      <x:c r="B199" s="725"/>
      <x:c r="C199" s="723"/>
      <x:c r="H199" s="727"/>
      <x:c r="I199" s="723"/>
      <x:c r="M199" s="723"/>
      <x:c r="N199" s="725"/>
      <x:c r="O199" s="725"/>
    </x:row>
    <x:row r="200">
      <x:c r="B200" s="725"/>
      <x:c r="C200" s="723"/>
      <x:c r="H200" s="727"/>
      <x:c r="I200" s="723"/>
      <x:c r="M200" s="723"/>
      <x:c r="N200" s="725"/>
      <x:c r="O200" s="725"/>
    </x:row>
    <x:row r="201">
      <x:c r="B201" s="725"/>
      <x:c r="C201" s="723"/>
      <x:c r="H201" s="727"/>
      <x:c r="I201" s="723"/>
      <x:c r="M201" s="723"/>
      <x:c r="N201" s="725"/>
      <x:c r="O201" s="725"/>
    </x:row>
    <x:row r="202">
      <x:c r="B202" s="725"/>
      <x:c r="C202" s="723"/>
      <x:c r="H202" s="727"/>
      <x:c r="I202" s="723"/>
      <x:c r="M202" s="723"/>
      <x:c r="N202" s="725"/>
      <x:c r="O202" s="725"/>
    </x:row>
    <x:row r="203">
      <x:c r="B203" s="725"/>
      <x:c r="C203" s="723"/>
      <x:c r="H203" s="727"/>
      <x:c r="I203" s="723"/>
      <x:c r="M203" s="723"/>
      <x:c r="N203" s="725"/>
      <x:c r="O203" s="725"/>
    </x:row>
    <x:row r="204">
      <x:c r="B204" s="725"/>
      <x:c r="C204" s="723"/>
      <x:c r="H204" s="727"/>
      <x:c r="I204" s="723"/>
      <x:c r="M204" s="723"/>
      <x:c r="N204" s="725"/>
      <x:c r="O204" s="725"/>
    </x:row>
    <x:row r="205">
      <x:c r="B205" s="725"/>
      <x:c r="C205" s="723"/>
      <x:c r="H205" s="727"/>
      <x:c r="I205" s="723"/>
      <x:c r="M205" s="723"/>
      <x:c r="N205" s="725"/>
      <x:c r="O205" s="725"/>
    </x:row>
    <x:row r="206">
      <x:c r="B206" s="725"/>
      <x:c r="C206" s="723"/>
      <x:c r="H206" s="727"/>
      <x:c r="I206" s="723"/>
      <x:c r="M206" s="723"/>
      <x:c r="N206" s="725"/>
      <x:c r="O206" s="725"/>
    </x:row>
    <x:row r="207">
      <x:c r="B207" s="725"/>
      <x:c r="C207" s="723"/>
      <x:c r="H207" s="727"/>
      <x:c r="I207" s="723"/>
      <x:c r="M207" s="723"/>
      <x:c r="N207" s="725"/>
      <x:c r="O207" s="725"/>
    </x:row>
    <x:row r="208">
      <x:c r="B208" s="725"/>
      <x:c r="C208" s="723"/>
      <x:c r="H208" s="727"/>
      <x:c r="I208" s="723"/>
      <x:c r="M208" s="723"/>
      <x:c r="N208" s="725"/>
      <x:c r="O208" s="725"/>
    </x:row>
    <x:row r="209">
      <x:c r="B209" s="725"/>
      <x:c r="C209" s="723"/>
      <x:c r="H209" s="727"/>
      <x:c r="I209" s="723"/>
      <x:c r="M209" s="723"/>
      <x:c r="N209" s="725"/>
      <x:c r="O209" s="725"/>
    </x:row>
    <x:row r="210">
      <x:c r="B210" s="725"/>
      <x:c r="C210" s="723"/>
      <x:c r="H210" s="727"/>
      <x:c r="I210" s="723"/>
      <x:c r="M210" s="723"/>
      <x:c r="N210" s="725"/>
      <x:c r="O210" s="725"/>
    </x:row>
    <x:row r="211">
      <x:c r="B211" s="725"/>
      <x:c r="C211" s="723"/>
      <x:c r="H211" s="727"/>
      <x:c r="I211" s="723"/>
      <x:c r="M211" s="723"/>
      <x:c r="N211" s="725"/>
      <x:c r="O211" s="725"/>
    </x:row>
    <x:row r="212">
      <x:c r="B212" s="725"/>
      <x:c r="C212" s="723"/>
      <x:c r="H212" s="727"/>
      <x:c r="I212" s="723"/>
      <x:c r="M212" s="723"/>
      <x:c r="N212" s="725"/>
      <x:c r="O212" s="725"/>
    </x:row>
    <x:row r="213">
      <x:c r="B213" s="725"/>
      <x:c r="C213" s="723"/>
      <x:c r="H213" s="727"/>
      <x:c r="I213" s="723"/>
      <x:c r="M213" s="723"/>
      <x:c r="N213" s="725"/>
      <x:c r="O213" s="725"/>
    </x:row>
    <x:row r="214">
      <x:c r="B214" s="725"/>
      <x:c r="C214" s="723"/>
      <x:c r="H214" s="727"/>
      <x:c r="I214" s="723"/>
      <x:c r="M214" s="723"/>
      <x:c r="N214" s="725"/>
      <x:c r="O214" s="725"/>
    </x:row>
    <x:row r="215">
      <x:c r="B215" s="725"/>
      <x:c r="C215" s="723"/>
      <x:c r="H215" s="727"/>
      <x:c r="I215" s="723"/>
      <x:c r="M215" s="723"/>
      <x:c r="N215" s="725"/>
      <x:c r="O215" s="725"/>
    </x:row>
    <x:row r="216">
      <x:c r="B216" s="725"/>
      <x:c r="C216" s="723"/>
      <x:c r="H216" s="727"/>
      <x:c r="I216" s="723"/>
      <x:c r="M216" s="723"/>
      <x:c r="N216" s="725"/>
      <x:c r="O216" s="725"/>
    </x:row>
    <x:row r="217">
      <x:c r="B217" s="725"/>
      <x:c r="C217" s="723"/>
      <x:c r="H217" s="727"/>
      <x:c r="I217" s="723"/>
      <x:c r="M217" s="723"/>
      <x:c r="N217" s="725"/>
      <x:c r="O217" s="725"/>
    </x:row>
    <x:row r="218">
      <x:c r="B218" s="725"/>
      <x:c r="C218" s="723"/>
      <x:c r="H218" s="727"/>
      <x:c r="I218" s="723"/>
      <x:c r="M218" s="723"/>
      <x:c r="N218" s="725"/>
      <x:c r="O218" s="725"/>
    </x:row>
    <x:row r="219">
      <x:c r="B219" s="725"/>
      <x:c r="C219" s="723"/>
      <x:c r="H219" s="727"/>
      <x:c r="I219" s="723"/>
      <x:c r="M219" s="723"/>
      <x:c r="N219" s="725"/>
      <x:c r="O219" s="725"/>
    </x:row>
    <x:row r="220">
      <x:c r="B220" s="725"/>
      <x:c r="C220" s="723"/>
      <x:c r="H220" s="727"/>
      <x:c r="I220" s="723"/>
      <x:c r="M220" s="723"/>
      <x:c r="N220" s="725"/>
      <x:c r="O220" s="725"/>
    </x:row>
    <x:row r="221">
      <x:c r="B221" s="725"/>
      <x:c r="C221" s="723"/>
      <x:c r="H221" s="727"/>
      <x:c r="I221" s="723"/>
      <x:c r="M221" s="723"/>
      <x:c r="N221" s="725"/>
      <x:c r="O221" s="725"/>
    </x:row>
    <x:row r="222">
      <x:c r="B222" s="725"/>
      <x:c r="C222" s="723"/>
      <x:c r="H222" s="727"/>
      <x:c r="I222" s="723"/>
      <x:c r="M222" s="723"/>
      <x:c r="N222" s="725"/>
      <x:c r="O222" s="725"/>
    </x:row>
    <x:row r="223">
      <x:c r="B223" s="725"/>
      <x:c r="C223" s="723"/>
      <x:c r="H223" s="727"/>
      <x:c r="I223" s="723"/>
      <x:c r="M223" s="723"/>
      <x:c r="N223" s="725"/>
      <x:c r="O223" s="725"/>
    </x:row>
    <x:row r="224">
      <x:c r="B224" s="725"/>
      <x:c r="C224" s="723"/>
      <x:c r="H224" s="727"/>
      <x:c r="I224" s="723"/>
      <x:c r="M224" s="723"/>
      <x:c r="N224" s="725"/>
      <x:c r="O224" s="725"/>
    </x:row>
    <x:row r="225">
      <x:c r="B225" s="725"/>
      <x:c r="C225" s="723"/>
      <x:c r="H225" s="727"/>
      <x:c r="I225" s="723"/>
      <x:c r="M225" s="723"/>
      <x:c r="N225" s="725"/>
      <x:c r="O225" s="725"/>
    </x:row>
    <x:row r="226">
      <x:c r="B226" s="725"/>
      <x:c r="C226" s="723"/>
      <x:c r="H226" s="727"/>
      <x:c r="I226" s="723"/>
      <x:c r="M226" s="723"/>
      <x:c r="N226" s="725"/>
      <x:c r="O226" s="725"/>
    </x:row>
    <x:row r="227">
      <x:c r="B227" s="725"/>
      <x:c r="C227" s="723"/>
      <x:c r="H227" s="727"/>
      <x:c r="I227" s="723"/>
      <x:c r="M227" s="723"/>
      <x:c r="N227" s="725"/>
      <x:c r="O227" s="725"/>
    </x:row>
    <x:row r="228">
      <x:c r="B228" s="725"/>
      <x:c r="C228" s="723"/>
      <x:c r="H228" s="727"/>
      <x:c r="I228" s="723"/>
      <x:c r="M228" s="723"/>
      <x:c r="N228" s="725"/>
      <x:c r="O228" s="725"/>
    </x:row>
    <x:row r="229">
      <x:c r="B229" s="725"/>
      <x:c r="C229" s="723"/>
      <x:c r="H229" s="727"/>
      <x:c r="I229" s="723"/>
      <x:c r="M229" s="723"/>
      <x:c r="N229" s="725"/>
      <x:c r="O229" s="725"/>
    </x:row>
    <x:row r="230">
      <x:c r="B230" s="725"/>
      <x:c r="C230" s="723"/>
      <x:c r="H230" s="727"/>
      <x:c r="I230" s="723"/>
      <x:c r="M230" s="723"/>
      <x:c r="N230" s="725"/>
      <x:c r="O230" s="725"/>
    </x:row>
    <x:row r="231">
      <x:c r="B231" s="725"/>
      <x:c r="C231" s="723"/>
      <x:c r="H231" s="727"/>
      <x:c r="I231" s="723"/>
      <x:c r="M231" s="723"/>
      <x:c r="N231" s="725"/>
      <x:c r="O231" s="725"/>
    </x:row>
    <x:row r="232">
      <x:c r="B232" s="725"/>
      <x:c r="C232" s="723"/>
      <x:c r="H232" s="727"/>
      <x:c r="I232" s="723"/>
      <x:c r="M232" s="723"/>
      <x:c r="N232" s="725"/>
      <x:c r="O232" s="725"/>
    </x:row>
    <x:row r="233">
      <x:c r="B233" s="725"/>
      <x:c r="C233" s="723"/>
      <x:c r="H233" s="727"/>
      <x:c r="I233" s="723"/>
      <x:c r="M233" s="723"/>
      <x:c r="N233" s="725"/>
      <x:c r="O233" s="725"/>
    </x:row>
    <x:row r="234">
      <x:c r="B234" s="725"/>
      <x:c r="C234" s="723"/>
      <x:c r="H234" s="727"/>
      <x:c r="I234" s="723"/>
      <x:c r="M234" s="723"/>
      <x:c r="N234" s="725"/>
      <x:c r="O234" s="725"/>
    </x:row>
    <x:row r="235">
      <x:c r="B235" s="725"/>
      <x:c r="C235" s="723"/>
      <x:c r="H235" s="727"/>
      <x:c r="I235" s="723"/>
      <x:c r="M235" s="723"/>
      <x:c r="N235" s="725"/>
      <x:c r="O235" s="725"/>
    </x:row>
    <x:row r="236">
      <x:c r="B236" s="725"/>
      <x:c r="C236" s="723"/>
      <x:c r="H236" s="727"/>
      <x:c r="I236" s="723"/>
      <x:c r="M236" s="723"/>
      <x:c r="N236" s="725"/>
      <x:c r="O236" s="725"/>
    </x:row>
    <x:row r="237">
      <x:c r="B237" s="725"/>
      <x:c r="C237" s="723"/>
      <x:c r="H237" s="727"/>
      <x:c r="I237" s="723"/>
      <x:c r="M237" s="723"/>
      <x:c r="N237" s="725"/>
      <x:c r="O237" s="725"/>
    </x:row>
    <x:row r="238">
      <x:c r="B238" s="725"/>
      <x:c r="C238" s="723"/>
      <x:c r="H238" s="727"/>
      <x:c r="I238" s="723"/>
      <x:c r="M238" s="723"/>
      <x:c r="N238" s="725"/>
      <x:c r="O238" s="725"/>
    </x:row>
    <x:row r="239">
      <x:c r="B239" s="725"/>
      <x:c r="C239" s="723"/>
      <x:c r="H239" s="727"/>
      <x:c r="I239" s="723"/>
      <x:c r="M239" s="723"/>
      <x:c r="N239" s="725"/>
      <x:c r="O239" s="725"/>
    </x:row>
    <x:row r="240">
      <x:c r="B240" s="725"/>
      <x:c r="C240" s="723"/>
      <x:c r="H240" s="727"/>
      <x:c r="I240" s="723"/>
      <x:c r="M240" s="723"/>
      <x:c r="N240" s="725"/>
      <x:c r="O240" s="725"/>
    </x:row>
    <x:row r="241">
      <x:c r="B241" s="725"/>
      <x:c r="C241" s="723"/>
      <x:c r="H241" s="727"/>
      <x:c r="I241" s="723"/>
      <x:c r="M241" s="723"/>
      <x:c r="N241" s="725"/>
      <x:c r="O241" s="725"/>
    </x:row>
    <x:row r="242">
      <x:c r="B242" s="725"/>
      <x:c r="C242" s="723"/>
      <x:c r="H242" s="727"/>
      <x:c r="I242" s="723"/>
      <x:c r="M242" s="723"/>
      <x:c r="N242" s="725"/>
      <x:c r="O242" s="725"/>
    </x:row>
    <x:row r="243">
      <x:c r="B243" s="725"/>
      <x:c r="C243" s="723"/>
      <x:c r="H243" s="727"/>
      <x:c r="I243" s="723"/>
      <x:c r="M243" s="723"/>
      <x:c r="N243" s="725"/>
      <x:c r="O243" s="725"/>
    </x:row>
    <x:row r="244">
      <x:c r="B244" s="725"/>
      <x:c r="C244" s="723"/>
      <x:c r="H244" s="727"/>
      <x:c r="I244" s="723"/>
      <x:c r="M244" s="723"/>
      <x:c r="N244" s="725"/>
      <x:c r="O244" s="725"/>
    </x:row>
    <x:row r="245">
      <x:c r="B245" s="725"/>
      <x:c r="C245" s="723"/>
      <x:c r="H245" s="727"/>
      <x:c r="I245" s="723"/>
      <x:c r="M245" s="723"/>
      <x:c r="N245" s="725"/>
      <x:c r="O245" s="725"/>
    </x:row>
    <x:row r="246">
      <x:c r="B246" s="725"/>
      <x:c r="C246" s="723"/>
      <x:c r="H246" s="727"/>
      <x:c r="I246" s="723"/>
      <x:c r="M246" s="723"/>
      <x:c r="N246" s="725"/>
      <x:c r="O246" s="725"/>
    </x:row>
    <x:row r="247">
      <x:c r="B247" s="725"/>
      <x:c r="C247" s="723"/>
      <x:c r="H247" s="727"/>
      <x:c r="I247" s="723"/>
      <x:c r="M247" s="723"/>
      <x:c r="N247" s="725"/>
      <x:c r="O247" s="725"/>
    </x:row>
    <x:row r="248">
      <x:c r="B248" s="725"/>
      <x:c r="C248" s="723"/>
      <x:c r="H248" s="727"/>
      <x:c r="I248" s="723"/>
      <x:c r="M248" s="723"/>
      <x:c r="N248" s="725"/>
      <x:c r="O248" s="725"/>
    </x:row>
    <x:row r="249">
      <x:c r="B249" s="725"/>
      <x:c r="C249" s="723"/>
      <x:c r="H249" s="727"/>
      <x:c r="I249" s="723"/>
      <x:c r="M249" s="723"/>
      <x:c r="N249" s="725"/>
      <x:c r="O249" s="725"/>
    </x:row>
    <x:row r="250">
      <x:c r="B250" s="725"/>
      <x:c r="C250" s="723"/>
      <x:c r="H250" s="727"/>
      <x:c r="I250" s="723"/>
      <x:c r="M250" s="723"/>
      <x:c r="N250" s="725"/>
      <x:c r="O250" s="725"/>
    </x:row>
    <x:row r="251">
      <x:c r="B251" s="725"/>
      <x:c r="C251" s="723"/>
      <x:c r="H251" s="727"/>
      <x:c r="I251" s="723"/>
      <x:c r="M251" s="723"/>
      <x:c r="N251" s="725"/>
      <x:c r="O251" s="725"/>
    </x:row>
    <x:row r="252">
      <x:c r="B252" s="725"/>
      <x:c r="C252" s="723"/>
      <x:c r="H252" s="727"/>
      <x:c r="I252" s="723"/>
      <x:c r="M252" s="723"/>
      <x:c r="N252" s="725"/>
      <x:c r="O252" s="725"/>
    </x:row>
    <x:row r="253">
      <x:c r="B253" s="725"/>
      <x:c r="C253" s="723"/>
      <x:c r="H253" s="727"/>
      <x:c r="I253" s="723"/>
      <x:c r="M253" s="723"/>
      <x:c r="N253" s="725"/>
      <x:c r="O253" s="725"/>
    </x:row>
    <x:row r="254">
      <x:c r="B254" s="725"/>
      <x:c r="C254" s="723"/>
      <x:c r="H254" s="727"/>
      <x:c r="I254" s="723"/>
      <x:c r="M254" s="723"/>
      <x:c r="N254" s="725"/>
      <x:c r="O254" s="725"/>
    </x:row>
    <x:row r="255">
      <x:c r="B255" s="725"/>
      <x:c r="C255" s="723"/>
      <x:c r="H255" s="727"/>
      <x:c r="I255" s="723"/>
      <x:c r="M255" s="723"/>
      <x:c r="N255" s="725"/>
      <x:c r="O255" s="725"/>
    </x:row>
    <x:row r="256">
      <x:c r="B256" s="725"/>
      <x:c r="C256" s="723"/>
      <x:c r="H256" s="727"/>
      <x:c r="I256" s="723"/>
      <x:c r="M256" s="723"/>
      <x:c r="N256" s="725"/>
      <x:c r="O256" s="725"/>
    </x:row>
    <x:row r="257">
      <x:c r="B257" s="725"/>
      <x:c r="C257" s="723"/>
      <x:c r="H257" s="727"/>
      <x:c r="I257" s="723"/>
      <x:c r="M257" s="723"/>
      <x:c r="N257" s="725"/>
      <x:c r="O257" s="725"/>
    </x:row>
    <x:row r="258">
      <x:c r="B258" s="725"/>
      <x:c r="C258" s="723"/>
      <x:c r="H258" s="727"/>
      <x:c r="I258" s="723"/>
      <x:c r="M258" s="723"/>
      <x:c r="N258" s="725"/>
      <x:c r="O258" s="725"/>
    </x:row>
    <x:row r="259">
      <x:c r="B259" s="725"/>
      <x:c r="C259" s="723"/>
      <x:c r="H259" s="727"/>
      <x:c r="I259" s="723"/>
      <x:c r="M259" s="723"/>
      <x:c r="N259" s="725"/>
      <x:c r="O259" s="725"/>
    </x:row>
    <x:row r="260">
      <x:c r="B260" s="725"/>
      <x:c r="C260" s="723"/>
      <x:c r="H260" s="727"/>
      <x:c r="I260" s="723"/>
      <x:c r="M260" s="723"/>
      <x:c r="N260" s="725"/>
      <x:c r="O260" s="725"/>
    </x:row>
    <x:row r="261">
      <x:c r="B261" s="725"/>
      <x:c r="C261" s="723"/>
      <x:c r="H261" s="727"/>
      <x:c r="I261" s="723"/>
      <x:c r="M261" s="723"/>
      <x:c r="N261" s="725"/>
      <x:c r="O261" s="725"/>
    </x:row>
    <x:row r="262">
      <x:c r="B262" s="725"/>
      <x:c r="C262" s="723"/>
      <x:c r="H262" s="727"/>
      <x:c r="I262" s="723"/>
      <x:c r="M262" s="723"/>
      <x:c r="N262" s="725"/>
      <x:c r="O262" s="725"/>
    </x:row>
    <x:row r="263">
      <x:c r="B263" s="725"/>
      <x:c r="C263" s="723"/>
      <x:c r="H263" s="727"/>
      <x:c r="I263" s="723"/>
      <x:c r="M263" s="723"/>
      <x:c r="N263" s="725"/>
      <x:c r="O263" s="725"/>
    </x:row>
    <x:row r="264">
      <x:c r="B264" s="725"/>
      <x:c r="C264" s="723"/>
      <x:c r="H264" s="727"/>
      <x:c r="I264" s="723"/>
      <x:c r="M264" s="723"/>
      <x:c r="N264" s="725"/>
      <x:c r="O264" s="725"/>
    </x:row>
    <x:row r="265">
      <x:c r="B265" s="725"/>
      <x:c r="C265" s="723"/>
      <x:c r="H265" s="727"/>
      <x:c r="I265" s="723"/>
      <x:c r="M265" s="723"/>
      <x:c r="N265" s="725"/>
      <x:c r="O265" s="725"/>
    </x:row>
    <x:row r="266">
      <x:c r="B266" s="725"/>
      <x:c r="C266" s="723"/>
      <x:c r="H266" s="727"/>
      <x:c r="I266" s="723"/>
      <x:c r="M266" s="723"/>
      <x:c r="N266" s="725"/>
      <x:c r="O266" s="725"/>
    </x:row>
    <x:row r="267">
      <x:c r="B267" s="725"/>
      <x:c r="C267" s="723"/>
      <x:c r="H267" s="727"/>
      <x:c r="I267" s="723"/>
      <x:c r="M267" s="723"/>
      <x:c r="N267" s="725"/>
      <x:c r="O267" s="725"/>
    </x:row>
    <x:row r="268">
      <x:c r="B268" s="725"/>
      <x:c r="C268" s="723"/>
      <x:c r="H268" s="727"/>
      <x:c r="I268" s="723"/>
      <x:c r="M268" s="723"/>
      <x:c r="N268" s="725"/>
      <x:c r="O268" s="725"/>
    </x:row>
    <x:row r="269">
      <x:c r="B269" s="725"/>
      <x:c r="C269" s="723"/>
      <x:c r="H269" s="727"/>
      <x:c r="I269" s="723"/>
      <x:c r="M269" s="723"/>
      <x:c r="N269" s="725"/>
      <x:c r="O269" s="725"/>
    </x:row>
    <x:row r="270">
      <x:c r="B270" s="725"/>
      <x:c r="C270" s="723"/>
      <x:c r="H270" s="727"/>
      <x:c r="I270" s="723"/>
      <x:c r="M270" s="723"/>
      <x:c r="N270" s="725"/>
      <x:c r="O270" s="725"/>
    </x:row>
    <x:row r="271">
      <x:c r="B271" s="725"/>
      <x:c r="C271" s="723"/>
      <x:c r="H271" s="727"/>
      <x:c r="I271" s="723"/>
      <x:c r="M271" s="723"/>
      <x:c r="N271" s="725"/>
      <x:c r="O271" s="725"/>
    </x:row>
    <x:row r="272">
      <x:c r="B272" s="725"/>
      <x:c r="C272" s="723"/>
      <x:c r="H272" s="727"/>
      <x:c r="I272" s="723"/>
      <x:c r="M272" s="723"/>
      <x:c r="N272" s="725"/>
      <x:c r="O272" s="725"/>
    </x:row>
    <x:row r="273">
      <x:c r="B273" s="725"/>
      <x:c r="C273" s="723"/>
      <x:c r="H273" s="727"/>
      <x:c r="I273" s="723"/>
      <x:c r="M273" s="723"/>
      <x:c r="N273" s="725"/>
      <x:c r="O273" s="725"/>
    </x:row>
    <x:row r="274">
      <x:c r="B274" s="725"/>
      <x:c r="C274" s="723"/>
      <x:c r="H274" s="727"/>
      <x:c r="I274" s="723"/>
      <x:c r="M274" s="723"/>
      <x:c r="N274" s="725"/>
      <x:c r="O274" s="725"/>
    </x:row>
    <x:row r="275">
      <x:c r="B275" s="725"/>
      <x:c r="C275" s="723"/>
      <x:c r="H275" s="727"/>
      <x:c r="I275" s="723"/>
      <x:c r="M275" s="723"/>
      <x:c r="N275" s="725"/>
      <x:c r="O275" s="725"/>
    </x:row>
    <x:row r="276">
      <x:c r="B276" s="725"/>
      <x:c r="C276" s="723"/>
      <x:c r="H276" s="727"/>
      <x:c r="I276" s="723"/>
      <x:c r="M276" s="723"/>
      <x:c r="N276" s="725"/>
      <x:c r="O276" s="725"/>
    </x:row>
    <x:row r="277">
      <x:c r="B277" s="725"/>
      <x:c r="C277" s="723"/>
      <x:c r="H277" s="727"/>
      <x:c r="I277" s="723"/>
      <x:c r="M277" s="723"/>
      <x:c r="N277" s="725"/>
      <x:c r="O277" s="725"/>
    </x:row>
    <x:row r="278">
      <x:c r="B278" s="725"/>
      <x:c r="C278" s="723"/>
      <x:c r="H278" s="727"/>
      <x:c r="I278" s="723"/>
      <x:c r="M278" s="723"/>
      <x:c r="N278" s="725"/>
      <x:c r="O278" s="725"/>
    </x:row>
    <x:row r="279">
      <x:c r="B279" s="725"/>
      <x:c r="C279" s="723"/>
      <x:c r="H279" s="727"/>
      <x:c r="I279" s="723"/>
      <x:c r="M279" s="723"/>
      <x:c r="N279" s="725"/>
      <x:c r="O279" s="725"/>
    </x:row>
    <x:row r="280">
      <x:c r="B280" s="725"/>
      <x:c r="C280" s="723"/>
      <x:c r="H280" s="727"/>
      <x:c r="I280" s="723"/>
      <x:c r="M280" s="723"/>
      <x:c r="N280" s="725"/>
      <x:c r="O280" s="725"/>
    </x:row>
    <x:row r="281">
      <x:c r="B281" s="725"/>
      <x:c r="C281" s="723"/>
      <x:c r="H281" s="727"/>
      <x:c r="I281" s="723"/>
      <x:c r="M281" s="723"/>
      <x:c r="N281" s="725"/>
      <x:c r="O281" s="725"/>
    </x:row>
    <x:row r="282">
      <x:c r="B282" s="725"/>
      <x:c r="C282" s="723"/>
      <x:c r="H282" s="727"/>
      <x:c r="I282" s="723"/>
      <x:c r="M282" s="723"/>
      <x:c r="N282" s="725"/>
      <x:c r="O282" s="725"/>
    </x:row>
    <x:row r="283">
      <x:c r="B283" s="725"/>
      <x:c r="C283" s="723"/>
      <x:c r="H283" s="727"/>
      <x:c r="I283" s="723"/>
      <x:c r="M283" s="723"/>
      <x:c r="N283" s="725"/>
      <x:c r="O283" s="725"/>
    </x:row>
    <x:row r="284">
      <x:c r="B284" s="725"/>
      <x:c r="C284" s="723"/>
      <x:c r="H284" s="727"/>
      <x:c r="I284" s="723"/>
      <x:c r="M284" s="723"/>
      <x:c r="N284" s="725"/>
      <x:c r="O284" s="725"/>
    </x:row>
    <x:row r="285">
      <x:c r="B285" s="725"/>
      <x:c r="C285" s="723"/>
      <x:c r="H285" s="727"/>
      <x:c r="I285" s="723"/>
      <x:c r="M285" s="723"/>
      <x:c r="N285" s="725"/>
      <x:c r="O285" s="725"/>
    </x:row>
    <x:row r="286">
      <x:c r="B286" s="725"/>
      <x:c r="C286" s="723"/>
      <x:c r="H286" s="727"/>
      <x:c r="I286" s="723"/>
      <x:c r="M286" s="723"/>
      <x:c r="N286" s="725"/>
      <x:c r="O286" s="725"/>
    </x:row>
    <x:row r="287">
      <x:c r="B287" s="725"/>
      <x:c r="C287" s="723"/>
      <x:c r="H287" s="727"/>
      <x:c r="I287" s="723"/>
      <x:c r="M287" s="723"/>
      <x:c r="N287" s="725"/>
      <x:c r="O287" s="725"/>
    </x:row>
    <x:row r="288">
      <x:c r="B288" s="725"/>
      <x:c r="C288" s="723"/>
      <x:c r="H288" s="727"/>
      <x:c r="I288" s="723"/>
      <x:c r="M288" s="723"/>
      <x:c r="N288" s="725"/>
      <x:c r="O288" s="725"/>
    </x:row>
    <x:row r="289">
      <x:c r="B289" s="725"/>
      <x:c r="C289" s="723"/>
      <x:c r="H289" s="727"/>
      <x:c r="I289" s="723"/>
      <x:c r="M289" s="723"/>
      <x:c r="N289" s="725"/>
      <x:c r="O289" s="725"/>
    </x:row>
    <x:row r="290">
      <x:c r="B290" s="725"/>
      <x:c r="C290" s="723"/>
      <x:c r="H290" s="727"/>
      <x:c r="I290" s="723"/>
      <x:c r="M290" s="723"/>
      <x:c r="N290" s="725"/>
      <x:c r="O290" s="725"/>
    </x:row>
    <x:row r="291">
      <x:c r="B291" s="725"/>
      <x:c r="C291" s="723"/>
      <x:c r="H291" s="727"/>
      <x:c r="I291" s="723"/>
      <x:c r="M291" s="723"/>
      <x:c r="N291" s="725"/>
      <x:c r="O291" s="725"/>
    </x:row>
    <x:row r="292">
      <x:c r="B292" s="725"/>
      <x:c r="C292" s="723"/>
      <x:c r="H292" s="727"/>
      <x:c r="I292" s="723"/>
      <x:c r="M292" s="723"/>
      <x:c r="N292" s="725"/>
      <x:c r="O292" s="725"/>
    </x:row>
    <x:row r="293">
      <x:c r="B293" s="725"/>
      <x:c r="C293" s="723"/>
      <x:c r="H293" s="727"/>
      <x:c r="I293" s="723"/>
      <x:c r="M293" s="723"/>
      <x:c r="N293" s="725"/>
      <x:c r="O293" s="725"/>
    </x:row>
    <x:row r="294">
      <x:c r="B294" s="725"/>
      <x:c r="C294" s="723"/>
      <x:c r="H294" s="727"/>
      <x:c r="I294" s="723"/>
      <x:c r="M294" s="723"/>
      <x:c r="N294" s="725"/>
      <x:c r="O294" s="725"/>
    </x:row>
    <x:row r="295">
      <x:c r="B295" s="725"/>
      <x:c r="C295" s="723"/>
      <x:c r="H295" s="727"/>
      <x:c r="I295" s="723"/>
      <x:c r="M295" s="723"/>
      <x:c r="N295" s="725"/>
      <x:c r="O295" s="725"/>
    </x:row>
    <x:row r="296">
      <x:c r="B296" s="725"/>
      <x:c r="C296" s="723"/>
      <x:c r="H296" s="727"/>
      <x:c r="I296" s="723"/>
      <x:c r="M296" s="723"/>
      <x:c r="N296" s="725"/>
      <x:c r="O296" s="725"/>
    </x:row>
    <x:row r="297">
      <x:c r="B297" s="725"/>
      <x:c r="C297" s="723"/>
      <x:c r="H297" s="727"/>
      <x:c r="I297" s="723"/>
      <x:c r="M297" s="723"/>
      <x:c r="N297" s="725"/>
      <x:c r="O297" s="725"/>
    </x:row>
    <x:row r="298">
      <x:c r="B298" s="725"/>
      <x:c r="C298" s="723"/>
      <x:c r="H298" s="727"/>
      <x:c r="I298" s="723"/>
      <x:c r="M298" s="723"/>
      <x:c r="N298" s="725"/>
      <x:c r="O298" s="725"/>
    </x:row>
    <x:row r="299">
      <x:c r="B299" s="725"/>
      <x:c r="C299" s="723"/>
      <x:c r="H299" s="727"/>
      <x:c r="I299" s="723"/>
      <x:c r="M299" s="723"/>
      <x:c r="N299" s="725"/>
      <x:c r="O299" s="725"/>
    </x:row>
    <x:row r="300">
      <x:c r="B300" s="725"/>
      <x:c r="C300" s="723"/>
      <x:c r="H300" s="727"/>
      <x:c r="I300" s="723"/>
      <x:c r="M300" s="723"/>
      <x:c r="N300" s="725"/>
      <x:c r="O300" s="725"/>
    </x:row>
    <x:row r="301">
      <x:c r="B301" s="725"/>
      <x:c r="C301" s="723"/>
      <x:c r="H301" s="727"/>
      <x:c r="I301" s="723"/>
      <x:c r="M301" s="723"/>
      <x:c r="N301" s="725"/>
      <x:c r="O301" s="725"/>
    </x:row>
    <x:row r="302">
      <x:c r="B302" s="725"/>
      <x:c r="C302" s="723"/>
      <x:c r="H302" s="727"/>
      <x:c r="I302" s="723"/>
      <x:c r="M302" s="723"/>
      <x:c r="N302" s="725"/>
      <x:c r="O302" s="725"/>
    </x:row>
    <x:row r="303">
      <x:c r="B303" s="725"/>
      <x:c r="C303" s="723"/>
      <x:c r="H303" s="727"/>
      <x:c r="I303" s="723"/>
      <x:c r="M303" s="723"/>
      <x:c r="N303" s="725"/>
      <x:c r="O303" s="725"/>
    </x:row>
    <x:row r="304">
      <x:c r="B304" s="725"/>
      <x:c r="C304" s="723"/>
      <x:c r="H304" s="727"/>
      <x:c r="I304" s="723"/>
      <x:c r="M304" s="723"/>
      <x:c r="N304" s="725"/>
      <x:c r="O304" s="725"/>
    </x:row>
    <x:row r="305">
      <x:c r="B305" s="725"/>
      <x:c r="C305" s="723"/>
      <x:c r="H305" s="727"/>
      <x:c r="I305" s="723"/>
      <x:c r="M305" s="723"/>
      <x:c r="N305" s="725"/>
      <x:c r="O305" s="725"/>
    </x:row>
    <x:row r="306">
      <x:c r="B306" s="725"/>
      <x:c r="C306" s="723"/>
      <x:c r="H306" s="727"/>
      <x:c r="I306" s="723"/>
      <x:c r="M306" s="723"/>
      <x:c r="N306" s="725"/>
      <x:c r="O306" s="725"/>
    </x:row>
    <x:row r="307">
      <x:c r="B307" s="725"/>
      <x:c r="C307" s="723"/>
      <x:c r="H307" s="727"/>
      <x:c r="I307" s="723"/>
      <x:c r="M307" s="723"/>
      <x:c r="N307" s="725"/>
      <x:c r="O307" s="725"/>
    </x:row>
    <x:row r="308">
      <x:c r="B308" s="725"/>
      <x:c r="C308" s="723"/>
      <x:c r="H308" s="727"/>
      <x:c r="I308" s="723"/>
      <x:c r="M308" s="723"/>
      <x:c r="N308" s="725"/>
      <x:c r="O308" s="725"/>
    </x:row>
    <x:row r="309">
      <x:c r="B309" s="725"/>
      <x:c r="C309" s="723"/>
      <x:c r="H309" s="727"/>
      <x:c r="I309" s="723"/>
      <x:c r="M309" s="723"/>
      <x:c r="N309" s="725"/>
      <x:c r="O309" s="725"/>
    </x:row>
    <x:row r="310">
      <x:c r="B310" s="725"/>
      <x:c r="C310" s="723"/>
      <x:c r="H310" s="727"/>
      <x:c r="I310" s="723"/>
      <x:c r="M310" s="723"/>
      <x:c r="N310" s="725"/>
      <x:c r="O310" s="725"/>
    </x:row>
    <x:row r="311">
      <x:c r="B311" s="725"/>
      <x:c r="C311" s="723"/>
      <x:c r="H311" s="727"/>
      <x:c r="I311" s="723"/>
      <x:c r="M311" s="723"/>
      <x:c r="N311" s="725"/>
      <x:c r="O311" s="725"/>
    </x:row>
    <x:row r="312">
      <x:c r="B312" s="725"/>
      <x:c r="C312" s="723"/>
      <x:c r="H312" s="727"/>
      <x:c r="I312" s="723"/>
      <x:c r="M312" s="723"/>
      <x:c r="N312" s="725"/>
      <x:c r="O312" s="725"/>
    </x:row>
    <x:row r="313">
      <x:c r="B313" s="725"/>
      <x:c r="C313" s="723"/>
      <x:c r="H313" s="727"/>
      <x:c r="I313" s="723"/>
      <x:c r="M313" s="723"/>
      <x:c r="N313" s="725"/>
      <x:c r="O313" s="725"/>
    </x:row>
    <x:row r="314">
      <x:c r="B314" s="725"/>
      <x:c r="C314" s="723"/>
      <x:c r="H314" s="727"/>
      <x:c r="I314" s="723"/>
      <x:c r="M314" s="723"/>
      <x:c r="N314" s="725"/>
      <x:c r="O314" s="725"/>
    </x:row>
    <x:row r="315">
      <x:c r="B315" s="725"/>
      <x:c r="C315" s="723"/>
      <x:c r="H315" s="727"/>
      <x:c r="I315" s="723"/>
      <x:c r="M315" s="723"/>
      <x:c r="N315" s="725"/>
      <x:c r="O315" s="725"/>
    </x:row>
    <x:row r="316">
      <x:c r="B316" s="725"/>
      <x:c r="C316" s="723"/>
      <x:c r="H316" s="727"/>
      <x:c r="I316" s="723"/>
      <x:c r="M316" s="723"/>
      <x:c r="N316" s="725"/>
      <x:c r="O316" s="725"/>
    </x:row>
    <x:row r="317">
      <x:c r="B317" s="725"/>
      <x:c r="C317" s="723"/>
      <x:c r="H317" s="727"/>
      <x:c r="I317" s="723"/>
      <x:c r="M317" s="723"/>
      <x:c r="N317" s="725"/>
      <x:c r="O317" s="725"/>
    </x:row>
    <x:row r="318">
      <x:c r="B318" s="725"/>
      <x:c r="C318" s="723"/>
      <x:c r="H318" s="727"/>
      <x:c r="I318" s="723"/>
      <x:c r="M318" s="723"/>
      <x:c r="N318" s="725"/>
      <x:c r="O318" s="725"/>
    </x:row>
    <x:row r="319">
      <x:c r="B319" s="725"/>
      <x:c r="C319" s="723"/>
      <x:c r="H319" s="727"/>
      <x:c r="I319" s="723"/>
      <x:c r="M319" s="723"/>
      <x:c r="N319" s="725"/>
      <x:c r="O319" s="725"/>
    </x:row>
    <x:row r="320">
      <x:c r="B320" s="725"/>
      <x:c r="C320" s="723"/>
      <x:c r="H320" s="727"/>
      <x:c r="I320" s="723"/>
      <x:c r="M320" s="723"/>
      <x:c r="N320" s="725"/>
      <x:c r="O320" s="725"/>
    </x:row>
    <x:row r="321">
      <x:c r="B321" s="725"/>
      <x:c r="C321" s="723"/>
      <x:c r="H321" s="727"/>
      <x:c r="I321" s="723"/>
      <x:c r="M321" s="723"/>
      <x:c r="N321" s="725"/>
      <x:c r="O321" s="725"/>
    </x:row>
    <x:row r="322">
      <x:c r="B322" s="725"/>
      <x:c r="C322" s="723"/>
      <x:c r="H322" s="727"/>
      <x:c r="I322" s="723"/>
      <x:c r="M322" s="723"/>
      <x:c r="N322" s="725"/>
      <x:c r="O322" s="725"/>
    </x:row>
    <x:row r="323">
      <x:c r="B323" s="725"/>
      <x:c r="C323" s="723"/>
      <x:c r="H323" s="727"/>
      <x:c r="I323" s="723"/>
      <x:c r="M323" s="723"/>
      <x:c r="N323" s="725"/>
      <x:c r="O323" s="725"/>
    </x:row>
    <x:row r="324">
      <x:c r="B324" s="725"/>
      <x:c r="C324" s="723"/>
      <x:c r="H324" s="727"/>
      <x:c r="I324" s="723"/>
      <x:c r="M324" s="723"/>
      <x:c r="N324" s="725"/>
      <x:c r="O324" s="725"/>
    </x:row>
    <x:row r="325">
      <x:c r="B325" s="725"/>
      <x:c r="C325" s="723"/>
      <x:c r="H325" s="727"/>
      <x:c r="I325" s="723"/>
      <x:c r="M325" s="723"/>
      <x:c r="N325" s="725"/>
      <x:c r="O325" s="725"/>
    </x:row>
    <x:row r="326">
      <x:c r="B326" s="725"/>
      <x:c r="C326" s="723"/>
      <x:c r="H326" s="727"/>
      <x:c r="I326" s="723"/>
      <x:c r="M326" s="723"/>
      <x:c r="N326" s="725"/>
      <x:c r="O326" s="725"/>
    </x:row>
    <x:row r="327">
      <x:c r="B327" s="725"/>
      <x:c r="C327" s="723"/>
      <x:c r="H327" s="727"/>
      <x:c r="I327" s="723"/>
      <x:c r="M327" s="723"/>
      <x:c r="N327" s="725"/>
      <x:c r="O327" s="725"/>
    </x:row>
    <x:row r="328">
      <x:c r="B328" s="725"/>
      <x:c r="C328" s="723"/>
      <x:c r="H328" s="727"/>
      <x:c r="I328" s="723"/>
      <x:c r="M328" s="723"/>
      <x:c r="N328" s="725"/>
      <x:c r="O328" s="725"/>
    </x:row>
    <x:row r="329">
      <x:c r="B329" s="725"/>
      <x:c r="C329" s="723"/>
      <x:c r="H329" s="727"/>
      <x:c r="I329" s="723"/>
      <x:c r="M329" s="723"/>
      <x:c r="N329" s="725"/>
      <x:c r="O329" s="725"/>
    </x:row>
    <x:row r="330">
      <x:c r="B330" s="725"/>
      <x:c r="C330" s="723"/>
      <x:c r="H330" s="727"/>
      <x:c r="I330" s="723"/>
      <x:c r="M330" s="723"/>
      <x:c r="N330" s="725"/>
      <x:c r="O330" s="725"/>
    </x:row>
    <x:row r="331">
      <x:c r="B331" s="725"/>
      <x:c r="C331" s="723"/>
      <x:c r="H331" s="727"/>
      <x:c r="I331" s="723"/>
      <x:c r="M331" s="723"/>
      <x:c r="N331" s="725"/>
      <x:c r="O331" s="725"/>
    </x:row>
    <x:row r="332">
      <x:c r="B332" s="725"/>
      <x:c r="C332" s="723"/>
      <x:c r="H332" s="727"/>
      <x:c r="I332" s="723"/>
      <x:c r="M332" s="723"/>
      <x:c r="N332" s="725"/>
      <x:c r="O332" s="725"/>
    </x:row>
    <x:row r="333">
      <x:c r="B333" s="725"/>
      <x:c r="C333" s="723"/>
      <x:c r="H333" s="727"/>
      <x:c r="I333" s="723"/>
      <x:c r="M333" s="723"/>
      <x:c r="N333" s="725"/>
      <x:c r="O333" s="725"/>
    </x:row>
    <x:row r="334">
      <x:c r="B334" s="725"/>
      <x:c r="C334" s="723"/>
      <x:c r="H334" s="727"/>
      <x:c r="I334" s="723"/>
      <x:c r="M334" s="723"/>
      <x:c r="N334" s="725"/>
      <x:c r="O334" s="725"/>
    </x:row>
    <x:row r="335">
      <x:c r="B335" s="725"/>
      <x:c r="C335" s="723"/>
      <x:c r="H335" s="727"/>
      <x:c r="I335" s="723"/>
      <x:c r="M335" s="723"/>
      <x:c r="N335" s="725"/>
      <x:c r="O335" s="725"/>
    </x:row>
    <x:row r="336">
      <x:c r="B336" s="725"/>
      <x:c r="C336" s="723"/>
      <x:c r="H336" s="727"/>
      <x:c r="I336" s="723"/>
      <x:c r="M336" s="723"/>
      <x:c r="N336" s="725"/>
      <x:c r="O336" s="725"/>
    </x:row>
    <x:row r="337">
      <x:c r="B337" s="725"/>
      <x:c r="C337" s="723"/>
      <x:c r="H337" s="727"/>
      <x:c r="I337" s="723"/>
      <x:c r="M337" s="723"/>
      <x:c r="N337" s="725"/>
      <x:c r="O337" s="725"/>
    </x:row>
    <x:row r="338">
      <x:c r="B338" s="725"/>
      <x:c r="C338" s="723"/>
      <x:c r="H338" s="727"/>
      <x:c r="I338" s="723"/>
      <x:c r="M338" s="723"/>
      <x:c r="N338" s="725"/>
      <x:c r="O338" s="725"/>
    </x:row>
    <x:row r="339">
      <x:c r="B339" s="725"/>
      <x:c r="C339" s="723"/>
      <x:c r="H339" s="727"/>
      <x:c r="I339" s="723"/>
      <x:c r="M339" s="723"/>
      <x:c r="N339" s="725"/>
      <x:c r="O339" s="725"/>
    </x:row>
    <x:row r="340">
      <x:c r="B340" s="725"/>
      <x:c r="C340" s="723"/>
      <x:c r="H340" s="727"/>
      <x:c r="I340" s="723"/>
      <x:c r="M340" s="723"/>
      <x:c r="N340" s="725"/>
      <x:c r="O340" s="725"/>
    </x:row>
    <x:row r="341">
      <x:c r="B341" s="725"/>
      <x:c r="C341" s="723"/>
      <x:c r="H341" s="727"/>
      <x:c r="I341" s="723"/>
      <x:c r="M341" s="723"/>
      <x:c r="N341" s="725"/>
      <x:c r="O341" s="725"/>
    </x:row>
    <x:row r="342">
      <x:c r="B342" s="725"/>
      <x:c r="C342" s="723"/>
      <x:c r="H342" s="727"/>
      <x:c r="I342" s="723"/>
      <x:c r="M342" s="723"/>
      <x:c r="N342" s="725"/>
      <x:c r="O342" s="725"/>
    </x:row>
    <x:row r="343">
      <x:c r="B343" s="725"/>
      <x:c r="C343" s="723"/>
      <x:c r="H343" s="727"/>
      <x:c r="I343" s="723"/>
      <x:c r="M343" s="723"/>
      <x:c r="N343" s="725"/>
      <x:c r="O343" s="725"/>
    </x:row>
    <x:row r="344">
      <x:c r="B344" s="725"/>
      <x:c r="C344" s="723"/>
      <x:c r="H344" s="727"/>
      <x:c r="I344" s="723"/>
      <x:c r="M344" s="723"/>
      <x:c r="N344" s="725"/>
      <x:c r="O344" s="725"/>
    </x:row>
    <x:row r="345">
      <x:c r="B345" s="725"/>
      <x:c r="C345" s="723"/>
      <x:c r="H345" s="727"/>
      <x:c r="I345" s="723"/>
      <x:c r="M345" s="723"/>
      <x:c r="N345" s="725"/>
      <x:c r="O345" s="725"/>
    </x:row>
    <x:row r="346">
      <x:c r="B346" s="725"/>
      <x:c r="C346" s="723"/>
      <x:c r="H346" s="727"/>
      <x:c r="I346" s="723"/>
      <x:c r="M346" s="723"/>
      <x:c r="N346" s="725"/>
      <x:c r="O346" s="725"/>
    </x:row>
    <x:row r="347">
      <x:c r="B347" s="725"/>
      <x:c r="C347" s="723"/>
      <x:c r="H347" s="727"/>
      <x:c r="I347" s="723"/>
      <x:c r="M347" s="723"/>
      <x:c r="N347" s="725"/>
      <x:c r="O347" s="725"/>
    </x:row>
    <x:row r="348">
      <x:c r="B348" s="725"/>
      <x:c r="C348" s="723"/>
      <x:c r="H348" s="727"/>
      <x:c r="I348" s="723"/>
      <x:c r="M348" s="723"/>
      <x:c r="N348" s="725"/>
      <x:c r="O348" s="725"/>
    </x:row>
    <x:row r="349">
      <x:c r="B349" s="725"/>
      <x:c r="C349" s="723"/>
      <x:c r="H349" s="727"/>
      <x:c r="I349" s="723"/>
      <x:c r="M349" s="723"/>
      <x:c r="N349" s="725"/>
      <x:c r="O349" s="725"/>
    </x:row>
    <x:row r="350">
      <x:c r="B350" s="725"/>
      <x:c r="C350" s="723"/>
      <x:c r="H350" s="727"/>
      <x:c r="I350" s="723"/>
      <x:c r="M350" s="723"/>
      <x:c r="N350" s="725"/>
      <x:c r="O350" s="725"/>
    </x:row>
    <x:row r="351">
      <x:c r="B351" s="725"/>
      <x:c r="C351" s="723"/>
      <x:c r="H351" s="727"/>
      <x:c r="I351" s="723"/>
      <x:c r="M351" s="723"/>
      <x:c r="N351" s="725"/>
      <x:c r="O351" s="725"/>
    </x:row>
    <x:row r="352">
      <x:c r="B352" s="725"/>
      <x:c r="C352" s="723"/>
      <x:c r="H352" s="727"/>
      <x:c r="I352" s="723"/>
      <x:c r="M352" s="723"/>
      <x:c r="N352" s="725"/>
      <x:c r="O352" s="725"/>
    </x:row>
    <x:row r="353">
      <x:c r="B353" s="725"/>
      <x:c r="C353" s="723"/>
      <x:c r="H353" s="727"/>
      <x:c r="I353" s="723"/>
      <x:c r="M353" s="723"/>
      <x:c r="N353" s="725"/>
      <x:c r="O353" s="725"/>
    </x:row>
    <x:row r="354">
      <x:c r="B354" s="725"/>
      <x:c r="C354" s="723"/>
      <x:c r="H354" s="727"/>
      <x:c r="I354" s="723"/>
      <x:c r="M354" s="723"/>
      <x:c r="N354" s="725"/>
      <x:c r="O354" s="725"/>
    </x:row>
    <x:row r="355">
      <x:c r="B355" s="725"/>
      <x:c r="C355" s="723"/>
      <x:c r="H355" s="727"/>
      <x:c r="I355" s="723"/>
      <x:c r="M355" s="723"/>
      <x:c r="N355" s="725"/>
      <x:c r="O355" s="725"/>
    </x:row>
    <x:row r="356">
      <x:c r="B356" s="725"/>
      <x:c r="C356" s="723"/>
      <x:c r="H356" s="727"/>
      <x:c r="I356" s="723"/>
      <x:c r="M356" s="723"/>
      <x:c r="N356" s="725"/>
      <x:c r="O356" s="725"/>
    </x:row>
    <x:row r="357">
      <x:c r="B357" s="725"/>
      <x:c r="C357" s="723"/>
      <x:c r="H357" s="727"/>
      <x:c r="I357" s="723"/>
      <x:c r="M357" s="723"/>
      <x:c r="N357" s="725"/>
      <x:c r="O357" s="725"/>
    </x:row>
    <x:row r="358">
      <x:c r="B358" s="725"/>
      <x:c r="C358" s="723"/>
      <x:c r="H358" s="727"/>
      <x:c r="I358" s="723"/>
      <x:c r="M358" s="723"/>
      <x:c r="N358" s="725"/>
      <x:c r="O358" s="725"/>
    </x:row>
    <x:row r="359">
      <x:c r="B359" s="725"/>
      <x:c r="C359" s="723"/>
      <x:c r="H359" s="727"/>
      <x:c r="I359" s="723"/>
      <x:c r="M359" s="723"/>
      <x:c r="N359" s="725"/>
      <x:c r="O359" s="725"/>
    </x:row>
    <x:row r="360">
      <x:c r="B360" s="725"/>
      <x:c r="C360" s="723"/>
      <x:c r="H360" s="727"/>
      <x:c r="I360" s="723"/>
      <x:c r="M360" s="723"/>
      <x:c r="N360" s="725"/>
      <x:c r="O360" s="725"/>
    </x:row>
    <x:row r="361">
      <x:c r="B361" s="725"/>
      <x:c r="C361" s="723"/>
      <x:c r="H361" s="727"/>
      <x:c r="I361" s="723"/>
      <x:c r="M361" s="723"/>
      <x:c r="N361" s="725"/>
      <x:c r="O361" s="725"/>
    </x:row>
    <x:row r="362">
      <x:c r="B362" s="725"/>
      <x:c r="C362" s="723"/>
      <x:c r="H362" s="727"/>
      <x:c r="I362" s="723"/>
      <x:c r="M362" s="723"/>
      <x:c r="N362" s="725"/>
      <x:c r="O362" s="725"/>
    </x:row>
    <x:row r="363">
      <x:c r="B363" s="725"/>
      <x:c r="C363" s="723"/>
      <x:c r="H363" s="727"/>
      <x:c r="I363" s="723"/>
      <x:c r="M363" s="723"/>
      <x:c r="N363" s="725"/>
      <x:c r="O363" s="725"/>
    </x:row>
    <x:row r="364">
      <x:c r="B364" s="725"/>
      <x:c r="C364" s="723"/>
      <x:c r="H364" s="727"/>
      <x:c r="I364" s="723"/>
      <x:c r="M364" s="723"/>
      <x:c r="N364" s="725"/>
      <x:c r="O364" s="725"/>
    </x:row>
    <x:row r="365">
      <x:c r="B365" s="725"/>
      <x:c r="C365" s="723"/>
      <x:c r="H365" s="727"/>
      <x:c r="I365" s="723"/>
      <x:c r="M365" s="723"/>
      <x:c r="N365" s="725"/>
      <x:c r="O365" s="725"/>
    </x:row>
    <x:row r="366">
      <x:c r="B366" s="725"/>
      <x:c r="C366" s="723"/>
      <x:c r="H366" s="727"/>
      <x:c r="I366" s="723"/>
      <x:c r="M366" s="723"/>
      <x:c r="N366" s="725"/>
      <x:c r="O366" s="725"/>
    </x:row>
    <x:row r="367">
      <x:c r="B367" s="725"/>
      <x:c r="C367" s="723"/>
      <x:c r="H367" s="727"/>
      <x:c r="I367" s="723"/>
      <x:c r="M367" s="723"/>
      <x:c r="N367" s="725"/>
      <x:c r="O367" s="725"/>
    </x:row>
    <x:row r="368">
      <x:c r="B368" s="725"/>
      <x:c r="C368" s="723"/>
      <x:c r="H368" s="727"/>
      <x:c r="I368" s="723"/>
      <x:c r="M368" s="723"/>
      <x:c r="N368" s="725"/>
      <x:c r="O368" s="725"/>
    </x:row>
    <x:row r="369">
      <x:c r="B369" s="725"/>
      <x:c r="C369" s="723"/>
      <x:c r="H369" s="727"/>
      <x:c r="I369" s="723"/>
      <x:c r="M369" s="723"/>
      <x:c r="N369" s="725"/>
      <x:c r="O369" s="725"/>
    </x:row>
    <x:row r="370">
      <x:c r="B370" s="725"/>
      <x:c r="C370" s="723"/>
      <x:c r="H370" s="727"/>
      <x:c r="I370" s="723"/>
      <x:c r="M370" s="723"/>
      <x:c r="N370" s="725"/>
      <x:c r="O370" s="725"/>
    </x:row>
    <x:row r="371">
      <x:c r="B371" s="725"/>
      <x:c r="C371" s="723"/>
      <x:c r="H371" s="727"/>
      <x:c r="I371" s="723"/>
      <x:c r="M371" s="723"/>
      <x:c r="N371" s="725"/>
      <x:c r="O371" s="725"/>
    </x:row>
    <x:row r="372">
      <x:c r="B372" s="725"/>
      <x:c r="C372" s="723"/>
      <x:c r="H372" s="727"/>
      <x:c r="I372" s="723"/>
      <x:c r="M372" s="723"/>
      <x:c r="N372" s="725"/>
      <x:c r="O372" s="725"/>
    </x:row>
    <x:row r="373">
      <x:c r="B373" s="725"/>
      <x:c r="C373" s="723"/>
      <x:c r="H373" s="727"/>
      <x:c r="I373" s="723"/>
      <x:c r="M373" s="723"/>
      <x:c r="N373" s="725"/>
      <x:c r="O373" s="725"/>
    </x:row>
    <x:row r="374">
      <x:c r="B374" s="725"/>
      <x:c r="C374" s="723"/>
      <x:c r="H374" s="727"/>
      <x:c r="I374" s="723"/>
      <x:c r="M374" s="723"/>
      <x:c r="N374" s="725"/>
      <x:c r="O374" s="725"/>
    </x:row>
    <x:row r="375">
      <x:c r="B375" s="725"/>
      <x:c r="C375" s="723"/>
      <x:c r="H375" s="727"/>
      <x:c r="I375" s="723"/>
      <x:c r="M375" s="723"/>
      <x:c r="N375" s="725"/>
      <x:c r="O375" s="725"/>
    </x:row>
    <x:row r="376">
      <x:c r="B376" s="725"/>
      <x:c r="C376" s="723"/>
      <x:c r="H376" s="727"/>
      <x:c r="I376" s="723"/>
      <x:c r="M376" s="723"/>
      <x:c r="N376" s="725"/>
      <x:c r="O376" s="725"/>
    </x:row>
    <x:row r="377">
      <x:c r="B377" s="725"/>
      <x:c r="C377" s="723"/>
      <x:c r="H377" s="727"/>
      <x:c r="I377" s="723"/>
      <x:c r="M377" s="723"/>
      <x:c r="N377" s="725"/>
      <x:c r="O377" s="725"/>
    </x:row>
    <x:row r="378">
      <x:c r="B378" s="725"/>
      <x:c r="C378" s="723"/>
      <x:c r="H378" s="727"/>
      <x:c r="I378" s="723"/>
      <x:c r="M378" s="723"/>
      <x:c r="N378" s="725"/>
      <x:c r="O378" s="725"/>
    </x:row>
    <x:row r="379">
      <x:c r="B379" s="725"/>
      <x:c r="C379" s="723"/>
      <x:c r="H379" s="727"/>
      <x:c r="I379" s="723"/>
      <x:c r="M379" s="723"/>
      <x:c r="N379" s="725"/>
      <x:c r="O379" s="725"/>
    </x:row>
    <x:row r="380">
      <x:c r="B380" s="725"/>
      <x:c r="C380" s="723"/>
      <x:c r="H380" s="727"/>
      <x:c r="I380" s="723"/>
      <x:c r="M380" s="723"/>
      <x:c r="N380" s="725"/>
      <x:c r="O380" s="725"/>
    </x:row>
    <x:row r="381">
      <x:c r="B381" s="725"/>
      <x:c r="C381" s="723"/>
      <x:c r="H381" s="727"/>
      <x:c r="I381" s="723"/>
      <x:c r="M381" s="723"/>
      <x:c r="N381" s="725"/>
      <x:c r="O381" s="725"/>
    </x:row>
    <x:row r="382">
      <x:c r="B382" s="725"/>
      <x:c r="C382" s="723"/>
      <x:c r="H382" s="727"/>
      <x:c r="I382" s="723"/>
      <x:c r="M382" s="723"/>
      <x:c r="N382" s="725"/>
      <x:c r="O382" s="725"/>
    </x:row>
    <x:row r="383">
      <x:c r="B383" s="725"/>
      <x:c r="C383" s="723"/>
      <x:c r="H383" s="727"/>
      <x:c r="I383" s="723"/>
      <x:c r="M383" s="723"/>
      <x:c r="N383" s="725"/>
      <x:c r="O383" s="725"/>
    </x:row>
    <x:row r="384">
      <x:c r="B384" s="725"/>
      <x:c r="C384" s="723"/>
      <x:c r="H384" s="727"/>
      <x:c r="I384" s="723"/>
      <x:c r="M384" s="723"/>
      <x:c r="N384" s="725"/>
      <x:c r="O384" s="725"/>
    </x:row>
    <x:row r="385">
      <x:c r="B385" s="725"/>
      <x:c r="C385" s="723"/>
      <x:c r="H385" s="727"/>
      <x:c r="I385" s="723"/>
      <x:c r="M385" s="723"/>
      <x:c r="N385" s="725"/>
      <x:c r="O385" s="725"/>
    </x:row>
    <x:row r="386">
      <x:c r="B386" s="725"/>
      <x:c r="C386" s="723"/>
      <x:c r="H386" s="727"/>
      <x:c r="I386" s="723"/>
      <x:c r="M386" s="723"/>
      <x:c r="N386" s="725"/>
      <x:c r="O386" s="725"/>
    </x:row>
    <x:row r="387">
      <x:c r="B387" s="725"/>
      <x:c r="C387" s="723"/>
      <x:c r="H387" s="727"/>
      <x:c r="I387" s="723"/>
      <x:c r="M387" s="723"/>
      <x:c r="N387" s="725"/>
      <x:c r="O387" s="725"/>
    </x:row>
    <x:row r="388">
      <x:c r="B388" s="725"/>
      <x:c r="C388" s="723"/>
      <x:c r="H388" s="727"/>
      <x:c r="I388" s="723"/>
      <x:c r="M388" s="723"/>
      <x:c r="N388" s="725"/>
      <x:c r="O388" s="725"/>
    </x:row>
    <x:row r="389">
      <x:c r="B389" s="725"/>
      <x:c r="C389" s="723"/>
      <x:c r="H389" s="727"/>
      <x:c r="I389" s="723"/>
      <x:c r="M389" s="723"/>
      <x:c r="N389" s="725"/>
      <x:c r="O389" s="725"/>
    </x:row>
    <x:row r="390">
      <x:c r="B390" s="725"/>
      <x:c r="C390" s="723"/>
      <x:c r="H390" s="727"/>
      <x:c r="I390" s="723"/>
      <x:c r="M390" s="723"/>
      <x:c r="N390" s="725"/>
      <x:c r="O390" s="725"/>
    </x:row>
    <x:row r="391">
      <x:c r="B391" s="725"/>
      <x:c r="C391" s="723"/>
      <x:c r="H391" s="727"/>
      <x:c r="I391" s="723"/>
      <x:c r="M391" s="723"/>
      <x:c r="N391" s="725"/>
      <x:c r="O391" s="725"/>
    </x:row>
    <x:row r="392">
      <x:c r="B392" s="725"/>
      <x:c r="C392" s="723"/>
      <x:c r="H392" s="727"/>
      <x:c r="I392" s="723"/>
      <x:c r="M392" s="723"/>
      <x:c r="N392" s="725"/>
      <x:c r="O392" s="725"/>
    </x:row>
    <x:row r="393">
      <x:c r="B393" s="725"/>
      <x:c r="C393" s="723"/>
      <x:c r="H393" s="727"/>
      <x:c r="I393" s="723"/>
      <x:c r="M393" s="723"/>
      <x:c r="N393" s="725"/>
      <x:c r="O393" s="725"/>
    </x:row>
    <x:row r="394">
      <x:c r="B394" s="725"/>
      <x:c r="C394" s="723"/>
      <x:c r="H394" s="727"/>
      <x:c r="I394" s="723"/>
      <x:c r="M394" s="723"/>
      <x:c r="N394" s="725"/>
      <x:c r="O394" s="725"/>
    </x:row>
    <x:row r="395">
      <x:c r="B395" s="725"/>
      <x:c r="C395" s="723"/>
      <x:c r="H395" s="727"/>
      <x:c r="I395" s="723"/>
      <x:c r="M395" s="723"/>
      <x:c r="N395" s="725"/>
      <x:c r="O395" s="725"/>
    </x:row>
    <x:row r="396">
      <x:c r="B396" s="725"/>
      <x:c r="C396" s="723"/>
      <x:c r="H396" s="727"/>
      <x:c r="I396" s="723"/>
      <x:c r="M396" s="723"/>
      <x:c r="N396" s="725"/>
      <x:c r="O396" s="725"/>
    </x:row>
    <x:row r="397">
      <x:c r="B397" s="725"/>
      <x:c r="C397" s="723"/>
      <x:c r="H397" s="727"/>
      <x:c r="I397" s="723"/>
      <x:c r="M397" s="723"/>
      <x:c r="N397" s="725"/>
      <x:c r="O397" s="725"/>
    </x:row>
    <x:row r="398">
      <x:c r="B398" s="725"/>
      <x:c r="C398" s="723"/>
      <x:c r="H398" s="727"/>
      <x:c r="I398" s="723"/>
      <x:c r="M398" s="723"/>
      <x:c r="N398" s="725"/>
      <x:c r="O398" s="725"/>
    </x:row>
    <x:row r="399">
      <x:c r="B399" s="725"/>
      <x:c r="C399" s="723"/>
      <x:c r="H399" s="727"/>
      <x:c r="I399" s="723"/>
      <x:c r="M399" s="723"/>
      <x:c r="N399" s="725"/>
      <x:c r="O399" s="725"/>
    </x:row>
    <x:row r="400">
      <x:c r="B400" s="725"/>
      <x:c r="C400" s="723"/>
      <x:c r="H400" s="727"/>
      <x:c r="I400" s="723"/>
      <x:c r="M400" s="723"/>
      <x:c r="N400" s="725"/>
      <x:c r="O400" s="725"/>
    </x:row>
    <x:row r="401">
      <x:c r="B401" s="725"/>
      <x:c r="C401" s="723"/>
      <x:c r="H401" s="727"/>
      <x:c r="I401" s="723"/>
      <x:c r="M401" s="723"/>
      <x:c r="N401" s="725"/>
      <x:c r="O401" s="725"/>
    </x:row>
    <x:row r="402">
      <x:c r="B402" s="725"/>
      <x:c r="C402" s="723"/>
      <x:c r="H402" s="727"/>
      <x:c r="I402" s="723"/>
      <x:c r="M402" s="723"/>
      <x:c r="N402" s="725"/>
      <x:c r="O402" s="725"/>
    </x:row>
    <x:row r="403">
      <x:c r="B403" s="725"/>
      <x:c r="C403" s="723"/>
      <x:c r="H403" s="727"/>
      <x:c r="I403" s="723"/>
      <x:c r="M403" s="723"/>
      <x:c r="N403" s="725"/>
      <x:c r="O403" s="725"/>
    </x:row>
    <x:row r="404">
      <x:c r="B404" s="725"/>
      <x:c r="C404" s="723"/>
      <x:c r="H404" s="727"/>
      <x:c r="I404" s="723"/>
      <x:c r="M404" s="723"/>
      <x:c r="N404" s="725"/>
      <x:c r="O404" s="725"/>
    </x:row>
    <x:row r="405">
      <x:c r="B405" s="725"/>
      <x:c r="C405" s="723"/>
      <x:c r="H405" s="727"/>
      <x:c r="I405" s="723"/>
      <x:c r="M405" s="723"/>
      <x:c r="N405" s="725"/>
      <x:c r="O405" s="725"/>
    </x:row>
    <x:row r="406">
      <x:c r="B406" s="725"/>
      <x:c r="C406" s="723"/>
      <x:c r="H406" s="727"/>
      <x:c r="I406" s="723"/>
      <x:c r="M406" s="723"/>
      <x:c r="N406" s="725"/>
      <x:c r="O406" s="725"/>
    </x:row>
    <x:row r="407">
      <x:c r="B407" s="725"/>
      <x:c r="C407" s="723"/>
      <x:c r="H407" s="727"/>
      <x:c r="I407" s="723"/>
      <x:c r="M407" s="723"/>
      <x:c r="N407" s="725"/>
      <x:c r="O407" s="725"/>
    </x:row>
    <x:row r="408">
      <x:c r="B408" s="725"/>
      <x:c r="C408" s="723"/>
      <x:c r="H408" s="727"/>
      <x:c r="I408" s="723"/>
      <x:c r="M408" s="723"/>
      <x:c r="N408" s="725"/>
      <x:c r="O408" s="725"/>
    </x:row>
    <x:row r="409">
      <x:c r="B409" s="725"/>
      <x:c r="C409" s="723"/>
      <x:c r="H409" s="727"/>
      <x:c r="I409" s="723"/>
      <x:c r="M409" s="723"/>
      <x:c r="N409" s="725"/>
      <x:c r="O409" s="725"/>
    </x:row>
    <x:row r="410">
      <x:c r="B410" s="725"/>
      <x:c r="C410" s="723"/>
      <x:c r="H410" s="727"/>
      <x:c r="I410" s="723"/>
      <x:c r="M410" s="723"/>
      <x:c r="N410" s="725"/>
      <x:c r="O410" s="725"/>
    </x:row>
    <x:row r="411">
      <x:c r="B411" s="725"/>
      <x:c r="C411" s="723"/>
      <x:c r="H411" s="727"/>
      <x:c r="I411" s="723"/>
      <x:c r="M411" s="723"/>
      <x:c r="N411" s="725"/>
      <x:c r="O411" s="725"/>
    </x:row>
    <x:row r="412">
      <x:c r="B412" s="725"/>
      <x:c r="C412" s="723"/>
      <x:c r="H412" s="727"/>
      <x:c r="I412" s="723"/>
      <x:c r="M412" s="723"/>
      <x:c r="N412" s="725"/>
      <x:c r="O412" s="725"/>
    </x:row>
    <x:row r="413">
      <x:c r="B413" s="725"/>
      <x:c r="C413" s="723"/>
      <x:c r="H413" s="727"/>
      <x:c r="I413" s="723"/>
      <x:c r="M413" s="723"/>
      <x:c r="N413" s="725"/>
      <x:c r="O413" s="725"/>
    </x:row>
    <x:row r="414">
      <x:c r="B414" s="725"/>
      <x:c r="C414" s="723"/>
      <x:c r="H414" s="727"/>
      <x:c r="I414" s="723"/>
      <x:c r="M414" s="723"/>
      <x:c r="N414" s="725"/>
      <x:c r="O414" s="725"/>
    </x:row>
    <x:row r="415">
      <x:c r="B415" s="725"/>
      <x:c r="C415" s="723"/>
      <x:c r="H415" s="727"/>
      <x:c r="I415" s="723"/>
      <x:c r="M415" s="723"/>
      <x:c r="N415" s="725"/>
      <x:c r="O415" s="725"/>
    </x:row>
    <x:row r="416">
      <x:c r="B416" s="725"/>
      <x:c r="C416" s="723"/>
      <x:c r="H416" s="727"/>
      <x:c r="I416" s="723"/>
      <x:c r="M416" s="723"/>
      <x:c r="N416" s="725"/>
      <x:c r="O416" s="725"/>
    </x:row>
    <x:row r="417">
      <x:c r="B417" s="725"/>
      <x:c r="C417" s="723"/>
      <x:c r="H417" s="727"/>
      <x:c r="I417" s="723"/>
      <x:c r="M417" s="723"/>
      <x:c r="N417" s="725"/>
      <x:c r="O417" s="725"/>
    </x:row>
    <x:row r="418">
      <x:c r="B418" s="725"/>
      <x:c r="C418" s="723"/>
      <x:c r="H418" s="727"/>
      <x:c r="I418" s="723"/>
      <x:c r="M418" s="723"/>
      <x:c r="N418" s="725"/>
      <x:c r="O418" s="725"/>
    </x:row>
    <x:row r="419">
      <x:c r="B419" s="725"/>
      <x:c r="C419" s="723"/>
      <x:c r="H419" s="727"/>
      <x:c r="I419" s="723"/>
      <x:c r="M419" s="723"/>
      <x:c r="N419" s="725"/>
      <x:c r="O419" s="725"/>
    </x:row>
    <x:row r="420">
      <x:c r="B420" s="725"/>
      <x:c r="C420" s="723"/>
      <x:c r="H420" s="727"/>
      <x:c r="I420" s="723"/>
      <x:c r="M420" s="723"/>
      <x:c r="N420" s="725"/>
      <x:c r="O420" s="725"/>
    </x:row>
    <x:row r="421">
      <x:c r="B421" s="725"/>
      <x:c r="C421" s="723"/>
      <x:c r="H421" s="727"/>
      <x:c r="I421" s="723"/>
      <x:c r="M421" s="723"/>
      <x:c r="N421" s="725"/>
      <x:c r="O421" s="725"/>
    </x:row>
    <x:row r="422">
      <x:c r="B422" s="725"/>
      <x:c r="C422" s="723"/>
      <x:c r="H422" s="727"/>
      <x:c r="I422" s="723"/>
      <x:c r="M422" s="723"/>
      <x:c r="N422" s="725"/>
      <x:c r="O422" s="725"/>
    </x:row>
    <x:row r="423">
      <x:c r="B423" s="725"/>
      <x:c r="C423" s="723"/>
      <x:c r="H423" s="727"/>
      <x:c r="I423" s="723"/>
      <x:c r="M423" s="723"/>
      <x:c r="N423" s="725"/>
      <x:c r="O423" s="725"/>
    </x:row>
    <x:row r="424">
      <x:c r="B424" s="725"/>
      <x:c r="C424" s="723"/>
      <x:c r="H424" s="727"/>
      <x:c r="I424" s="723"/>
      <x:c r="M424" s="723"/>
      <x:c r="N424" s="725"/>
      <x:c r="O424" s="725"/>
    </x:row>
    <x:row r="425">
      <x:c r="B425" s="725"/>
      <x:c r="C425" s="723"/>
      <x:c r="H425" s="727"/>
      <x:c r="I425" s="723"/>
      <x:c r="M425" s="723"/>
      <x:c r="N425" s="725"/>
      <x:c r="O425" s="725"/>
    </x:row>
    <x:row r="426">
      <x:c r="B426" s="725"/>
      <x:c r="C426" s="723"/>
      <x:c r="H426" s="727"/>
      <x:c r="I426" s="723"/>
      <x:c r="M426" s="723"/>
      <x:c r="N426" s="725"/>
      <x:c r="O426" s="725"/>
    </x:row>
    <x:row r="427">
      <x:c r="B427" s="725"/>
      <x:c r="C427" s="723"/>
      <x:c r="H427" s="727"/>
      <x:c r="I427" s="723"/>
      <x:c r="M427" s="723"/>
      <x:c r="N427" s="725"/>
      <x:c r="O427" s="725"/>
    </x:row>
    <x:row r="428">
      <x:c r="B428" s="725"/>
      <x:c r="C428" s="723"/>
      <x:c r="H428" s="727"/>
      <x:c r="I428" s="723"/>
      <x:c r="M428" s="723"/>
      <x:c r="N428" s="725"/>
      <x:c r="O428" s="725"/>
    </x:row>
    <x:row r="429">
      <x:c r="B429" s="725"/>
      <x:c r="C429" s="723"/>
      <x:c r="H429" s="727"/>
      <x:c r="I429" s="723"/>
      <x:c r="M429" s="723"/>
      <x:c r="N429" s="725"/>
      <x:c r="O429" s="725"/>
    </x:row>
    <x:row r="430">
      <x:c r="B430" s="725"/>
      <x:c r="C430" s="723"/>
      <x:c r="H430" s="727"/>
      <x:c r="I430" s="723"/>
      <x:c r="M430" s="723"/>
      <x:c r="N430" s="725"/>
      <x:c r="O430" s="725"/>
    </x:row>
    <x:row r="431">
      <x:c r="B431" s="725"/>
      <x:c r="C431" s="723"/>
      <x:c r="H431" s="727"/>
      <x:c r="I431" s="723"/>
      <x:c r="M431" s="723"/>
      <x:c r="N431" s="725"/>
      <x:c r="O431" s="725"/>
    </x:row>
    <x:row r="432">
      <x:c r="B432" s="725"/>
      <x:c r="C432" s="723"/>
      <x:c r="H432" s="727"/>
      <x:c r="I432" s="723"/>
      <x:c r="M432" s="723"/>
      <x:c r="N432" s="725"/>
      <x:c r="O432" s="725"/>
    </x:row>
    <x:row r="433">
      <x:c r="B433" s="725"/>
      <x:c r="C433" s="723"/>
      <x:c r="H433" s="727"/>
      <x:c r="I433" s="723"/>
      <x:c r="M433" s="723"/>
      <x:c r="N433" s="725"/>
      <x:c r="O433" s="725"/>
    </x:row>
    <x:row r="434">
      <x:c r="B434" s="725"/>
      <x:c r="C434" s="723"/>
      <x:c r="H434" s="727"/>
      <x:c r="I434" s="723"/>
      <x:c r="M434" s="723"/>
      <x:c r="N434" s="725"/>
      <x:c r="O434" s="725"/>
    </x:row>
    <x:row r="435">
      <x:c r="B435" s="725"/>
      <x:c r="C435" s="723"/>
      <x:c r="H435" s="727"/>
      <x:c r="I435" s="723"/>
      <x:c r="M435" s="723"/>
      <x:c r="N435" s="725"/>
      <x:c r="O435" s="725"/>
    </x:row>
    <x:row r="436">
      <x:c r="B436" s="725"/>
      <x:c r="C436" s="723"/>
      <x:c r="H436" s="727"/>
      <x:c r="I436" s="723"/>
      <x:c r="M436" s="723"/>
      <x:c r="N436" s="725"/>
      <x:c r="O436" s="725"/>
    </x:row>
    <x:row r="437">
      <x:c r="B437" s="725"/>
      <x:c r="C437" s="723"/>
      <x:c r="H437" s="727"/>
      <x:c r="I437" s="723"/>
      <x:c r="M437" s="723"/>
      <x:c r="N437" s="725"/>
      <x:c r="O437" s="725"/>
    </x:row>
    <x:row r="438">
      <x:c r="B438" s="725"/>
      <x:c r="C438" s="723"/>
      <x:c r="H438" s="727"/>
      <x:c r="I438" s="723"/>
      <x:c r="M438" s="723"/>
      <x:c r="N438" s="725"/>
      <x:c r="O438" s="725"/>
    </x:row>
    <x:row r="439">
      <x:c r="B439" s="725"/>
      <x:c r="C439" s="723"/>
      <x:c r="H439" s="727"/>
      <x:c r="I439" s="723"/>
      <x:c r="M439" s="723"/>
      <x:c r="N439" s="725"/>
      <x:c r="O439" s="725"/>
    </x:row>
    <x:row r="440">
      <x:c r="B440" s="725"/>
      <x:c r="C440" s="723"/>
      <x:c r="H440" s="727"/>
      <x:c r="I440" s="723"/>
      <x:c r="M440" s="723"/>
      <x:c r="N440" s="725"/>
      <x:c r="O440" s="725"/>
    </x:row>
    <x:row r="441">
      <x:c r="B441" s="725"/>
      <x:c r="C441" s="723"/>
      <x:c r="H441" s="727"/>
      <x:c r="I441" s="723"/>
      <x:c r="M441" s="723"/>
      <x:c r="N441" s="725"/>
      <x:c r="O441" s="725"/>
    </x:row>
    <x:row r="442">
      <x:c r="B442" s="725"/>
      <x:c r="C442" s="723"/>
      <x:c r="H442" s="727"/>
      <x:c r="I442" s="723"/>
      <x:c r="M442" s="723"/>
      <x:c r="N442" s="725"/>
      <x:c r="O442" s="725"/>
    </x:row>
    <x:row r="443">
      <x:c r="B443" s="725"/>
      <x:c r="C443" s="723"/>
      <x:c r="H443" s="727"/>
      <x:c r="I443" s="723"/>
      <x:c r="M443" s="723"/>
      <x:c r="N443" s="725"/>
      <x:c r="O443" s="725"/>
    </x:row>
    <x:row r="444">
      <x:c r="B444" s="725"/>
      <x:c r="C444" s="723"/>
      <x:c r="H444" s="727"/>
      <x:c r="I444" s="723"/>
      <x:c r="M444" s="723"/>
      <x:c r="N444" s="725"/>
      <x:c r="O444" s="725"/>
    </x:row>
    <x:row r="445">
      <x:c r="B445" s="725"/>
      <x:c r="C445" s="723"/>
      <x:c r="H445" s="727"/>
      <x:c r="I445" s="723"/>
      <x:c r="M445" s="723"/>
      <x:c r="N445" s="725"/>
      <x:c r="O445" s="725"/>
    </x:row>
    <x:row r="446">
      <x:c r="B446" s="725"/>
      <x:c r="C446" s="723"/>
      <x:c r="H446" s="727"/>
      <x:c r="I446" s="723"/>
      <x:c r="M446" s="723"/>
      <x:c r="N446" s="725"/>
      <x:c r="O446" s="725"/>
    </x:row>
    <x:row r="447">
      <x:c r="B447" s="725"/>
      <x:c r="C447" s="723"/>
      <x:c r="H447" s="727"/>
      <x:c r="I447" s="723"/>
      <x:c r="M447" s="723"/>
      <x:c r="N447" s="725"/>
      <x:c r="O447" s="725"/>
    </x:row>
    <x:row r="448">
      <x:c r="B448" s="725"/>
      <x:c r="C448" s="723"/>
      <x:c r="H448" s="727"/>
      <x:c r="I448" s="723"/>
      <x:c r="M448" s="723"/>
      <x:c r="N448" s="725"/>
      <x:c r="O448" s="725"/>
    </x:row>
    <x:row r="449">
      <x:c r="B449" s="725"/>
      <x:c r="C449" s="723"/>
      <x:c r="H449" s="727"/>
      <x:c r="I449" s="723"/>
      <x:c r="M449" s="723"/>
      <x:c r="N449" s="725"/>
      <x:c r="O449" s="725"/>
    </x:row>
    <x:row r="450">
      <x:c r="B450" s="725"/>
      <x:c r="C450" s="723"/>
      <x:c r="H450" s="727"/>
      <x:c r="I450" s="723"/>
      <x:c r="M450" s="723"/>
      <x:c r="N450" s="725"/>
      <x:c r="O450" s="725"/>
    </x:row>
    <x:row r="451">
      <x:c r="B451" s="725"/>
      <x:c r="C451" s="723"/>
      <x:c r="H451" s="727"/>
      <x:c r="I451" s="723"/>
      <x:c r="M451" s="723"/>
      <x:c r="N451" s="725"/>
      <x:c r="O451" s="725"/>
    </x:row>
    <x:row r="452">
      <x:c r="B452" s="725"/>
      <x:c r="C452" s="723"/>
      <x:c r="H452" s="727"/>
      <x:c r="I452" s="723"/>
      <x:c r="M452" s="723"/>
      <x:c r="N452" s="725"/>
      <x:c r="O452" s="725"/>
    </x:row>
    <x:row r="453">
      <x:c r="B453" s="725"/>
      <x:c r="C453" s="723"/>
      <x:c r="H453" s="727"/>
      <x:c r="I453" s="723"/>
      <x:c r="M453" s="723"/>
      <x:c r="N453" s="725"/>
      <x:c r="O453" s="725"/>
    </x:row>
    <x:row r="454">
      <x:c r="B454" s="725"/>
      <x:c r="C454" s="723"/>
      <x:c r="H454" s="727"/>
      <x:c r="I454" s="723"/>
      <x:c r="M454" s="723"/>
      <x:c r="N454" s="725"/>
      <x:c r="O454" s="725"/>
    </x:row>
    <x:row r="455">
      <x:c r="B455" s="725"/>
      <x:c r="C455" s="723"/>
      <x:c r="H455" s="727"/>
      <x:c r="I455" s="723"/>
      <x:c r="M455" s="723"/>
      <x:c r="N455" s="725"/>
      <x:c r="O455" s="725"/>
    </x:row>
    <x:row r="456">
      <x:c r="B456" s="725"/>
      <x:c r="C456" s="723"/>
      <x:c r="H456" s="727"/>
      <x:c r="I456" s="723"/>
      <x:c r="M456" s="723"/>
      <x:c r="N456" s="725"/>
      <x:c r="O456" s="725"/>
    </x:row>
    <x:row r="457">
      <x:c r="B457" s="725"/>
      <x:c r="C457" s="723"/>
      <x:c r="H457" s="727"/>
      <x:c r="I457" s="723"/>
      <x:c r="M457" s="723"/>
      <x:c r="N457" s="725"/>
      <x:c r="O457" s="725"/>
    </x:row>
    <x:row r="458">
      <x:c r="B458" s="725"/>
      <x:c r="C458" s="723"/>
      <x:c r="H458" s="727"/>
      <x:c r="I458" s="723"/>
      <x:c r="M458" s="723"/>
      <x:c r="N458" s="725"/>
      <x:c r="O458" s="725"/>
    </x:row>
    <x:row r="459">
      <x:c r="B459" s="725"/>
      <x:c r="C459" s="723"/>
      <x:c r="H459" s="727"/>
      <x:c r="I459" s="723"/>
      <x:c r="M459" s="723"/>
      <x:c r="N459" s="725"/>
      <x:c r="O459" s="725"/>
    </x:row>
    <x:row r="460">
      <x:c r="B460" s="725"/>
      <x:c r="C460" s="723"/>
      <x:c r="H460" s="727"/>
      <x:c r="I460" s="723"/>
      <x:c r="M460" s="723"/>
      <x:c r="N460" s="725"/>
      <x:c r="O460" s="725"/>
    </x:row>
    <x:row r="461">
      <x:c r="B461" s="725"/>
      <x:c r="C461" s="723"/>
      <x:c r="H461" s="727"/>
      <x:c r="I461" s="723"/>
      <x:c r="M461" s="723"/>
      <x:c r="N461" s="725"/>
      <x:c r="O461" s="725"/>
    </x:row>
    <x:row r="462">
      <x:c r="B462" s="725"/>
      <x:c r="C462" s="723"/>
      <x:c r="H462" s="727"/>
      <x:c r="I462" s="723"/>
      <x:c r="M462" s="723"/>
      <x:c r="N462" s="725"/>
      <x:c r="O462" s="725"/>
    </x:row>
    <x:row r="463">
      <x:c r="B463" s="725"/>
      <x:c r="C463" s="723"/>
      <x:c r="H463" s="727"/>
      <x:c r="I463" s="723"/>
      <x:c r="M463" s="723"/>
      <x:c r="N463" s="725"/>
      <x:c r="O463" s="725"/>
    </x:row>
    <x:row r="464">
      <x:c r="B464" s="725"/>
      <x:c r="C464" s="723"/>
      <x:c r="H464" s="727"/>
      <x:c r="I464" s="723"/>
      <x:c r="M464" s="723"/>
      <x:c r="N464" s="725"/>
      <x:c r="O464" s="725"/>
    </x:row>
    <x:row r="465">
      <x:c r="B465" s="725"/>
      <x:c r="C465" s="723"/>
      <x:c r="H465" s="727"/>
      <x:c r="I465" s="723"/>
      <x:c r="M465" s="723"/>
      <x:c r="N465" s="725"/>
      <x:c r="O465" s="725"/>
    </x:row>
    <x:row r="466">
      <x:c r="B466" s="725"/>
      <x:c r="C466" s="723"/>
      <x:c r="H466" s="727"/>
      <x:c r="I466" s="723"/>
      <x:c r="M466" s="723"/>
      <x:c r="N466" s="725"/>
      <x:c r="O466" s="725"/>
    </x:row>
    <x:row r="467">
      <x:c r="B467" s="725"/>
      <x:c r="C467" s="723"/>
      <x:c r="H467" s="727"/>
      <x:c r="I467" s="723"/>
      <x:c r="M467" s="723"/>
      <x:c r="N467" s="725"/>
      <x:c r="O467" s="725"/>
    </x:row>
    <x:row r="468">
      <x:c r="B468" s="725"/>
      <x:c r="C468" s="723"/>
      <x:c r="H468" s="727"/>
      <x:c r="I468" s="723"/>
      <x:c r="M468" s="723"/>
      <x:c r="N468" s="725"/>
      <x:c r="O468" s="725"/>
    </x:row>
    <x:row r="469">
      <x:c r="B469" s="725"/>
      <x:c r="C469" s="723"/>
      <x:c r="H469" s="727"/>
      <x:c r="I469" s="723"/>
      <x:c r="M469" s="723"/>
      <x:c r="N469" s="725"/>
      <x:c r="O469" s="725"/>
    </x:row>
    <x:row r="470">
      <x:c r="B470" s="725"/>
      <x:c r="C470" s="723"/>
      <x:c r="H470" s="727"/>
      <x:c r="I470" s="723"/>
      <x:c r="M470" s="723"/>
      <x:c r="N470" s="725"/>
      <x:c r="O470" s="725"/>
    </x:row>
    <x:row r="471">
      <x:c r="B471" s="725"/>
      <x:c r="C471" s="723"/>
      <x:c r="H471" s="727"/>
      <x:c r="I471" s="723"/>
      <x:c r="M471" s="723"/>
      <x:c r="N471" s="725"/>
      <x:c r="O471" s="725"/>
    </x:row>
    <x:row r="472">
      <x:c r="B472" s="725"/>
      <x:c r="C472" s="723"/>
      <x:c r="H472" s="727"/>
      <x:c r="I472" s="723"/>
      <x:c r="M472" s="723"/>
      <x:c r="N472" s="725"/>
      <x:c r="O472" s="725"/>
    </x:row>
    <x:row r="473">
      <x:c r="B473" s="725"/>
      <x:c r="C473" s="723"/>
      <x:c r="H473" s="727"/>
      <x:c r="I473" s="723"/>
      <x:c r="M473" s="723"/>
      <x:c r="N473" s="725"/>
      <x:c r="O473" s="725"/>
    </x:row>
    <x:row r="474">
      <x:c r="B474" s="725"/>
      <x:c r="C474" s="723"/>
      <x:c r="H474" s="727"/>
      <x:c r="I474" s="723"/>
      <x:c r="M474" s="723"/>
      <x:c r="N474" s="725"/>
      <x:c r="O474" s="725"/>
    </x:row>
    <x:row r="475">
      <x:c r="B475" s="725"/>
      <x:c r="C475" s="723"/>
      <x:c r="H475" s="727"/>
      <x:c r="I475" s="723"/>
      <x:c r="M475" s="723"/>
      <x:c r="N475" s="725"/>
      <x:c r="O475" s="725"/>
    </x:row>
    <x:row r="476">
      <x:c r="B476" s="725"/>
      <x:c r="C476" s="723"/>
      <x:c r="H476" s="727"/>
      <x:c r="I476" s="723"/>
      <x:c r="M476" s="723"/>
      <x:c r="N476" s="725"/>
      <x:c r="O476" s="725"/>
    </x:row>
    <x:row r="477">
      <x:c r="B477" s="725"/>
      <x:c r="C477" s="723"/>
      <x:c r="H477" s="727"/>
      <x:c r="I477" s="723"/>
      <x:c r="M477" s="723"/>
      <x:c r="N477" s="725"/>
      <x:c r="O477" s="725"/>
    </x:row>
    <x:row r="478">
      <x:c r="B478" s="725"/>
      <x:c r="C478" s="723"/>
      <x:c r="H478" s="727"/>
      <x:c r="I478" s="723"/>
      <x:c r="M478" s="723"/>
      <x:c r="N478" s="725"/>
      <x:c r="O478" s="725"/>
    </x:row>
    <x:row r="479">
      <x:c r="B479" s="725"/>
      <x:c r="C479" s="723"/>
      <x:c r="H479" s="727"/>
      <x:c r="I479" s="723"/>
      <x:c r="M479" s="723"/>
      <x:c r="N479" s="725"/>
      <x:c r="O479" s="725"/>
    </x:row>
    <x:row r="480">
      <x:c r="B480" s="725"/>
      <x:c r="C480" s="723"/>
      <x:c r="H480" s="727"/>
      <x:c r="I480" s="723"/>
      <x:c r="M480" s="723"/>
      <x:c r="N480" s="725"/>
      <x:c r="O480" s="725"/>
    </x:row>
    <x:row r="481">
      <x:c r="B481" s="725"/>
      <x:c r="C481" s="723"/>
      <x:c r="H481" s="727"/>
      <x:c r="I481" s="723"/>
      <x:c r="M481" s="723"/>
      <x:c r="N481" s="725"/>
      <x:c r="O481" s="725"/>
    </x:row>
    <x:row r="482">
      <x:c r="B482" s="725"/>
      <x:c r="C482" s="723"/>
      <x:c r="H482" s="727"/>
      <x:c r="I482" s="723"/>
      <x:c r="M482" s="723"/>
      <x:c r="N482" s="725"/>
      <x:c r="O482" s="725"/>
    </x:row>
    <x:row r="483">
      <x:c r="B483" s="725"/>
      <x:c r="C483" s="723"/>
      <x:c r="H483" s="727"/>
      <x:c r="I483" s="723"/>
      <x:c r="M483" s="723"/>
      <x:c r="N483" s="725"/>
      <x:c r="O483" s="725"/>
    </x:row>
    <x:row r="484">
      <x:c r="B484" s="725"/>
      <x:c r="C484" s="723"/>
      <x:c r="H484" s="727"/>
      <x:c r="I484" s="723"/>
      <x:c r="M484" s="723"/>
      <x:c r="N484" s="725"/>
      <x:c r="O484" s="725"/>
    </x:row>
    <x:row r="485">
      <x:c r="B485" s="725"/>
      <x:c r="C485" s="723"/>
      <x:c r="H485" s="727"/>
      <x:c r="I485" s="723"/>
      <x:c r="M485" s="723"/>
      <x:c r="N485" s="725"/>
      <x:c r="O485" s="725"/>
    </x:row>
    <x:row r="486">
      <x:c r="B486" s="725"/>
      <x:c r="C486" s="723"/>
      <x:c r="H486" s="727"/>
      <x:c r="I486" s="723"/>
      <x:c r="M486" s="723"/>
      <x:c r="N486" s="725"/>
      <x:c r="O486" s="725"/>
    </x:row>
    <x:row r="487">
      <x:c r="B487" s="725"/>
      <x:c r="C487" s="723"/>
      <x:c r="H487" s="727"/>
      <x:c r="I487" s="723"/>
      <x:c r="M487" s="723"/>
      <x:c r="N487" s="725"/>
      <x:c r="O487" s="725"/>
    </x:row>
    <x:row r="488">
      <x:c r="B488" s="725"/>
      <x:c r="C488" s="723"/>
      <x:c r="H488" s="727"/>
      <x:c r="I488" s="723"/>
      <x:c r="M488" s="723"/>
      <x:c r="N488" s="725"/>
      <x:c r="O488" s="725"/>
    </x:row>
    <x:row r="489">
      <x:c r="B489" s="725"/>
      <x:c r="C489" s="723"/>
      <x:c r="H489" s="727"/>
      <x:c r="I489" s="723"/>
      <x:c r="M489" s="723"/>
      <x:c r="N489" s="725"/>
      <x:c r="O489" s="725"/>
    </x:row>
    <x:row r="490">
      <x:c r="B490" s="725"/>
      <x:c r="C490" s="723"/>
      <x:c r="H490" s="727"/>
      <x:c r="I490" s="723"/>
      <x:c r="M490" s="723"/>
      <x:c r="N490" s="725"/>
      <x:c r="O490" s="725"/>
    </x:row>
    <x:row r="491">
      <x:c r="B491" s="725"/>
      <x:c r="C491" s="723"/>
      <x:c r="H491" s="727"/>
      <x:c r="I491" s="723"/>
      <x:c r="M491" s="723"/>
      <x:c r="N491" s="725"/>
      <x:c r="O491" s="725"/>
    </x:row>
    <x:row r="492">
      <x:c r="B492" s="725"/>
      <x:c r="C492" s="723"/>
      <x:c r="H492" s="727"/>
      <x:c r="I492" s="723"/>
      <x:c r="M492" s="723"/>
      <x:c r="N492" s="725"/>
      <x:c r="O492" s="725"/>
    </x:row>
    <x:row r="493">
      <x:c r="B493" s="725"/>
      <x:c r="C493" s="723"/>
      <x:c r="H493" s="727"/>
      <x:c r="I493" s="723"/>
      <x:c r="M493" s="723"/>
      <x:c r="N493" s="725"/>
      <x:c r="O493" s="725"/>
    </x:row>
    <x:row r="494">
      <x:c r="B494" s="725"/>
      <x:c r="C494" s="723"/>
      <x:c r="H494" s="727"/>
      <x:c r="I494" s="723"/>
      <x:c r="M494" s="723"/>
      <x:c r="N494" s="725"/>
      <x:c r="O494" s="725"/>
    </x:row>
    <x:row r="495">
      <x:c r="B495" s="725"/>
      <x:c r="C495" s="723"/>
      <x:c r="H495" s="727"/>
      <x:c r="I495" s="723"/>
      <x:c r="M495" s="723"/>
      <x:c r="N495" s="725"/>
      <x:c r="O495" s="725"/>
    </x:row>
    <x:row r="496">
      <x:c r="B496" s="725"/>
      <x:c r="C496" s="723"/>
      <x:c r="H496" s="727"/>
      <x:c r="I496" s="723"/>
      <x:c r="M496" s="723"/>
      <x:c r="N496" s="725"/>
      <x:c r="O496" s="725"/>
    </x:row>
    <x:row r="497">
      <x:c r="B497" s="725"/>
      <x:c r="C497" s="723"/>
      <x:c r="H497" s="727"/>
      <x:c r="I497" s="723"/>
      <x:c r="M497" s="723"/>
      <x:c r="N497" s="725"/>
      <x:c r="O497" s="725"/>
    </x:row>
    <x:row r="498">
      <x:c r="B498" s="725"/>
      <x:c r="C498" s="723"/>
      <x:c r="H498" s="727"/>
      <x:c r="I498" s="723"/>
      <x:c r="M498" s="723"/>
      <x:c r="N498" s="725"/>
      <x:c r="O498" s="725"/>
    </x:row>
    <x:row r="499">
      <x:c r="B499" s="725"/>
      <x:c r="C499" s="723"/>
      <x:c r="H499" s="727"/>
      <x:c r="I499" s="723"/>
      <x:c r="M499" s="723"/>
      <x:c r="N499" s="725"/>
      <x:c r="O499" s="725"/>
    </x:row>
    <x:row r="500">
      <x:c r="B500" s="725"/>
      <x:c r="C500" s="723"/>
      <x:c r="H500" s="727"/>
      <x:c r="I500" s="723"/>
      <x:c r="M500" s="723"/>
      <x:c r="N500" s="725"/>
      <x:c r="O500" s="725"/>
    </x:row>
    <x:row r="501">
      <x:c r="B501" s="725"/>
      <x:c r="C501" s="723"/>
      <x:c r="H501" s="727"/>
      <x:c r="I501" s="723"/>
      <x:c r="M501" s="723"/>
      <x:c r="N501" s="725"/>
      <x:c r="O501" s="725"/>
    </x:row>
    <x:row r="502">
      <x:c r="B502" s="725"/>
      <x:c r="C502" s="723"/>
      <x:c r="H502" s="727"/>
      <x:c r="I502" s="723"/>
      <x:c r="M502" s="723"/>
      <x:c r="N502" s="725"/>
      <x:c r="O502" s="725"/>
    </x:row>
  </x:sheetData>
  <x:mergeCells>
    <x:mergeCell ref="A1:C1"/>
    <x:mergeCell ref="D1:H1"/>
    <x:mergeCell ref="I1:L1"/>
    <x:mergeCell ref="M1:O1"/>
  </x:mergeCells>
  <x:conditionalFormatting sqref="H3:H502">
    <x:cfRule type="cellIs" dxfId="31" priority="1" operator="equal">
      <x:formula>1</x:formula>
    </x:cfRule>
    <x:cfRule type="cellIs" dxfId="32" priority="2" operator="lessThan">
      <x:formula>1</x:formula>
    </x:cfRule>
  </x:conditionalFormatting>
  <x:conditionalFormatting sqref="K3:K502">
    <x:cfRule type="containsText" dxfId="33" priority="3" operator="containsText" text="SUMMARY_ONLY"/>
    <x:cfRule type="containsText" dxfId="34" priority="4" operator="containsText" text="ITEM_LEVEL_COMPLETE"/>
  </x:conditionalFormatting>
  <x:conditionalFormatting sqref="L3:L502">
    <x:cfRule type="containsText" dxfId="35" priority="5" operator="containsText" text="COMPLETE"/>
  </x:conditionalFormatting>
  <x:dataValidations count="3">
    <x:dataValidation type="list" sqref="J3:J502">
      <x:formula1>"SYSTEM_RANDOM,TEAM_REPORTED,TARGETED"</x:formula1>
    </x:dataValidation>
    <x:dataValidation type="list" sqref="K3:K502">
      <x:formula1>"ITEM_LEVEL_COMPLETE,SUMMARY_ONLY"</x:formula1>
    </x:dataValidation>
    <x:dataValidation type="list" sqref="L3:L502">
      <x:formula1>"COMPLETE,IN_PROGRESS"</x:formula1>
    </x:dataValidation>
  </x:dataValidations>
  <x:pageMargins left="0.7" right="0.7" top="0.75" bottom="0.75" header="0.3" footer="0.3"/>
  <x:tableParts count="1">
    <x:tablePart xmlns:r="http://schemas.openxmlformats.org/officeDocument/2006/relationships" r:id="R5b96521b9415478e"/>
  </x:tableParts>
</x:worksheet>
</file>