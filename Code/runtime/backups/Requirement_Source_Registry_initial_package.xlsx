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6bcf8b6bba45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a95a664375144aa9"/>
    <x:sheet xmlns:r="http://schemas.openxmlformats.org/officeDocument/2006/relationships" name="Categories" sheetId="2" r:id="R5997f490a50a4544"/>
    <x:sheet xmlns:r="http://schemas.openxmlformats.org/officeDocument/2006/relationships" name="Source Register" sheetId="3" r:id="R1494a24077354fb3"/>
    <x:sheet xmlns:r="http://schemas.openxmlformats.org/officeDocument/2006/relationships" name="Dashboard" sheetId="4" r:id="Rb2cc6aced2da4b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yyyy-mm-dd hh:mm"/>
    <x:numFmt numFmtId="202" formatCode="0"/>
  </x:numFmts>
  <x:fonts count="19">
    <x:font>
      <x:sz val="11"/>
      <x:name val="Carlito"/>
    </x:font>
    <x:font>
      <x:b/>
      <x:sz val="18"/>
      <x:color rgb="FFFFFFFF"/>
      <x:name val="Aptos Display"/>
    </x:font>
    <x:font>
      <x:i/>
      <x:sz val="11"/>
      <x:color rgb="FF0B1F3A"/>
      <x:name val="Carlito"/>
    </x:font>
    <x:font>
      <x:b/>
      <x:sz val="11"/>
      <x:color rgb="FF0B1F3A"/>
      <x:name val="Carlito"/>
    </x:font>
    <x:font>
      <x:b/>
      <x:sz val="12"/>
      <x:color rgb="FF0B1F3A"/>
      <x:name val="Carlito"/>
    </x:font>
    <x:font>
      <x:b/>
      <x:sz val="11"/>
      <x:color rgb="FFFFFFFF"/>
      <x:name val="Carlito"/>
    </x:font>
    <x:font>
      <x:sz val="11"/>
      <x:color rgb="FF1565C0"/>
      <x:name val="Carlito"/>
    </x:font>
    <x:font>
      <x:b/>
      <x:sz val="15"/>
      <x:color rgb="FFFFFFFF"/>
      <x:name val="Aptos Display"/>
    </x:font>
    <x:font>
      <x:b/>
      <x:sz val="10"/>
      <x:color rgb="FF475467"/>
      <x:name val="Carlito"/>
    </x:font>
    <x:font>
      <x:b/>
      <x:sz val="22"/>
      <x:color rgb="FF0B1F3A"/>
      <x:name val="Carlito"/>
    </x:font>
    <x:font>
      <x:b/>
      <x:sz val="22"/>
      <x:color rgb="FF206A3B"/>
      <x:name val="Carlito"/>
    </x:font>
    <x:font>
      <x:b/>
      <x:sz val="22"/>
      <x:color rgb="FFB42318"/>
      <x:name val="Carlito"/>
    </x:font>
    <x:font>
      <x:b/>
      <x:sz val="22"/>
      <x:color rgb="FF2563EB"/>
      <x:name val="Carlito"/>
    </x:font>
    <x:font>
      <x:b/>
      <x:sz val="22"/>
      <x:color rgb="FF7C3AED"/>
      <x:name val="Carlito"/>
    </x:font>
    <x:font>
      <x:b/>
      <x:sz val="22"/>
      <x:color rgb="FF8A5A00"/>
      <x:name val="Carlito"/>
    </x:font>
    <x:font>
      <x:sz val="11"/>
      <x:color rgb="FF0B1F3A"/>
      <x:name val="Carlito"/>
    </x:font>
    <x:font>
      <x:b/>
      <x:sz val="13"/>
      <x:color rgb="FFFFFFFF"/>
      <x:name val="Carlito"/>
    </x:font>
    <x:font>
      <x:sz val="1"/>
      <x:color rgb="FFF8FAFC"/>
      <x:name val="Carlito"/>
    </x:font>
    <x:font>
      <x:sz val="9"/>
      <x:color rgb="FF0B1F3A"/>
      <x:name val="Carlito"/>
    </x:font>
  </x:fonts>
  <x:fills count="17">
    <x:fill>
      <x:patternFill patternType="none"/>
    </x:fill>
    <x:fill>
      <x:patternFill patternType="gray125"/>
    </x:fill>
    <x:fill>
      <x:patternFill patternType="solid">
        <x:fgColor rgb="FF0B1F3A"/>
      </x:patternFill>
    </x:fill>
    <x:fill>
      <x:patternFill patternType="solid">
        <x:fgColor rgb="FFE8F1FB"/>
      </x:patternFill>
    </x:fill>
    <x:fill>
      <x:patternFill patternType="solid">
        <x:fgColor rgb="FFFFF4D6"/>
      </x:patternFill>
    </x:fill>
    <x:fill>
      <x:patternFill patternType="solid">
        <x:fgColor rgb="FFDDF5F1"/>
      </x:patternFill>
    </x:fill>
    <x:fill>
      <x:patternFill patternType="solid">
        <x:fgColor rgb="FF0F766E"/>
      </x:patternFill>
    </x:fill>
    <x:fill>
      <x:patternFill patternType="solid">
        <x:fgColor rgb="FF2563EB"/>
      </x:patternFill>
    </x:fill>
    <x:fill>
      <x:patternFill patternType="solid">
        <x:fgColor rgb="FF7C3AED"/>
      </x:patternFill>
    </x:fill>
    <x:fill>
      <x:patternFill patternType="solid">
        <x:fgColor rgb="FFB7791F"/>
      </x:patternFill>
    </x:fill>
    <x:fill>
      <x:patternFill patternType="solid">
        <x:fgColor rgb="FF0E7490"/>
      </x:patternFill>
    </x:fill>
    <x:fill>
      <x:patternFill patternType="solid">
        <x:fgColor rgb="FF475467"/>
      </x:patternFill>
    </x:fill>
    <x:fill>
      <x:patternFill patternType="solid">
        <x:fgColor rgb="FFF8FAFC"/>
      </x:patternFill>
    </x:fill>
    <x:fill>
      <x:patternFill patternType="solid">
        <x:fgColor rgb="FFFFFFFF"/>
      </x:patternFill>
    </x:fill>
    <x:fill>
      <x:patternFill patternType="solid">
        <x:fgColor rgb="FFE6F4EA"/>
      </x:patternFill>
    </x:fill>
    <x:fill>
      <x:patternFill patternType="solid">
        <x:fgColor rgb="FFFDE8E7"/>
      </x:patternFill>
    </x:fill>
    <x:fill>
      <x:patternFill patternType="solid">
        <x:fgColor rgb="FFF3F5F7"/>
      </x:patternFill>
    </x:fill>
  </x:fills>
  <x:borders count="26">
    <x:border/>
    <x:border>
      <x:left style="thin">
        <x:color rgb="FFE7B84B"/>
      </x:left>
      <x:top style="thin">
        <x:color rgb="FFE7B84B"/>
      </x:top>
      <x:bottom style="thin">
        <x:color rgb="FFE7B84B"/>
      </x:bottom>
    </x:border>
    <x:border>
      <x:right style="thin">
        <x:color rgb="FFE7B84B"/>
      </x:right>
      <x:top style="thin">
        <x:color rgb="FFE7B84B"/>
      </x:top>
      <x:bottom style="thin">
        <x:color rgb="FFE7B84B"/>
      </x:bottom>
    </x:border>
    <x:border>
      <x:right style="thin">
        <x:color rgb="FF52657A"/>
      </x:right>
    </x:border>
    <x:border>
      <x:left style="thin">
        <x:color rgb="FF52657A"/>
      </x:left>
      <x:right style="thin">
        <x:color rgb="FF52657A"/>
      </x:right>
    </x:border>
    <x:border>
      <x:left style="thin">
        <x:color rgb="FF52657A"/>
      </x:left>
    </x:border>
    <x:border>
      <x:left style="thin">
        <x:color rgb="FFD0D5DD"/>
      </x:left>
      <x:right style="thin">
        <x:color rgb="FF52657A"/>
      </x:right>
      <x:top style="thin">
        <x:color rgb="FFD0D5DD"/>
      </x:top>
    </x:border>
    <x:border>
      <x:left style="thin">
        <x:color rgb="FF52657A"/>
      </x:left>
      <x:right style="thin">
        <x:color rgb="FF52657A"/>
      </x:right>
      <x:top style="thin">
        <x:color rgb="FFD0D5DD"/>
      </x:top>
    </x:border>
    <x:border>
      <x:left style="thin">
        <x:color rgb="FF52657A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</x:border>
    <x:border>
      <x:right style="thin">
        <x:color rgb="FFD0D5DD"/>
      </x:right>
    </x:border>
    <x:border>
      <x:left style="thin">
        <x:color rgb="FFD0D5DD"/>
      </x:left>
      <x:bottom style="thin">
        <x:color rgb="FFD0D5DD"/>
      </x:bottom>
    </x:border>
    <x:border>
      <x:bottom style="thin">
        <x:color rgb="FFD0D5DD"/>
      </x:bottom>
    </x:border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top style="thin">
        <x:color rgb="FFD0D5DD"/>
      </x:top>
    </x:border>
    <x:border>
      <x:right style="thin">
        <x:color rgb="FFD0D5DD"/>
      </x:right>
      <x:top style="thin">
        <x:color rgb="FFD0D5DD"/>
      </x:top>
    </x:border>
    <x:border>
      <x:left style="thin">
        <x:color rgb="FFFFFFFF"/>
      </x:left>
      <x:top style="thin">
        <x:color rgb="FFFFFFFF"/>
      </x:top>
      <x:bottom style="thin">
        <x:color rgb="FFFFFFFF"/>
      </x:bottom>
    </x:border>
    <x:border>
      <x:top style="thin">
        <x:color rgb="FFFFFFFF"/>
      </x:top>
      <x:bottom style="thin">
        <x:color rgb="FFFFFFFF"/>
      </x:bottom>
    </x:border>
    <x:border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52657A"/>
      </x:right>
      <x:top style="thin">
        <x:color rgb="FFD0D5DD"/>
      </x:top>
      <x:bottom style="thin">
        <x:color rgb="FFD0D5DD"/>
      </x:bottom>
    </x:border>
    <x:border>
      <x:left style="thin">
        <x:color rgb="FF52657A"/>
      </x:left>
      <x:right style="thin">
        <x:color rgb="FFD0D5DD"/>
      </x:right>
      <x:top style="thin">
        <x:color rgb="FFD0D5DD"/>
      </x:top>
      <x:bottom style="thin">
        <x:color rgb="FFD0D5DD"/>
      </x:bottom>
    </x:border>
  </x:borders>
  <x:cellStyleXfs count="1">
    <x:xf numFmtId="0" fontId="0" fillId="0" borderId="0"/>
  </x:cellStyleXfs>
  <x:cellXfs count="38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0" fontId="0" fillId="4" borderId="0" xfId="0" applyNumberFormat="1" applyFont="1" applyFill="1" applyBorder="1"/>
    <x:xf numFmtId="200" fontId="0" fillId="4" borderId="0" xfId="0" applyNumberFormat="1" applyFont="1" applyFill="1" applyBorder="1"/>
    <x:xf numFmtId="0" fontId="3" fillId="4" borderId="0" xfId="0" applyNumberFormat="1" applyFont="1" applyFill="1" applyBorder="1"/>
    <x:xf numFmtId="200" fontId="3" fillId="4" borderId="0" xfId="0" applyNumberFormat="1" applyFont="1" applyFill="1" applyBorder="1"/>
    <x:xf numFmtId="0" fontId="3" fillId="4" borderId="1" xfId="0" applyNumberFormat="1" applyFont="1" applyFill="1" applyBorder="1"/>
    <x:xf numFmtId="200" fontId="3" fillId="4" borderId="2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/>
    <x:xf numFmtId="0" fontId="5" fillId="2" borderId="3" xfId="0" applyNumberFormat="1" applyFont="1" applyFill="1" applyBorder="1"/>
    <x:xf numFmtId="0" fontId="5" fillId="2" borderId="4" xfId="0" applyNumberFormat="1" applyFont="1" applyFill="1" applyBorder="1"/>
    <x:xf numFmtId="0" fontId="5" fillId="2" borderId="5" xfId="0" applyNumberFormat="1" applyFont="1" applyFill="1" applyBorder="1"/>
    <x:xf numFmtId="0" fontId="5" fillId="2" borderId="3" xfId="0" applyNumberFormat="1" applyFont="1" applyFill="1" applyBorder="1" applyAlignment="1">
      <x:alignment wrapText="1"/>
    </x:xf>
    <x:xf numFmtId="0" fontId="5" fillId="2" borderId="4" xfId="0" applyNumberFormat="1" applyFont="1" applyFill="1" applyBorder="1" applyAlignment="1">
      <x:alignment wrapText="1"/>
    </x:xf>
    <x:xf numFmtId="0" fontId="5" fillId="2" borderId="5" xfId="0" applyNumberFormat="1" applyFont="1" applyFill="1" applyBorder="1" applyAlignment="1">
      <x:alignment wrapText="1"/>
    </x:xf>
    <x:xf numFmtId="0" fontId="5" fillId="2" borderId="3" xfId="0" applyNumberFormat="1" applyFont="1" applyFill="1" applyBorder="1" applyAlignment="1">
      <x:alignment horizontal="left" wrapText="1"/>
    </x:xf>
    <x:xf numFmtId="0" fontId="5" fillId="2" borderId="4" xfId="0" applyNumberFormat="1" applyFont="1" applyFill="1" applyBorder="1" applyAlignment="1">
      <x:alignment horizontal="left" wrapText="1"/>
    </x:xf>
    <x:xf numFmtId="0" fontId="5" fillId="2" borderId="5" xfId="0" applyNumberFormat="1" applyFont="1" applyFill="1" applyBorder="1" applyAlignment="1">
      <x:alignment horizontal="left" wrapText="1"/>
    </x:xf>
    <x:xf numFmtId="0" fontId="5" fillId="2" borderId="3" xfId="0" applyNumberFormat="1" applyFont="1" applyFill="1" applyBorder="1" applyAlignment="1">
      <x:alignment horizontal="left" vertical="center" wrapText="1"/>
    </x:xf>
    <x:xf numFmtId="0" fontId="5" fillId="2" borderId="4" xfId="0" applyNumberFormat="1" applyFont="1" applyFill="1" applyBorder="1" applyAlignment="1">
      <x:alignment horizontal="left" vertical="center" wrapText="1"/>
    </x:xf>
    <x:xf numFmtId="0" fontId="5" fillId="2" borderId="5" xfId="0" applyNumberFormat="1" applyFont="1" applyFill="1" applyBorder="1" applyAlignment="1">
      <x:alignment horizontal="left" vertical="center" wrapText="1"/>
    </x:xf>
    <x:xf numFmtId="0" fontId="5" fillId="2" borderId="6" xfId="0" applyNumberFormat="1" applyFont="1" applyFill="1" applyBorder="1" applyAlignment="1">
      <x:alignment horizontal="left" vertical="center" wrapText="1"/>
    </x:xf>
    <x:xf numFmtId="0" fontId="5" fillId="2" borderId="7" xfId="0" applyNumberFormat="1" applyFont="1" applyFill="1" applyBorder="1" applyAlignment="1">
      <x:alignment horizontal="left" vertical="center" wrapText="1"/>
    </x:xf>
    <x:xf numFmtId="0" fontId="5" fillId="2" borderId="8" xfId="0" applyNumberFormat="1" applyFont="1" applyFill="1" applyBorder="1" applyAlignment="1">
      <x:alignment horizontal="left" vertical="center" wrapText="1"/>
    </x:xf>
    <x:xf numFmtId="0" fontId="0" fillId="0" borderId="9" xfId="0" applyNumberFormat="1" applyFont="1" applyFill="1" applyBorder="1"/>
    <x:xf numFmtId="0" fontId="0" fillId="0" borderId="0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9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5" fillId="2" borderId="6" xfId="0" applyNumberFormat="1" applyFont="1" applyFill="1" applyBorder="1" applyAlignment="1">
      <x:alignment horizontal="left" vertical="top" wrapText="1"/>
    </x:xf>
    <x:xf numFmtId="0" fontId="5" fillId="2" borderId="7" xfId="0" applyNumberFormat="1" applyFont="1" applyFill="1" applyBorder="1" applyAlignment="1">
      <x:alignment horizontal="left" vertical="top" wrapText="1"/>
    </x:xf>
    <x:xf numFmtId="0" fontId="5" fillId="2" borderId="8" xfId="0" applyNumberFormat="1" applyFont="1" applyFill="1" applyBorder="1" applyAlignment="1">
      <x:alignment horizontal="left"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16" xfId="0" applyNumberFormat="1" applyFont="1" applyFill="1" applyBorder="1"/>
    <x:xf numFmtId="0" fontId="5" fillId="6" borderId="17" xfId="0" applyNumberFormat="1" applyFont="1" applyFill="1" applyBorder="1"/>
    <x:xf numFmtId="0" fontId="5" fillId="6" borderId="18" xfId="0" applyNumberFormat="1" applyFont="1" applyFill="1" applyBorder="1"/>
    <x:xf numFmtId="0" fontId="5" fillId="6" borderId="16" xfId="0" applyNumberFormat="1" applyFont="1" applyFill="1" applyBorder="1" applyAlignment="1">
      <x:alignment horizontal="center"/>
    </x:xf>
    <x:xf numFmtId="0" fontId="5" fillId="6" borderId="17" xfId="0" applyNumberFormat="1" applyFont="1" applyFill="1" applyBorder="1" applyAlignment="1">
      <x:alignment horizontal="center"/>
    </x:xf>
    <x:xf numFmtId="0" fontId="5" fillId="6" borderId="18" xfId="0" applyNumberFormat="1" applyFont="1" applyFill="1" applyBorder="1" applyAlignment="1">
      <x:alignment horizontal="center"/>
    </x:xf>
    <x:xf numFmtId="0" fontId="5" fillId="6" borderId="16" xfId="0" applyNumberFormat="1" applyFont="1" applyFill="1" applyBorder="1" applyAlignment="1">
      <x:alignment horizontal="center" vertical="center"/>
    </x:xf>
    <x:xf numFmtId="0" fontId="5" fillId="6" borderId="17" xfId="0" applyNumberFormat="1" applyFont="1" applyFill="1" applyBorder="1" applyAlignment="1">
      <x:alignment horizontal="center" vertical="center"/>
    </x:xf>
    <x:xf numFmtId="0" fontId="5" fillId="6" borderId="18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16" xfId="0" applyNumberFormat="1" applyFont="1" applyFill="1" applyBorder="1"/>
    <x:xf numFmtId="0" fontId="5" fillId="7" borderId="17" xfId="0" applyNumberFormat="1" applyFont="1" applyFill="1" applyBorder="1"/>
    <x:xf numFmtId="0" fontId="5" fillId="7" borderId="18" xfId="0" applyNumberFormat="1" applyFont="1" applyFill="1" applyBorder="1"/>
    <x:xf numFmtId="0" fontId="5" fillId="7" borderId="16" xfId="0" applyNumberFormat="1" applyFont="1" applyFill="1" applyBorder="1" applyAlignment="1">
      <x:alignment horizontal="center"/>
    </x:xf>
    <x:xf numFmtId="0" fontId="5" fillId="7" borderId="17" xfId="0" applyNumberFormat="1" applyFont="1" applyFill="1" applyBorder="1" applyAlignment="1">
      <x:alignment horizontal="center"/>
    </x:xf>
    <x:xf numFmtId="0" fontId="5" fillId="7" borderId="18" xfId="0" applyNumberFormat="1" applyFont="1" applyFill="1" applyBorder="1" applyAlignment="1">
      <x:alignment horizontal="center"/>
    </x:xf>
    <x:xf numFmtId="0" fontId="5" fillId="7" borderId="16" xfId="0" applyNumberFormat="1" applyFont="1" applyFill="1" applyBorder="1" applyAlignment="1">
      <x:alignment horizontal="center" vertical="center"/>
    </x:xf>
    <x:xf numFmtId="0" fontId="5" fillId="7" borderId="17" xfId="0" applyNumberFormat="1" applyFont="1" applyFill="1" applyBorder="1" applyAlignment="1">
      <x:alignment horizontal="center" vertical="center"/>
    </x:xf>
    <x:xf numFmtId="0" fontId="5" fillId="7" borderId="18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16" xfId="0" applyNumberFormat="1" applyFont="1" applyFill="1" applyBorder="1"/>
    <x:xf numFmtId="0" fontId="5" fillId="8" borderId="17" xfId="0" applyNumberFormat="1" applyFont="1" applyFill="1" applyBorder="1"/>
    <x:xf numFmtId="0" fontId="5" fillId="8" borderId="18" xfId="0" applyNumberFormat="1" applyFont="1" applyFill="1" applyBorder="1"/>
    <x:xf numFmtId="0" fontId="5" fillId="8" borderId="16" xfId="0" applyNumberFormat="1" applyFont="1" applyFill="1" applyBorder="1" applyAlignment="1">
      <x:alignment horizontal="center"/>
    </x:xf>
    <x:xf numFmtId="0" fontId="5" fillId="8" borderId="17" xfId="0" applyNumberFormat="1" applyFont="1" applyFill="1" applyBorder="1" applyAlignment="1">
      <x:alignment horizontal="center"/>
    </x:xf>
    <x:xf numFmtId="0" fontId="5" fillId="8" borderId="18" xfId="0" applyNumberFormat="1" applyFont="1" applyFill="1" applyBorder="1" applyAlignment="1">
      <x:alignment horizontal="center"/>
    </x:xf>
    <x:xf numFmtId="0" fontId="5" fillId="8" borderId="16" xfId="0" applyNumberFormat="1" applyFont="1" applyFill="1" applyBorder="1" applyAlignment="1">
      <x:alignment horizontal="center" vertical="center"/>
    </x:xf>
    <x:xf numFmtId="0" fontId="5" fillId="8" borderId="17" xfId="0" applyNumberFormat="1" applyFont="1" applyFill="1" applyBorder="1" applyAlignment="1">
      <x:alignment horizontal="center" vertical="center"/>
    </x:xf>
    <x:xf numFmtId="0" fontId="5" fillId="8" borderId="18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16" xfId="0" applyNumberFormat="1" applyFont="1" applyFill="1" applyBorder="1"/>
    <x:xf numFmtId="0" fontId="5" fillId="9" borderId="17" xfId="0" applyNumberFormat="1" applyFont="1" applyFill="1" applyBorder="1"/>
    <x:xf numFmtId="0" fontId="5" fillId="9" borderId="18" xfId="0" applyNumberFormat="1" applyFont="1" applyFill="1" applyBorder="1"/>
    <x:xf numFmtId="0" fontId="5" fillId="9" borderId="16" xfId="0" applyNumberFormat="1" applyFont="1" applyFill="1" applyBorder="1" applyAlignment="1">
      <x:alignment horizontal="center"/>
    </x:xf>
    <x:xf numFmtId="0" fontId="5" fillId="9" borderId="17" xfId="0" applyNumberFormat="1" applyFont="1" applyFill="1" applyBorder="1" applyAlignment="1">
      <x:alignment horizontal="center"/>
    </x:xf>
    <x:xf numFmtId="0" fontId="5" fillId="9" borderId="18" xfId="0" applyNumberFormat="1" applyFont="1" applyFill="1" applyBorder="1" applyAlignment="1">
      <x:alignment horizontal="center"/>
    </x:xf>
    <x:xf numFmtId="0" fontId="5" fillId="9" borderId="16" xfId="0" applyNumberFormat="1" applyFont="1" applyFill="1" applyBorder="1" applyAlignment="1">
      <x:alignment horizontal="center" vertical="center"/>
    </x:xf>
    <x:xf numFmtId="0" fontId="5" fillId="9" borderId="17" xfId="0" applyNumberFormat="1" applyFont="1" applyFill="1" applyBorder="1" applyAlignment="1">
      <x:alignment horizontal="center" vertical="center"/>
    </x:xf>
    <x:xf numFmtId="0" fontId="5" fillId="9" borderId="18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16" xfId="0" applyNumberFormat="1" applyFont="1" applyFill="1" applyBorder="1"/>
    <x:xf numFmtId="0" fontId="5" fillId="10" borderId="17" xfId="0" applyNumberFormat="1" applyFont="1" applyFill="1" applyBorder="1"/>
    <x:xf numFmtId="0" fontId="5" fillId="10" borderId="18" xfId="0" applyNumberFormat="1" applyFont="1" applyFill="1" applyBorder="1"/>
    <x:xf numFmtId="0" fontId="5" fillId="10" borderId="16" xfId="0" applyNumberFormat="1" applyFont="1" applyFill="1" applyBorder="1" applyAlignment="1">
      <x:alignment horizontal="center"/>
    </x:xf>
    <x:xf numFmtId="0" fontId="5" fillId="10" borderId="17" xfId="0" applyNumberFormat="1" applyFont="1" applyFill="1" applyBorder="1" applyAlignment="1">
      <x:alignment horizontal="center"/>
    </x:xf>
    <x:xf numFmtId="0" fontId="5" fillId="10" borderId="18" xfId="0" applyNumberFormat="1" applyFont="1" applyFill="1" applyBorder="1" applyAlignment="1">
      <x:alignment horizontal="center"/>
    </x:xf>
    <x:xf numFmtId="0" fontId="5" fillId="10" borderId="16" xfId="0" applyNumberFormat="1" applyFont="1" applyFill="1" applyBorder="1" applyAlignment="1">
      <x:alignment horizontal="center" vertical="center"/>
    </x:xf>
    <x:xf numFmtId="0" fontId="5" fillId="10" borderId="17" xfId="0" applyNumberFormat="1" applyFont="1" applyFill="1" applyBorder="1" applyAlignment="1">
      <x:alignment horizontal="center" vertical="center"/>
    </x:xf>
    <x:xf numFmtId="0" fontId="5" fillId="10" borderId="18" xfId="0" applyNumberFormat="1" applyFont="1" applyFill="1" applyBorder="1" applyAlignment="1">
      <x:alignment horizontal="center" vertical="center"/>
    </x:xf>
    <x:xf numFmtId="0" fontId="0" fillId="11" borderId="0" xfId="0" applyNumberFormat="1" applyFont="1" applyFill="1" applyBorder="1"/>
    <x:xf numFmtId="0" fontId="5" fillId="11" borderId="0" xfId="0" applyNumberFormat="1" applyFont="1" applyFill="1" applyBorder="1"/>
    <x:xf numFmtId="0" fontId="5" fillId="11" borderId="16" xfId="0" applyNumberFormat="1" applyFont="1" applyFill="1" applyBorder="1"/>
    <x:xf numFmtId="0" fontId="5" fillId="11" borderId="17" xfId="0" applyNumberFormat="1" applyFont="1" applyFill="1" applyBorder="1"/>
    <x:xf numFmtId="0" fontId="5" fillId="11" borderId="18" xfId="0" applyNumberFormat="1" applyFont="1" applyFill="1" applyBorder="1"/>
    <x:xf numFmtId="0" fontId="5" fillId="11" borderId="16" xfId="0" applyNumberFormat="1" applyFont="1" applyFill="1" applyBorder="1" applyAlignment="1">
      <x:alignment horizontal="center"/>
    </x:xf>
    <x:xf numFmtId="0" fontId="5" fillId="11" borderId="17" xfId="0" applyNumberFormat="1" applyFont="1" applyFill="1" applyBorder="1" applyAlignment="1">
      <x:alignment horizontal="center"/>
    </x:xf>
    <x:xf numFmtId="0" fontId="5" fillId="11" borderId="18" xfId="0" applyNumberFormat="1" applyFont="1" applyFill="1" applyBorder="1" applyAlignment="1">
      <x:alignment horizontal="center"/>
    </x:xf>
    <x:xf numFmtId="0" fontId="5" fillId="11" borderId="16" xfId="0" applyNumberFormat="1" applyFont="1" applyFill="1" applyBorder="1" applyAlignment="1">
      <x:alignment horizontal="center" vertical="center"/>
    </x:xf>
    <x:xf numFmtId="0" fontId="5" fillId="11" borderId="17" xfId="0" applyNumberFormat="1" applyFont="1" applyFill="1" applyBorder="1" applyAlignment="1">
      <x:alignment horizontal="center" vertical="center"/>
    </x:xf>
    <x:xf numFmtId="0" fontId="5" fillId="11" borderId="18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/>
    <x:xf numFmtId="0" fontId="6" fillId="0" borderId="0" xfId="0" applyNumberFormat="1" applyFont="1" applyFill="1" applyBorder="1"/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horizontal="left"/>
    </x:xf>
    <x:xf numFmtId="0" fontId="7" fillId="2" borderId="0" xfId="0" applyNumberFormat="1" applyFont="1" applyFill="1" applyBorder="1" applyAlignment="1">
      <x:alignment horizontal="left" vertical="center"/>
    </x:xf>
    <x:xf numFmtId="0" fontId="0" fillId="12" borderId="0" xfId="0" applyNumberFormat="1" applyFont="1" applyFill="1" applyBorder="1"/>
    <x:xf numFmtId="0" fontId="8" fillId="3" borderId="0" xfId="0" applyNumberFormat="1" applyFont="1" applyFill="1" applyBorder="1"/>
    <x:xf numFmtId="0" fontId="8" fillId="3" borderId="19" xfId="0" applyNumberFormat="1" applyFont="1" applyFill="1" applyBorder="1"/>
    <x:xf numFmtId="0" fontId="8" fillId="3" borderId="20" xfId="0" applyNumberFormat="1" applyFont="1" applyFill="1" applyBorder="1"/>
    <x:xf numFmtId="0" fontId="8" fillId="3" borderId="21" xfId="0" applyNumberFormat="1" applyFont="1" applyFill="1" applyBorder="1"/>
    <x:xf numFmtId="0" fontId="8" fillId="3" borderId="19" xfId="0" applyNumberFormat="1" applyFont="1" applyFill="1" applyBorder="1" applyAlignment="1">
      <x:alignment horizontal="center"/>
    </x:xf>
    <x:xf numFmtId="0" fontId="8" fillId="3" borderId="20" xfId="0" applyNumberFormat="1" applyFont="1" applyFill="1" applyBorder="1" applyAlignment="1">
      <x:alignment horizontal="center"/>
    </x:xf>
    <x:xf numFmtId="0" fontId="8" fillId="3" borderId="21" xfId="0" applyNumberFormat="1" applyFont="1" applyFill="1" applyBorder="1" applyAlignment="1">
      <x:alignment horizontal="center"/>
    </x:xf>
    <x:xf numFmtId="0" fontId="8" fillId="3" borderId="19" xfId="0" applyNumberFormat="1" applyFont="1" applyFill="1" applyBorder="1" applyAlignment="1">
      <x:alignment horizontal="center" vertical="center"/>
    </x:xf>
    <x:xf numFmtId="0" fontId="8" fillId="3" borderId="20" xfId="0" applyNumberFormat="1" applyFont="1" applyFill="1" applyBorder="1" applyAlignment="1">
      <x:alignment horizontal="center" vertical="center"/>
    </x:xf>
    <x:xf numFmtId="0" fontId="8" fillId="3" borderId="21" xfId="0" applyNumberFormat="1" applyFont="1" applyFill="1" applyBorder="1" applyAlignment="1">
      <x:alignment horizontal="center" vertical="center"/>
    </x:xf>
    <x:xf numFmtId="0" fontId="0" fillId="13" borderId="0" xfId="0" applyNumberFormat="1" applyFont="1" applyFill="1" applyBorder="1"/>
    <x:xf numFmtId="0" fontId="9" fillId="13" borderId="0" xfId="0" applyNumberFormat="1" applyFont="1" applyFill="1" applyBorder="1"/>
    <x:xf numFmtId="0" fontId="9" fillId="13" borderId="14" xfId="0" applyNumberFormat="1" applyFont="1" applyFill="1" applyBorder="1"/>
    <x:xf numFmtId="0" fontId="9" fillId="13" borderId="22" xfId="0" applyNumberFormat="1" applyFont="1" applyFill="1" applyBorder="1"/>
    <x:xf numFmtId="0" fontId="9" fillId="13" borderId="15" xfId="0" applyNumberFormat="1" applyFont="1" applyFill="1" applyBorder="1"/>
    <x:xf numFmtId="0" fontId="9" fillId="13" borderId="11" xfId="0" applyNumberFormat="1" applyFont="1" applyFill="1" applyBorder="1"/>
    <x:xf numFmtId="0" fontId="9" fillId="13" borderId="12" xfId="0" applyNumberFormat="1" applyFont="1" applyFill="1" applyBorder="1"/>
    <x:xf numFmtId="0" fontId="9" fillId="13" borderId="13" xfId="0" applyNumberFormat="1" applyFont="1" applyFill="1" applyBorder="1"/>
    <x:xf numFmtId="202" fontId="9" fillId="13" borderId="14" xfId="0" applyNumberFormat="1" applyFont="1" applyFill="1" applyBorder="1"/>
    <x:xf numFmtId="202" fontId="9" fillId="13" borderId="22" xfId="0" applyNumberFormat="1" applyFont="1" applyFill="1" applyBorder="1"/>
    <x:xf numFmtId="202" fontId="9" fillId="13" borderId="15" xfId="0" applyNumberFormat="1" applyFont="1" applyFill="1" applyBorder="1"/>
    <x:xf numFmtId="202" fontId="9" fillId="13" borderId="11" xfId="0" applyNumberFormat="1" applyFont="1" applyFill="1" applyBorder="1"/>
    <x:xf numFmtId="202" fontId="9" fillId="13" borderId="12" xfId="0" applyNumberFormat="1" applyFont="1" applyFill="1" applyBorder="1"/>
    <x:xf numFmtId="202" fontId="9" fillId="13" borderId="13" xfId="0" applyNumberFormat="1" applyFont="1" applyFill="1" applyBorder="1"/>
    <x:xf numFmtId="202" fontId="9" fillId="13" borderId="14" xfId="0" applyNumberFormat="1" applyFont="1" applyFill="1" applyBorder="1" applyAlignment="1">
      <x:alignment horizontal="center"/>
    </x:xf>
    <x:xf numFmtId="202" fontId="9" fillId="13" borderId="22" xfId="0" applyNumberFormat="1" applyFont="1" applyFill="1" applyBorder="1" applyAlignment="1">
      <x:alignment horizontal="center"/>
    </x:xf>
    <x:xf numFmtId="202" fontId="9" fillId="13" borderId="15" xfId="0" applyNumberFormat="1" applyFont="1" applyFill="1" applyBorder="1" applyAlignment="1">
      <x:alignment horizontal="center"/>
    </x:xf>
    <x:xf numFmtId="202" fontId="9" fillId="13" borderId="11" xfId="0" applyNumberFormat="1" applyFont="1" applyFill="1" applyBorder="1" applyAlignment="1">
      <x:alignment horizontal="center"/>
    </x:xf>
    <x:xf numFmtId="202" fontId="9" fillId="13" borderId="12" xfId="0" applyNumberFormat="1" applyFont="1" applyFill="1" applyBorder="1" applyAlignment="1">
      <x:alignment horizontal="center"/>
    </x:xf>
    <x:xf numFmtId="202" fontId="9" fillId="13" borderId="13" xfId="0" applyNumberFormat="1" applyFont="1" applyFill="1" applyBorder="1" applyAlignment="1">
      <x:alignment horizontal="center"/>
    </x:xf>
    <x:xf numFmtId="202" fontId="9" fillId="13" borderId="14" xfId="0" applyNumberFormat="1" applyFont="1" applyFill="1" applyBorder="1" applyAlignment="1">
      <x:alignment horizontal="center" vertical="center"/>
    </x:xf>
    <x:xf numFmtId="202" fontId="9" fillId="13" borderId="22" xfId="0" applyNumberFormat="1" applyFont="1" applyFill="1" applyBorder="1" applyAlignment="1">
      <x:alignment horizontal="center" vertical="center"/>
    </x:xf>
    <x:xf numFmtId="202" fontId="9" fillId="13" borderId="15" xfId="0" applyNumberFormat="1" applyFont="1" applyFill="1" applyBorder="1" applyAlignment="1">
      <x:alignment horizontal="center" vertical="center"/>
    </x:xf>
    <x:xf numFmtId="202" fontId="9" fillId="13" borderId="11" xfId="0" applyNumberFormat="1" applyFont="1" applyFill="1" applyBorder="1" applyAlignment="1">
      <x:alignment horizontal="center" vertical="center"/>
    </x:xf>
    <x:xf numFmtId="202" fontId="9" fillId="13" borderId="12" xfId="0" applyNumberFormat="1" applyFont="1" applyFill="1" applyBorder="1" applyAlignment="1">
      <x:alignment horizontal="center" vertical="center"/>
    </x:xf>
    <x:xf numFmtId="202" fontId="9" fillId="13" borderId="13" xfId="0" applyNumberFormat="1" applyFont="1" applyFill="1" applyBorder="1" applyAlignment="1">
      <x:alignment horizontal="center" vertical="center"/>
    </x:xf>
    <x:xf numFmtId="0" fontId="0" fillId="14" borderId="0" xfId="0" applyNumberFormat="1" applyFont="1" applyFill="1" applyBorder="1"/>
    <x:xf numFmtId="0" fontId="8" fillId="14" borderId="0" xfId="0" applyNumberFormat="1" applyFont="1" applyFill="1" applyBorder="1"/>
    <x:xf numFmtId="0" fontId="8" fillId="14" borderId="19" xfId="0" applyNumberFormat="1" applyFont="1" applyFill="1" applyBorder="1"/>
    <x:xf numFmtId="0" fontId="8" fillId="14" borderId="20" xfId="0" applyNumberFormat="1" applyFont="1" applyFill="1" applyBorder="1"/>
    <x:xf numFmtId="0" fontId="8" fillId="14" borderId="21" xfId="0" applyNumberFormat="1" applyFont="1" applyFill="1" applyBorder="1"/>
    <x:xf numFmtId="0" fontId="8" fillId="14" borderId="19" xfId="0" applyNumberFormat="1" applyFont="1" applyFill="1" applyBorder="1" applyAlignment="1">
      <x:alignment horizontal="center"/>
    </x:xf>
    <x:xf numFmtId="0" fontId="8" fillId="14" borderId="20" xfId="0" applyNumberFormat="1" applyFont="1" applyFill="1" applyBorder="1" applyAlignment="1">
      <x:alignment horizontal="center"/>
    </x:xf>
    <x:xf numFmtId="0" fontId="8" fillId="14" borderId="21" xfId="0" applyNumberFormat="1" applyFont="1" applyFill="1" applyBorder="1" applyAlignment="1">
      <x:alignment horizontal="center"/>
    </x:xf>
    <x:xf numFmtId="0" fontId="8" fillId="14" borderId="19" xfId="0" applyNumberFormat="1" applyFont="1" applyFill="1" applyBorder="1" applyAlignment="1">
      <x:alignment horizontal="center" vertical="center"/>
    </x:xf>
    <x:xf numFmtId="0" fontId="8" fillId="14" borderId="20" xfId="0" applyNumberFormat="1" applyFont="1" applyFill="1" applyBorder="1" applyAlignment="1">
      <x:alignment horizontal="center" vertical="center"/>
    </x:xf>
    <x:xf numFmtId="0" fontId="8" fillId="14" borderId="21" xfId="0" applyNumberFormat="1" applyFont="1" applyFill="1" applyBorder="1" applyAlignment="1">
      <x:alignment horizontal="center" vertical="center"/>
    </x:xf>
    <x:xf numFmtId="0" fontId="10" fillId="13" borderId="0" xfId="0" applyNumberFormat="1" applyFont="1" applyFill="1" applyBorder="1"/>
    <x:xf numFmtId="0" fontId="10" fillId="13" borderId="14" xfId="0" applyNumberFormat="1" applyFont="1" applyFill="1" applyBorder="1"/>
    <x:xf numFmtId="0" fontId="10" fillId="13" borderId="22" xfId="0" applyNumberFormat="1" applyFont="1" applyFill="1" applyBorder="1"/>
    <x:xf numFmtId="0" fontId="10" fillId="13" borderId="15" xfId="0" applyNumberFormat="1" applyFont="1" applyFill="1" applyBorder="1"/>
    <x:xf numFmtId="0" fontId="10" fillId="13" borderId="11" xfId="0" applyNumberFormat="1" applyFont="1" applyFill="1" applyBorder="1"/>
    <x:xf numFmtId="0" fontId="10" fillId="13" borderId="12" xfId="0" applyNumberFormat="1" applyFont="1" applyFill="1" applyBorder="1"/>
    <x:xf numFmtId="0" fontId="10" fillId="13" borderId="13" xfId="0" applyNumberFormat="1" applyFont="1" applyFill="1" applyBorder="1"/>
    <x:xf numFmtId="202" fontId="10" fillId="13" borderId="14" xfId="0" applyNumberFormat="1" applyFont="1" applyFill="1" applyBorder="1"/>
    <x:xf numFmtId="202" fontId="10" fillId="13" borderId="22" xfId="0" applyNumberFormat="1" applyFont="1" applyFill="1" applyBorder="1"/>
    <x:xf numFmtId="202" fontId="10" fillId="13" borderId="15" xfId="0" applyNumberFormat="1" applyFont="1" applyFill="1" applyBorder="1"/>
    <x:xf numFmtId="202" fontId="10" fillId="13" borderId="11" xfId="0" applyNumberFormat="1" applyFont="1" applyFill="1" applyBorder="1"/>
    <x:xf numFmtId="202" fontId="10" fillId="13" borderId="12" xfId="0" applyNumberFormat="1" applyFont="1" applyFill="1" applyBorder="1"/>
    <x:xf numFmtId="202" fontId="10" fillId="13" borderId="13" xfId="0" applyNumberFormat="1" applyFont="1" applyFill="1" applyBorder="1"/>
    <x:xf numFmtId="202" fontId="10" fillId="13" borderId="14" xfId="0" applyNumberFormat="1" applyFont="1" applyFill="1" applyBorder="1" applyAlignment="1">
      <x:alignment horizontal="center"/>
    </x:xf>
    <x:xf numFmtId="202" fontId="10" fillId="13" borderId="22" xfId="0" applyNumberFormat="1" applyFont="1" applyFill="1" applyBorder="1" applyAlignment="1">
      <x:alignment horizontal="center"/>
    </x:xf>
    <x:xf numFmtId="202" fontId="10" fillId="13" borderId="15" xfId="0" applyNumberFormat="1" applyFont="1" applyFill="1" applyBorder="1" applyAlignment="1">
      <x:alignment horizontal="center"/>
    </x:xf>
    <x:xf numFmtId="202" fontId="10" fillId="13" borderId="11" xfId="0" applyNumberFormat="1" applyFont="1" applyFill="1" applyBorder="1" applyAlignment="1">
      <x:alignment horizontal="center"/>
    </x:xf>
    <x:xf numFmtId="202" fontId="10" fillId="13" borderId="12" xfId="0" applyNumberFormat="1" applyFont="1" applyFill="1" applyBorder="1" applyAlignment="1">
      <x:alignment horizontal="center"/>
    </x:xf>
    <x:xf numFmtId="202" fontId="10" fillId="13" borderId="13" xfId="0" applyNumberFormat="1" applyFont="1" applyFill="1" applyBorder="1" applyAlignment="1">
      <x:alignment horizontal="center"/>
    </x:xf>
    <x:xf numFmtId="202" fontId="10" fillId="13" borderId="14" xfId="0" applyNumberFormat="1" applyFont="1" applyFill="1" applyBorder="1" applyAlignment="1">
      <x:alignment horizontal="center" vertical="center"/>
    </x:xf>
    <x:xf numFmtId="202" fontId="10" fillId="13" borderId="22" xfId="0" applyNumberFormat="1" applyFont="1" applyFill="1" applyBorder="1" applyAlignment="1">
      <x:alignment horizontal="center" vertical="center"/>
    </x:xf>
    <x:xf numFmtId="202" fontId="10" fillId="13" borderId="15" xfId="0" applyNumberFormat="1" applyFont="1" applyFill="1" applyBorder="1" applyAlignment="1">
      <x:alignment horizontal="center" vertical="center"/>
    </x:xf>
    <x:xf numFmtId="202" fontId="10" fillId="13" borderId="11" xfId="0" applyNumberFormat="1" applyFont="1" applyFill="1" applyBorder="1" applyAlignment="1">
      <x:alignment horizontal="center" vertical="center"/>
    </x:xf>
    <x:xf numFmtId="202" fontId="10" fillId="13" borderId="12" xfId="0" applyNumberFormat="1" applyFont="1" applyFill="1" applyBorder="1" applyAlignment="1">
      <x:alignment horizontal="center" vertical="center"/>
    </x:xf>
    <x:xf numFmtId="202" fontId="10" fillId="13" borderId="13" xfId="0" applyNumberFormat="1" applyFont="1" applyFill="1" applyBorder="1" applyAlignment="1">
      <x:alignment horizontal="center" vertical="center"/>
    </x:xf>
    <x:xf numFmtId="0" fontId="0" fillId="15" borderId="0" xfId="0" applyNumberFormat="1" applyFont="1" applyFill="1" applyBorder="1"/>
    <x:xf numFmtId="0" fontId="8" fillId="15" borderId="0" xfId="0" applyNumberFormat="1" applyFont="1" applyFill="1" applyBorder="1"/>
    <x:xf numFmtId="0" fontId="8" fillId="15" borderId="19" xfId="0" applyNumberFormat="1" applyFont="1" applyFill="1" applyBorder="1"/>
    <x:xf numFmtId="0" fontId="8" fillId="15" borderId="20" xfId="0" applyNumberFormat="1" applyFont="1" applyFill="1" applyBorder="1"/>
    <x:xf numFmtId="0" fontId="8" fillId="15" borderId="21" xfId="0" applyNumberFormat="1" applyFont="1" applyFill="1" applyBorder="1"/>
    <x:xf numFmtId="0" fontId="8" fillId="15" borderId="19" xfId="0" applyNumberFormat="1" applyFont="1" applyFill="1" applyBorder="1" applyAlignment="1">
      <x:alignment horizontal="center"/>
    </x:xf>
    <x:xf numFmtId="0" fontId="8" fillId="15" borderId="20" xfId="0" applyNumberFormat="1" applyFont="1" applyFill="1" applyBorder="1" applyAlignment="1">
      <x:alignment horizontal="center"/>
    </x:xf>
    <x:xf numFmtId="0" fontId="8" fillId="15" borderId="21" xfId="0" applyNumberFormat="1" applyFont="1" applyFill="1" applyBorder="1" applyAlignment="1">
      <x:alignment horizontal="center"/>
    </x:xf>
    <x:xf numFmtId="0" fontId="8" fillId="15" borderId="19" xfId="0" applyNumberFormat="1" applyFont="1" applyFill="1" applyBorder="1" applyAlignment="1">
      <x:alignment horizontal="center" vertical="center"/>
    </x:xf>
    <x:xf numFmtId="0" fontId="8" fillId="15" borderId="20" xfId="0" applyNumberFormat="1" applyFont="1" applyFill="1" applyBorder="1" applyAlignment="1">
      <x:alignment horizontal="center" vertical="center"/>
    </x:xf>
    <x:xf numFmtId="0" fontId="8" fillId="15" borderId="21" xfId="0" applyNumberFormat="1" applyFont="1" applyFill="1" applyBorder="1" applyAlignment="1">
      <x:alignment horizontal="center" vertical="center"/>
    </x:xf>
    <x:xf numFmtId="0" fontId="11" fillId="13" borderId="0" xfId="0" applyNumberFormat="1" applyFont="1" applyFill="1" applyBorder="1"/>
    <x:xf numFmtId="0" fontId="11" fillId="13" borderId="14" xfId="0" applyNumberFormat="1" applyFont="1" applyFill="1" applyBorder="1"/>
    <x:xf numFmtId="0" fontId="11" fillId="13" borderId="22" xfId="0" applyNumberFormat="1" applyFont="1" applyFill="1" applyBorder="1"/>
    <x:xf numFmtId="0" fontId="11" fillId="13" borderId="15" xfId="0" applyNumberFormat="1" applyFont="1" applyFill="1" applyBorder="1"/>
    <x:xf numFmtId="0" fontId="11" fillId="13" borderId="11" xfId="0" applyNumberFormat="1" applyFont="1" applyFill="1" applyBorder="1"/>
    <x:xf numFmtId="0" fontId="11" fillId="13" borderId="12" xfId="0" applyNumberFormat="1" applyFont="1" applyFill="1" applyBorder="1"/>
    <x:xf numFmtId="0" fontId="11" fillId="13" borderId="13" xfId="0" applyNumberFormat="1" applyFont="1" applyFill="1" applyBorder="1"/>
    <x:xf numFmtId="202" fontId="11" fillId="13" borderId="14" xfId="0" applyNumberFormat="1" applyFont="1" applyFill="1" applyBorder="1"/>
    <x:xf numFmtId="202" fontId="11" fillId="13" borderId="22" xfId="0" applyNumberFormat="1" applyFont="1" applyFill="1" applyBorder="1"/>
    <x:xf numFmtId="202" fontId="11" fillId="13" borderId="15" xfId="0" applyNumberFormat="1" applyFont="1" applyFill="1" applyBorder="1"/>
    <x:xf numFmtId="202" fontId="11" fillId="13" borderId="11" xfId="0" applyNumberFormat="1" applyFont="1" applyFill="1" applyBorder="1"/>
    <x:xf numFmtId="202" fontId="11" fillId="13" borderId="12" xfId="0" applyNumberFormat="1" applyFont="1" applyFill="1" applyBorder="1"/>
    <x:xf numFmtId="202" fontId="11" fillId="13" borderId="13" xfId="0" applyNumberFormat="1" applyFont="1" applyFill="1" applyBorder="1"/>
    <x:xf numFmtId="202" fontId="11" fillId="13" borderId="14" xfId="0" applyNumberFormat="1" applyFont="1" applyFill="1" applyBorder="1" applyAlignment="1">
      <x:alignment horizontal="center"/>
    </x:xf>
    <x:xf numFmtId="202" fontId="11" fillId="13" borderId="22" xfId="0" applyNumberFormat="1" applyFont="1" applyFill="1" applyBorder="1" applyAlignment="1">
      <x:alignment horizontal="center"/>
    </x:xf>
    <x:xf numFmtId="202" fontId="11" fillId="13" borderId="15" xfId="0" applyNumberFormat="1" applyFont="1" applyFill="1" applyBorder="1" applyAlignment="1">
      <x:alignment horizontal="center"/>
    </x:xf>
    <x:xf numFmtId="202" fontId="11" fillId="13" borderId="11" xfId="0" applyNumberFormat="1" applyFont="1" applyFill="1" applyBorder="1" applyAlignment="1">
      <x:alignment horizontal="center"/>
    </x:xf>
    <x:xf numFmtId="202" fontId="11" fillId="13" borderId="12" xfId="0" applyNumberFormat="1" applyFont="1" applyFill="1" applyBorder="1" applyAlignment="1">
      <x:alignment horizontal="center"/>
    </x:xf>
    <x:xf numFmtId="202" fontId="11" fillId="13" borderId="13" xfId="0" applyNumberFormat="1" applyFont="1" applyFill="1" applyBorder="1" applyAlignment="1">
      <x:alignment horizontal="center"/>
    </x:xf>
    <x:xf numFmtId="202" fontId="11" fillId="13" borderId="14" xfId="0" applyNumberFormat="1" applyFont="1" applyFill="1" applyBorder="1" applyAlignment="1">
      <x:alignment horizontal="center" vertical="center"/>
    </x:xf>
    <x:xf numFmtId="202" fontId="11" fillId="13" borderId="22" xfId="0" applyNumberFormat="1" applyFont="1" applyFill="1" applyBorder="1" applyAlignment="1">
      <x:alignment horizontal="center" vertical="center"/>
    </x:xf>
    <x:xf numFmtId="202" fontId="11" fillId="13" borderId="15" xfId="0" applyNumberFormat="1" applyFont="1" applyFill="1" applyBorder="1" applyAlignment="1">
      <x:alignment horizontal="center" vertical="center"/>
    </x:xf>
    <x:xf numFmtId="202" fontId="11" fillId="13" borderId="11" xfId="0" applyNumberFormat="1" applyFont="1" applyFill="1" applyBorder="1" applyAlignment="1">
      <x:alignment horizontal="center" vertical="center"/>
    </x:xf>
    <x:xf numFmtId="202" fontId="11" fillId="13" borderId="12" xfId="0" applyNumberFormat="1" applyFont="1" applyFill="1" applyBorder="1" applyAlignment="1">
      <x:alignment horizontal="center" vertical="center"/>
    </x:xf>
    <x:xf numFmtId="202" fontId="11" fillId="13" borderId="13" xfId="0" applyNumberFormat="1" applyFont="1" applyFill="1" applyBorder="1" applyAlignment="1">
      <x:alignment horizontal="center" vertical="center"/>
    </x:xf>
    <x:xf numFmtId="0" fontId="0" fillId="16" borderId="0" xfId="0" applyNumberFormat="1" applyFont="1" applyFill="1" applyBorder="1"/>
    <x:xf numFmtId="0" fontId="8" fillId="16" borderId="0" xfId="0" applyNumberFormat="1" applyFont="1" applyFill="1" applyBorder="1"/>
    <x:xf numFmtId="0" fontId="8" fillId="16" borderId="19" xfId="0" applyNumberFormat="1" applyFont="1" applyFill="1" applyBorder="1"/>
    <x:xf numFmtId="0" fontId="8" fillId="16" borderId="20" xfId="0" applyNumberFormat="1" applyFont="1" applyFill="1" applyBorder="1"/>
    <x:xf numFmtId="0" fontId="8" fillId="16" borderId="21" xfId="0" applyNumberFormat="1" applyFont="1" applyFill="1" applyBorder="1"/>
    <x:xf numFmtId="0" fontId="8" fillId="16" borderId="19" xfId="0" applyNumberFormat="1" applyFont="1" applyFill="1" applyBorder="1" applyAlignment="1">
      <x:alignment horizontal="center"/>
    </x:xf>
    <x:xf numFmtId="0" fontId="8" fillId="16" borderId="20" xfId="0" applyNumberFormat="1" applyFont="1" applyFill="1" applyBorder="1" applyAlignment="1">
      <x:alignment horizontal="center"/>
    </x:xf>
    <x:xf numFmtId="0" fontId="8" fillId="16" borderId="21" xfId="0" applyNumberFormat="1" applyFont="1" applyFill="1" applyBorder="1" applyAlignment="1">
      <x:alignment horizontal="center"/>
    </x:xf>
    <x:xf numFmtId="0" fontId="8" fillId="16" borderId="19" xfId="0" applyNumberFormat="1" applyFont="1" applyFill="1" applyBorder="1" applyAlignment="1">
      <x:alignment horizontal="center" vertical="center"/>
    </x:xf>
    <x:xf numFmtId="0" fontId="8" fillId="16" borderId="20" xfId="0" applyNumberFormat="1" applyFont="1" applyFill="1" applyBorder="1" applyAlignment="1">
      <x:alignment horizontal="center" vertical="center"/>
    </x:xf>
    <x:xf numFmtId="0" fontId="8" fillId="16" borderId="21" xfId="0" applyNumberFormat="1" applyFont="1" applyFill="1" applyBorder="1" applyAlignment="1">
      <x:alignment horizontal="center" vertical="center"/>
    </x:xf>
    <x:xf numFmtId="0" fontId="12" fillId="13" borderId="0" xfId="0" applyNumberFormat="1" applyFont="1" applyFill="1" applyBorder="1"/>
    <x:xf numFmtId="0" fontId="12" fillId="13" borderId="14" xfId="0" applyNumberFormat="1" applyFont="1" applyFill="1" applyBorder="1"/>
    <x:xf numFmtId="0" fontId="12" fillId="13" borderId="22" xfId="0" applyNumberFormat="1" applyFont="1" applyFill="1" applyBorder="1"/>
    <x:xf numFmtId="0" fontId="12" fillId="13" borderId="15" xfId="0" applyNumberFormat="1" applyFont="1" applyFill="1" applyBorder="1"/>
    <x:xf numFmtId="0" fontId="12" fillId="13" borderId="11" xfId="0" applyNumberFormat="1" applyFont="1" applyFill="1" applyBorder="1"/>
    <x:xf numFmtId="0" fontId="12" fillId="13" borderId="12" xfId="0" applyNumberFormat="1" applyFont="1" applyFill="1" applyBorder="1"/>
    <x:xf numFmtId="0" fontId="12" fillId="13" borderId="13" xfId="0" applyNumberFormat="1" applyFont="1" applyFill="1" applyBorder="1"/>
    <x:xf numFmtId="202" fontId="12" fillId="13" borderId="14" xfId="0" applyNumberFormat="1" applyFont="1" applyFill="1" applyBorder="1"/>
    <x:xf numFmtId="202" fontId="12" fillId="13" borderId="22" xfId="0" applyNumberFormat="1" applyFont="1" applyFill="1" applyBorder="1"/>
    <x:xf numFmtId="202" fontId="12" fillId="13" borderId="15" xfId="0" applyNumberFormat="1" applyFont="1" applyFill="1" applyBorder="1"/>
    <x:xf numFmtId="202" fontId="12" fillId="13" borderId="11" xfId="0" applyNumberFormat="1" applyFont="1" applyFill="1" applyBorder="1"/>
    <x:xf numFmtId="202" fontId="12" fillId="13" borderId="12" xfId="0" applyNumberFormat="1" applyFont="1" applyFill="1" applyBorder="1"/>
    <x:xf numFmtId="202" fontId="12" fillId="13" borderId="13" xfId="0" applyNumberFormat="1" applyFont="1" applyFill="1" applyBorder="1"/>
    <x:xf numFmtId="202" fontId="12" fillId="13" borderId="14" xfId="0" applyNumberFormat="1" applyFont="1" applyFill="1" applyBorder="1" applyAlignment="1">
      <x:alignment horizontal="center"/>
    </x:xf>
    <x:xf numFmtId="202" fontId="12" fillId="13" borderId="22" xfId="0" applyNumberFormat="1" applyFont="1" applyFill="1" applyBorder="1" applyAlignment="1">
      <x:alignment horizontal="center"/>
    </x:xf>
    <x:xf numFmtId="202" fontId="12" fillId="13" borderId="15" xfId="0" applyNumberFormat="1" applyFont="1" applyFill="1" applyBorder="1" applyAlignment="1">
      <x:alignment horizontal="center"/>
    </x:xf>
    <x:xf numFmtId="202" fontId="12" fillId="13" borderId="11" xfId="0" applyNumberFormat="1" applyFont="1" applyFill="1" applyBorder="1" applyAlignment="1">
      <x:alignment horizontal="center"/>
    </x:xf>
    <x:xf numFmtId="202" fontId="12" fillId="13" borderId="12" xfId="0" applyNumberFormat="1" applyFont="1" applyFill="1" applyBorder="1" applyAlignment="1">
      <x:alignment horizontal="center"/>
    </x:xf>
    <x:xf numFmtId="202" fontId="12" fillId="13" borderId="13" xfId="0" applyNumberFormat="1" applyFont="1" applyFill="1" applyBorder="1" applyAlignment="1">
      <x:alignment horizontal="center"/>
    </x:xf>
    <x:xf numFmtId="202" fontId="12" fillId="13" borderId="14" xfId="0" applyNumberFormat="1" applyFont="1" applyFill="1" applyBorder="1" applyAlignment="1">
      <x:alignment horizontal="center" vertical="center"/>
    </x:xf>
    <x:xf numFmtId="202" fontId="12" fillId="13" borderId="22" xfId="0" applyNumberFormat="1" applyFont="1" applyFill="1" applyBorder="1" applyAlignment="1">
      <x:alignment horizontal="center" vertical="center"/>
    </x:xf>
    <x:xf numFmtId="202" fontId="12" fillId="13" borderId="15" xfId="0" applyNumberFormat="1" applyFont="1" applyFill="1" applyBorder="1" applyAlignment="1">
      <x:alignment horizontal="center" vertical="center"/>
    </x:xf>
    <x:xf numFmtId="202" fontId="12" fillId="13" borderId="11" xfId="0" applyNumberFormat="1" applyFont="1" applyFill="1" applyBorder="1" applyAlignment="1">
      <x:alignment horizontal="center" vertical="center"/>
    </x:xf>
    <x:xf numFmtId="202" fontId="12" fillId="13" borderId="12" xfId="0" applyNumberFormat="1" applyFont="1" applyFill="1" applyBorder="1" applyAlignment="1">
      <x:alignment horizontal="center" vertical="center"/>
    </x:xf>
    <x:xf numFmtId="202" fontId="12" fillId="13" borderId="13" xfId="0" applyNumberFormat="1" applyFont="1" applyFill="1" applyBorder="1" applyAlignment="1">
      <x:alignment horizontal="center" vertical="center"/>
    </x:xf>
    <x:xf numFmtId="0" fontId="13" fillId="13" borderId="0" xfId="0" applyNumberFormat="1" applyFont="1" applyFill="1" applyBorder="1"/>
    <x:xf numFmtId="0" fontId="13" fillId="13" borderId="14" xfId="0" applyNumberFormat="1" applyFont="1" applyFill="1" applyBorder="1"/>
    <x:xf numFmtId="0" fontId="13" fillId="13" borderId="22" xfId="0" applyNumberFormat="1" applyFont="1" applyFill="1" applyBorder="1"/>
    <x:xf numFmtId="0" fontId="13" fillId="13" borderId="15" xfId="0" applyNumberFormat="1" applyFont="1" applyFill="1" applyBorder="1"/>
    <x:xf numFmtId="0" fontId="13" fillId="13" borderId="11" xfId="0" applyNumberFormat="1" applyFont="1" applyFill="1" applyBorder="1"/>
    <x:xf numFmtId="0" fontId="13" fillId="13" borderId="12" xfId="0" applyNumberFormat="1" applyFont="1" applyFill="1" applyBorder="1"/>
    <x:xf numFmtId="0" fontId="13" fillId="13" borderId="13" xfId="0" applyNumberFormat="1" applyFont="1" applyFill="1" applyBorder="1"/>
    <x:xf numFmtId="202" fontId="13" fillId="13" borderId="14" xfId="0" applyNumberFormat="1" applyFont="1" applyFill="1" applyBorder="1"/>
    <x:xf numFmtId="202" fontId="13" fillId="13" borderId="22" xfId="0" applyNumberFormat="1" applyFont="1" applyFill="1" applyBorder="1"/>
    <x:xf numFmtId="202" fontId="13" fillId="13" borderId="15" xfId="0" applyNumberFormat="1" applyFont="1" applyFill="1" applyBorder="1"/>
    <x:xf numFmtId="202" fontId="13" fillId="13" borderId="11" xfId="0" applyNumberFormat="1" applyFont="1" applyFill="1" applyBorder="1"/>
    <x:xf numFmtId="202" fontId="13" fillId="13" borderId="12" xfId="0" applyNumberFormat="1" applyFont="1" applyFill="1" applyBorder="1"/>
    <x:xf numFmtId="202" fontId="13" fillId="13" borderId="13" xfId="0" applyNumberFormat="1" applyFont="1" applyFill="1" applyBorder="1"/>
    <x:xf numFmtId="202" fontId="13" fillId="13" borderId="14" xfId="0" applyNumberFormat="1" applyFont="1" applyFill="1" applyBorder="1" applyAlignment="1">
      <x:alignment horizontal="center"/>
    </x:xf>
    <x:xf numFmtId="202" fontId="13" fillId="13" borderId="22" xfId="0" applyNumberFormat="1" applyFont="1" applyFill="1" applyBorder="1" applyAlignment="1">
      <x:alignment horizontal="center"/>
    </x:xf>
    <x:xf numFmtId="202" fontId="13" fillId="13" borderId="15" xfId="0" applyNumberFormat="1" applyFont="1" applyFill="1" applyBorder="1" applyAlignment="1">
      <x:alignment horizontal="center"/>
    </x:xf>
    <x:xf numFmtId="202" fontId="13" fillId="13" borderId="11" xfId="0" applyNumberFormat="1" applyFont="1" applyFill="1" applyBorder="1" applyAlignment="1">
      <x:alignment horizontal="center"/>
    </x:xf>
    <x:xf numFmtId="202" fontId="13" fillId="13" borderId="12" xfId="0" applyNumberFormat="1" applyFont="1" applyFill="1" applyBorder="1" applyAlignment="1">
      <x:alignment horizontal="center"/>
    </x:xf>
    <x:xf numFmtId="202" fontId="13" fillId="13" borderId="13" xfId="0" applyNumberFormat="1" applyFont="1" applyFill="1" applyBorder="1" applyAlignment="1">
      <x:alignment horizontal="center"/>
    </x:xf>
    <x:xf numFmtId="202" fontId="13" fillId="13" borderId="14" xfId="0" applyNumberFormat="1" applyFont="1" applyFill="1" applyBorder="1" applyAlignment="1">
      <x:alignment horizontal="center" vertical="center"/>
    </x:xf>
    <x:xf numFmtId="202" fontId="13" fillId="13" borderId="22" xfId="0" applyNumberFormat="1" applyFont="1" applyFill="1" applyBorder="1" applyAlignment="1">
      <x:alignment horizontal="center" vertical="center"/>
    </x:xf>
    <x:xf numFmtId="202" fontId="13" fillId="13" borderId="15" xfId="0" applyNumberFormat="1" applyFont="1" applyFill="1" applyBorder="1" applyAlignment="1">
      <x:alignment horizontal="center" vertical="center"/>
    </x:xf>
    <x:xf numFmtId="202" fontId="13" fillId="13" borderId="11" xfId="0" applyNumberFormat="1" applyFont="1" applyFill="1" applyBorder="1" applyAlignment="1">
      <x:alignment horizontal="center" vertical="center"/>
    </x:xf>
    <x:xf numFmtId="202" fontId="13" fillId="13" borderId="12" xfId="0" applyNumberFormat="1" applyFont="1" applyFill="1" applyBorder="1" applyAlignment="1">
      <x:alignment horizontal="center" vertical="center"/>
    </x:xf>
    <x:xf numFmtId="202" fontId="13" fillId="13" borderId="13" xfId="0" applyNumberFormat="1" applyFont="1" applyFill="1" applyBorder="1" applyAlignment="1">
      <x:alignment horizontal="center" vertical="center"/>
    </x:xf>
    <x:xf numFmtId="0" fontId="8" fillId="4" borderId="0" xfId="0" applyNumberFormat="1" applyFont="1" applyFill="1" applyBorder="1"/>
    <x:xf numFmtId="0" fontId="8" fillId="4" borderId="19" xfId="0" applyNumberFormat="1" applyFont="1" applyFill="1" applyBorder="1"/>
    <x:xf numFmtId="0" fontId="8" fillId="4" borderId="20" xfId="0" applyNumberFormat="1" applyFont="1" applyFill="1" applyBorder="1"/>
    <x:xf numFmtId="0" fontId="8" fillId="4" borderId="21" xfId="0" applyNumberFormat="1" applyFont="1" applyFill="1" applyBorder="1"/>
    <x:xf numFmtId="0" fontId="8" fillId="4" borderId="19" xfId="0" applyNumberFormat="1" applyFont="1" applyFill="1" applyBorder="1" applyAlignment="1">
      <x:alignment horizontal="center"/>
    </x:xf>
    <x:xf numFmtId="0" fontId="8" fillId="4" borderId="20" xfId="0" applyNumberFormat="1" applyFont="1" applyFill="1" applyBorder="1" applyAlignment="1">
      <x:alignment horizontal="center"/>
    </x:xf>
    <x:xf numFmtId="0" fontId="8" fillId="4" borderId="21" xfId="0" applyNumberFormat="1" applyFont="1" applyFill="1" applyBorder="1" applyAlignment="1">
      <x:alignment horizontal="center"/>
    </x:xf>
    <x:xf numFmtId="0" fontId="8" fillId="4" borderId="19" xfId="0" applyNumberFormat="1" applyFont="1" applyFill="1" applyBorder="1" applyAlignment="1">
      <x:alignment horizontal="center" vertical="center"/>
    </x:xf>
    <x:xf numFmtId="0" fontId="8" fillId="4" borderId="20" xfId="0" applyNumberFormat="1" applyFont="1" applyFill="1" applyBorder="1" applyAlignment="1">
      <x:alignment horizontal="center" vertical="center"/>
    </x:xf>
    <x:xf numFmtId="0" fontId="8" fillId="4" borderId="21" xfId="0" applyNumberFormat="1" applyFont="1" applyFill="1" applyBorder="1" applyAlignment="1">
      <x:alignment horizontal="center" vertical="center"/>
    </x:xf>
    <x:xf numFmtId="0" fontId="14" fillId="13" borderId="0" xfId="0" applyNumberFormat="1" applyFont="1" applyFill="1" applyBorder="1"/>
    <x:xf numFmtId="0" fontId="14" fillId="13" borderId="14" xfId="0" applyNumberFormat="1" applyFont="1" applyFill="1" applyBorder="1"/>
    <x:xf numFmtId="0" fontId="14" fillId="13" borderId="22" xfId="0" applyNumberFormat="1" applyFont="1" applyFill="1" applyBorder="1"/>
    <x:xf numFmtId="0" fontId="14" fillId="13" borderId="15" xfId="0" applyNumberFormat="1" applyFont="1" applyFill="1" applyBorder="1"/>
    <x:xf numFmtId="0" fontId="14" fillId="13" borderId="11" xfId="0" applyNumberFormat="1" applyFont="1" applyFill="1" applyBorder="1"/>
    <x:xf numFmtId="0" fontId="14" fillId="13" borderId="12" xfId="0" applyNumberFormat="1" applyFont="1" applyFill="1" applyBorder="1"/>
    <x:xf numFmtId="0" fontId="14" fillId="13" borderId="13" xfId="0" applyNumberFormat="1" applyFont="1" applyFill="1" applyBorder="1"/>
    <x:xf numFmtId="202" fontId="14" fillId="13" borderId="14" xfId="0" applyNumberFormat="1" applyFont="1" applyFill="1" applyBorder="1"/>
    <x:xf numFmtId="202" fontId="14" fillId="13" borderId="22" xfId="0" applyNumberFormat="1" applyFont="1" applyFill="1" applyBorder="1"/>
    <x:xf numFmtId="202" fontId="14" fillId="13" borderId="15" xfId="0" applyNumberFormat="1" applyFont="1" applyFill="1" applyBorder="1"/>
    <x:xf numFmtId="202" fontId="14" fillId="13" borderId="11" xfId="0" applyNumberFormat="1" applyFont="1" applyFill="1" applyBorder="1"/>
    <x:xf numFmtId="202" fontId="14" fillId="13" borderId="12" xfId="0" applyNumberFormat="1" applyFont="1" applyFill="1" applyBorder="1"/>
    <x:xf numFmtId="202" fontId="14" fillId="13" borderId="13" xfId="0" applyNumberFormat="1" applyFont="1" applyFill="1" applyBorder="1"/>
    <x:xf numFmtId="202" fontId="14" fillId="13" borderId="14" xfId="0" applyNumberFormat="1" applyFont="1" applyFill="1" applyBorder="1" applyAlignment="1">
      <x:alignment horizontal="center"/>
    </x:xf>
    <x:xf numFmtId="202" fontId="14" fillId="13" borderId="22" xfId="0" applyNumberFormat="1" applyFont="1" applyFill="1" applyBorder="1" applyAlignment="1">
      <x:alignment horizontal="center"/>
    </x:xf>
    <x:xf numFmtId="202" fontId="14" fillId="13" borderId="15" xfId="0" applyNumberFormat="1" applyFont="1" applyFill="1" applyBorder="1" applyAlignment="1">
      <x:alignment horizontal="center"/>
    </x:xf>
    <x:xf numFmtId="202" fontId="14" fillId="13" borderId="11" xfId="0" applyNumberFormat="1" applyFont="1" applyFill="1" applyBorder="1" applyAlignment="1">
      <x:alignment horizontal="center"/>
    </x:xf>
    <x:xf numFmtId="202" fontId="14" fillId="13" borderId="12" xfId="0" applyNumberFormat="1" applyFont="1" applyFill="1" applyBorder="1" applyAlignment="1">
      <x:alignment horizontal="center"/>
    </x:xf>
    <x:xf numFmtId="202" fontId="14" fillId="13" borderId="13" xfId="0" applyNumberFormat="1" applyFont="1" applyFill="1" applyBorder="1" applyAlignment="1">
      <x:alignment horizontal="center"/>
    </x:xf>
    <x:xf numFmtId="202" fontId="14" fillId="13" borderId="14" xfId="0" applyNumberFormat="1" applyFont="1" applyFill="1" applyBorder="1" applyAlignment="1">
      <x:alignment horizontal="center" vertical="center"/>
    </x:xf>
    <x:xf numFmtId="202" fontId="14" fillId="13" borderId="22" xfId="0" applyNumberFormat="1" applyFont="1" applyFill="1" applyBorder="1" applyAlignment="1">
      <x:alignment horizontal="center" vertical="center"/>
    </x:xf>
    <x:xf numFmtId="202" fontId="14" fillId="13" borderId="15" xfId="0" applyNumberFormat="1" applyFont="1" applyFill="1" applyBorder="1" applyAlignment="1">
      <x:alignment horizontal="center" vertical="center"/>
    </x:xf>
    <x:xf numFmtId="202" fontId="14" fillId="13" borderId="11" xfId="0" applyNumberFormat="1" applyFont="1" applyFill="1" applyBorder="1" applyAlignment="1">
      <x:alignment horizontal="center" vertical="center"/>
    </x:xf>
    <x:xf numFmtId="202" fontId="14" fillId="13" borderId="12" xfId="0" applyNumberFormat="1" applyFont="1" applyFill="1" applyBorder="1" applyAlignment="1">
      <x:alignment horizontal="center" vertical="center"/>
    </x:xf>
    <x:xf numFmtId="202" fontId="14" fillId="13" borderId="13" xfId="0" applyNumberFormat="1" applyFont="1" applyFill="1" applyBorder="1" applyAlignment="1">
      <x:alignment horizontal="center" vertical="center"/>
    </x:xf>
    <x:xf numFmtId="0" fontId="5" fillId="13" borderId="3" xfId="0" applyNumberFormat="1" applyFont="1" applyFill="1" applyBorder="1" applyAlignment="1">
      <x:alignment horizontal="left" vertical="center" wrapText="1"/>
    </x:xf>
    <x:xf numFmtId="0" fontId="5" fillId="13" borderId="5" xfId="0" applyNumberFormat="1" applyFont="1" applyFill="1" applyBorder="1" applyAlignment="1">
      <x:alignment horizontal="left" vertical="center" wrapText="1"/>
    </x:xf>
    <x:xf numFmtId="0" fontId="3" fillId="13" borderId="3" xfId="0" applyNumberFormat="1" applyFont="1" applyFill="1" applyBorder="1" applyAlignment="1">
      <x:alignment horizontal="left" vertical="center" wrapText="1"/>
    </x:xf>
    <x:xf numFmtId="0" fontId="3" fillId="13" borderId="5" xfId="0" applyNumberFormat="1" applyFont="1" applyFill="1" applyBorder="1" applyAlignment="1">
      <x:alignment horizontal="left" vertical="center" wrapText="1"/>
    </x:xf>
    <x:xf numFmtId="0" fontId="15" fillId="13" borderId="0" xfId="0" applyNumberFormat="1" applyFont="1" applyFill="1" applyBorder="1"/>
    <x:xf numFmtId="0" fontId="3" fillId="13" borderId="23" xfId="0" applyNumberFormat="1" applyFont="1" applyFill="1" applyBorder="1" applyAlignment="1">
      <x:alignment horizontal="left" vertical="center" wrapText="1"/>
    </x:xf>
    <x:xf numFmtId="0" fontId="15" fillId="13" borderId="23" xfId="0" applyNumberFormat="1" applyFont="1" applyFill="1" applyBorder="1"/>
    <x:xf numFmtId="0" fontId="3" fillId="2" borderId="23" xfId="0" applyNumberFormat="1" applyFont="1" applyFill="1" applyBorder="1" applyAlignment="1">
      <x:alignment horizontal="left" vertical="center" wrapText="1"/>
    </x:xf>
    <x:xf numFmtId="0" fontId="5" fillId="2" borderId="23" xfId="0" applyNumberFormat="1" applyFont="1" applyFill="1" applyBorder="1" applyAlignment="1">
      <x:alignment horizontal="left" vertical="center" wrapText="1"/>
    </x:xf>
    <x:xf numFmtId="0" fontId="5" fillId="2" borderId="24" xfId="0" applyNumberFormat="1" applyFont="1" applyFill="1" applyBorder="1" applyAlignment="1">
      <x:alignment horizontal="left" vertical="center" wrapText="1"/>
    </x:xf>
    <x:xf numFmtId="0" fontId="5" fillId="2" borderId="25" xfId="0" applyNumberFormat="1" applyFont="1" applyFill="1" applyBorder="1" applyAlignment="1">
      <x:alignment horizontal="left" vertical="center" wrapText="1"/>
    </x:xf>
    <x:xf numFmtId="202" fontId="15" fillId="13" borderId="23" xfId="0" applyNumberFormat="1" applyFont="1" applyFill="1" applyBorder="1"/>
    <x:xf numFmtId="0" fontId="16" fillId="2" borderId="0" xfId="0" applyNumberFormat="1" applyFont="1" applyFill="1" applyBorder="1"/>
    <x:xf numFmtId="0" fontId="16" fillId="2" borderId="0" xfId="0" applyNumberFormat="1" applyFont="1" applyFill="1" applyBorder="1" applyAlignment="1">
      <x:alignment horizontal="left"/>
    </x:xf>
    <x:xf numFmtId="0" fontId="16" fillId="2" borderId="0" xfId="0" applyNumberFormat="1" applyFont="1" applyFill="1" applyBorder="1" applyAlignment="1">
      <x:alignment horizontal="left" vertical="center"/>
    </x:xf>
    <x:xf numFmtId="0" fontId="3" fillId="13" borderId="0" xfId="0" applyNumberFormat="1" applyFont="1" applyFill="1" applyBorder="1"/>
    <x:xf numFmtId="0" fontId="3" fillId="13" borderId="14" xfId="0" applyNumberFormat="1" applyFont="1" applyFill="1" applyBorder="1"/>
    <x:xf numFmtId="0" fontId="3" fillId="13" borderId="22" xfId="0" applyNumberFormat="1" applyFont="1" applyFill="1" applyBorder="1"/>
    <x:xf numFmtId="0" fontId="3" fillId="13" borderId="15" xfId="0" applyNumberFormat="1" applyFont="1" applyFill="1" applyBorder="1"/>
    <x:xf numFmtId="0" fontId="3" fillId="13" borderId="11" xfId="0" applyNumberFormat="1" applyFont="1" applyFill="1" applyBorder="1"/>
    <x:xf numFmtId="0" fontId="3" fillId="13" borderId="12" xfId="0" applyNumberFormat="1" applyFont="1" applyFill="1" applyBorder="1"/>
    <x:xf numFmtId="0" fontId="3" fillId="13" borderId="13" xfId="0" applyNumberFormat="1" applyFont="1" applyFill="1" applyBorder="1"/>
    <x:xf numFmtId="0" fontId="3" fillId="13" borderId="14" xfId="0" applyNumberFormat="1" applyFont="1" applyFill="1" applyBorder="1" applyAlignment="1">
      <x:alignment wrapText="1"/>
    </x:xf>
    <x:xf numFmtId="0" fontId="3" fillId="13" borderId="22" xfId="0" applyNumberFormat="1" applyFont="1" applyFill="1" applyBorder="1" applyAlignment="1">
      <x:alignment wrapText="1"/>
    </x:xf>
    <x:xf numFmtId="0" fontId="3" fillId="13" borderId="15" xfId="0" applyNumberFormat="1" applyFont="1" applyFill="1" applyBorder="1" applyAlignment="1">
      <x:alignment wrapText="1"/>
    </x:xf>
    <x:xf numFmtId="0" fontId="3" fillId="13" borderId="11" xfId="0" applyNumberFormat="1" applyFont="1" applyFill="1" applyBorder="1" applyAlignment="1">
      <x:alignment wrapText="1"/>
    </x:xf>
    <x:xf numFmtId="0" fontId="3" fillId="13" borderId="12" xfId="0" applyNumberFormat="1" applyFont="1" applyFill="1" applyBorder="1" applyAlignment="1">
      <x:alignment wrapText="1"/>
    </x:xf>
    <x:xf numFmtId="0" fontId="3" fillId="13" borderId="13" xfId="0" applyNumberFormat="1" applyFont="1" applyFill="1" applyBorder="1" applyAlignment="1">
      <x:alignment wrapText="1"/>
    </x:xf>
    <x:xf numFmtId="0" fontId="3" fillId="13" borderId="14" xfId="0" applyNumberFormat="1" applyFont="1" applyFill="1" applyBorder="1" applyAlignment="1">
      <x:alignment horizontal="left" wrapText="1"/>
    </x:xf>
    <x:xf numFmtId="0" fontId="3" fillId="13" borderId="22" xfId="0" applyNumberFormat="1" applyFont="1" applyFill="1" applyBorder="1" applyAlignment="1">
      <x:alignment horizontal="left" wrapText="1"/>
    </x:xf>
    <x:xf numFmtId="0" fontId="3" fillId="13" borderId="15" xfId="0" applyNumberFormat="1" applyFont="1" applyFill="1" applyBorder="1" applyAlignment="1">
      <x:alignment horizontal="left" wrapText="1"/>
    </x:xf>
    <x:xf numFmtId="0" fontId="3" fillId="13" borderId="11" xfId="0" applyNumberFormat="1" applyFont="1" applyFill="1" applyBorder="1" applyAlignment="1">
      <x:alignment horizontal="left" wrapText="1"/>
    </x:xf>
    <x:xf numFmtId="0" fontId="3" fillId="13" borderId="12" xfId="0" applyNumberFormat="1" applyFont="1" applyFill="1" applyBorder="1" applyAlignment="1">
      <x:alignment horizontal="left" wrapText="1"/>
    </x:xf>
    <x:xf numFmtId="0" fontId="3" fillId="13" borderId="13" xfId="0" applyNumberFormat="1" applyFont="1" applyFill="1" applyBorder="1" applyAlignment="1">
      <x:alignment horizontal="left" wrapText="1"/>
    </x:xf>
    <x:xf numFmtId="0" fontId="3" fillId="13" borderId="14" xfId="0" applyNumberFormat="1" applyFont="1" applyFill="1" applyBorder="1" applyAlignment="1">
      <x:alignment horizontal="left" vertical="center" wrapText="1"/>
    </x:xf>
    <x:xf numFmtId="0" fontId="3" fillId="13" borderId="22" xfId="0" applyNumberFormat="1" applyFont="1" applyFill="1" applyBorder="1" applyAlignment="1">
      <x:alignment horizontal="left" vertical="center" wrapText="1"/>
    </x:xf>
    <x:xf numFmtId="0" fontId="3" fillId="13" borderId="15" xfId="0" applyNumberFormat="1" applyFont="1" applyFill="1" applyBorder="1" applyAlignment="1">
      <x:alignment horizontal="left" vertical="center" wrapText="1"/>
    </x:xf>
    <x:xf numFmtId="0" fontId="3" fillId="13" borderId="11" xfId="0" applyNumberFormat="1" applyFont="1" applyFill="1" applyBorder="1" applyAlignment="1">
      <x:alignment horizontal="left" vertical="center" wrapText="1"/>
    </x:xf>
    <x:xf numFmtId="0" fontId="3" fillId="13" borderId="12" xfId="0" applyNumberFormat="1" applyFont="1" applyFill="1" applyBorder="1" applyAlignment="1">
      <x:alignment horizontal="left" vertical="center" wrapText="1"/>
    </x:xf>
    <x:xf numFmtId="0" fontId="3" fillId="13" borderId="13" xfId="0" applyNumberFormat="1" applyFont="1" applyFill="1" applyBorder="1" applyAlignment="1">
      <x:alignment horizontal="left" vertical="center" wrapText="1"/>
    </x:xf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left"/>
    </x:xf>
    <x:xf numFmtId="0" fontId="3" fillId="5" borderId="0" xfId="0" applyNumberFormat="1" applyFont="1" applyFill="1" applyBorder="1" applyAlignment="1">
      <x:alignment horizontal="left" vertical="center"/>
    </x:xf>
    <x:xf numFmtId="0" fontId="17" fillId="0" borderId="0" xfId="0" applyNumberFormat="1" applyFont="1" applyFill="1" applyBorder="1"/>
    <x:xf numFmtId="0" fontId="18" fillId="13" borderId="0" xfId="0" applyNumberFormat="1" applyFont="1" applyFill="1" applyBorder="1"/>
    <x:xf numFmtId="0" fontId="18" fillId="13" borderId="23" xfId="0" applyNumberFormat="1" applyFont="1" applyFill="1" applyBorder="1"/>
    <x:xf numFmtId="0" fontId="18" fillId="13" borderId="23" xfId="0" applyNumberFormat="1" applyFont="1" applyFill="1" applyBorder="1" applyAlignment="1">
      <x:alignment wrapText="1"/>
    </x:xf>
    <x:xf numFmtId="0" fontId="18" fillId="13" borderId="23" xfId="0" applyNumberFormat="1" applyFont="1" applyFill="1" applyBorder="1" applyAlignment="1">
      <x:alignment vertical="top" wrapText="1"/>
    </x:xf>
    <x:xf numFmtId="200" fontId="18" fillId="13" borderId="23" xfId="0" applyNumberFormat="1" applyFont="1" applyFill="1" applyBorder="1" applyAlignment="1">
      <x:alignment vertical="top" wrapText="1"/>
    </x:xf>
    <x:xf numFmtId="202" fontId="18" fillId="13" borderId="23" xfId="0" applyNumberFormat="1" applyFont="1" applyFill="1" applyBorder="1" applyAlignment="1">
      <x:alignment vertical="top" wrapText="1"/>
    </x:xf>
  </x:cellXfs>
  <x:cellStyles count="1">
    <x:cellStyle name="Normal" xfId="0"/>
  </x:cellStyles>
  <x:dxfs count="19">
    <x:dxf>
      <x:font>
        <x:b/>
        <x:color rgb="FFB42318"/>
      </x:font>
      <x:fill>
        <x:patternFill patternType="solid">
          <x:bgColor rgb="FFFDE8E7"/>
        </x:patternFill>
      </x:fill>
    </x:dxf>
    <x:dxf>
      <x:font>
        <x:b/>
        <x:color rgb="FFB42318"/>
      </x:font>
      <x:fill>
        <x:patternFill patternType="solid">
          <x:bgColor rgb="FFFDE8E7"/>
        </x:patternFill>
      </x:fill>
    </x:dxf>
    <x:dxf>
      <x:font>
        <x:b/>
        <x:color rgb="FFB42318"/>
      </x:font>
      <x:fill>
        <x:patternFill patternType="solid">
          <x:bgColor rgb="FFFDE8E7"/>
        </x:patternFill>
      </x:fill>
    </x:dxf>
    <x:dxf>
      <x:font>
        <x:b/>
        <x:color rgb="FF8A5A00"/>
      </x:font>
      <x:fill>
        <x:patternFill patternType="solid">
          <x:bgColor rgb="FFFFF4D6"/>
        </x:patternFill>
      </x:fill>
    </x:dxf>
    <x:dxf>
      <x:font>
        <x:b/>
        <x:color rgb="FF206A3B"/>
      </x:font>
      <x:fill>
        <x:patternFill patternType="solid">
          <x:bgColor rgb="FFE6F4EA"/>
        </x:patternFill>
      </x:fill>
    </x:dxf>
    <x:dxf>
      <x:font>
        <x:b/>
        <x:color rgb="FF206A3B"/>
      </x:font>
      <x:fill>
        <x:patternFill patternType="solid">
          <x:bgColor rgb="FFE6F4EA"/>
        </x:patternFill>
      </x:fill>
    </x:dxf>
    <x:dxf>
      <x:font>
        <x:b/>
        <x:color rgb="FF8A5A00"/>
      </x:font>
      <x:fill>
        <x:patternFill patternType="solid">
          <x:bgColor rgb="FFFFF4D6"/>
        </x:patternFill>
      </x:fill>
    </x:dxf>
    <x:dxf>
      <x:font>
        <x:b/>
        <x:color rgb="FFB42318"/>
      </x:font>
      <x:fill>
        <x:patternFill patternType="solid">
          <x:bgColor rgb="FFFDE8E7"/>
        </x:patternFill>
      </x:fill>
    </x:dxf>
    <x:dxf>
      <x:font>
        <x:b/>
        <x:color rgb="FF206A3B"/>
      </x:font>
      <x:fill>
        <x:patternFill patternType="solid">
          <x:bgColor rgb="FFE6F4EA"/>
        </x:patternFill>
      </x:fill>
    </x:dxf>
    <x:dxf>
      <x:font>
        <x:b/>
        <x:color rgb="FF2563EB"/>
      </x:font>
      <x:fill>
        <x:patternFill patternType="solid">
          <x:bgColor rgb="FFE8F1FB"/>
        </x:patternFill>
      </x:fill>
    </x:dxf>
    <x:dxf>
      <x:font>
        <x:b/>
        <x:color rgb="FFB42318"/>
      </x:font>
      <x:fill>
        <x:patternFill patternType="solid">
          <x:bgColor rgb="FFFDE8E7"/>
        </x:patternFill>
      </x:fill>
    </x:dxf>
    <x:dxf>
      <x:font>
        <x:b/>
        <x:color rgb="FF8A5A00"/>
      </x:font>
      <x:fill>
        <x:patternFill patternType="solid">
          <x:bgColor rgb="FFFFF4D6"/>
        </x:patternFill>
      </x:fill>
    </x:dxf>
    <x:dxf>
      <x:font>
        <x:b/>
        <x:color rgb="FFB42318"/>
      </x:font>
      <x:fill>
        <x:patternFill patternType="solid">
          <x:bgColor rgb="FFFDE8E7"/>
        </x:patternFill>
      </x:fill>
    </x:dxf>
    <x:dxf>
      <x:font>
        <x:color rgb="FF206A3B"/>
      </x:font>
      <x:fill>
        <x:patternFill patternType="solid">
          <x:bgColor rgb="FFE6F4EA"/>
        </x:patternFill>
      </x:fill>
    </x:dxf>
    <x:dxf>
      <x:font>
        <x:b/>
        <x:color rgb="FFB42318"/>
      </x:font>
      <x:fill>
        <x:patternFill patternType="solid">
          <x:bgColor rgb="FFFDE8E7"/>
        </x:patternFill>
      </x:fill>
    </x:dxf>
    <x:dxf>
      <x:font>
        <x:b/>
        <x:color rgb="FF8A5A00"/>
      </x:font>
      <x:fill>
        <x:patternFill patternType="solid">
          <x:bgColor rgb="FFFFF4D6"/>
        </x:patternFill>
      </x:fill>
    </x:dxf>
    <x:dxf>
      <x:font>
        <x:b/>
        <x:color rgb="FFB42318"/>
      </x:font>
      <x:fill>
        <x:patternFill patternType="solid">
          <x:bgColor rgb="FFFDE8E7"/>
        </x:patternFill>
      </x:fill>
    </x:dxf>
    <x:dxf>
      <x:font>
        <x:b/>
        <x:color rgb="FFB42318"/>
      </x:font>
      <x:fill>
        <x:patternFill patternType="solid">
          <x:bgColor rgb="FFFDE8E7"/>
        </x:patternFill>
      </x:fill>
    </x:dxf>
    <x:dxf>
      <x:font>
        <x:b/>
        <x:color rgb="FF8A5A00"/>
      </x:font>
      <x:fill>
        <x:patternFill patternType="solid">
          <x:bgColor rgb="FFFFF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39a5c739c048a1" /><Relationship Type="http://schemas.openxmlformats.org/officeDocument/2006/relationships/theme" Target="/xl/theme/theme1.xml" Id="R0be721b1a4b14ce7" /><Relationship Type="http://schemas.openxmlformats.org/officeDocument/2006/relationships/sharedStrings" Target="/xl/sharedStrings.xml" Id="Rcaea8a6886104a6a" /><Relationship Type="http://schemas.openxmlformats.org/officeDocument/2006/relationships/worksheet" Target="/xl/worksheets/sheet1.xml" Id="Ra95a664375144aa9" /><Relationship Type="http://schemas.openxmlformats.org/officeDocument/2006/relationships/worksheet" Target="/xl/worksheets/sheet2.xml" Id="R5997f490a50a4544" /><Relationship Type="http://schemas.openxmlformats.org/officeDocument/2006/relationships/worksheet" Target="/xl/worksheets/sheet3.xml" Id="R1494a24077354fb3" /><Relationship Type="http://schemas.openxmlformats.org/officeDocument/2006/relationships/worksheet" Target="/xl/worksheets/sheet4.xml" Id="Rb2cc6aced2da4b6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c113cff7650468a" /><Relationship Type="http://schemas.openxmlformats.org/officeDocument/2006/relationships/chart" Target="/xl/drawings/charts/chart2.xml" Id="R339de8b6456d4d5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Sources by Document Type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'Dashboard'!$A$12:$A$22</c:f>
              <c:strCache>
                <c:ptCount val="0"/>
              </c:strCache>
            </c:strRef>
          </c:cat>
          <c:val>
            <c:numRef>
              <c:f>'Dashboard'!$B$12:$B$22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Selection Status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doughnutChart>
        <c:ser>
          <c:idx val="0"/>
          <c:order val="0"/>
          <c:tx>
            <c:v>COUNT</c:v>
          </c:tx>
          <c:cat>
            <c:strRef>
              <c:f>'Dashboard'!$A$36:$A$38</c:f>
              <c:strCache>
                <c:ptCount val="0"/>
              </c:strCache>
            </c:strRef>
          </c:cat>
          <c:val>
            <c:numRef>
              <c:f>'Dashboard'!$B$36:$B$38</c:f>
              <c:numCache>
                <c:formatCode>General</c:formatCode>
                <c:ptCount val="0"/>
              </c:numCache>
            </c:numRef>
          </c:val>
        </c:ser>
      </c:doughnut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10</xdr:row>
      <xdr:rowOff>0</xdr:rowOff>
    </xdr:from>
    <xdr:to>
      <xdr:col>11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c113cff7650468a"/>
        </a:graphicData>
      </a:graphic>
    </xdr:graphicFrame>
    <xdr:clientData/>
  </xdr:twoCellAnchor>
  <xdr:twoCellAnchor>
    <xdr:from>
      <xdr:col>3</xdr:col>
      <xdr:colOff>0</xdr:colOff>
      <xdr:row>26</xdr:row>
      <xdr:rowOff>0</xdr:rowOff>
    </xdr:from>
    <xdr:to>
      <xdr:col>11</xdr:col>
      <xdr:colOff>0</xdr:colOff>
      <xdr:row>40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39de8b6456d4d51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ourceRegisterTable" displayName="SourceRegisterTable" ref="A2:AR89" headerRowCount="1" totalsRowCount="0" totalsRowShown="0">
  <x:tableColumns count="44">
    <x:tableColumn id="1" name="source_id"/>
    <x:tableColumn id="2" name="snapshot_id"/>
    <x:tableColumn id="3" name="source_title"/>
    <x:tableColumn id="4" name="official_url"/>
    <x:tableColumn id="5" name="retrieval_url"/>
    <x:tableColumn id="6" name="folder_code"/>
    <x:tableColumn id="7" name="file_format"/>
    <x:tableColumn id="8" name="stored_filename"/>
    <x:tableColumn id="9" name="snapshot_status"/>
    <x:tableColumn id="10" name="issuer"/>
    <x:tableColumn id="11" name="jurisdiction"/>
    <x:tableColumn id="12" name="authoritative_language"/>
    <x:tableColumn id="13" name="version"/>
    <x:tableColumn id="14" name="effective_date"/>
    <x:tableColumn id="15" name="source_family"/>
    <x:tableColumn id="16" name="document_type"/>
    <x:tableColumn id="17" name="requirement_role"/>
    <x:tableColumn id="18" name="inclusion_rationale"/>
    <x:tableColumn id="19" name="authority_quality"/>
    <x:tableColumn id="20" name="scope_relevance"/>
    <x:tableColumn id="21" name="version_currency"/>
    <x:tableColumn id="22" name="traceability"/>
    <x:tableColumn id="23" name="access_permission"/>
    <x:tableColumn id="24" name="automation_readiness"/>
    <x:tableColumn id="25" name="selection_status"/>
    <x:tableColumn id="26" name="download_status"/>
    <x:tableColumn id="27" name="last_attempt_at"/>
    <x:tableColumn id="28" name="last_success_at"/>
    <x:tableColumn id="29" name="content_change"/>
    <x:tableColumn id="30" name="current_origin"/>
    <x:tableColumn id="31" name="current_snapshot_date"/>
    <x:tableColumn id="32" name="manual_update_date"/>
    <x:tableColumn id="33" name="manual_updated_by"/>
    <x:tableColumn id="34" name="failure_stage"/>
    <x:tableColumn id="35" name="failure_reason"/>
    <x:tableColumn id="36" name="needs_human_action"/>
    <x:tableColumn id="37" name="content_hash"/>
    <x:tableColumn id="38" name="source_status"/>
    <x:tableColumn id="39" name="primary_source_id"/>
    <x:tableColumn id="40" name="notes"/>
    <x:tableColumn id="41" name="acquisition_channel"/>
    <x:tableColumn id="42" name="provenance_status"/>
    <x:tableColumn id="43" name="update_model"/>
    <x:tableColumn id="44" name="applicability_refere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1bf7dd14c5b0405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553e6ced6a234be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1" hidden="0" customWidth="1"/>
    <x:col min="3" max="3" width="52" hidden="0" customWidth="1"/>
    <x:col min="4" max="4" width="22" hidden="0" customWidth="1"/>
    <x:col min="5" max="5" width="50" hidden="0" customWidth="1"/>
    <x:col min="6" max="6" width="54" hidden="0" customWidth="1"/>
  </x:cols>
  <x:sheetData>
    <x:row r="1" ht="34" customHeight="1">
      <x:c r="A1" s="4" t="str">
        <x:v>Requirement Source Registry | Instructions</x:v>
      </x:c>
      <x:c r="B1" s="4" t="str">
        <x:v>Requirement Source Registry | Instructions</x:v>
      </x:c>
      <x:c r="C1" s="4" t="str">
        <x:v>Requirement Source Registry | Instructions</x:v>
      </x:c>
      <x:c r="D1" s="4" t="str">
        <x:v>Requirement Source Registry | Instructions</x:v>
      </x:c>
      <x:c r="E1" s="4" t="str">
        <x:v>Requirement Source Registry | Instructions</x:v>
      </x:c>
      <x:c r="F1" s="4" t="str">
        <x:v>Requirement Source Registry | Instructions</x:v>
      </x:c>
    </x:row>
    <x:row r="2" ht="38" customHeight="1">
      <x:c r="A2" s="8" t="str">
        <x:v>This workbook is the human-readable source register. Source family, document type and requirement role are independent classification dimensions. The team maintains identity, provenance, applicability and selection assessments; the updater maintains retrieval state, hashes and fallback signals. INCLUDE is a source-quality screen, not final client applicability approval.</x:v>
      </x:c>
      <x:c r="B2" s="8" t="str">
        <x:v>This workbook is the human-readable source register. Source family, document type and requirement role are independent classification dimensions. The team maintains identity, provenance, applicability and selection assessments; the updater maintains retrieval state, hashes and fallback signals. INCLUDE is a source-quality screen, not final client applicability approval.</x:v>
      </x:c>
      <x:c r="C2" s="8" t="str">
        <x:v>This workbook is the human-readable source register. Source family, document type and requirement role are independent classification dimensions. The team maintains identity, provenance, applicability and selection assessments; the updater maintains retrieval state, hashes and fallback signals. INCLUDE is a source-quality screen, not final client applicability approval.</x:v>
      </x:c>
      <x:c r="D2" s="8" t="str">
        <x:v>This workbook is the human-readable source register. Source family, document type and requirement role are independent classification dimensions. The team maintains identity, provenance, applicability and selection assessments; the updater maintains retrieval state, hashes and fallback signals. INCLUDE is a source-quality screen, not final client applicability approval.</x:v>
      </x:c>
      <x:c r="E2" s="8" t="str">
        <x:v>This workbook is the human-readable source register. Source family, document type and requirement role are independent classification dimensions. The team maintains identity, provenance, applicability and selection assessments; the updater maintains retrieval state, hashes and fallback signals. INCLUDE is a source-quality screen, not final client applicability approval.</x:v>
      </x:c>
      <x:c r="F2" s="8" t="str">
        <x:v>This workbook is the human-readable source register. Source family, document type and requirement role are independent classification dimensions. The team maintains identity, provenance, applicability and selection assessments; the updater maintains retrieval state, hashes and fallback signals. INCLUDE is a source-quality screen, not final client applicability approval.</x:v>
      </x:c>
    </x:row>
    <x:row r="3">
      <x:c r="E3" s="14" t="str">
        <x:v>Today helper</x:v>
      </x:c>
      <x:c r="F3" s="15" t="n">
        <x:f>TODAY()</x:f>
        <x:v>46262</x:v>
      </x:c>
    </x:row>
    <x:row r="5" ht="25" customHeight="1">
      <x:c r="A5" s="18" t="str">
        <x:v>1. Workbook structure</x:v>
      </x:c>
      <x:c r="B5" s="18" t="str">
        <x:v>1. Workbook structure</x:v>
      </x:c>
      <x:c r="C5" s="18" t="str">
        <x:v>1. Workbook structure</x:v>
      </x:c>
      <x:c r="D5" s="18" t="str">
        <x:v>1. Workbook structure</x:v>
      </x:c>
      <x:c r="E5" s="18" t="str">
        <x:v>1. Workbook structure</x:v>
      </x:c>
      <x:c r="F5" s="18" t="str">
        <x:v>1. Workbook structure</x:v>
      </x:c>
    </x:row>
    <x:row r="6" ht="32" customHeight="1">
      <x:c r="A6" s="32" t="str">
        <x:v>Sheet</x:v>
      </x:c>
      <x:c r="B6" s="33" t="str">
        <x:v>Purpose</x:v>
      </x:c>
      <x:c r="C6" s="34" t="str">
        <x:v>How to use it</x:v>
      </x:c>
    </x:row>
    <x:row r="7">
      <x:c r="A7" s="50" t="str">
        <x:v>Instructions</x:v>
      </x:c>
      <x:c r="B7" s="51" t="str">
        <x:v>Sheet guide, field dictionary, selection criteria, update logic and manual fallback rules</x:v>
      </x:c>
      <x:c r="C7" s="52" t="str">
        <x:v>Read first; this is also the operating contract for the updater</x:v>
      </x:c>
    </x:row>
    <x:row r="8">
      <x:c r="A8" s="50" t="str">
        <x:v>Categories</x:v>
      </x:c>
      <x:c r="B8" s="51" t="str">
        <x:v>Controlled codes, dropdown values, definitions and folder mappings</x:v>
      </x:c>
      <x:c r="C8" s="52" t="str">
        <x:v>Do not create alternative spellings directly in Source Register</x:v>
      </x:c>
    </x:row>
    <x:row r="9">
      <x:c r="A9" s="50" t="str">
        <x:v>Source Register</x:v>
      </x:c>
      <x:c r="B9" s="51" t="str">
        <x:v>One source per row, with identity, classification, assessment and current update state</x:v>
      </x:c>
      <x:c r="C9" s="52" t="str">
        <x:v>The updater reads field names from row 2 and data from row 3 onward</x:v>
      </x:c>
    </x:row>
    <x:row r="10">
      <x:c r="A10" s="53" t="str">
        <x:v>Dashboard</x:v>
      </x:c>
      <x:c r="B10" s="54" t="str">
        <x:v>Live KPI cards and charts driven by Source Register</x:v>
      </x:c>
      <x:c r="C10" s="55" t="str">
        <x:v>Presentation view only; do not type source records here</x:v>
      </x:c>
    </x:row>
    <x:row r="12" ht="25" customHeight="1">
      <x:c r="A12" s="18" t="str">
        <x:v>2. Source Register field dictionary</x:v>
      </x:c>
      <x:c r="B12" s="18" t="str">
        <x:v>2. Source Register field dictionary</x:v>
      </x:c>
      <x:c r="C12" s="18" t="str">
        <x:v>2. Source Register field dictionary</x:v>
      </x:c>
      <x:c r="D12" s="18" t="str">
        <x:v>2. Source Register field dictionary</x:v>
      </x:c>
      <x:c r="E12" s="18" t="str">
        <x:v>2. Source Register field dictionary</x:v>
      </x:c>
      <x:c r="F12" s="18" t="str">
        <x:v>2. Source Register field dictionary</x:v>
      </x:c>
    </x:row>
    <x:row r="13" ht="32" customHeight="1">
      <x:c r="A13" s="32" t="str">
        <x:v>Group</x:v>
      </x:c>
      <x:c r="B13" s="33" t="str">
        <x:v>Field name</x:v>
      </x:c>
      <x:c r="C13" s="33" t="str">
        <x:v>Owner</x:v>
      </x:c>
      <x:c r="D13" s="33" t="str">
        <x:v>Requirement</x:v>
      </x:c>
      <x:c r="E13" s="33" t="str">
        <x:v>Meaning</x:v>
      </x:c>
      <x:c r="F13" s="34" t="str">
        <x:v>Key rule</x:v>
      </x:c>
    </x:row>
    <x:row r="14" ht="26.399999618530273" hidden="0" customHeight="1">
      <x:c r="A14" s="50" t="str">
        <x:v>Identity &amp; File</x:v>
      </x:c>
      <x:c r="B14" s="51" t="str">
        <x:v>source_id</x:v>
      </x:c>
      <x:c r="C14" s="51" t="str">
        <x:v>Team</x:v>
      </x:c>
      <x:c r="D14" s="51" t="str">
        <x:v>Required</x:v>
      </x:c>
      <x:c r="E14" s="51" t="str">
        <x:v>Stable source primary key: two-letter source-family code plus three digits</x:v>
      </x:c>
      <x:c r="F14" s="52" t="str">
        <x:v>Example CS001; controlled batch renaming is allowed during the candidate stage</x:v>
      </x:c>
    </x:row>
    <x:row r="15" ht="15" hidden="0" customHeight="1">
      <x:c r="A15" s="50" t="str">
        <x:v>Identity &amp; File</x:v>
      </x:c>
      <x:c r="B15" s="51" t="str">
        <x:v>snapshot_id</x:v>
      </x:c>
      <x:c r="C15" s="51" t="str">
        <x:v>Team / Program</x:v>
      </x:c>
      <x:c r="D15" s="51" t="str">
        <x:v>Required</x:v>
      </x:c>
      <x:c r="E15" s="51" t="str">
        <x:v>Identifier of the current valid file snapshot</x:v>
      </x:c>
      <x:c r="F15" s="52" t="str">
        <x:v>Example CS001-001; increment only when content actually changes</x:v>
      </x:c>
    </x:row>
    <x:row r="16" ht="15" hidden="0" customHeight="1">
      <x:c r="A16" s="50" t="str">
        <x:v>Identity &amp; File</x:v>
      </x:c>
      <x:c r="B16" s="51" t="str">
        <x:v>source_title</x:v>
      </x:c>
      <x:c r="C16" s="51" t="str">
        <x:v>Team</x:v>
      </x:c>
      <x:c r="D16" s="51" t="str">
        <x:v>Required</x:v>
      </x:c>
      <x:c r="E16" s="51" t="str">
        <x:v>Official source title</x:v>
      </x:c>
      <x:c r="F16" s="52" t="str">
        <x:v>Prefer the title published by the issuing organisation</x:v>
      </x:c>
    </x:row>
    <x:row r="17" ht="26.399999618530273" hidden="0" customHeight="1">
      <x:c r="A17" s="50" t="str">
        <x:v>Identity &amp; File</x:v>
      </x:c>
      <x:c r="B17" s="51" t="str">
        <x:v>official_url</x:v>
      </x:c>
      <x:c r="C17" s="51" t="str">
        <x:v>Team / Program</x:v>
      </x:c>
      <x:c r="D17" s="51" t="str">
        <x:v>Conditional</x:v>
      </x:c>
      <x:c r="E17" s="51" t="str">
        <x:v>Official publication page used to verify issuer and source identity</x:v>
      </x:c>
      <x:c r="F17" s="52" t="str">
        <x:v>Required when a public official page exists; private sources need equivalent identity and provenance evidence</x:v>
      </x:c>
    </x:row>
    <x:row r="18" ht="15" hidden="0" customHeight="1">
      <x:c r="A18" s="50" t="str">
        <x:v>Identity &amp; File</x:v>
      </x:c>
      <x:c r="B18" s="51" t="str">
        <x:v>retrieval_url</x:v>
      </x:c>
      <x:c r="C18" s="51" t="str">
        <x:v>Team / Program</x:v>
      </x:c>
      <x:c r="D18" s="51" t="str">
        <x:v>Required before automation</x:v>
      </x:c>
      <x:c r="E18" s="51" t="str">
        <x:v>URL used by the updater to download PDF or retrieve HTML</x:v>
      </x:c>
      <x:c r="F18" s="52" t="str">
        <x:v>Do not replace a stable entry point with a temporary redirect URL</x:v>
      </x:c>
    </x:row>
    <x:row r="19" ht="26.399999618530273" hidden="0" customHeight="1">
      <x:c r="A19" s="50" t="str">
        <x:v>Identity &amp; File</x:v>
      </x:c>
      <x:c r="B19" s="51" t="str">
        <x:v>folder_code</x:v>
      </x:c>
      <x:c r="C19" s="51" t="str">
        <x:v>Team</x:v>
      </x:c>
      <x:c r="D19" s="51" t="str">
        <x:v>Required</x:v>
      </x:c>
      <x:c r="E19" s="51" t="str">
        <x:v>Source-family folder under Source_Files</x:v>
      </x:c>
      <x:c r="F19" s="52" t="str">
        <x:v>Classify by who is responsible for the content, not by who supplied the copy</x:v>
      </x:c>
    </x:row>
    <x:row r="20" ht="26.399999618530273" hidden="0" customHeight="1">
      <x:c r="A20" s="50" t="str">
        <x:v>Identity &amp; File</x:v>
      </x:c>
      <x:c r="B20" s="51" t="str">
        <x:v>file_format</x:v>
      </x:c>
      <x:c r="C20" s="51" t="str">
        <x:v>Team / Program</x:v>
      </x:c>
      <x:c r="D20" s="51" t="str">
        <x:v>Required</x:v>
      </x:c>
      <x:c r="E20" s="51" t="str">
        <x:v>Original format that is actually stored</x:v>
      </x:c>
      <x:c r="F20" s="52" t="str">
        <x:v>Use the original published format: pdf, html, xlsx or zip; do not convert one format into another canonical source</x:v>
      </x:c>
    </x:row>
    <x:row r="21" ht="15" hidden="0" customHeight="1">
      <x:c r="A21" s="50" t="str">
        <x:v>Identity &amp; File</x:v>
      </x:c>
      <x:c r="B21" s="51" t="str">
        <x:v>stored_filename</x:v>
      </x:c>
      <x:c r="C21" s="51" t="str">
        <x:v>Team / Program</x:v>
      </x:c>
      <x:c r="D21" s="51" t="str">
        <x:v>Required</x:v>
      </x:c>
      <x:c r="E21" s="51" t="str">
        <x:v>Exact filename of the current valid file</x:v>
      </x:c>
      <x:c r="F21" s="52" t="str">
        <x:v>Must begin with snapshot_id followed by an underscore</x:v>
      </x:c>
    </x:row>
    <x:row r="22" ht="15" hidden="0" customHeight="1">
      <x:c r="A22" s="50" t="str">
        <x:v>Identity &amp; File</x:v>
      </x:c>
      <x:c r="B22" s="51" t="str">
        <x:v>snapshot_status</x:v>
      </x:c>
      <x:c r="C22" s="51" t="str">
        <x:v>Team / Program</x:v>
      </x:c>
      <x:c r="D22" s="51" t="str">
        <x:v>Required</x:v>
      </x:c>
      <x:c r="E22" s="51" t="str">
        <x:v>Whether the current file exists in the mapped folder</x:v>
      </x:c>
      <x:c r="F22" s="52" t="str">
        <x:v>NOT_COLLECTED / STORED / MISSING</x:v>
      </x:c>
    </x:row>
    <x:row r="23" ht="26.399999618530273" hidden="0" customHeight="1">
      <x:c r="A23" s="50" t="str">
        <x:v>Source Metadata</x:v>
      </x:c>
      <x:c r="B23" s="51" t="str">
        <x:v>issuer</x:v>
      </x:c>
      <x:c r="C23" s="51" t="str">
        <x:v>Team</x:v>
      </x:c>
      <x:c r="D23" s="51" t="str">
        <x:v>Required before INCLUDE</x:v>
      </x:c>
      <x:c r="E23" s="51" t="str">
        <x:v>Publisher, regulator, standards body, scheme owner or manufacturer</x:v>
      </x:c>
      <x:c r="F23" s="52" t="str">
        <x:v>Used to verify authority</x:v>
      </x:c>
    </x:row>
    <x:row r="24" ht="15" hidden="0" customHeight="1">
      <x:c r="A24" s="50" t="str">
        <x:v>Source Metadata</x:v>
      </x:c>
      <x:c r="B24" s="51" t="str">
        <x:v>jurisdiction</x:v>
      </x:c>
      <x:c r="C24" s="51" t="str">
        <x:v>Team</x:v>
      </x:c>
      <x:c r="D24" s="51" t="str">
        <x:v>Conditional</x:v>
      </x:c>
      <x:c r="E24" s="51" t="str">
        <x:v>Geographic or institutional applicability</x:v>
      </x:c>
      <x:c r="F24" s="52" t="str">
        <x:v>Use the controlled list; explain unusual cases in notes</x:v>
      </x:c>
    </x:row>
    <x:row r="25" ht="15" hidden="0" customHeight="1">
      <x:c r="A25" s="50" t="str">
        <x:v>Source Metadata</x:v>
      </x:c>
      <x:c r="B25" s="51" t="str">
        <x:v>authoritative_language</x:v>
      </x:c>
      <x:c r="C25" s="51" t="str">
        <x:v>Team</x:v>
      </x:c>
      <x:c r="D25" s="51" t="str">
        <x:v>Required before INCLUDE</x:v>
      </x:c>
      <x:c r="E25" s="51" t="str">
        <x:v>Language with authoritative effect</x:v>
      </x:c>
      <x:c r="F25" s="52" t="str">
        <x:v>Do not record only the language of a working translation</x:v>
      </x:c>
    </x:row>
    <x:row r="26" ht="26.399999618530273" hidden="0" customHeight="1">
      <x:c r="A26" s="50" t="str">
        <x:v>Source Metadata</x:v>
      </x:c>
      <x:c r="B26" s="51" t="str">
        <x:v>version</x:v>
      </x:c>
      <x:c r="C26" s="51" t="str">
        <x:v>Team / Program</x:v>
      </x:c>
      <x:c r="D26" s="51" t="str">
        <x:v>Conditional</x:v>
      </x:c>
      <x:c r="E26" s="51" t="str">
        <x:v>Formal version or revision stated by the issuer</x:v>
      </x:c>
      <x:c r="F26" s="52" t="str">
        <x:v>Leave blank when the issuer provides no formal version; use update_model for rolling sources</x:v>
      </x:c>
    </x:row>
    <x:row r="27" ht="15" hidden="0" customHeight="1">
      <x:c r="A27" s="50" t="str">
        <x:v>Source Metadata</x:v>
      </x:c>
      <x:c r="B27" s="51" t="str">
        <x:v>effective_date</x:v>
      </x:c>
      <x:c r="C27" s="51" t="str">
        <x:v>Team</x:v>
      </x:c>
      <x:c r="D27" s="51" t="str">
        <x:v>Conditional</x:v>
      </x:c>
      <x:c r="E27" s="51" t="str">
        <x:v>Date when the law, standard or scheme becomes effective</x:v>
      </x:c>
      <x:c r="F27" s="52" t="str">
        <x:v>Different from retrieval date</x:v>
      </x:c>
    </x:row>
    <x:row r="28" ht="26.399999618530273" hidden="0" customHeight="1">
      <x:c r="A28" s="50" t="str">
        <x:v>Classification</x:v>
      </x:c>
      <x:c r="B28" s="51" t="str">
        <x:v>source_family</x:v>
      </x:c>
      <x:c r="C28" s="51" t="str">
        <x:v>Team</x:v>
      </x:c>
      <x:c r="D28" s="51" t="str">
        <x:v>Required</x:v>
      </x:c>
      <x:c r="E28" s="51" t="str">
        <x:v>Who is responsible for the source content</x:v>
      </x:c>
      <x:c r="F28" s="52" t="str">
        <x:v>Determines source_id prefix and default folder; acquisition channel is separate</x:v>
      </x:c>
    </x:row>
    <x:row r="29" ht="26.399999618530273" hidden="0" customHeight="1">
      <x:c r="A29" s="50" t="str">
        <x:v>Classification</x:v>
      </x:c>
      <x:c r="B29" s="51" t="str">
        <x:v>document_type</x:v>
      </x:c>
      <x:c r="C29" s="51" t="str">
        <x:v>Team</x:v>
      </x:c>
      <x:c r="D29" s="51" t="str">
        <x:v>Required</x:v>
      </x:c>
      <x:c r="E29" s="51" t="str">
        <x:v>What the document is</x:v>
      </x:c>
      <x:c r="F29" s="52" t="str">
        <x:v>For example Regulation, Scheme standard or Equipment manual / OEM instruction</x:v>
      </x:c>
    </x:row>
    <x:row r="30" ht="26.399999618530273" hidden="0" customHeight="1">
      <x:c r="A30" s="50" t="str">
        <x:v>Classification</x:v>
      </x:c>
      <x:c r="B30" s="51" t="str">
        <x:v>requirement_role</x:v>
      </x:c>
      <x:c r="C30" s="51" t="str">
        <x:v>Team</x:v>
      </x:c>
      <x:c r="D30" s="51" t="str">
        <x:v>Required</x:v>
      </x:c>
      <x:c r="E30" s="51" t="str">
        <x:v>How the source creates or supports Requirements</x:v>
      </x:c>
      <x:c r="F30" s="52" t="str">
        <x:v>Guidance, audit tools and evidence do not automatically become normative sources</x:v>
      </x:c>
    </x:row>
    <x:row r="31" ht="15" hidden="0" customHeight="1">
      <x:c r="A31" s="50" t="str">
        <x:v>Selection Assessment</x:v>
      </x:c>
      <x:c r="B31" s="51" t="str">
        <x:v>inclusion_rationale</x:v>
      </x:c>
      <x:c r="C31" s="51" t="str">
        <x:v>Team</x:v>
      </x:c>
      <x:c r="D31" s="51" t="str">
        <x:v>Required</x:v>
      </x:c>
      <x:c r="E31" s="51" t="str">
        <x:v>Why the source belongs in the approved client scope</x:v>
      </x:c>
      <x:c r="F31" s="52" t="str">
        <x:v>Use one concise sentence covering authority, scope and intended use</x:v>
      </x:c>
    </x:row>
    <x:row r="32" ht="15" hidden="0" customHeight="1">
      <x:c r="A32" s="50" t="str">
        <x:v>Selection Assessment</x:v>
      </x:c>
      <x:c r="B32" s="51" t="str">
        <x:v>authority_quality</x:v>
      </x:c>
      <x:c r="C32" s="51" t="str">
        <x:v>Team</x:v>
      </x:c>
      <x:c r="D32" s="51" t="str">
        <x:v>Required</x:v>
      </x:c>
      <x:c r="E32" s="51" t="str">
        <x:v>Authority and authenticity of the source</x:v>
      </x:c>
      <x:c r="F32" s="52" t="str">
        <x:v>LOW / MEDIUM / HIGH; see section 3</x:v>
      </x:c>
    </x:row>
    <x:row r="33" ht="15" hidden="0" customHeight="1">
      <x:c r="A33" s="50" t="str">
        <x:v>Selection Assessment</x:v>
      </x:c>
      <x:c r="B33" s="51" t="str">
        <x:v>scope_relevance</x:v>
      </x:c>
      <x:c r="C33" s="51" t="str">
        <x:v>Team</x:v>
      </x:c>
      <x:c r="D33" s="51" t="str">
        <x:v>Required</x:v>
      </x:c>
      <x:c r="E33" s="51" t="str">
        <x:v>Relevance to the approved client scope</x:v>
      </x:c>
      <x:c r="F33" s="52" t="str">
        <x:v>LOW / MEDIUM / HIGH</x:v>
      </x:c>
    </x:row>
    <x:row r="34" ht="15" hidden="0" customHeight="1">
      <x:c r="A34" s="50" t="str">
        <x:v>Selection Assessment</x:v>
      </x:c>
      <x:c r="B34" s="51" t="str">
        <x:v>version_currency</x:v>
      </x:c>
      <x:c r="C34" s="51" t="str">
        <x:v>Team</x:v>
      </x:c>
      <x:c r="D34" s="51" t="str">
        <x:v>Required</x:v>
      </x:c>
      <x:c r="E34" s="51" t="str">
        <x:v>Whether the version is current and applicable</x:v>
      </x:c>
      <x:c r="F34" s="52" t="str">
        <x:v>LOW / MEDIUM / HIGH</x:v>
      </x:c>
    </x:row>
    <x:row r="35" ht="26.399999618530273" hidden="0" customHeight="1">
      <x:c r="A35" s="50" t="str">
        <x:v>Selection Assessment</x:v>
      </x:c>
      <x:c r="B35" s="51" t="str">
        <x:v>traceability</x:v>
      </x:c>
      <x:c r="C35" s="51" t="str">
        <x:v>Team</x:v>
      </x:c>
      <x:c r="D35" s="51" t="str">
        <x:v>Required</x:v>
      </x:c>
      <x:c r="E35" s="51" t="str">
        <x:v>Whether identity, version and provenance are reproducible</x:v>
      </x:c>
      <x:c r="F35" s="52" t="str">
        <x:v>An official URL or equivalent private-source provenance may support HIGH</x:v>
      </x:c>
    </x:row>
    <x:row r="36" ht="26.399999618530273" hidden="0" customHeight="1">
      <x:c r="A36" s="50" t="str">
        <x:v>Selection Assessment</x:v>
      </x:c>
      <x:c r="B36" s="51" t="str">
        <x:v>access_permission</x:v>
      </x:c>
      <x:c r="C36" s="51" t="str">
        <x:v>Team</x:v>
      </x:c>
      <x:c r="D36" s="51" t="str">
        <x:v>Required</x:v>
      </x:c>
      <x:c r="E36" s="51" t="str">
        <x:v>Whether acquisition, internal storage and intended use are authorised</x:v>
      </x:c>
      <x:c r="F36" s="52" t="str">
        <x:v>External redistribution is a separate decision and must not be inferred</x:v>
      </x:c>
    </x:row>
    <x:row r="37" ht="15" hidden="0" customHeight="1">
      <x:c r="A37" s="50" t="str">
        <x:v>Selection Assessment</x:v>
      </x:c>
      <x:c r="B37" s="51" t="str">
        <x:v>automation_readiness</x:v>
      </x:c>
      <x:c r="C37" s="51" t="str">
        <x:v>Team / Program</x:v>
      </x:c>
      <x:c r="D37" s="51" t="str">
        <x:v>Required</x:v>
      </x:c>
      <x:c r="E37" s="51" t="str">
        <x:v>Difficulty of automated retrieval, parsing and monitoring</x:v>
      </x:c>
      <x:c r="F37" s="52" t="str">
        <x:v>Affects automation effort but not authority</x:v>
      </x:c>
    </x:row>
    <x:row r="38" ht="26.399999618530273" hidden="0" customHeight="1">
      <x:c r="A38" s="50" t="str">
        <x:v>Selection Assessment</x:v>
      </x:c>
      <x:c r="B38" s="51" t="str">
        <x:v>selection_status</x:v>
      </x:c>
      <x:c r="C38" s="51" t="str">
        <x:v>Formula</x:v>
      </x:c>
      <x:c r="D38" s="51" t="str">
        <x:v>Automatic</x:v>
      </x:c>
      <x:c r="E38" s="51" t="str">
        <x:v>INCLUDE / PENDING / EXCLUDE calculated from mandatory scores, provenance and conditional applicability gates</x:v>
      </x:c>
      <x:c r="F38" s="52" t="str">
        <x:v>Official-website sources need official_url; equipment sources need manufacturer ownership, inclusion rationale and applicability_reference</x:v>
      </x:c>
    </x:row>
    <x:row r="39" ht="26.399999618530273" hidden="0" customHeight="1">
      <x:c r="A39" s="50" t="str">
        <x:v>Automated Update &amp; Manual Fallback</x:v>
      </x:c>
      <x:c r="B39" s="51" t="str">
        <x:v>download_status</x:v>
      </x:c>
      <x:c r="C39" s="51" t="str">
        <x:v>Program</x:v>
      </x:c>
      <x:c r="D39" s="51" t="str">
        <x:v>Required</x:v>
      </x:c>
      <x:c r="E39" s="51" t="str">
        <x:v>Final state of the latest automated retrieval</x:v>
      </x:c>
      <x:c r="F39" s="52" t="str">
        <x:v>NOT_RUN / RUNNING / SUCCESS / FAIL</x:v>
      </x:c>
    </x:row>
    <x:row r="40" ht="26.399999618530273" hidden="0" customHeight="1">
      <x:c r="A40" s="50" t="str">
        <x:v>Automated Update &amp; Manual Fallback</x:v>
      </x:c>
      <x:c r="B40" s="51" t="str">
        <x:v>last_attempt_at</x:v>
      </x:c>
      <x:c r="C40" s="51" t="str">
        <x:v>Program</x:v>
      </x:c>
      <x:c r="D40" s="51" t="str">
        <x:v>Required after a run</x:v>
      </x:c>
      <x:c r="E40" s="51" t="str">
        <x:v>Timestamp of the latest automated attempt</x:v>
      </x:c>
      <x:c r="F40" s="52" t="str">
        <x:v>Europe/Oslo local time, yyyy-mm-dd hh:mm</x:v>
      </x:c>
    </x:row>
    <x:row r="41" ht="26.399999618530273" hidden="0" customHeight="1">
      <x:c r="A41" s="50" t="str">
        <x:v>Automated Update &amp; Manual Fallback</x:v>
      </x:c>
      <x:c r="B41" s="51" t="str">
        <x:v>last_success_at</x:v>
      </x:c>
      <x:c r="C41" s="51" t="str">
        <x:v>Program</x:v>
      </x:c>
      <x:c r="D41" s="51" t="str">
        <x:v>Required after success</x:v>
      </x:c>
      <x:c r="E41" s="51" t="str">
        <x:v>Timestamp of the latest fully validated and safely stored retrieval</x:v>
      </x:c>
      <x:c r="F41" s="52" t="str">
        <x:v>HTTP 200 alone is not SUCCESS</x:v>
      </x:c>
    </x:row>
    <x:row r="42" ht="26.399999618530273" hidden="0" customHeight="1">
      <x:c r="A42" s="50" t="str">
        <x:v>Automated Update &amp; Manual Fallback</x:v>
      </x:c>
      <x:c r="B42" s="51" t="str">
        <x:v>content_change</x:v>
      </x:c>
      <x:c r="C42" s="51" t="str">
        <x:v>Program</x:v>
      </x:c>
      <x:c r="D42" s="51" t="str">
        <x:v>Required after a run</x:v>
      </x:c>
      <x:c r="E42" s="51" t="str">
        <x:v>Whether retrieval is initial, unchanged or changed</x:v>
      </x:c>
      <x:c r="F42" s="52" t="str">
        <x:v>UNKNOWN / INITIAL / UNCHANGED / CHANGED</x:v>
      </x:c>
    </x:row>
    <x:row r="43" ht="26.399999618530273" hidden="0" customHeight="1">
      <x:c r="A43" s="50" t="str">
        <x:v>Automated Update &amp; Manual Fallback</x:v>
      </x:c>
      <x:c r="B43" s="51" t="str">
        <x:v>current_origin</x:v>
      </x:c>
      <x:c r="C43" s="51" t="str">
        <x:v>Team / Program</x:v>
      </x:c>
      <x:c r="D43" s="51" t="str">
        <x:v>Required</x:v>
      </x:c>
      <x:c r="E43" s="51" t="str">
        <x:v>Whether the current snapshot came from automation or manual fallback</x:v>
      </x:c>
      <x:c r="F43" s="52" t="str">
        <x:v>NONE / AUTO / MANUAL</x:v>
      </x:c>
    </x:row>
    <x:row r="44" ht="26.399999618530273" hidden="0" customHeight="1">
      <x:c r="A44" s="50" t="str">
        <x:v>Automated Update &amp; Manual Fallback</x:v>
      </x:c>
      <x:c r="B44" s="51" t="str">
        <x:v>current_snapshot_date</x:v>
      </x:c>
      <x:c r="C44" s="51" t="str">
        <x:v>Formula</x:v>
      </x:c>
      <x:c r="D44" s="51" t="str">
        <x:v>Automatic</x:v>
      </x:c>
      <x:c r="E44" s="51" t="str">
        <x:v>Date associated with the current valid snapshot</x:v>
      </x:c>
      <x:c r="F44" s="52" t="str">
        <x:v>AUTO uses last_success_at; MANUAL uses manual_update_date</x:v>
      </x:c>
    </x:row>
    <x:row r="45" ht="26.399999618530273" hidden="0" customHeight="1">
      <x:c r="A45" s="50" t="str">
        <x:v>Automated Update &amp; Manual Fallback</x:v>
      </x:c>
      <x:c r="B45" s="51" t="str">
        <x:v>manual_update_date</x:v>
      </x:c>
      <x:c r="C45" s="51" t="str">
        <x:v>Human</x:v>
      </x:c>
      <x:c r="D45" s="51" t="str">
        <x:v>Required after manual fallback</x:v>
      </x:c>
      <x:c r="E45" s="51" t="str">
        <x:v>Fixed date when the manual file was placed in the folder</x:v>
      </x:c>
      <x:c r="F45" s="52" t="str">
        <x:v>Do not use =TODAY(); enter a fixed date</x:v>
      </x:c>
    </x:row>
    <x:row r="46" ht="26.399999618530273" hidden="0" customHeight="1">
      <x:c r="A46" s="50" t="str">
        <x:v>Automated Update &amp; Manual Fallback</x:v>
      </x:c>
      <x:c r="B46" s="51" t="str">
        <x:v>manual_updated_by</x:v>
      </x:c>
      <x:c r="C46" s="51" t="str">
        <x:v>Human</x:v>
      </x:c>
      <x:c r="D46" s="51" t="str">
        <x:v>Required after manual fallback</x:v>
      </x:c>
      <x:c r="E46" s="51" t="str">
        <x:v>Person who completed the manual update</x:v>
      </x:c>
      <x:c r="F46" s="52" t="str">
        <x:v>Used for accountability</x:v>
      </x:c>
    </x:row>
    <x:row r="47" ht="26.399999618530273" hidden="0" customHeight="1">
      <x:c r="A47" s="50" t="str">
        <x:v>Automated Update &amp; Manual Fallback</x:v>
      </x:c>
      <x:c r="B47" s="51" t="str">
        <x:v>failure_stage</x:v>
      </x:c>
      <x:c r="C47" s="51" t="str">
        <x:v>Program</x:v>
      </x:c>
      <x:c r="D47" s="51" t="str">
        <x:v>Required after failure</x:v>
      </x:c>
      <x:c r="E47" s="51" t="str">
        <x:v>Stage where automation failed</x:v>
      </x:c>
      <x:c r="F47" s="52" t="str">
        <x:v>Allows the team to select the right intervention</x:v>
      </x:c>
    </x:row>
    <x:row r="48" ht="26.399999618530273" hidden="0" customHeight="1">
      <x:c r="A48" s="50" t="str">
        <x:v>Automated Update &amp; Manual Fallback</x:v>
      </x:c>
      <x:c r="B48" s="51" t="str">
        <x:v>failure_reason</x:v>
      </x:c>
      <x:c r="C48" s="51" t="str">
        <x:v>Program</x:v>
      </x:c>
      <x:c r="D48" s="51" t="str">
        <x:v>Required after failure</x:v>
      </x:c>
      <x:c r="E48" s="51" t="str">
        <x:v>Short, actionable explanation of the failure</x:v>
      </x:c>
      <x:c r="F48" s="52" t="str">
        <x:v>Do not write only Unknown error</x:v>
      </x:c>
    </x:row>
    <x:row r="49" ht="26.399999618530273" hidden="0" customHeight="1">
      <x:c r="A49" s="50" t="str">
        <x:v>Automated Update &amp; Manual Fallback</x:v>
      </x:c>
      <x:c r="B49" s="51" t="str">
        <x:v>needs_human_action</x:v>
      </x:c>
      <x:c r="C49" s="51" t="str">
        <x:v>Formula</x:v>
      </x:c>
      <x:c r="D49" s="51" t="str">
        <x:v>Automatic</x:v>
      </x:c>
      <x:c r="E49" s="51" t="str">
        <x:v>Whether manual intervention or impact review is still required</x:v>
      </x:c>
      <x:c r="F49" s="52" t="str">
        <x:v>YES after unresolved FAIL or changed ROLLING content</x:v>
      </x:c>
    </x:row>
    <x:row r="50" ht="26.399999618530273" hidden="0" customHeight="1">
      <x:c r="A50" s="50" t="str">
        <x:v>Automated Update &amp; Manual Fallback</x:v>
      </x:c>
      <x:c r="B50" s="51" t="str">
        <x:v>content_hash</x:v>
      </x:c>
      <x:c r="C50" s="51" t="str">
        <x:v>Program</x:v>
      </x:c>
      <x:c r="D50" s="51" t="str">
        <x:v>Required after success</x:v>
      </x:c>
      <x:c r="E50" s="51" t="str">
        <x:v>Hash of the current valid file</x:v>
      </x:c>
      <x:c r="F50" s="52" t="str">
        <x:v>Used to detect real content changes</x:v>
      </x:c>
    </x:row>
    <x:row r="51" ht="15" hidden="0" customHeight="1">
      <x:c r="A51" s="50" t="str">
        <x:v>Relationships &amp; Notes</x:v>
      </x:c>
      <x:c r="B51" s="51" t="str">
        <x:v>source_status</x:v>
      </x:c>
      <x:c r="C51" s="51" t="str">
        <x:v>Team / Program</x:v>
      </x:c>
      <x:c r="D51" s="51" t="str">
        <x:v>Required</x:v>
      </x:c>
      <x:c r="E51" s="51" t="str">
        <x:v>Whether the source is currently valid</x:v>
      </x:c>
      <x:c r="F51" s="52" t="str">
        <x:v>CURRENT / SUPERSEDED / WITHDRAWN</x:v>
      </x:c>
    </x:row>
    <x:row r="52" ht="15" hidden="0" customHeight="1">
      <x:c r="A52" s="50" t="str">
        <x:v>Relationships &amp; Notes</x:v>
      </x:c>
      <x:c r="B52" s="51" t="str">
        <x:v>primary_source_id</x:v>
      </x:c>
      <x:c r="C52" s="51" t="str">
        <x:v>Team</x:v>
      </x:c>
      <x:c r="D52" s="51" t="str">
        <x:v>Conditional</x:v>
      </x:c>
      <x:c r="E52" s="51" t="str">
        <x:v>Primary normative source linked to guidance or an audit tool</x:v>
      </x:c>
      <x:c r="F52" s="52" t="str">
        <x:v>Prevents supporting material from being treated as independent authority</x:v>
      </x:c>
    </x:row>
    <x:row r="53" ht="15" hidden="0" customHeight="1">
      <x:c r="A53" s="50" t="str">
        <x:v>Relationships &amp; Notes</x:v>
      </x:c>
      <x:c r="B53" s="51" t="str">
        <x:v>notes</x:v>
      </x:c>
      <x:c r="C53" s="51" t="str">
        <x:v>Team / Program</x:v>
      </x:c>
      <x:c r="D53" s="51" t="str">
        <x:v>Optional</x:v>
      </x:c>
      <x:c r="E53" s="51" t="str">
        <x:v>Exceptions and concise supplementary context</x:v>
      </x:c>
      <x:c r="F53" s="52" t="str">
        <x:v>Do not repeat inclusion_rationale or failure_reason</x:v>
      </x:c>
    </x:row>
    <x:row r="54" ht="15" hidden="0" customHeight="1">
      <x:c r="A54" s="50" t="str">
        <x:v>Provenance &amp; Applicability</x:v>
      </x:c>
      <x:c r="B54" s="51" t="str">
        <x:v>acquisition_channel</x:v>
      </x:c>
      <x:c r="C54" s="51" t="str">
        <x:v>Team / Program</x:v>
      </x:c>
      <x:c r="D54" s="51" t="str">
        <x:v>Required before INCLUDE</x:v>
      </x:c>
      <x:c r="E54" s="51" t="str">
        <x:v>How this copy was obtained</x:v>
      </x:c>
      <x:c r="F54" s="52" t="str">
        <x:v>The channel does not change source_family or issuer</x:v>
      </x:c>
    </x:row>
    <x:row r="55" ht="15" hidden="0" customHeight="1">
      <x:c r="A55" s="50" t="str">
        <x:v>Provenance &amp; Applicability</x:v>
      </x:c>
      <x:c r="B55" s="51" t="str">
        <x:v>provenance_status</x:v>
      </x:c>
      <x:c r="C55" s="51" t="str">
        <x:v>Team</x:v>
      </x:c>
      <x:c r="D55" s="51" t="str">
        <x:v>Required before INCLUDE</x:v>
      </x:c>
      <x:c r="E55" s="51" t="str">
        <x:v>Authenticity and authorisation status of the current copy</x:v>
      </x:c>
      <x:c r="F55" s="52" t="str">
        <x:v>UNVERIFIED keeps the source PENDING</x:v>
      </x:c>
    </x:row>
    <x:row r="56" ht="15" hidden="0" customHeight="1">
      <x:c r="A56" s="50" t="str">
        <x:v>Provenance &amp; Applicability</x:v>
      </x:c>
      <x:c r="B56" s="51" t="str">
        <x:v>update_model</x:v>
      </x:c>
      <x:c r="C56" s="51" t="str">
        <x:v>Team / Program</x:v>
      </x:c>
      <x:c r="D56" s="51" t="str">
        <x:v>Required</x:v>
      </x:c>
      <x:c r="E56" s="51" t="str">
        <x:v>Whether the issuer uses formal versions or maintains rolling content</x:v>
      </x:c>
      <x:c r="F56" s="52" t="str">
        <x:v>VERSIONED / ROLLING / UNKNOWN; never write Rolling in version</x:v>
      </x:c>
    </x:row>
    <x:row r="57" ht="26.399999618530273" hidden="0" customHeight="1">
      <x:c r="A57" s="53" t="str">
        <x:v>Provenance &amp; Applicability</x:v>
      </x:c>
      <x:c r="B57" s="54" t="str">
        <x:v>applicability_reference</x:v>
      </x:c>
      <x:c r="C57" s="54" t="str">
        <x:v>Team</x:v>
      </x:c>
      <x:c r="D57" s="54" t="str">
        <x:v>Conditional</x:v>
      </x:c>
      <x:c r="E57" s="54" t="str">
        <x:v>Site, equipment model, asset, contract or certification scope to which the source applies</x:v>
      </x:c>
      <x:c r="F57" s="55" t="str">
        <x:v>Equipment manuals remain PENDING until the applicable equipment or asset is confirmed</x:v>
      </x:c>
    </x:row>
    <x:row r="60" ht="25" customHeight="1">
      <x:c r="A60" s="18" t="str">
        <x:v>3. Source selection criteria: LOW / MEDIUM / HIGH anchors</x:v>
      </x:c>
      <x:c r="B60" s="18" t="str">
        <x:v>3. Source selection criteria: LOW / MEDIUM / HIGH anchors</x:v>
      </x:c>
      <x:c r="C60" s="18" t="str">
        <x:v>3. Source selection criteria: LOW / MEDIUM / HIGH anchors</x:v>
      </x:c>
      <x:c r="D60" s="18" t="str">
        <x:v>3. Source selection criteria: LOW / MEDIUM / HIGH anchors</x:v>
      </x:c>
      <x:c r="E60" s="18" t="str">
        <x:v>3. Source selection criteria: LOW / MEDIUM / HIGH anchors</x:v>
      </x:c>
      <x:c r="F60" s="18" t="str">
        <x:v>3. Source selection criteria: LOW / MEDIUM / HIGH anchors</x:v>
      </x:c>
    </x:row>
    <x:row r="61" ht="32" customHeight="1">
      <x:c r="A61" s="32" t="str">
        <x:v>Criterion</x:v>
      </x:c>
      <x:c r="B61" s="33" t="str">
        <x:v>LOW</x:v>
      </x:c>
      <x:c r="C61" s="33" t="str">
        <x:v>MEDIUM</x:v>
      </x:c>
      <x:c r="D61" s="33" t="str">
        <x:v>HIGH</x:v>
      </x:c>
      <x:c r="E61" s="33" t="str">
        <x:v>Mandatory</x:v>
      </x:c>
      <x:c r="F61" s="34" t="str">
        <x:v>Decision effect</x:v>
      </x:c>
    </x:row>
    <x:row r="62" ht="26.399999618530273" hidden="0" customHeight="1">
      <x:c r="A62" s="50" t="str">
        <x:v>authority_quality</x:v>
      </x:c>
      <x:c r="B62" s="51" t="str">
        <x:v>Unknown source, secondary retelling or unverifiable copy</x:v>
      </x:c>
      <x:c r="C62" s="51" t="str">
        <x:v>Credible copy exists, but the official source is not confirmed</x:v>
      </x:c>
      <x:c r="D62" s="51" t="str">
        <x:v>Official original or verified authorised copy</x:v>
      </x:c>
      <x:c r="E62" s="51" t="str">
        <x:v>Yes</x:v>
      </x:c>
      <x:c r="F62" s="52" t="str">
        <x:v>Any LOW produces EXCLUDE</x:v>
      </x:c>
    </x:row>
    <x:row r="63" ht="39.599998474121094" hidden="0" customHeight="1">
      <x:c r="A63" s="50" t="str">
        <x:v>scope_relevance</x:v>
      </x:c>
      <x:c r="B63" s="51" t="str">
        <x:v>Outside the approved client scope</x:v>
      </x:c>
      <x:c r="C63" s="51" t="str">
        <x:v>Potentially relevant, but the scope decision is unresolved</x:v>
      </x:c>
      <x:c r="D63" s="51" t="str">
        <x:v>Clearly governs assets, activities, sites or certification within scope</x:v>
      </x:c>
      <x:c r="E63" s="51" t="str">
        <x:v>Yes</x:v>
      </x:c>
      <x:c r="F63" s="52" t="str">
        <x:v>Any MEDIUM produces PENDING</x:v>
      </x:c>
    </x:row>
    <x:row r="64" ht="39.599998474121094" hidden="0" customHeight="1">
      <x:c r="A64" s="50" t="str">
        <x:v>version_currency</x:v>
      </x:c>
      <x:c r="B64" s="51" t="str">
        <x:v>Withdrawn, superseded or clearly incorrect version</x:v>
      </x:c>
      <x:c r="C64" s="51" t="str">
        <x:v>Version identified, but current applicability is not confirmed</x:v>
      </x:c>
      <x:c r="D64" s="51" t="str">
        <x:v>Current applicable version and effective status confirmed</x:v>
      </x:c>
      <x:c r="E64" s="51" t="str">
        <x:v>Yes</x:v>
      </x:c>
      <x:c r="F64" s="52" t="str">
        <x:v>All five mandatory criteria must be HIGH</x:v>
      </x:c>
    </x:row>
    <x:row r="65" ht="39.599998474121094" hidden="0" customHeight="1">
      <x:c r="A65" s="50" t="str">
        <x:v>traceability</x:v>
      </x:c>
      <x:c r="B65" s="51" t="str">
        <x:v>Source cannot be reliably identified or reproduced</x:v>
      </x:c>
      <x:c r="C65" s="51" t="str">
        <x:v>One or more identity or provenance fields remain incomplete</x:v>
      </x:c>
      <x:c r="D65" s="51" t="str">
        <x:v>Official original or equivalent authorised provenance is reproducible</x:v>
      </x:c>
      <x:c r="E65" s="51" t="str">
        <x:v>Yes</x:v>
      </x:c>
      <x:c r="F65" s="52" t="str">
        <x:v>All five mandatory criteria must be HIGH</x:v>
      </x:c>
    </x:row>
    <x:row r="66" ht="39.599998474121094" hidden="0" customHeight="1">
      <x:c r="A66" s="50" t="str">
        <x:v>access_permission</x:v>
      </x:c>
      <x:c r="B66" s="51" t="str">
        <x:v>Unauthorised, leaked or explicitly prohibited from storage</x:v>
      </x:c>
      <x:c r="C66" s="51" t="str">
        <x:v>Internal acquisition, storage or use permission requires confirmation</x:v>
      </x:c>
      <x:c r="D66" s="51" t="str">
        <x:v>Public official source or confirmed authorised internal use</x:v>
      </x:c>
      <x:c r="E66" s="51" t="str">
        <x:v>Yes</x:v>
      </x:c>
      <x:c r="F66" s="52" t="str">
        <x:v>Any LOW produces EXCLUDE</x:v>
      </x:c>
    </x:row>
    <x:row r="67" ht="39.599998474121094" hidden="0" customHeight="1">
      <x:c r="A67" s="53" t="str">
        <x:v>automation_readiness</x:v>
      </x:c>
      <x:c r="B67" s="54" t="str">
        <x:v>Cannot be retrieved or parsed automatically</x:v>
      </x:c>
      <x:c r="C67" s="54" t="str">
        <x:v>Requires login, OCR, scripts or manual preprocessing</x:v>
      </x:c>
      <x:c r="D67" s="54" t="str">
        <x:v>Stable URL and directly downloadable original file or HTML</x:v>
      </x:c>
      <x:c r="E67" s="54" t="str">
        <x:v>No</x:v>
      </x:c>
      <x:c r="F67" s="55" t="str">
        <x:v>Only affects automation cost</x:v>
      </x:c>
    </x:row>
    <x:row r="70" ht="25" customHeight="1">
      <x:c r="A70" s="18" t="str">
        <x:v>4. Automated retrieval, validation and manual fallback</x:v>
      </x:c>
      <x:c r="B70" s="18" t="str">
        <x:v>4. Automated retrieval, validation and manual fallback</x:v>
      </x:c>
      <x:c r="C70" s="18" t="str">
        <x:v>4. Automated retrieval, validation and manual fallback</x:v>
      </x:c>
      <x:c r="D70" s="18" t="str">
        <x:v>4. Automated retrieval, validation and manual fallback</x:v>
      </x:c>
      <x:c r="E70" s="18" t="str">
        <x:v>4. Automated retrieval, validation and manual fallback</x:v>
      </x:c>
      <x:c r="F70" s="18" t="str">
        <x:v>4. Automated retrieval, validation and manual fallback</x:v>
      </x:c>
    </x:row>
    <x:row r="71" ht="32" customHeight="1">
      <x:c r="A71" s="32" t="str">
        <x:v>Step</x:v>
      </x:c>
      <x:c r="B71" s="33" t="str">
        <x:v>State</x:v>
      </x:c>
      <x:c r="C71" s="34" t="str">
        <x:v>Rule</x:v>
      </x:c>
    </x:row>
    <x:row r="72" ht="26.399999618530273" hidden="0" customHeight="1">
      <x:c r="A72" s="50" t="n">
        <x:v>1</x:v>
      </x:c>
      <x:c r="B72" s="51" t="str">
        <x:v>RUNNING</x:v>
      </x:c>
      <x:c r="C72" s="52" t="str">
        <x:v>Download to a temporary location first; never overwrite the current valid file directly.</x:v>
      </x:c>
    </x:row>
    <x:row r="73" ht="39.599998474121094" hidden="0" customHeight="1">
      <x:c r="A73" s="50" t="n">
        <x:v>2</x:v>
      </x:c>
      <x:c r="B73" s="51" t="str">
        <x:v>Stepwise validation</x:v>
      </x:c>
      <x:c r="C73" s="52" t="str">
        <x:v>Check connection and HTTP, download completion, extension and file signature, non-empty content, login or error pages, readability and safe storage.</x:v>
      </x:c>
    </x:row>
    <x:row r="74" ht="26.399999618530273" hidden="0" customHeight="1">
      <x:c r="A74" s="50" t="n">
        <x:v>3</x:v>
      </x:c>
      <x:c r="B74" s="51" t="str">
        <x:v>FAIL</x:v>
      </x:c>
      <x:c r="C74" s="52" t="str">
        <x:v>Record last_attempt_at, failure_stage and failure_reason; preserve the current AUTO or MANUAL file.</x:v>
      </x:c>
    </x:row>
    <x:row r="75" ht="52.79999923706055" hidden="0" customHeight="1">
      <x:c r="A75" s="50" t="n">
        <x:v>4</x:v>
      </x:c>
      <x:c r="B75" s="51" t="str">
        <x:v>Manual fallback</x:v>
      </x:c>
      <x:c r="C75" s="52" t="str">
        <x:v>Place the valid original-format file or saved HTML in the mapped folder and update snapshot_id, stored_filename, snapshot_status=STORED, current_origin=MANUAL, manual_update_date and manual_updated_by.</x:v>
      </x:c>
    </x:row>
    <x:row r="76" ht="39.599998474121094" hidden="0" customHeight="1">
      <x:c r="A76" s="50" t="n">
        <x:v>5</x:v>
      </x:c>
      <x:c r="B76" s="51" t="str">
        <x:v>Manual completion</x:v>
      </x:c>
      <x:c r="C76" s="52" t="str">
        <x:v>manual_update_date stores a date only. A date on or after the latest attempt date changes needs_human_action to NO; the latest automated download_status remains FAIL.</x:v>
      </x:c>
    </x:row>
    <x:row r="77" ht="26.399999618530273" hidden="0" customHeight="1">
      <x:c r="A77" s="50" t="n">
        <x:v>6</x:v>
      </x:c>
      <x:c r="B77" s="51" t="str">
        <x:v>SUCCESS + INITIAL</x:v>
      </x:c>
      <x:c r="C77" s="52" t="str">
        <x:v>The first validated collection stores the file without treating it as a later content update.</x:v>
      </x:c>
    </x:row>
    <x:row r="78" ht="26.399999618530273" hidden="0" customHeight="1">
      <x:c r="A78" s="50" t="n">
        <x:v>7</x:v>
      </x:c>
      <x:c r="B78" s="51" t="str">
        <x:v>SUCCESS + UNCHANGED</x:v>
      </x:c>
      <x:c r="C78" s="52" t="str">
        <x:v>When the validated hash matches the current file, update last_success_at without replacing the file.</x:v>
      </x:c>
    </x:row>
    <x:row r="79" ht="26.399999618530273" hidden="0" customHeight="1">
      <x:c r="A79" s="50" t="n">
        <x:v>8</x:v>
      </x:c>
      <x:c r="B79" s="51" t="str">
        <x:v>SUCCESS + CHANGED</x:v>
      </x:c>
      <x:c r="C79" s="52" t="str">
        <x:v>Archive the current file, increment snapshot_id and promote the validated automated file.</x:v>
      </x:c>
    </x:row>
    <x:row r="80" ht="26.399999618530273" hidden="0" customHeight="1">
      <x:c r="A80" s="50" t="n">
        <x:v>9</x:v>
      </x:c>
      <x:c r="B80" s="51" t="str">
        <x:v>ROLLING impact review</x:v>
      </x:c>
      <x:c r="C80" s="52" t="str">
        <x:v>A changed rolling source sets needs_human_action to YES until a fixed manual review date is recorded.</x:v>
      </x:c>
    </x:row>
    <x:row r="81" ht="39.599998474121094" hidden="0" customHeight="1">
      <x:c r="A81" s="53" t="n">
        <x:v>10</x:v>
      </x:c>
      <x:c r="B81" s="54" t="str">
        <x:v>Scheduled run</x:v>
      </x:c>
      <x:c r="C81" s="55" t="str">
        <x:v>By default, process only INCLUDE + CURRENT rows. Non-public channels also require stable authorised access and HIGH automation readiness.</x:v>
      </x:c>
    </x:row>
    <x:row r="84" ht="25" customHeight="1">
      <x:c r="A84" s="18" t="str">
        <x:v>5. Identifier, date and manual-edit rules</x:v>
      </x:c>
      <x:c r="B84" s="18" t="str">
        <x:v>5. Identifier, date and manual-edit rules</x:v>
      </x:c>
      <x:c r="C84" s="18" t="str">
        <x:v>5. Identifier, date and manual-edit rules</x:v>
      </x:c>
      <x:c r="D84" s="18" t="str">
        <x:v>5. Identifier, date and manual-edit rules</x:v>
      </x:c>
      <x:c r="E84" s="18" t="str">
        <x:v>5. Identifier, date and manual-edit rules</x:v>
      </x:c>
      <x:c r="F84" s="18" t="str">
        <x:v>5. Identifier, date and manual-edit rules</x:v>
      </x:c>
    </x:row>
    <x:row r="85" ht="52.79999923706055" hidden="0" customHeight="1">
      <x:c r="A85" s="60" t="str">
        <x:v>source_id</x:v>
      </x:c>
      <x:c r="B85" s="61" t="str">
        <x:v>Two source-family letters plus three digits, for example CS001. The prefix follows the content owner, not the acquisition channel.</x:v>
      </x:c>
    </x:row>
    <x:row r="86" ht="52.79999923706055" hidden="0" customHeight="1">
      <x:c r="A86" s="50" t="str">
        <x:v>snapshot_id</x:v>
      </x:c>
      <x:c r="B86" s="52" t="str">
        <x:v>source_id plus a three-digit snapshot sequence, for example CS001-001. Increment only when content actually changes.</x:v>
      </x:c>
    </x:row>
    <x:row r="87" ht="66" hidden="0" customHeight="1">
      <x:c r="A87" s="50" t="str">
        <x:v>Filename</x:v>
      </x:c>
      <x:c r="B87" s="52" t="str">
        <x:v>Begin with snapshot_id and an underscore, using the original extension, for example CS001-001_ASC_Farm_Standard_v1.0.1.pdf.</x:v>
      </x:c>
    </x:row>
    <x:row r="88" ht="66" hidden="0" customHeight="1">
      <x:c r="A88" s="50" t="str">
        <x:v>Manual date</x:v>
      </x:c>
      <x:c r="B88" s="52" t="str">
        <x:v>Macro-free Excel cannot reliably create a fixed today value on click. Use Excel's current-date shortcut, or copy F3 and paste values. Never use =TODAY() for historical records.</x:v>
      </x:c>
    </x:row>
    <x:row r="89" ht="52.79999923706055" hidden="0" customHeight="1">
      <x:c r="A89" s="50" t="str">
        <x:v>Manual changes</x:v>
      </x:c>
      <x:c r="B89" s="52" t="str">
        <x:v>Before changing identifiers, filenames, folders or workbook values, pause the updater. Run the consistency audit before resuming automation.</x:v>
      </x:c>
    </x:row>
    <x:row r="90" ht="52.79999923706055" hidden="0" customHeight="1">
      <x:c r="A90" s="50" t="str">
        <x:v>Technical logs</x:v>
      </x:c>
      <x:c r="B90" s="52" t="str">
        <x:v>The workbook stores current state only. The Updater stores detailed technical logs in Logs to prevent Source Register from expanding indefinitely.</x:v>
      </x:c>
    </x:row>
    <x:row r="91" ht="66" hidden="0" customHeight="1">
      <x:c r="A91" s="53" t="str">
        <x:v>Changed content</x:v>
      </x:c>
      <x:c r="B91" s="55" t="str">
        <x:v>SUCCESS + CHANGED confirms technical retrieval and storage only. For ROLLING content, review downstream Requirement impact before clearing needs_human_action.</x:v>
      </x:c>
    </x:row>
  </x:sheetData>
  <x:mergeCells>
    <x:mergeCell ref="A1:F1"/>
    <x:mergeCell ref="A2:F2"/>
    <x:mergeCell ref="A5:F5"/>
    <x:mergeCell ref="A12:F12"/>
    <x:mergeCell ref="A60:F60"/>
    <x:mergeCell ref="A70:F70"/>
    <x:mergeCell ref="A84:F8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0" hidden="0" customWidth="1"/>
    <x:col min="3" max="3" width="62" hidden="0" customWidth="1"/>
    <x:col min="4" max="4" width="34" hidden="0" customWidth="1"/>
  </x:cols>
  <x:sheetData>
    <x:row r="1" ht="34" customHeight="1">
      <x:c r="A1" s="4" t="str">
        <x:v>Categories and Controlled Values</x:v>
      </x:c>
      <x:c r="B1" s="4" t="str">
        <x:v>Categories and Controlled Values</x:v>
      </x:c>
      <x:c r="C1" s="4" t="str">
        <x:v>Categories and Controlled Values</x:v>
      </x:c>
      <x:c r="D1" s="4" t="str">
        <x:v>Categories and Controlled Values</x:v>
      </x:c>
    </x:row>
    <x:row r="2">
      <x:c r="A2" s="7" t="str">
        <x:v>Maintain controlled values here. Before changing a code or option, synchronise the Instructions sheet, folder structure and updater configuration.</x:v>
      </x:c>
      <x:c r="B2" s="7" t="str">
        <x:v>Maintain controlled values here. Before changing a code or option, synchronise the Instructions sheet, folder structure and updater configuration.</x:v>
      </x:c>
      <x:c r="C2" s="7" t="str">
        <x:v>Maintain controlled values here. Before changing a code or option, synchronise the Instructions sheet, folder structure and updater configuration.</x:v>
      </x:c>
      <x:c r="D2" s="7" t="str">
        <x:v>Maintain controlled values here. Before changing a code or option, synchronise the Instructions sheet, folder structure and updater configuration.</x:v>
      </x:c>
    </x:row>
    <x:row r="4" ht="25" customHeight="1">
      <x:c r="A4" s="18" t="str">
        <x:v>Classification dimension | Source family and identifier prefix</x:v>
      </x:c>
      <x:c r="B4" s="18" t="str">
        <x:v>Classification dimension | Source family and identifier prefix</x:v>
      </x:c>
      <x:c r="C4" s="18" t="str">
        <x:v>Classification dimension | Source family and identifier prefix</x:v>
      </x:c>
      <x:c r="D4" s="18" t="str">
        <x:v>Classification dimension | Source family and identifier prefix</x:v>
      </x:c>
    </x:row>
    <x:row r="5" ht="32" customHeight="1">
      <x:c r="A5" s="47" t="str">
        <x:v>Code</x:v>
      </x:c>
      <x:c r="B5" s="48" t="str">
        <x:v>Option value</x:v>
      </x:c>
      <x:c r="C5" s="48" t="str">
        <x:v>Definition</x:v>
      </x:c>
      <x:c r="D5" s="49" t="str">
        <x:v>Folder code</x:v>
      </x:c>
    </x:row>
    <x:row r="6">
      <x:c r="A6" s="50" t="str">
        <x:v>PA</x:v>
      </x:c>
      <x:c r="B6" s="51" t="str">
        <x:v>Public authority</x:v>
      </x:c>
      <x:c r="C6" s="51" t="str">
        <x:v>Government, regulator or permitting authority</x:v>
      </x:c>
      <x:c r="D6" s="52" t="str">
        <x:v>A_Public_Authority</x:v>
      </x:c>
    </x:row>
    <x:row r="7">
      <x:c r="A7" s="50" t="str">
        <x:v>SB</x:v>
      </x:c>
      <x:c r="B7" s="51" t="str">
        <x:v>Standards body</x:v>
      </x:c>
      <x:c r="C7" s="51" t="str">
        <x:v>Standards organisation such as NS, EN or ISO</x:v>
      </x:c>
      <x:c r="D7" s="52" t="str">
        <x:v>B_Standards_Body</x:v>
      </x:c>
    </x:row>
    <x:row r="8">
      <x:c r="A8" s="50" t="str">
        <x:v>CS</x:v>
      </x:c>
      <x:c r="B8" s="51" t="str">
        <x:v>Certification scheme</x:v>
      </x:c>
      <x:c r="C8" s="51" t="str">
        <x:v>Certification scheme such as ASC or GLOBALG.A.P.</x:v>
      </x:c>
      <x:c r="D8" s="52" t="str">
        <x:v>C_Certification_Scheme</x:v>
      </x:c>
    </x:row>
    <x:row r="9">
      <x:c r="A9" s="50" t="str">
        <x:v>MS</x:v>
      </x:c>
      <x:c r="B9" s="51" t="str">
        <x:v>Manufacturer / supplier</x:v>
      </x:c>
      <x:c r="C9" s="51" t="str">
        <x:v>Equipment manufacturer or supplier</x:v>
      </x:c>
      <x:c r="D9" s="52" t="str">
        <x:v>D_Manufacturer_Supplier</x:v>
      </x:c>
    </x:row>
    <x:row r="10">
      <x:c r="A10" s="50" t="str">
        <x:v>PE</x:v>
      </x:c>
      <x:c r="B10" s="51" t="str">
        <x:v>Project / engineering</x:v>
      </x:c>
      <x:c r="C10" s="51" t="str">
        <x:v>Site, design or engineering source</x:v>
      </x:c>
      <x:c r="D10" s="52" t="str">
        <x:v>E_Project_Engineering</x:v>
      </x:c>
    </x:row>
    <x:row r="11">
      <x:c r="A11" s="50" t="str">
        <x:v>CI</x:v>
      </x:c>
      <x:c r="B11" s="51" t="str">
        <x:v>Client / internal</x:v>
      </x:c>
      <x:c r="C11" s="51" t="str">
        <x:v>Client, contract or internal rule</x:v>
      </x:c>
      <x:c r="D11" s="52" t="str">
        <x:v>F_Client_Internal</x:v>
      </x:c>
    </x:row>
    <x:row r="12">
      <x:c r="A12" s="53" t="str">
        <x:v>PC</x:v>
      </x:c>
      <x:c r="B12" s="54" t="str">
        <x:v>Pending classification</x:v>
      </x:c>
      <x:c r="C12" s="54" t="str">
        <x:v>Temporary category; cannot be directly included</x:v>
      </x:c>
      <x:c r="D12" s="55" t="str">
        <x:v>Z_Pending_Classification</x:v>
      </x:c>
    </x:row>
    <x:row r="14" ht="25" customHeight="1">
      <x:c r="A14" s="18" t="str">
        <x:v>Classification dimension | Document type</x:v>
      </x:c>
      <x:c r="B14" s="18" t="str">
        <x:v>Classification dimension | Document type</x:v>
      </x:c>
      <x:c r="C14" s="18" t="str">
        <x:v>Classification dimension | Document type</x:v>
      </x:c>
      <x:c r="D14" s="18" t="str">
        <x:v>Classification dimension | Document type</x:v>
      </x:c>
    </x:row>
    <x:row r="15" ht="32" customHeight="1">
      <x:c r="A15" s="47" t="str">
        <x:v>Code</x:v>
      </x:c>
      <x:c r="B15" s="48" t="str">
        <x:v>Option value</x:v>
      </x:c>
      <x:c r="C15" s="48" t="str">
        <x:v>Definition</x:v>
      </x:c>
      <x:c r="D15" s="49" t="str">
        <x:v>Notes</x:v>
      </x:c>
    </x:row>
    <x:row r="16">
      <x:c r="A16" s="50" t="str">
        <x:v>LAW</x:v>
      </x:c>
      <x:c r="B16" s="51" t="str">
        <x:v>Law</x:v>
      </x:c>
      <x:c r="C16" s="51" t="str">
        <x:v>Primary legislation</x:v>
      </x:c>
      <x:c r="D16" s="52" t="str"/>
    </x:row>
    <x:row r="17">
      <x:c r="A17" s="50" t="str">
        <x:v>REG</x:v>
      </x:c>
      <x:c r="B17" s="51" t="str">
        <x:v>Regulation</x:v>
      </x:c>
      <x:c r="C17" s="51" t="str">
        <x:v>Secondary legislation or regulation</x:v>
      </x:c>
      <x:c r="D17" s="52" t="str"/>
    </x:row>
    <x:row r="18">
      <x:c r="A18" s="50" t="str">
        <x:v>PER</x:v>
      </x:c>
      <x:c r="B18" s="51" t="str">
        <x:v>Permit / authority decision</x:v>
      </x:c>
      <x:c r="C18" s="51" t="str">
        <x:v>Permit or site-specific administrative decision</x:v>
      </x:c>
      <x:c r="D18" s="52" t="str"/>
    </x:row>
    <x:row r="19">
      <x:c r="A19" s="50" t="str">
        <x:v>STD</x:v>
      </x:c>
      <x:c r="B19" s="51" t="str">
        <x:v>Technical standard</x:v>
      </x:c>
      <x:c r="C19" s="51" t="str">
        <x:v>NS, EN, ISO or industry technical standard</x:v>
      </x:c>
      <x:c r="D19" s="52" t="str"/>
    </x:row>
    <x:row r="20">
      <x:c r="A20" s="50" t="str">
        <x:v>SCH</x:v>
      </x:c>
      <x:c r="B20" s="51" t="str">
        <x:v>Scheme standard</x:v>
      </x:c>
      <x:c r="C20" s="51" t="str">
        <x:v>Primary certification scheme standard</x:v>
      </x:c>
      <x:c r="D20" s="52" t="str"/>
    </x:row>
    <x:row r="21">
      <x:c r="A21" s="50" t="str">
        <x:v>INT</x:v>
      </x:c>
      <x:c r="B21" s="51" t="str">
        <x:v>Interpretation document</x:v>
      </x:c>
      <x:c r="C21" s="51" t="str">
        <x:v>Interpretation manual or guidance</x:v>
      </x:c>
      <x:c r="D21" s="52" t="str"/>
    </x:row>
    <x:row r="22">
      <x:c r="A22" s="50" t="str">
        <x:v>AUD</x:v>
      </x:c>
      <x:c r="B22" s="51" t="str">
        <x:v>Audit / assessment document</x:v>
      </x:c>
      <x:c r="C22" s="51" t="str">
        <x:v>Audit manual, checklist or assessment tool</x:v>
      </x:c>
      <x:c r="D22" s="52" t="str"/>
    </x:row>
    <x:row r="23">
      <x:c r="A23" s="50" t="str">
        <x:v>MAN</x:v>
      </x:c>
      <x:c r="B23" s="51" t="str">
        <x:v>Equipment manual / OEM instruction</x:v>
      </x:c>
      <x:c r="C23" s="51" t="str">
        <x:v>Manufacturer installation, operation, maintenance or safety instruction</x:v>
      </x:c>
      <x:c r="D23" s="52" t="str"/>
    </x:row>
    <x:row r="24">
      <x:c r="A24" s="50" t="str">
        <x:v>ENG</x:v>
      </x:c>
      <x:c r="B24" s="51" t="str">
        <x:v>Design / engineering document</x:v>
      </x:c>
      <x:c r="C24" s="51" t="str">
        <x:v>Design basis, analysis or engineering report</x:v>
      </x:c>
      <x:c r="D24" s="52" t="str"/>
    </x:row>
    <x:row r="25">
      <x:c r="A25" s="50" t="str">
        <x:v>CON</x:v>
      </x:c>
      <x:c r="B25" s="51" t="str">
        <x:v>Internal policy / contract</x:v>
      </x:c>
      <x:c r="C25" s="51" t="str">
        <x:v>Client, contract or internal normative document</x:v>
      </x:c>
      <x:c r="D25" s="52" t="str"/>
    </x:row>
    <x:row r="26">
      <x:c r="A26" s="53" t="str">
        <x:v>OTH</x:v>
      </x:c>
      <x:c r="B26" s="54" t="str">
        <x:v>Other</x:v>
      </x:c>
      <x:c r="C26" s="54" t="str">
        <x:v>Use only when no controlled document type applies</x:v>
      </x:c>
      <x:c r="D26" s="55" t="str"/>
    </x:row>
    <x:row r="28" ht="25" customHeight="1">
      <x:c r="A28" s="18" t="str">
        <x:v>Classification dimension | Requirement role</x:v>
      </x:c>
      <x:c r="B28" s="18" t="str">
        <x:v>Classification dimension | Requirement role</x:v>
      </x:c>
      <x:c r="C28" s="18" t="str">
        <x:v>Classification dimension | Requirement role</x:v>
      </x:c>
      <x:c r="D28" s="18" t="str">
        <x:v>Classification dimension | Requirement role</x:v>
      </x:c>
    </x:row>
    <x:row r="29" ht="32" customHeight="1">
      <x:c r="A29" s="47" t="str">
        <x:v>Code</x:v>
      </x:c>
      <x:c r="B29" s="48" t="str">
        <x:v>Option value</x:v>
      </x:c>
      <x:c r="C29" s="48" t="str">
        <x:v>Definition</x:v>
      </x:c>
      <x:c r="D29" s="49" t="str">
        <x:v>Notes</x:v>
      </x:c>
    </x:row>
    <x:row r="30">
      <x:c r="A30" s="50" t="str">
        <x:v>PN</x:v>
      </x:c>
      <x:c r="B30" s="51" t="str">
        <x:v>Primary normative</x:v>
      </x:c>
      <x:c r="C30" s="51" t="str">
        <x:v>Directly creates requirements within the approved scope</x:v>
      </x:c>
      <x:c r="D30" s="52" t="str"/>
    </x:row>
    <x:row r="31">
      <x:c r="A31" s="50" t="str">
        <x:v>RN</x:v>
      </x:c>
      <x:c r="B31" s="51" t="str">
        <x:v>Referenced normative</x:v>
      </x:c>
      <x:c r="C31" s="51" t="str">
        <x:v>Applies through citation by law, contract or a primary source</x:v>
      </x:c>
      <x:c r="D31" s="52" t="str"/>
    </x:row>
    <x:row r="32">
      <x:c r="A32" s="50" t="str">
        <x:v>AN</x:v>
      </x:c>
      <x:c r="B32" s="51" t="str">
        <x:v>Asset-specific normative</x:v>
      </x:c>
      <x:c r="C32" s="51" t="str">
        <x:v>Creates requirements only for confirmed applicable equipment, model, asset or configuration</x:v>
      </x:c>
      <x:c r="D32" s="52" t="str"/>
    </x:row>
    <x:row r="33">
      <x:c r="A33" s="50" t="str">
        <x:v>GI</x:v>
      </x:c>
      <x:c r="B33" s="51" t="str">
        <x:v>Guidance / interpretation</x:v>
      </x:c>
      <x:c r="C33" s="51" t="str">
        <x:v>Helps interpretation but does not independently create requirements</x:v>
      </x:c>
      <x:c r="D33" s="52" t="str"/>
    </x:row>
    <x:row r="34">
      <x:c r="A34" s="50" t="str">
        <x:v>AT</x:v>
      </x:c>
      <x:c r="B34" s="51" t="str">
        <x:v>Audit / assessment tool</x:v>
      </x:c>
      <x:c r="C34" s="51" t="str">
        <x:v>Supports verification and should link to a primary source</x:v>
      </x:c>
      <x:c r="D34" s="52" t="str"/>
    </x:row>
    <x:row r="35">
      <x:c r="A35" s="50" t="str">
        <x:v>CE</x:v>
      </x:c>
      <x:c r="B35" s="51" t="str">
        <x:v>Context / evidence</x:v>
      </x:c>
      <x:c r="C35" s="51" t="str">
        <x:v>Provides facts or proof; only normative statements may become requirements</x:v>
      </x:c>
      <x:c r="D35" s="52" t="str"/>
    </x:row>
    <x:row r="36">
      <x:c r="A36" s="53" t="str">
        <x:v>DW</x:v>
      </x:c>
      <x:c r="B36" s="54" t="str">
        <x:v>Draft working material</x:v>
      </x:c>
      <x:c r="C36" s="54" t="str">
        <x:v>Working material that cannot be treated as formal authority</x:v>
      </x:c>
      <x:c r="D36" s="55" t="str"/>
    </x:row>
    <x:row r="38" ht="25" customHeight="1">
      <x:c r="A38" s="18" t="str">
        <x:v>Authoritative language</x:v>
      </x:c>
      <x:c r="B38" s="18" t="str">
        <x:v>Authoritative language</x:v>
      </x:c>
      <x:c r="C38" s="18" t="str">
        <x:v>Authoritative language</x:v>
      </x:c>
      <x:c r="D38" s="18" t="str">
        <x:v>Authoritative language</x:v>
      </x:c>
    </x:row>
    <x:row r="39" ht="32" customHeight="1">
      <x:c r="A39" s="47" t="str">
        <x:v>Code</x:v>
      </x:c>
      <x:c r="B39" s="48" t="str">
        <x:v>Option value</x:v>
      </x:c>
      <x:c r="C39" s="48" t="str">
        <x:v>Definition</x:v>
      </x:c>
      <x:c r="D39" s="49" t="str">
        <x:v>Notes</x:v>
      </x:c>
    </x:row>
    <x:row r="40">
      <x:c r="A40" s="50" t="str">
        <x:v>EN</x:v>
      </x:c>
      <x:c r="B40" s="51" t="str">
        <x:v>English</x:v>
      </x:c>
      <x:c r="C40" s="51" t="str">
        <x:v>English is authoritative</x:v>
      </x:c>
      <x:c r="D40" s="52" t="str"/>
    </x:row>
    <x:row r="41">
      <x:c r="A41" s="50" t="str">
        <x:v>NO</x:v>
      </x:c>
      <x:c r="B41" s="51" t="str">
        <x:v>Norwegian</x:v>
      </x:c>
      <x:c r="C41" s="51" t="str">
        <x:v>Norwegian is authoritative</x:v>
      </x:c>
      <x:c r="D41" s="52" t="str"/>
    </x:row>
    <x:row r="42">
      <x:c r="A42" s="53" t="str">
        <x:v>OT</x:v>
      </x:c>
      <x:c r="B42" s="54" t="str">
        <x:v>Other</x:v>
      </x:c>
      <x:c r="C42" s="54" t="str">
        <x:v>Another language is authoritative; specify details in notes</x:v>
      </x:c>
      <x:c r="D42" s="55" t="str"/>
    </x:row>
    <x:row r="44" ht="25" customHeight="1">
      <x:c r="A44" s="18" t="str">
        <x:v>Jurisdiction</x:v>
      </x:c>
      <x:c r="B44" s="18" t="str">
        <x:v>Jurisdiction</x:v>
      </x:c>
      <x:c r="C44" s="18" t="str">
        <x:v>Jurisdiction</x:v>
      </x:c>
      <x:c r="D44" s="18" t="str">
        <x:v>Jurisdiction</x:v>
      </x:c>
    </x:row>
    <x:row r="45" ht="32" customHeight="1">
      <x:c r="A45" s="47" t="str">
        <x:v>Code</x:v>
      </x:c>
      <x:c r="B45" s="48" t="str">
        <x:v>Option value</x:v>
      </x:c>
      <x:c r="C45" s="48" t="str">
        <x:v>Definition</x:v>
      </x:c>
      <x:c r="D45" s="49" t="str">
        <x:v>Notes</x:v>
      </x:c>
    </x:row>
    <x:row r="46">
      <x:c r="A46" s="50" t="str">
        <x:v>NO</x:v>
      </x:c>
      <x:c r="B46" s="51" t="str">
        <x:v>Norway</x:v>
      </x:c>
      <x:c r="C46" s="51" t="str">
        <x:v>Norwegian jurisdiction</x:v>
      </x:c>
      <x:c r="D46" s="52" t="str"/>
    </x:row>
    <x:row r="47">
      <x:c r="A47" s="50" t="str">
        <x:v>EU</x:v>
      </x:c>
      <x:c r="B47" s="51" t="str">
        <x:v>EU / EEA</x:v>
      </x:c>
      <x:c r="C47" s="51" t="str">
        <x:v>European Union or European Economic Area</x:v>
      </x:c>
      <x:c r="D47" s="52" t="str"/>
    </x:row>
    <x:row r="48">
      <x:c r="A48" s="50" t="str">
        <x:v>INT</x:v>
      </x:c>
      <x:c r="B48" s="51" t="str">
        <x:v>International</x:v>
      </x:c>
      <x:c r="C48" s="51" t="str">
        <x:v>International or scheme-wide scope</x:v>
      </x:c>
      <x:c r="D48" s="52" t="str"/>
    </x:row>
    <x:row r="49">
      <x:c r="A49" s="50" t="str">
        <x:v>MULTI</x:v>
      </x:c>
      <x:c r="B49" s="51" t="str">
        <x:v>Multi-jurisdiction</x:v>
      </x:c>
      <x:c r="C49" s="51" t="str">
        <x:v>Applies across more than one defined jurisdiction</x:v>
      </x:c>
      <x:c r="D49" s="52" t="str"/>
    </x:row>
    <x:row r="50">
      <x:c r="A50" s="50" t="str">
        <x:v>SITE</x:v>
      </x:c>
      <x:c r="B50" s="51" t="str">
        <x:v>Site-specific</x:v>
      </x:c>
      <x:c r="C50" s="51" t="str">
        <x:v>Applies to one site, permit or location</x:v>
      </x:c>
      <x:c r="D50" s="52" t="str"/>
    </x:row>
    <x:row r="51">
      <x:c r="A51" s="53" t="str">
        <x:v>OTH</x:v>
      </x:c>
      <x:c r="B51" s="54" t="str">
        <x:v>Other</x:v>
      </x:c>
      <x:c r="C51" s="54" t="str">
        <x:v>Another jurisdiction; specify details in notes</x:v>
      </x:c>
      <x:c r="D51" s="55" t="str"/>
    </x:row>
    <x:row r="53" ht="25" customHeight="1">
      <x:c r="A53" s="18" t="str">
        <x:v>File format</x:v>
      </x:c>
      <x:c r="B53" s="18" t="str">
        <x:v>File format</x:v>
      </x:c>
      <x:c r="C53" s="18" t="str">
        <x:v>File format</x:v>
      </x:c>
      <x:c r="D53" s="18" t="str">
        <x:v>File format</x:v>
      </x:c>
    </x:row>
    <x:row r="54" ht="32" customHeight="1">
      <x:c r="A54" s="47" t="str">
        <x:v>Code</x:v>
      </x:c>
      <x:c r="B54" s="48" t="str">
        <x:v>Option value</x:v>
      </x:c>
      <x:c r="C54" s="48" t="str">
        <x:v>Definition</x:v>
      </x:c>
      <x:c r="D54" s="49" t="str">
        <x:v>Notes</x:v>
      </x:c>
    </x:row>
    <x:row r="55">
      <x:c r="A55" s="50" t="str">
        <x:v>PDF</x:v>
      </x:c>
      <x:c r="B55" s="51" t="str">
        <x:v>pdf</x:v>
      </x:c>
      <x:c r="C55" s="51" t="str">
        <x:v>Original PDF file</x:v>
      </x:c>
      <x:c r="D55" s="52" t="str"/>
    </x:row>
    <x:row r="56">
      <x:c r="A56" s="50" t="str">
        <x:v>HTML</x:v>
      </x:c>
      <x:c r="B56" s="51" t="str">
        <x:v>html</x:v>
      </x:c>
      <x:c r="C56" s="51" t="str">
        <x:v>Original HTML page or document</x:v>
      </x:c>
      <x:c r="D56" s="52" t="str"/>
    </x:row>
    <x:row r="57">
      <x:c r="A57" s="50" t="str">
        <x:v>XLSX</x:v>
      </x:c>
      <x:c r="B57" s="51" t="str">
        <x:v>xlsx</x:v>
      </x:c>
      <x:c r="C57" s="51" t="str">
        <x:v>Original Excel workbook</x:v>
      </x:c>
      <x:c r="D57" s="52" t="str"/>
    </x:row>
    <x:row r="58">
      <x:c r="A58" s="53" t="str">
        <x:v>ZIP</x:v>
      </x:c>
      <x:c r="B58" s="54" t="str">
        <x:v>zip</x:v>
      </x:c>
      <x:c r="C58" s="54" t="str">
        <x:v>Original ZIP package; extraction requires an explicit rule</x:v>
      </x:c>
      <x:c r="D58" s="55" t="str"/>
    </x:row>
    <x:row r="60" ht="25" customHeight="1">
      <x:c r="A60" s="18" t="str">
        <x:v>Assessment score</x:v>
      </x:c>
      <x:c r="B60" s="18" t="str">
        <x:v>Assessment score</x:v>
      </x:c>
      <x:c r="C60" s="18" t="str">
        <x:v>Assessment score</x:v>
      </x:c>
      <x:c r="D60" s="18" t="str">
        <x:v>Assessment score</x:v>
      </x:c>
    </x:row>
    <x:row r="61" ht="32" customHeight="1">
      <x:c r="A61" s="47" t="str">
        <x:v>Code</x:v>
      </x:c>
      <x:c r="B61" s="48" t="str">
        <x:v>Option value</x:v>
      </x:c>
      <x:c r="C61" s="48" t="str">
        <x:v>Definition</x:v>
      </x:c>
      <x:c r="D61" s="49" t="str">
        <x:v>Notes</x:v>
      </x:c>
    </x:row>
    <x:row r="62">
      <x:c r="A62" s="50" t="str">
        <x:v>L</x:v>
      </x:c>
      <x:c r="B62" s="51" t="str">
        <x:v>LOW</x:v>
      </x:c>
      <x:c r="C62" s="51" t="str">
        <x:v>Does not meet the criterion or evidence is materially insufficient</x:v>
      </x:c>
      <x:c r="D62" s="52" t="str"/>
    </x:row>
    <x:row r="63">
      <x:c r="A63" s="50" t="str">
        <x:v>M</x:v>
      </x:c>
      <x:c r="B63" s="51" t="str">
        <x:v>MEDIUM</x:v>
      </x:c>
      <x:c r="C63" s="51" t="str">
        <x:v>May meet the criterion but requires confirmation</x:v>
      </x:c>
      <x:c r="D63" s="52" t="str"/>
    </x:row>
    <x:row r="64">
      <x:c r="A64" s="53" t="str">
        <x:v>H</x:v>
      </x:c>
      <x:c r="B64" s="54" t="str">
        <x:v>HIGH</x:v>
      </x:c>
      <x:c r="C64" s="54" t="str">
        <x:v>Verified and supported by sufficient evidence</x:v>
      </x:c>
      <x:c r="D64" s="55" t="str"/>
    </x:row>
    <x:row r="66" ht="25" customHeight="1">
      <x:c r="A66" s="18" t="str">
        <x:v>Selection status</x:v>
      </x:c>
      <x:c r="B66" s="18" t="str">
        <x:v>Selection status</x:v>
      </x:c>
      <x:c r="C66" s="18" t="str">
        <x:v>Selection status</x:v>
      </x:c>
      <x:c r="D66" s="18" t="str">
        <x:v>Selection status</x:v>
      </x:c>
    </x:row>
    <x:row r="67" ht="32" customHeight="1">
      <x:c r="A67" s="47" t="str">
        <x:v>Code</x:v>
      </x:c>
      <x:c r="B67" s="48" t="str">
        <x:v>Option value</x:v>
      </x:c>
      <x:c r="C67" s="48" t="str">
        <x:v>Definition</x:v>
      </x:c>
      <x:c r="D67" s="49" t="str">
        <x:v>Notes</x:v>
      </x:c>
    </x:row>
    <x:row r="68">
      <x:c r="A68" s="50" t="str">
        <x:v>P</x:v>
      </x:c>
      <x:c r="B68" s="51" t="str">
        <x:v>PENDING</x:v>
      </x:c>
      <x:c r="C68" s="51" t="str">
        <x:v>At least one mandatory criterion is MEDIUM or incomplete</x:v>
      </x:c>
      <x:c r="D68" s="52" t="str"/>
    </x:row>
    <x:row r="69">
      <x:c r="A69" s="50" t="str">
        <x:v>I</x:v>
      </x:c>
      <x:c r="B69" s="51" t="str">
        <x:v>INCLUDE</x:v>
      </x:c>
      <x:c r="C69" s="51" t="str">
        <x:v>All five mandatory criteria are HIGH</x:v>
      </x:c>
      <x:c r="D69" s="52" t="str"/>
    </x:row>
    <x:row r="70">
      <x:c r="A70" s="53" t="str">
        <x:v>E</x:v>
      </x:c>
      <x:c r="B70" s="54" t="str">
        <x:v>EXCLUDE</x:v>
      </x:c>
      <x:c r="C70" s="54" t="str">
        <x:v>At least one mandatory criterion is LOW</x:v>
      </x:c>
      <x:c r="D70" s="55" t="str"/>
    </x:row>
    <x:row r="72" ht="25" customHeight="1">
      <x:c r="A72" s="18" t="str">
        <x:v>Snapshot status</x:v>
      </x:c>
      <x:c r="B72" s="18" t="str">
        <x:v>Snapshot status</x:v>
      </x:c>
      <x:c r="C72" s="18" t="str">
        <x:v>Snapshot status</x:v>
      </x:c>
      <x:c r="D72" s="18" t="str">
        <x:v>Snapshot status</x:v>
      </x:c>
    </x:row>
    <x:row r="73" ht="32" customHeight="1">
      <x:c r="A73" s="47" t="str">
        <x:v>Code</x:v>
      </x:c>
      <x:c r="B73" s="48" t="str">
        <x:v>Option value</x:v>
      </x:c>
      <x:c r="C73" s="48" t="str">
        <x:v>Definition</x:v>
      </x:c>
      <x:c r="D73" s="49" t="str">
        <x:v>Notes</x:v>
      </x:c>
    </x:row>
    <x:row r="74">
      <x:c r="A74" s="50" t="str">
        <x:v>NC</x:v>
      </x:c>
      <x:c r="B74" s="51" t="str">
        <x:v>NOT_COLLECTED</x:v>
      </x:c>
      <x:c r="C74" s="51" t="str">
        <x:v>No current file has been collected</x:v>
      </x:c>
      <x:c r="D74" s="52" t="str"/>
    </x:row>
    <x:row r="75">
      <x:c r="A75" s="50" t="str">
        <x:v>ST</x:v>
      </x:c>
      <x:c r="B75" s="51" t="str">
        <x:v>STORED</x:v>
      </x:c>
      <x:c r="C75" s="51" t="str">
        <x:v>Current file is stored and locatable</x:v>
      </x:c>
      <x:c r="D75" s="52" t="str"/>
    </x:row>
    <x:row r="76">
      <x:c r="A76" s="53" t="str">
        <x:v>MI</x:v>
      </x:c>
      <x:c r="B76" s="54" t="str">
        <x:v>MISSING</x:v>
      </x:c>
      <x:c r="C76" s="54" t="str">
        <x:v>A registry record exists but the file is missing</x:v>
      </x:c>
      <x:c r="D76" s="55" t="str"/>
    </x:row>
    <x:row r="78" ht="25" customHeight="1">
      <x:c r="A78" s="18" t="str">
        <x:v>Download status</x:v>
      </x:c>
      <x:c r="B78" s="18" t="str">
        <x:v>Download status</x:v>
      </x:c>
      <x:c r="C78" s="18" t="str">
        <x:v>Download status</x:v>
      </x:c>
      <x:c r="D78" s="18" t="str">
        <x:v>Download status</x:v>
      </x:c>
    </x:row>
    <x:row r="79" ht="32" customHeight="1">
      <x:c r="A79" s="47" t="str">
        <x:v>Code</x:v>
      </x:c>
      <x:c r="B79" s="48" t="str">
        <x:v>Option value</x:v>
      </x:c>
      <x:c r="C79" s="48" t="str">
        <x:v>Definition</x:v>
      </x:c>
      <x:c r="D79" s="49" t="str">
        <x:v>Notes</x:v>
      </x:c>
    </x:row>
    <x:row r="80">
      <x:c r="A80" s="50" t="str">
        <x:v>NR</x:v>
      </x:c>
      <x:c r="B80" s="51" t="str">
        <x:v>NOT_RUN</x:v>
      </x:c>
      <x:c r="C80" s="51" t="str">
        <x:v>Automated retrieval has not run</x:v>
      </x:c>
      <x:c r="D80" s="52" t="str"/>
    </x:row>
    <x:row r="81">
      <x:c r="A81" s="50" t="str">
        <x:v>RU</x:v>
      </x:c>
      <x:c r="B81" s="51" t="str">
        <x:v>RUNNING</x:v>
      </x:c>
      <x:c r="C81" s="51" t="str">
        <x:v>Automated retrieval is in progress</x:v>
      </x:c>
      <x:c r="D81" s="52" t="str"/>
    </x:row>
    <x:row r="82">
      <x:c r="A82" s="50" t="str">
        <x:v>SU</x:v>
      </x:c>
      <x:c r="B82" s="51" t="str">
        <x:v>SUCCESS</x:v>
      </x:c>
      <x:c r="C82" s="51" t="str">
        <x:v>Download, validation and safe storage succeeded</x:v>
      </x:c>
      <x:c r="D82" s="52" t="str"/>
    </x:row>
    <x:row r="83">
      <x:c r="A83" s="53" t="str">
        <x:v>FA</x:v>
      </x:c>
      <x:c r="B83" s="54" t="str">
        <x:v>FAIL</x:v>
      </x:c>
      <x:c r="C83" s="54" t="str">
        <x:v>At least one stage failed and requires a recorded reason</x:v>
      </x:c>
      <x:c r="D83" s="55" t="str"/>
    </x:row>
    <x:row r="85" ht="25" customHeight="1">
      <x:c r="A85" s="18" t="str">
        <x:v>Content change</x:v>
      </x:c>
      <x:c r="B85" s="18" t="str">
        <x:v>Content change</x:v>
      </x:c>
      <x:c r="C85" s="18" t="str">
        <x:v>Content change</x:v>
      </x:c>
      <x:c r="D85" s="18" t="str">
        <x:v>Content change</x:v>
      </x:c>
    </x:row>
    <x:row r="86" ht="32" customHeight="1">
      <x:c r="A86" s="47" t="str">
        <x:v>Code</x:v>
      </x:c>
      <x:c r="B86" s="48" t="str">
        <x:v>Option value</x:v>
      </x:c>
      <x:c r="C86" s="48" t="str">
        <x:v>Definition</x:v>
      </x:c>
      <x:c r="D86" s="49" t="str">
        <x:v>Notes</x:v>
      </x:c>
    </x:row>
    <x:row r="87">
      <x:c r="A87" s="50" t="str">
        <x:v>UK</x:v>
      </x:c>
      <x:c r="B87" s="51" t="str">
        <x:v>UNKNOWN</x:v>
      </x:c>
      <x:c r="C87" s="51" t="str">
        <x:v>Content has not been compared</x:v>
      </x:c>
      <x:c r="D87" s="52" t="str"/>
    </x:row>
    <x:row r="88">
      <x:c r="A88" s="50" t="str">
        <x:v>IN</x:v>
      </x:c>
      <x:c r="B88" s="51" t="str">
        <x:v>INITIAL</x:v>
      </x:c>
      <x:c r="C88" s="51" t="str">
        <x:v>First validated collection; no earlier snapshot exists</x:v>
      </x:c>
      <x:c r="D88" s="52" t="str"/>
    </x:row>
    <x:row r="89">
      <x:c r="A89" s="50" t="str">
        <x:v>UN</x:v>
      </x:c>
      <x:c r="B89" s="51" t="str">
        <x:v>UNCHANGED</x:v>
      </x:c>
      <x:c r="C89" s="51" t="str">
        <x:v>Hash matches the current valid file</x:v>
      </x:c>
      <x:c r="D89" s="52" t="str"/>
    </x:row>
    <x:row r="90">
      <x:c r="A90" s="53" t="str">
        <x:v>CH</x:v>
      </x:c>
      <x:c r="B90" s="54" t="str">
        <x:v>CHANGED</x:v>
      </x:c>
      <x:c r="C90" s="54" t="str">
        <x:v>Hash differs and creates a new snapshot</x:v>
      </x:c>
      <x:c r="D90" s="55" t="str"/>
    </x:row>
    <x:row r="92" ht="25" customHeight="1">
      <x:c r="A92" s="18" t="str">
        <x:v>Current origin</x:v>
      </x:c>
      <x:c r="B92" s="18" t="str">
        <x:v>Current origin</x:v>
      </x:c>
      <x:c r="C92" s="18" t="str">
        <x:v>Current origin</x:v>
      </x:c>
      <x:c r="D92" s="18" t="str">
        <x:v>Current origin</x:v>
      </x:c>
    </x:row>
    <x:row r="93" ht="32" customHeight="1">
      <x:c r="A93" s="47" t="str">
        <x:v>Code</x:v>
      </x:c>
      <x:c r="B93" s="48" t="str">
        <x:v>Option value</x:v>
      </x:c>
      <x:c r="C93" s="48" t="str">
        <x:v>Definition</x:v>
      </x:c>
      <x:c r="D93" s="49" t="str">
        <x:v>Notes</x:v>
      </x:c>
    </x:row>
    <x:row r="94">
      <x:c r="A94" s="50" t="str">
        <x:v>NO</x:v>
      </x:c>
      <x:c r="B94" s="51" t="str">
        <x:v>NONE</x:v>
      </x:c>
      <x:c r="C94" s="51" t="str">
        <x:v>No valid file exists</x:v>
      </x:c>
      <x:c r="D94" s="52" t="str"/>
    </x:row>
    <x:row r="95">
      <x:c r="A95" s="50" t="str">
        <x:v>AU</x:v>
      </x:c>
      <x:c r="B95" s="51" t="str">
        <x:v>AUTO</x:v>
      </x:c>
      <x:c r="C95" s="51" t="str">
        <x:v>Current file came from successful automated retrieval</x:v>
      </x:c>
      <x:c r="D95" s="52" t="str"/>
    </x:row>
    <x:row r="96">
      <x:c r="A96" s="53" t="str">
        <x:v>MA</x:v>
      </x:c>
      <x:c r="B96" s="54" t="str">
        <x:v>MANUAL</x:v>
      </x:c>
      <x:c r="C96" s="54" t="str">
        <x:v>Current file came from manual fallback</x:v>
      </x:c>
      <x:c r="D96" s="55" t="str"/>
    </x:row>
    <x:row r="98" ht="25" customHeight="1">
      <x:c r="A98" s="18" t="str">
        <x:v>Failure stage</x:v>
      </x:c>
      <x:c r="B98" s="18" t="str">
        <x:v>Failure stage</x:v>
      </x:c>
      <x:c r="C98" s="18" t="str">
        <x:v>Failure stage</x:v>
      </x:c>
      <x:c r="D98" s="18" t="str">
        <x:v>Failure stage</x:v>
      </x:c>
    </x:row>
    <x:row r="99" ht="32" customHeight="1">
      <x:c r="A99" s="47" t="str">
        <x:v>Code</x:v>
      </x:c>
      <x:c r="B99" s="48" t="str">
        <x:v>Option value</x:v>
      </x:c>
      <x:c r="C99" s="48" t="str">
        <x:v>Definition</x:v>
      </x:c>
      <x:c r="D99" s="49" t="str">
        <x:v>Notes</x:v>
      </x:c>
    </x:row>
    <x:row r="100">
      <x:c r="A100" s="50" t="str">
        <x:v>NON</x:v>
      </x:c>
      <x:c r="B100" s="51" t="str">
        <x:v>NONE</x:v>
      </x:c>
      <x:c r="C100" s="51" t="str">
        <x:v>No failure</x:v>
      </x:c>
      <x:c r="D100" s="52" t="str"/>
    </x:row>
    <x:row r="101">
      <x:c r="A101" s="50" t="str">
        <x:v>CFG</x:v>
      </x:c>
      <x:c r="B101" s="51" t="str">
        <x:v>CONFIG</x:v>
      </x:c>
      <x:c r="C101" s="51" t="str">
        <x:v>Required field, URL, format or folder configuration is invalid</x:v>
      </x:c>
      <x:c r="D101" s="52" t="str"/>
    </x:row>
    <x:row r="102">
      <x:c r="A102" s="50" t="str">
        <x:v>CON</x:v>
      </x:c>
      <x:c r="B102" s="51" t="str">
        <x:v>CONNECTION</x:v>
      </x:c>
      <x:c r="C102" s="51" t="str">
        <x:v>DNS, network or connection failure</x:v>
      </x:c>
      <x:c r="D102" s="52" t="str"/>
    </x:row>
    <x:row r="103">
      <x:c r="A103" s="50" t="str">
        <x:v>HTT</x:v>
      </x:c>
      <x:c r="B103" s="51" t="str">
        <x:v>HTTP</x:v>
      </x:c>
      <x:c r="C103" s="51" t="str">
        <x:v>HTTP status, redirect or permission failure</x:v>
      </x:c>
      <x:c r="D103" s="52" t="str"/>
    </x:row>
    <x:row r="104">
      <x:c r="A104" s="50" t="str">
        <x:v>DOW</x:v>
      </x:c>
      <x:c r="B104" s="51" t="str">
        <x:v>DOWNLOAD</x:v>
      </x:c>
      <x:c r="C104" s="51" t="str">
        <x:v>Interrupted, timed-out or incomplete download</x:v>
      </x:c>
      <x:c r="D104" s="52" t="str"/>
    </x:row>
    <x:row r="105">
      <x:c r="A105" s="50" t="str">
        <x:v>FOR</x:v>
      </x:c>
      <x:c r="B105" s="51" t="str">
        <x:v>FORMAT</x:v>
      </x:c>
      <x:c r="C105" s="51" t="str">
        <x:v>Extension, MIME type or file signature mismatch</x:v>
      </x:c>
      <x:c r="D105" s="52" t="str"/>
    </x:row>
    <x:row r="106">
      <x:c r="A106" s="50" t="str">
        <x:v>CNT</x:v>
      </x:c>
      <x:c r="B106" s="51" t="str">
        <x:v>CONTENT</x:v>
      </x:c>
      <x:c r="C106" s="51" t="str">
        <x:v>Empty file, error page, login page or unreadable content</x:v>
      </x:c>
      <x:c r="D106" s="52" t="str"/>
    </x:row>
    <x:row r="107">
      <x:c r="A107" s="50" t="str">
        <x:v>STO</x:v>
      </x:c>
      <x:c r="B107" s="51" t="str">
        <x:v>STORAGE</x:v>
      </x:c>
      <x:c r="C107" s="51" t="str">
        <x:v>Write, rename or archive failure</x:v>
      </x:c>
      <x:c r="D107" s="52" t="str"/>
    </x:row>
    <x:row r="108">
      <x:c r="A108" s="53" t="str">
        <x:v>UNK</x:v>
      </x:c>
      <x:c r="B108" s="54" t="str">
        <x:v>UNKNOWN</x:v>
      </x:c>
      <x:c r="C108" s="54" t="str">
        <x:v>Failure stage not yet identified</x:v>
      </x:c>
      <x:c r="D108" s="55" t="str"/>
    </x:row>
    <x:row r="110" ht="25" customHeight="1">
      <x:c r="A110" s="18" t="str">
        <x:v>Source status</x:v>
      </x:c>
      <x:c r="B110" s="18" t="str">
        <x:v>Source status</x:v>
      </x:c>
      <x:c r="C110" s="18" t="str">
        <x:v>Source status</x:v>
      </x:c>
      <x:c r="D110" s="18" t="str">
        <x:v>Source status</x:v>
      </x:c>
    </x:row>
    <x:row r="111" ht="32" customHeight="1">
      <x:c r="A111" s="47" t="str">
        <x:v>Code</x:v>
      </x:c>
      <x:c r="B111" s="48" t="str">
        <x:v>Option value</x:v>
      </x:c>
      <x:c r="C111" s="48" t="str">
        <x:v>Definition</x:v>
      </x:c>
      <x:c r="D111" s="49" t="str">
        <x:v>Notes</x:v>
      </x:c>
    </x:row>
    <x:row r="112">
      <x:c r="A112" s="50" t="str">
        <x:v>CU</x:v>
      </x:c>
      <x:c r="B112" s="51" t="str">
        <x:v>CURRENT</x:v>
      </x:c>
      <x:c r="C112" s="51" t="str">
        <x:v>Currently valid source</x:v>
      </x:c>
      <x:c r="D112" s="52" t="str"/>
    </x:row>
    <x:row r="113">
      <x:c r="A113" s="50" t="str">
        <x:v>SU</x:v>
      </x:c>
      <x:c r="B113" s="51" t="str">
        <x:v>SUPERSEDED</x:v>
      </x:c>
      <x:c r="C113" s="51" t="str">
        <x:v>Replaced by a later source or version</x:v>
      </x:c>
      <x:c r="D113" s="52" t="str"/>
    </x:row>
    <x:row r="114">
      <x:c r="A114" s="53" t="str">
        <x:v>WI</x:v>
      </x:c>
      <x:c r="B114" s="54" t="str">
        <x:v>WITHDRAWN</x:v>
      </x:c>
      <x:c r="C114" s="54" t="str">
        <x:v>Withdrawn by the issuer or no longer applicable</x:v>
      </x:c>
      <x:c r="D114" s="55" t="str"/>
    </x:row>
    <x:row r="116" ht="25" customHeight="1">
      <x:c r="A116" s="18" t="str">
        <x:v>Acquisition channel</x:v>
      </x:c>
      <x:c r="B116" s="18" t="str">
        <x:v>Acquisition channel</x:v>
      </x:c>
      <x:c r="C116" s="18" t="str">
        <x:v>Acquisition channel</x:v>
      </x:c>
      <x:c r="D116" s="18" t="str">
        <x:v>Acquisition channel</x:v>
      </x:c>
    </x:row>
    <x:row r="117" ht="32" customHeight="1">
      <x:c r="A117" s="47" t="str">
        <x:v>Code</x:v>
      </x:c>
      <x:c r="B117" s="48" t="str">
        <x:v>Option value</x:v>
      </x:c>
      <x:c r="C117" s="48" t="str">
        <x:v>Definition</x:v>
      </x:c>
      <x:c r="D117" s="49" t="str">
        <x:v>Notes</x:v>
      </x:c>
    </x:row>
    <x:row r="118">
      <x:c r="A118" s="50" t="str">
        <x:v>OW</x:v>
      </x:c>
      <x:c r="B118" s="51" t="str">
        <x:v>OFFICIAL_WEBSITE</x:v>
      </x:c>
      <x:c r="C118" s="51" t="str">
        <x:v>Retrieved from an official public issuer or scheme website</x:v>
      </x:c>
      <x:c r="D118" s="52" t="str"/>
    </x:row>
    <x:row r="119">
      <x:c r="A119" s="50" t="str">
        <x:v>CL</x:v>
      </x:c>
      <x:c r="B119" s="51" t="str">
        <x:v>CLIENT_OR_SITE</x:v>
      </x:c>
      <x:c r="C119" s="51" t="str">
        <x:v>Provided through a client or site-controlled channel</x:v>
      </x:c>
      <x:c r="D119" s="52" t="str"/>
    </x:row>
    <x:row r="120">
      <x:c r="A120" s="50" t="str">
        <x:v>SI</x:v>
      </x:c>
      <x:c r="B120" s="51" t="str">
        <x:v>SUPPLIER_OR_INTEGRATOR</x:v>
      </x:c>
      <x:c r="C120" s="51" t="str">
        <x:v>Provided by a supplier, OEM representative or system integrator</x:v>
      </x:c>
      <x:c r="D120" s="52" t="str"/>
    </x:row>
    <x:row r="121">
      <x:c r="A121" s="50" t="str">
        <x:v>IR</x:v>
      </x:c>
      <x:c r="B121" s="51" t="str">
        <x:v>INTERNAL_REPOSITORY</x:v>
      </x:c>
      <x:c r="C121" s="51" t="str">
        <x:v>Obtained from an authorised controlled internal repository</x:v>
      </x:c>
      <x:c r="D121" s="52" t="str"/>
    </x:row>
    <x:row r="122">
      <x:c r="A122" s="53" t="str">
        <x:v>OT</x:v>
      </x:c>
      <x:c r="B122" s="54" t="str">
        <x:v>OTHER</x:v>
      </x:c>
      <x:c r="C122" s="54" t="str">
        <x:v>Another documented acquisition route</x:v>
      </x:c>
      <x:c r="D122" s="55" t="str"/>
    </x:row>
    <x:row r="124" ht="25" customHeight="1">
      <x:c r="A124" s="18" t="str">
        <x:v>Provenance status</x:v>
      </x:c>
      <x:c r="B124" s="18" t="str">
        <x:v>Provenance status</x:v>
      </x:c>
      <x:c r="C124" s="18" t="str">
        <x:v>Provenance status</x:v>
      </x:c>
      <x:c r="D124" s="18" t="str">
        <x:v>Provenance status</x:v>
      </x:c>
    </x:row>
    <x:row r="125" ht="32" customHeight="1">
      <x:c r="A125" s="47" t="str">
        <x:v>Code</x:v>
      </x:c>
      <x:c r="B125" s="48" t="str">
        <x:v>Option value</x:v>
      </x:c>
      <x:c r="C125" s="48" t="str">
        <x:v>Definition</x:v>
      </x:c>
      <x:c r="D125" s="49" t="str">
        <x:v>Notes</x:v>
      </x:c>
    </x:row>
    <x:row r="126">
      <x:c r="A126" s="50" t="str">
        <x:v>OO</x:v>
      </x:c>
      <x:c r="B126" s="51" t="str">
        <x:v>OFFICIAL_ORIGINAL</x:v>
      </x:c>
      <x:c r="C126" s="51" t="str">
        <x:v>Direct official original or issuer-controlled copy</x:v>
      </x:c>
      <x:c r="D126" s="52" t="str"/>
    </x:row>
    <x:row r="127">
      <x:c r="A127" s="50" t="str">
        <x:v>AC</x:v>
      </x:c>
      <x:c r="B127" s="51" t="str">
        <x:v>AUTHORISED_COPY</x:v>
      </x:c>
      <x:c r="C127" s="51" t="str">
        <x:v>Copy confirmed by the issuer or an authorised responsible party</x:v>
      </x:c>
      <x:c r="D127" s="52" t="str"/>
    </x:row>
    <x:row r="128">
      <x:c r="A128" s="50" t="str">
        <x:v>CC</x:v>
      </x:c>
      <x:c r="B128" s="51" t="str">
        <x:v>CLIENT_PROVIDED_COPY</x:v>
      </x:c>
      <x:c r="C128" s="51" t="str">
        <x:v>Client-provided copy with provenance recorded but authority still assessed separately</x:v>
      </x:c>
      <x:c r="D128" s="52" t="str"/>
    </x:row>
    <x:row r="129">
      <x:c r="A129" s="53" t="str">
        <x:v>UV</x:v>
      </x:c>
      <x:c r="B129" s="54" t="str">
        <x:v>UNVERIFIED</x:v>
      </x:c>
      <x:c r="C129" s="54" t="str">
        <x:v>Authenticity, completeness or authorisation has not been confirmed</x:v>
      </x:c>
      <x:c r="D129" s="55" t="str"/>
    </x:row>
    <x:row r="131" ht="25" customHeight="1">
      <x:c r="A131" s="18" t="str">
        <x:v>Update model</x:v>
      </x:c>
      <x:c r="B131" s="18" t="str">
        <x:v>Update model</x:v>
      </x:c>
      <x:c r="C131" s="18" t="str">
        <x:v>Update model</x:v>
      </x:c>
      <x:c r="D131" s="18" t="str">
        <x:v>Update model</x:v>
      </x:c>
    </x:row>
    <x:row r="132" ht="32" customHeight="1">
      <x:c r="A132" s="47" t="str">
        <x:v>Code</x:v>
      </x:c>
      <x:c r="B132" s="48" t="str">
        <x:v>Option value</x:v>
      </x:c>
      <x:c r="C132" s="48" t="str">
        <x:v>Definition</x:v>
      </x:c>
      <x:c r="D132" s="49" t="str">
        <x:v>Notes</x:v>
      </x:c>
    </x:row>
    <x:row r="133">
      <x:c r="A133" s="50" t="str">
        <x:v>VE</x:v>
      </x:c>
      <x:c r="B133" s="51" t="str">
        <x:v>VERSIONED</x:v>
      </x:c>
      <x:c r="C133" s="51" t="str">
        <x:v>Issuer publishes identifiable versions or revisions</x:v>
      </x:c>
      <x:c r="D133" s="52" t="str"/>
    </x:row>
    <x:row r="134">
      <x:c r="A134" s="50" t="str">
        <x:v>RO</x:v>
      </x:c>
      <x:c r="B134" s="51" t="str">
        <x:v>ROLLING</x:v>
      </x:c>
      <x:c r="C134" s="51" t="str">
        <x:v>Issuer maintains content without a formal version number</x:v>
      </x:c>
      <x:c r="D134" s="52" t="str"/>
    </x:row>
    <x:row r="135">
      <x:c r="A135" s="53" t="str">
        <x:v>UN</x:v>
      </x:c>
      <x:c r="B135" s="54" t="str">
        <x:v>UNKNOWN</x:v>
      </x:c>
      <x:c r="C135" s="54" t="str">
        <x:v>Update pattern has not been confirmed</x:v>
      </x:c>
      <x:c r="D135" s="55" t="str"/>
    </x:row>
  </x:sheetData>
  <x:mergeCells>
    <x:mergeCell ref="A1:D1"/>
    <x:mergeCell ref="A2:D2"/>
    <x:mergeCell ref="A4:D4"/>
    <x:mergeCell ref="A14:D14"/>
    <x:mergeCell ref="A28:D28"/>
    <x:mergeCell ref="A38:D38"/>
    <x:mergeCell ref="A44:D44"/>
    <x:mergeCell ref="A53:D53"/>
    <x:mergeCell ref="A60:D60"/>
    <x:mergeCell ref="A66:D66"/>
    <x:mergeCell ref="A72:D72"/>
    <x:mergeCell ref="A78:D78"/>
    <x:mergeCell ref="A85:D85"/>
    <x:mergeCell ref="A92:D92"/>
    <x:mergeCell ref="A98:D98"/>
    <x:mergeCell ref="A110:D110"/>
    <x:mergeCell ref="A116:D116"/>
    <x:mergeCell ref="A124:D124"/>
    <x:mergeCell ref="A131:D13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5" hidden="0" customWidth="1"/>
    <x:col min="3" max="3" width="34" hidden="0" customWidth="1"/>
    <x:col min="4" max="4" width="30" hidden="0" customWidth="1"/>
    <x:col min="5" max="5" width="32" hidden="0" customWidth="1"/>
    <x:col min="6" max="6" width="28" hidden="0" customWidth="1"/>
    <x:col min="7" max="7" width="12" hidden="0" customWidth="1"/>
    <x:col min="8" max="8" width="48" hidden="0" customWidth="1"/>
    <x:col min="9" max="9" width="17" hidden="0" customWidth="1"/>
    <x:col min="10" max="10" width="28" hidden="0" customWidth="1"/>
    <x:col min="11" max="11" width="18" hidden="0" customWidth="1"/>
    <x:col min="12" max="12" width="20" hidden="0" customWidth="1"/>
    <x:col min="13" max="13" width="16" hidden="0" customWidth="1"/>
    <x:col min="14" max="14" width="15" hidden="0" customWidth="1"/>
    <x:col min="15" max="15" width="22" hidden="0" customWidth="1"/>
    <x:col min="16" max="16" width="25" hidden="0" customWidth="1"/>
    <x:col min="17" max="17" width="24" hidden="0" customWidth="1"/>
    <x:col min="18" max="18" width="55" hidden="0" customWidth="1"/>
    <x:col min="19" max="19" width="18" hidden="0" customWidth="1"/>
    <x:col min="20" max="20" width="18" hidden="0" customWidth="1"/>
    <x:col min="21" max="21" width="18" hidden="0" customWidth="1"/>
    <x:col min="22" max="22" width="16" hidden="0" customWidth="1"/>
    <x:col min="23" max="23" width="19" hidden="0" customWidth="1"/>
    <x:col min="24" max="24" width="21" hidden="0" customWidth="1"/>
    <x:col min="25" max="25" width="17" hidden="0" customWidth="1"/>
    <x:col min="26" max="26" width="18" hidden="0" customWidth="1"/>
    <x:col min="27" max="27" width="19" hidden="0" customWidth="1"/>
    <x:col min="28" max="28" width="19" hidden="0" customWidth="1"/>
    <x:col min="29" max="29" width="18" hidden="0" customWidth="1"/>
    <x:col min="30" max="30" width="17" hidden="0" customWidth="1"/>
    <x:col min="31" max="31" width="21" hidden="0" customWidth="1"/>
    <x:col min="32" max="32" width="20" hidden="0" customWidth="1"/>
    <x:col min="33" max="33" width="22" hidden="0" customWidth="1"/>
    <x:col min="34" max="34" width="18" hidden="0" customWidth="1"/>
    <x:col min="35" max="35" width="42" hidden="0" customWidth="1"/>
    <x:col min="36" max="36" width="21" hidden="0" customWidth="1"/>
    <x:col min="37" max="37" width="30" hidden="0" customWidth="1"/>
    <x:col min="38" max="38" width="18" hidden="0" customWidth="1"/>
    <x:col min="39" max="39" width="20" hidden="0" customWidth="1"/>
    <x:col min="40" max="40" width="46" hidden="0" customWidth="1"/>
    <x:col min="41" max="41" width="24" hidden="0" customWidth="1"/>
    <x:col min="42" max="42" width="23" hidden="0" customWidth="1"/>
    <x:col min="43" max="43" width="18" hidden="0" customWidth="1"/>
    <x:col min="44" max="44" width="40" hidden="0" customWidth="1"/>
  </x:cols>
  <x:sheetData>
    <x:row r="1" ht="26" customHeight="1">
      <x:c r="A1" s="70" t="str">
        <x:v>IDENTITY &amp; FILE</x:v>
      </x:c>
      <x:c r="B1" s="71" t="str">
        <x:v>IDENTITY &amp; FILE</x:v>
      </x:c>
      <x:c r="C1" s="71" t="str">
        <x:v>IDENTITY &amp; FILE</x:v>
      </x:c>
      <x:c r="D1" s="71" t="str">
        <x:v>IDENTITY &amp; FILE</x:v>
      </x:c>
      <x:c r="E1" s="71" t="str">
        <x:v>IDENTITY &amp; FILE</x:v>
      </x:c>
      <x:c r="F1" s="71" t="str">
        <x:v>IDENTITY &amp; FILE</x:v>
      </x:c>
      <x:c r="G1" s="71" t="str">
        <x:v>IDENTITY &amp; FILE</x:v>
      </x:c>
      <x:c r="H1" s="71" t="str">
        <x:v>IDENTITY &amp; FILE</x:v>
      </x:c>
      <x:c r="I1" s="72" t="str">
        <x:v>IDENTITY &amp; FILE</x:v>
      </x:c>
      <x:c r="J1" s="81" t="str">
        <x:v>SOURCE METADATA</x:v>
      </x:c>
      <x:c r="K1" s="82" t="str">
        <x:v>SOURCE METADATA</x:v>
      </x:c>
      <x:c r="L1" s="82" t="str">
        <x:v>SOURCE METADATA</x:v>
      </x:c>
      <x:c r="M1" s="82" t="str">
        <x:v>SOURCE METADATA</x:v>
      </x:c>
      <x:c r="N1" s="83" t="str">
        <x:v>SOURCE METADATA</x:v>
      </x:c>
      <x:c r="O1" s="92" t="str">
        <x:v>CLASSIFICATION</x:v>
      </x:c>
      <x:c r="P1" s="93" t="str">
        <x:v>CLASSIFICATION</x:v>
      </x:c>
      <x:c r="Q1" s="94" t="str">
        <x:v>CLASSIFICATION</x:v>
      </x:c>
      <x:c r="R1" s="103" t="str">
        <x:v>SELECTION ASSESSMENT</x:v>
      </x:c>
      <x:c r="S1" s="104" t="str">
        <x:v>SELECTION ASSESSMENT</x:v>
      </x:c>
      <x:c r="T1" s="104" t="str">
        <x:v>SELECTION ASSESSMENT</x:v>
      </x:c>
      <x:c r="U1" s="104" t="str">
        <x:v>SELECTION ASSESSMENT</x:v>
      </x:c>
      <x:c r="V1" s="104" t="str">
        <x:v>SELECTION ASSESSMENT</x:v>
      </x:c>
      <x:c r="W1" s="104" t="str">
        <x:v>SELECTION ASSESSMENT</x:v>
      </x:c>
      <x:c r="X1" s="104" t="str">
        <x:v>SELECTION ASSESSMENT</x:v>
      </x:c>
      <x:c r="Y1" s="105" t="str">
        <x:v>SELECTION ASSESSMENT</x:v>
      </x:c>
      <x:c r="Z1" s="114" t="str">
        <x:v>AUTOMATED UPDATE &amp; MANUAL FALLBACK</x:v>
      </x:c>
      <x:c r="AA1" s="115" t="str">
        <x:v>AUTOMATED UPDATE &amp; MANUAL FALLBACK</x:v>
      </x:c>
      <x:c r="AB1" s="115" t="str">
        <x:v>AUTOMATED UPDATE &amp; MANUAL FALLBACK</x:v>
      </x:c>
      <x:c r="AC1" s="115" t="str">
        <x:v>AUTOMATED UPDATE &amp; MANUAL FALLBACK</x:v>
      </x:c>
      <x:c r="AD1" s="115" t="str">
        <x:v>AUTOMATED UPDATE &amp; MANUAL FALLBACK</x:v>
      </x:c>
      <x:c r="AE1" s="115" t="str">
        <x:v>AUTOMATED UPDATE &amp; MANUAL FALLBACK</x:v>
      </x:c>
      <x:c r="AF1" s="115" t="str">
        <x:v>AUTOMATED UPDATE &amp; MANUAL FALLBACK</x:v>
      </x:c>
      <x:c r="AG1" s="115" t="str">
        <x:v>AUTOMATED UPDATE &amp; MANUAL FALLBACK</x:v>
      </x:c>
      <x:c r="AH1" s="115" t="str">
        <x:v>AUTOMATED UPDATE &amp; MANUAL FALLBACK</x:v>
      </x:c>
      <x:c r="AI1" s="115" t="str">
        <x:v>AUTOMATED UPDATE &amp; MANUAL FALLBACK</x:v>
      </x:c>
      <x:c r="AJ1" s="115" t="str">
        <x:v>AUTOMATED UPDATE &amp; MANUAL FALLBACK</x:v>
      </x:c>
      <x:c r="AK1" s="116" t="str">
        <x:v>AUTOMATED UPDATE &amp; MANUAL FALLBACK</x:v>
      </x:c>
      <x:c r="AL1" s="125" t="str">
        <x:v>RELATIONSHIPS &amp; NOTES</x:v>
      </x:c>
      <x:c r="AM1" s="126" t="str">
        <x:v>RELATIONSHIPS &amp; NOTES</x:v>
      </x:c>
      <x:c r="AN1" s="127" t="str">
        <x:v>RELATIONSHIPS &amp; NOTES</x:v>
      </x:c>
      <x:c r="AO1" s="70" t="str">
        <x:v>PROVENANCE &amp; APPLICABILITY</x:v>
      </x:c>
      <x:c r="AP1" s="71" t="str">
        <x:v>PROVENANCE &amp; APPLICABILITY</x:v>
      </x:c>
      <x:c r="AQ1" s="71" t="str">
        <x:v>PROVENANCE &amp; APPLICABILITY</x:v>
      </x:c>
      <x:c r="AR1" s="72" t="str">
        <x:v>PROVENANCE &amp; APPLICABILITY</x:v>
      </x:c>
    </x:row>
    <x:row r="2" ht="32" customHeight="1">
      <x:c r="A2" s="29" t="str">
        <x:v>source_id</x:v>
      </x:c>
      <x:c r="B2" s="30" t="str">
        <x:v>snapshot_id</x:v>
      </x:c>
      <x:c r="C2" s="30" t="str">
        <x:v>source_title</x:v>
      </x:c>
      <x:c r="D2" s="30" t="str">
        <x:v>official_url</x:v>
      </x:c>
      <x:c r="E2" s="30" t="str">
        <x:v>retrieval_url</x:v>
      </x:c>
      <x:c r="F2" s="30" t="str">
        <x:v>folder_code</x:v>
      </x:c>
      <x:c r="G2" s="30" t="str">
        <x:v>file_format</x:v>
      </x:c>
      <x:c r="H2" s="30" t="str">
        <x:v>stored_filename</x:v>
      </x:c>
      <x:c r="I2" s="30" t="str">
        <x:v>snapshot_status</x:v>
      </x:c>
      <x:c r="J2" s="30" t="str">
        <x:v>issuer</x:v>
      </x:c>
      <x:c r="K2" s="30" t="str">
        <x:v>jurisdiction</x:v>
      </x:c>
      <x:c r="L2" s="30" t="str">
        <x:v>authoritative_language</x:v>
      </x:c>
      <x:c r="M2" s="30" t="str">
        <x:v>version</x:v>
      </x:c>
      <x:c r="N2" s="30" t="str">
        <x:v>effective_date</x:v>
      </x:c>
      <x:c r="O2" s="30" t="str">
        <x:v>source_family</x:v>
      </x:c>
      <x:c r="P2" s="30" t="str">
        <x:v>document_type</x:v>
      </x:c>
      <x:c r="Q2" s="30" t="str">
        <x:v>requirement_role</x:v>
      </x:c>
      <x:c r="R2" s="30" t="str">
        <x:v>inclusion_rationale</x:v>
      </x:c>
      <x:c r="S2" s="30" t="str">
        <x:v>authority_quality</x:v>
      </x:c>
      <x:c r="T2" s="30" t="str">
        <x:v>scope_relevance</x:v>
      </x:c>
      <x:c r="U2" s="30" t="str">
        <x:v>version_currency</x:v>
      </x:c>
      <x:c r="V2" s="30" t="str">
        <x:v>traceability</x:v>
      </x:c>
      <x:c r="W2" s="30" t="str">
        <x:v>access_permission</x:v>
      </x:c>
      <x:c r="X2" s="30" t="str">
        <x:v>automation_readiness</x:v>
      </x:c>
      <x:c r="Y2" s="30" t="str">
        <x:v>selection_status</x:v>
      </x:c>
      <x:c r="Z2" s="30" t="str">
        <x:v>download_status</x:v>
      </x:c>
      <x:c r="AA2" s="30" t="str">
        <x:v>last_attempt_at</x:v>
      </x:c>
      <x:c r="AB2" s="30" t="str">
        <x:v>last_success_at</x:v>
      </x:c>
      <x:c r="AC2" s="30" t="str">
        <x:v>content_change</x:v>
      </x:c>
      <x:c r="AD2" s="30" t="str">
        <x:v>current_origin</x:v>
      </x:c>
      <x:c r="AE2" s="30" t="str">
        <x:v>current_snapshot_date</x:v>
      </x:c>
      <x:c r="AF2" s="30" t="str">
        <x:v>manual_update_date</x:v>
      </x:c>
      <x:c r="AG2" s="30" t="str">
        <x:v>manual_updated_by</x:v>
      </x:c>
      <x:c r="AH2" s="30" t="str">
        <x:v>failure_stage</x:v>
      </x:c>
      <x:c r="AI2" s="30" t="str">
        <x:v>failure_reason</x:v>
      </x:c>
      <x:c r="AJ2" s="30" t="str">
        <x:v>needs_human_action</x:v>
      </x:c>
      <x:c r="AK2" s="30" t="str">
        <x:v>content_hash</x:v>
      </x:c>
      <x:c r="AL2" s="30" t="str">
        <x:v>source_status</x:v>
      </x:c>
      <x:c r="AM2" s="30" t="str">
        <x:v>primary_source_id</x:v>
      </x:c>
      <x:c r="AN2" s="30" t="str">
        <x:v>notes</x:v>
      </x:c>
      <x:c r="AO2" s="30" t="str">
        <x:v>acquisition_channel</x:v>
      </x:c>
      <x:c r="AP2" s="30" t="str">
        <x:v>provenance_status</x:v>
      </x:c>
      <x:c r="AQ2" s="30" t="str">
        <x:v>update_model</x:v>
      </x:c>
      <x:c r="AR2" s="31" t="str">
        <x:v>applicability_reference</x:v>
      </x:c>
    </x:row>
    <x:row r="3" ht="42" customHeight="1">
      <x:c r="A3" t="str">
        <x:v>PA001</x:v>
      </x:c>
      <x:c r="B3" t="str">
        <x:v>PA001-001</x:v>
      </x:c>
      <x:c r="C3" s="42" t="str">
        <x:v>Act relating to aquaculture (Aquaculture Act)</x:v>
      </x:c>
      <x:c r="D3" s="129" t="str">
        <x:v>https://lovdata.no/dokument/NL/lov/2005-06-17-79</x:v>
      </x:c>
      <x:c r="E3" s="129" t="str">
        <x:v>https://lovdata.no/dokument/NL/lov/2005-06-17-79</x:v>
      </x:c>
      <x:c r="F3" t="str">
        <x:v>A_Public_Authority</x:v>
      </x:c>
      <x:c r="G3" t="str">
        <x:v>html</x:v>
      </x:c>
      <x:c r="H3" t="str">
        <x:v>PA001-001_Act_relating_to_aquaculture_Aquaculture_Act.html</x:v>
      </x:c>
      <x:c r="I3" t="str">
        <x:v>STORED</x:v>
      </x:c>
      <x:c r="J3" t="str">
        <x:v>Norwegian Ministry of Trade, Industry and Fisheries</x:v>
      </x:c>
      <x:c r="K3" t="str">
        <x:v>Norway</x:v>
      </x:c>
      <x:c r="L3" t="str">
        <x:v>Norwegian</x:v>
      </x:c>
      <x:c r="M3" t="str"/>
      <x:c r="N3" s="9"/>
      <x:c r="O3" t="str">
        <x:v>Public authority</x:v>
      </x:c>
      <x:c r="P3" t="str">
        <x:v>Law</x:v>
      </x:c>
      <x:c r="Q3" t="str">
        <x:v>Primary normative</x:v>
      </x:c>
      <x:c r="R3" s="42" t="str">
        <x:v>Official law issued by Norwegian Ministry of Trade, Industry and Fisheries; included because it may impose binding requirements on an in-scope aquaculture asset, activity, permit or certification.</x:v>
      </x:c>
      <x:c r="S3" t="str">
        <x:v>HIGH</x:v>
      </x:c>
      <x:c r="T3" t="str">
        <x:v>HIGH</x:v>
      </x:c>
      <x:c r="U3" t="str">
        <x:v>HIGH</x:v>
      </x:c>
      <x:c r="V3" t="str">
        <x:v>HIGH</x:v>
      </x:c>
      <x:c r="W3" t="str">
        <x:v>HIGH</x:v>
      </x:c>
      <x:c r="X3" t="str">
        <x:v>HIGH</x:v>
      </x:c>
      <x:c r="Y3" t="str">
        <x:f>IF(A3="","",IF(OR(J3="",AO3="",AP3="",AP3="UNVERIFIED",AND(AO3="OFFICIAL_WEBSITE",D3=""),AND(OR(P3="Equipment manual / OEM instruction",Q3="Asset-specific normative"),OR(O3&lt;&gt;"Manufacturer / supplier",AR3="",R3=""))),"PENDING",IF(COUNTIF(S3:W3,"LOW")&gt;0,"EXCLUDE",IF(COUNTIF(S3:W3,"MEDIUM")&gt;0,"PENDING",IF(COUNTIF(S3:W3,"HIGH")=5,"INCLUDE","PENDING")))))</x:f>
        <x:v>INCLUDE</x:v>
      </x:c>
      <x:c r="Z3" t="str">
        <x:v>SUCCESS</x:v>
      </x:c>
      <x:c r="AA3" s="128" t="n">
        <x:v>46262.53069444445</x:v>
      </x:c>
      <x:c r="AB3" s="128" t="n">
        <x:v>46262.53069444445</x:v>
      </x:c>
      <x:c r="AC3" s="128" t="str">
        <x:v>INITIAL</x:v>
      </x:c>
      <x:c r="AD3" s="128" t="str">
        <x:v>AUTO</x:v>
      </x:c>
      <x:c r="AE3" s="128" t="n">
        <x:f>IF(A3="","",IF(AD3="AUTO",AB3,IF(AD3="MANUAL",AF3,"")))</x:f>
        <x:v>46262.53069444445</x:v>
      </x:c>
      <x:c r="AF3" s="9"/>
      <x:c r="AG3" t="str"/>
      <x:c r="AH3" t="str">
        <x:v>NONE</x:v>
      </x:c>
      <x:c r="AI3" s="42" t="str"/>
      <x:c r="AJ3" t="str">
        <x:f>IF(A3="","",IF(OR(Z3="FAIL",AND(AQ3="ROLLING",AC3="CHANGED")),IF(AND(AF3&lt;&gt;"",AF3&gt;=INT(AA3)),"NO","YES"),"NO"))</x:f>
        <x:v>NO</x:v>
      </x:c>
      <x:c r="AK3" t="str">
        <x:v>8c9f2d952806c8dabc44294d197d55654284d98ff63683cae18633b9ab76a967</x:v>
      </x:c>
      <x:c r="AL3" t="str">
        <x:v>CURRENT</x:v>
      </x:c>
      <x:c r="AM3" t="str"/>
      <x:c r="AN3" s="42" t="str">
        <x:v>Project-mentioned candidate. Client scope and applicability are not yet approved.</x:v>
      </x:c>
      <x:c r="AO3" t="str">
        <x:v>OFFICIAL_WEBSITE</x:v>
      </x:c>
      <x:c r="AP3" t="str">
        <x:v>OFFICIAL_ORIGINAL</x:v>
      </x:c>
      <x:c r="AQ3" t="str">
        <x:v>ROLLING</x:v>
      </x:c>
      <x:c r="AR3" s="42" t="str"/>
    </x:row>
    <x:row r="4" ht="42" customHeight="1">
      <x:c r="A4" t="str">
        <x:v>PA002</x:v>
      </x:c>
      <x:c r="B4" t="str">
        <x:v>PA002-001</x:v>
      </x:c>
      <x:c r="C4" s="42" t="str">
        <x:v>Regulation on production areas for sea-based salmon, trout and rainbow trout aquaculture</x:v>
      </x:c>
      <x:c r="D4" s="129" t="str">
        <x:v>https://lovdata.no/dokument/SF/forskrift/2017-01-16-61</x:v>
      </x:c>
      <x:c r="E4" s="129" t="str">
        <x:v>https://lovdata.no/dokument/SF/forskrift/2017-01-16-61</x:v>
      </x:c>
      <x:c r="F4" t="str">
        <x:v>A_Public_Authority</x:v>
      </x:c>
      <x:c r="G4" t="str">
        <x:v>html</x:v>
      </x:c>
      <x:c r="H4" t="str">
        <x:v>PA002-001_Regulation_on_production_areas_for_sea-based_salmon_trout_and_rainbow_trout_aquaculture.html</x:v>
      </x:c>
      <x:c r="I4" t="str">
        <x:v>STORED</x:v>
      </x:c>
      <x:c r="J4" t="str">
        <x:v>Norwegian Ministry of Trade, Industry and Fisheries</x:v>
      </x:c>
      <x:c r="K4" t="str">
        <x:v>Norway</x:v>
      </x:c>
      <x:c r="L4" t="str">
        <x:v>Norwegian</x:v>
      </x:c>
      <x:c r="M4" t="str"/>
      <x:c r="N4" s="9"/>
      <x:c r="O4" t="str">
        <x:v>Public authority</x:v>
      </x:c>
      <x:c r="P4" t="str">
        <x:v>Regulation</x:v>
      </x:c>
      <x:c r="Q4" t="str">
        <x:v>Primary normative</x:v>
      </x:c>
      <x:c r="R4" s="42" t="str">
        <x:v>Official regulation issued by Norwegian Ministry of Trade, Industry and Fisheries; included because it may impose binding requirements on an in-scope aquaculture asset, activity, permit or certification.</x:v>
      </x:c>
      <x:c r="S4" t="str">
        <x:v>HIGH</x:v>
      </x:c>
      <x:c r="T4" t="str">
        <x:v>HIGH</x:v>
      </x:c>
      <x:c r="U4" t="str">
        <x:v>HIGH</x:v>
      </x:c>
      <x:c r="V4" t="str">
        <x:v>HIGH</x:v>
      </x:c>
      <x:c r="W4" t="str">
        <x:v>HIGH</x:v>
      </x:c>
      <x:c r="X4" t="str">
        <x:v>HIGH</x:v>
      </x:c>
      <x:c r="Y4" t="str">
        <x:f>IF(A4="","",IF(OR(J4="",AO4="",AP4="",AP4="UNVERIFIED",AND(AO4="OFFICIAL_WEBSITE",D4=""),AND(OR(P4="Equipment manual / OEM instruction",Q4="Asset-specific normative"),OR(O4&lt;&gt;"Manufacturer / supplier",AR4="",R4=""))),"PENDING",IF(COUNTIF(S4:W4,"LOW")&gt;0,"EXCLUDE",IF(COUNTIF(S4:W4,"MEDIUM")&gt;0,"PENDING",IF(COUNTIF(S4:W4,"HIGH")=5,"INCLUDE","PENDING")))))</x:f>
        <x:v>INCLUDE</x:v>
      </x:c>
      <x:c r="Z4" t="str">
        <x:v>SUCCESS</x:v>
      </x:c>
      <x:c r="AA4" s="128" t="n">
        <x:v>46262.53069444445</x:v>
      </x:c>
      <x:c r="AB4" s="128" t="n">
        <x:v>46262.53069444445</x:v>
      </x:c>
      <x:c r="AC4" s="128" t="str">
        <x:v>INITIAL</x:v>
      </x:c>
      <x:c r="AD4" s="128" t="str">
        <x:v>AUTO</x:v>
      </x:c>
      <x:c r="AE4" s="128" t="n">
        <x:f>IF(A4="","",IF(AD4="AUTO",AB4,IF(AD4="MANUAL",AF4,"")))</x:f>
        <x:v>46262.53069444445</x:v>
      </x:c>
      <x:c r="AF4" s="9"/>
      <x:c r="AG4" t="str"/>
      <x:c r="AH4" t="str">
        <x:v>NONE</x:v>
      </x:c>
      <x:c r="AI4" s="42" t="str"/>
      <x:c r="AJ4" t="str">
        <x:f>IF(A4="","",IF(OR(Z4="FAIL",AND(AQ4="ROLLING",AC4="CHANGED")),IF(AND(AF4&lt;&gt;"",AF4&gt;=INT(AA4)),"NO","YES"),"NO"))</x:f>
        <x:v>NO</x:v>
      </x:c>
      <x:c r="AK4" t="str">
        <x:v>19a632a343fe10fa8262a0ed8df8daa6d3e96e34ff686704da4c28e3671b2833</x:v>
      </x:c>
      <x:c r="AL4" t="str">
        <x:v>CURRENT</x:v>
      </x:c>
      <x:c r="AM4" t="str"/>
      <x:c r="AN4" s="42" t="str">
        <x:v>Project-mentioned candidate. Conditional on species, production area and sea-based operation.</x:v>
      </x:c>
      <x:c r="AO4" t="str">
        <x:v>OFFICIAL_WEBSITE</x:v>
      </x:c>
      <x:c r="AP4" t="str">
        <x:v>OFFICIAL_ORIGINAL</x:v>
      </x:c>
      <x:c r="AQ4" t="str">
        <x:v>ROLLING</x:v>
      </x:c>
      <x:c r="AR4" s="42" t="str"/>
    </x:row>
    <x:row r="5" ht="42" customHeight="1">
      <x:c r="A5" t="str">
        <x:v>PA003</x:v>
      </x:c>
      <x:c r="B5" t="str">
        <x:v>PA003-001</x:v>
      </x:c>
      <x:c r="C5" s="42" t="str">
        <x:v>Regulation on the operation of aquaculture facilities (Aquaculture Operations Regulations)</x:v>
      </x:c>
      <x:c r="D5" s="129" t="str">
        <x:v>https://lovdata.no/dokument/SF/forskrift/2008-06-17-822</x:v>
      </x:c>
      <x:c r="E5" s="129" t="str">
        <x:v>https://lovdata.no/dokument/SF/forskrift/2008-06-17-822</x:v>
      </x:c>
      <x:c r="F5" t="str">
        <x:v>A_Public_Authority</x:v>
      </x:c>
      <x:c r="G5" t="str">
        <x:v>html</x:v>
      </x:c>
      <x:c r="H5" t="str">
        <x:v>PA003-001_Regulation_on_the_operation_of_aquaculture_facilities_Aquaculture_Operations_Regulations.html</x:v>
      </x:c>
      <x:c r="I5" t="str">
        <x:v>STORED</x:v>
      </x:c>
      <x:c r="J5" t="str">
        <x:v>Norwegian Government</x:v>
      </x:c>
      <x:c r="K5" t="str">
        <x:v>Norway</x:v>
      </x:c>
      <x:c r="L5" t="str">
        <x:v>Norwegian</x:v>
      </x:c>
      <x:c r="M5" t="str"/>
      <x:c r="N5" s="9"/>
      <x:c r="O5" t="str">
        <x:v>Public authority</x:v>
      </x:c>
      <x:c r="P5" t="str">
        <x:v>Regulation</x:v>
      </x:c>
      <x:c r="Q5" t="str">
        <x:v>Primary normative</x:v>
      </x:c>
      <x:c r="R5" s="42" t="str">
        <x:v>Official regulation issued by Norwegian Government; included because it may impose binding requirements on an in-scope aquaculture asset, activity, permit or certification.</x:v>
      </x:c>
      <x:c r="S5" t="str">
        <x:v>HIGH</x:v>
      </x:c>
      <x:c r="T5" t="str">
        <x:v>HIGH</x:v>
      </x:c>
      <x:c r="U5" t="str">
        <x:v>HIGH</x:v>
      </x:c>
      <x:c r="V5" t="str">
        <x:v>HIGH</x:v>
      </x:c>
      <x:c r="W5" t="str">
        <x:v>HIGH</x:v>
      </x:c>
      <x:c r="X5" t="str">
        <x:v>HIGH</x:v>
      </x:c>
      <x:c r="Y5" t="str">
        <x:f>IF(A5="","",IF(OR(J5="",AO5="",AP5="",AP5="UNVERIFIED",AND(AO5="OFFICIAL_WEBSITE",D5=""),AND(OR(P5="Equipment manual / OEM instruction",Q5="Asset-specific normative"),OR(O5&lt;&gt;"Manufacturer / supplier",AR5="",R5=""))),"PENDING",IF(COUNTIF(S5:W5,"LOW")&gt;0,"EXCLUDE",IF(COUNTIF(S5:W5,"MEDIUM")&gt;0,"PENDING",IF(COUNTIF(S5:W5,"HIGH")=5,"INCLUDE","PENDING")))))</x:f>
        <x:v>INCLUDE</x:v>
      </x:c>
      <x:c r="Z5" t="str">
        <x:v>SUCCESS</x:v>
      </x:c>
      <x:c r="AA5" s="128" t="n">
        <x:v>46262.53069444445</x:v>
      </x:c>
      <x:c r="AB5" s="128" t="n">
        <x:v>46262.53070601852</x:v>
      </x:c>
      <x:c r="AC5" s="128" t="str">
        <x:v>INITIAL</x:v>
      </x:c>
      <x:c r="AD5" s="128" t="str">
        <x:v>AUTO</x:v>
      </x:c>
      <x:c r="AE5" s="128" t="n">
        <x:f>IF(A5="","",IF(AD5="AUTO",AB5,IF(AD5="MANUAL",AF5,"")))</x:f>
        <x:v>46262.53070601852</x:v>
      </x:c>
      <x:c r="AF5" s="9"/>
      <x:c r="AG5" t="str"/>
      <x:c r="AH5" t="str">
        <x:v>NONE</x:v>
      </x:c>
      <x:c r="AI5" s="42" t="str"/>
      <x:c r="AJ5" t="str">
        <x:f>IF(A5="","",IF(OR(Z5="FAIL",AND(AQ5="ROLLING",AC5="CHANGED")),IF(AND(AF5&lt;&gt;"",AF5&gt;=INT(AA5)),"NO","YES"),"NO"))</x:f>
        <x:v>NO</x:v>
      </x:c>
      <x:c r="AK5" t="str">
        <x:v>81650171c1177e709d49dfe6b19673e4d07f5425b3bbb5cbf8fef92e3421bbea</x:v>
      </x:c>
      <x:c r="AL5" t="str">
        <x:v>CURRENT</x:v>
      </x:c>
      <x:c r="AM5" t="str"/>
      <x:c r="AN5" s="42" t="str">
        <x:v>Project-mentioned candidate. Central operational source; scope confirmation is still required.</x:v>
      </x:c>
      <x:c r="AO5" t="str">
        <x:v>OFFICIAL_WEBSITE</x:v>
      </x:c>
      <x:c r="AP5" t="str">
        <x:v>OFFICIAL_ORIGINAL</x:v>
      </x:c>
      <x:c r="AQ5" t="str">
        <x:v>ROLLING</x:v>
      </x:c>
      <x:c r="AR5" s="42" t="str"/>
    </x:row>
    <x:row r="6" ht="42" customHeight="1">
      <x:c r="A6" t="str">
        <x:v>PA004</x:v>
      </x:c>
      <x:c r="B6" t="str">
        <x:v>PA004-001</x:v>
      </x:c>
      <x:c r="C6" s="42" t="str">
        <x:v>NYTEK23 - Regulation on technical standards for aquaculture facilities for fish in sea, lakes and watercourses</x:v>
      </x:c>
      <x:c r="D6" s="129" t="str">
        <x:v>https://lovdata.no/dokument/SF/forskrift/2022-08-22-1484</x:v>
      </x:c>
      <x:c r="E6" s="129" t="str">
        <x:v>https://lovdata.no/dokument/SF/forskrift/2022-08-22-1484</x:v>
      </x:c>
      <x:c r="F6" t="str">
        <x:v>A_Public_Authority</x:v>
      </x:c>
      <x:c r="G6" t="str">
        <x:v>html</x:v>
      </x:c>
      <x:c r="H6" t="str">
        <x:v>PA004-001_NYTEK23_-_Regulation_on_technical_standards_for_aquaculture_facilities_for_fish_in_sea_lakes_and_watercourses.html</x:v>
      </x:c>
      <x:c r="I6" t="str">
        <x:v>STORED</x:v>
      </x:c>
      <x:c r="J6" t="str">
        <x:v>Norwegian Ministry of Trade, Industry and Fisheries</x:v>
      </x:c>
      <x:c r="K6" t="str">
        <x:v>Norway</x:v>
      </x:c>
      <x:c r="L6" t="str">
        <x:v>Norwegian</x:v>
      </x:c>
      <x:c r="M6" t="str"/>
      <x:c r="N6" s="9"/>
      <x:c r="O6" t="str">
        <x:v>Public authority</x:v>
      </x:c>
      <x:c r="P6" t="str">
        <x:v>Regulation</x:v>
      </x:c>
      <x:c r="Q6" t="str">
        <x:v>Primary normative</x:v>
      </x:c>
      <x:c r="R6" s="42" t="str">
        <x:v>Official regulation issued by Norwegian Ministry of Trade, Industry and Fisheries; included because it may impose binding requirements on an in-scope aquaculture asset, activity, permit or certification.</x:v>
      </x:c>
      <x:c r="S6" t="str">
        <x:v>HIGH</x:v>
      </x:c>
      <x:c r="T6" t="str">
        <x:v>HIGH</x:v>
      </x:c>
      <x:c r="U6" t="str">
        <x:v>HIGH</x:v>
      </x:c>
      <x:c r="V6" t="str">
        <x:v>HIGH</x:v>
      </x:c>
      <x:c r="W6" t="str">
        <x:v>HIGH</x:v>
      </x:c>
      <x:c r="X6" t="str">
        <x:v>HIGH</x:v>
      </x:c>
      <x:c r="Y6" t="str">
        <x:f>IF(A6="","",IF(OR(J6="",AO6="",AP6="",AP6="UNVERIFIED",AND(AO6="OFFICIAL_WEBSITE",D6=""),AND(OR(P6="Equipment manual / OEM instruction",Q6="Asset-specific normative"),OR(O6&lt;&gt;"Manufacturer / supplier",AR6="",R6=""))),"PENDING",IF(COUNTIF(S6:W6,"LOW")&gt;0,"EXCLUDE",IF(COUNTIF(S6:W6,"MEDIUM")&gt;0,"PENDING",IF(COUNTIF(S6:W6,"HIGH")=5,"INCLUDE","PENDING")))))</x:f>
        <x:v>INCLUDE</x:v>
      </x:c>
      <x:c r="Z6" t="str">
        <x:v>SUCCESS</x:v>
      </x:c>
      <x:c r="AA6" s="128" t="n">
        <x:v>46262.53070601852</x:v>
      </x:c>
      <x:c r="AB6" s="128" t="n">
        <x:v>46262.53070601852</x:v>
      </x:c>
      <x:c r="AC6" s="128" t="str">
        <x:v>INITIAL</x:v>
      </x:c>
      <x:c r="AD6" s="128" t="str">
        <x:v>AUTO</x:v>
      </x:c>
      <x:c r="AE6" s="128" t="n">
        <x:f>IF(A6="","",IF(AD6="AUTO",AB6,IF(AD6="MANUAL",AF6,"")))</x:f>
        <x:v>46262.53070601852</x:v>
      </x:c>
      <x:c r="AF6" s="9"/>
      <x:c r="AG6" t="str"/>
      <x:c r="AH6" t="str">
        <x:v>NONE</x:v>
      </x:c>
      <x:c r="AI6" s="42" t="str"/>
      <x:c r="AJ6" t="str">
        <x:f>IF(A6="","",IF(OR(Z6="FAIL",AND(AQ6="ROLLING",AC6="CHANGED")),IF(AND(AF6&lt;&gt;"",AF6&gt;=INT(AA6)),"NO","YES"),"NO"))</x:f>
        <x:v>NO</x:v>
      </x:c>
      <x:c r="AK6" t="str">
        <x:v>a20988ddfe78bcf3d4ab87695f50f2c0f57f542fe77f2b1a66f94a81a993ce17</x:v>
      </x:c>
      <x:c r="AL6" t="str">
        <x:v>CURRENT</x:v>
      </x:c>
      <x:c r="AM6" t="str"/>
      <x:c r="AN6" s="42" t="str">
        <x:v>Project-mentioned candidate. Applies to relevant water-based fish facilities.</x:v>
      </x:c>
      <x:c r="AO6" t="str">
        <x:v>OFFICIAL_WEBSITE</x:v>
      </x:c>
      <x:c r="AP6" t="str">
        <x:v>OFFICIAL_ORIGINAL</x:v>
      </x:c>
      <x:c r="AQ6" t="str">
        <x:v>ROLLING</x:v>
      </x:c>
      <x:c r="AR6" s="42" t="str"/>
    </x:row>
    <x:row r="7" ht="42" customHeight="1">
      <x:c r="A7" t="str">
        <x:v>PA005</x:v>
      </x:c>
      <x:c r="B7" t="str">
        <x:v>PA005-001</x:v>
      </x:c>
      <x:c r="C7" s="42" t="str">
        <x:v>Animal Welfare Act</x:v>
      </x:c>
      <x:c r="D7" s="129" t="str">
        <x:v>https://lovdata.no/dokument/NL/lov/2009-06-19-97</x:v>
      </x:c>
      <x:c r="E7" s="129" t="str">
        <x:v>https://lovdata.no/dokument/NL/lov/2009-06-19-97</x:v>
      </x:c>
      <x:c r="F7" t="str">
        <x:v>A_Public_Authority</x:v>
      </x:c>
      <x:c r="G7" t="str">
        <x:v>html</x:v>
      </x:c>
      <x:c r="H7" t="str">
        <x:v>PA005-001_Animal_Welfare_Act.html</x:v>
      </x:c>
      <x:c r="I7" t="str">
        <x:v>STORED</x:v>
      </x:c>
      <x:c r="J7" t="str">
        <x:v>Norwegian Ministry of Agriculture and Food</x:v>
      </x:c>
      <x:c r="K7" t="str">
        <x:v>Norway</x:v>
      </x:c>
      <x:c r="L7" t="str">
        <x:v>Norwegian</x:v>
      </x:c>
      <x:c r="M7" t="str"/>
      <x:c r="N7" s="9"/>
      <x:c r="O7" t="str">
        <x:v>Public authority</x:v>
      </x:c>
      <x:c r="P7" t="str">
        <x:v>Law</x:v>
      </x:c>
      <x:c r="Q7" t="str">
        <x:v>Primary normative</x:v>
      </x:c>
      <x:c r="R7" s="42" t="str">
        <x:v>Official law issued by Norwegian Ministry of Agriculture and Food; included because it may impose binding requirements on an in-scope aquaculture asset, activity, permit or certification.</x:v>
      </x:c>
      <x:c r="S7" t="str">
        <x:v>HIGH</x:v>
      </x:c>
      <x:c r="T7" t="str">
        <x:v>HIGH</x:v>
      </x:c>
      <x:c r="U7" t="str">
        <x:v>HIGH</x:v>
      </x:c>
      <x:c r="V7" t="str">
        <x:v>HIGH</x:v>
      </x:c>
      <x:c r="W7" t="str">
        <x:v>HIGH</x:v>
      </x:c>
      <x:c r="X7" t="str">
        <x:v>HIGH</x:v>
      </x:c>
      <x:c r="Y7" t="str">
        <x:f>IF(A7="","",IF(OR(J7="",AO7="",AP7="",AP7="UNVERIFIED",AND(AO7="OFFICIAL_WEBSITE",D7=""),AND(OR(P7="Equipment manual / OEM instruction",Q7="Asset-specific normative"),OR(O7&lt;&gt;"Manufacturer / supplier",AR7="",R7=""))),"PENDING",IF(COUNTIF(S7:W7,"LOW")&gt;0,"EXCLUDE",IF(COUNTIF(S7:W7,"MEDIUM")&gt;0,"PENDING",IF(COUNTIF(S7:W7,"HIGH")=5,"INCLUDE","PENDING")))))</x:f>
        <x:v>INCLUDE</x:v>
      </x:c>
      <x:c r="Z7" t="str">
        <x:v>SUCCESS</x:v>
      </x:c>
      <x:c r="AA7" s="128" t="n">
        <x:v>46262.53070601852</x:v>
      </x:c>
      <x:c r="AB7" s="128" t="n">
        <x:v>46262.53070601852</x:v>
      </x:c>
      <x:c r="AC7" s="128" t="str">
        <x:v>INITIAL</x:v>
      </x:c>
      <x:c r="AD7" s="128" t="str">
        <x:v>AUTO</x:v>
      </x:c>
      <x:c r="AE7" s="128" t="n">
        <x:f>IF(A7="","",IF(AD7="AUTO",AB7,IF(AD7="MANUAL",AF7,"")))</x:f>
        <x:v>46262.53070601852</x:v>
      </x:c>
      <x:c r="AF7" s="9"/>
      <x:c r="AG7" t="str"/>
      <x:c r="AH7" t="str">
        <x:v>NONE</x:v>
      </x:c>
      <x:c r="AI7" s="42" t="str"/>
      <x:c r="AJ7" t="str">
        <x:f>IF(A7="","",IF(OR(Z7="FAIL",AND(AQ7="ROLLING",AC7="CHANGED")),IF(AND(AF7&lt;&gt;"",AF7&gt;=INT(AA7)),"NO","YES"),"NO"))</x:f>
        <x:v>NO</x:v>
      </x:c>
      <x:c r="AK7" t="str">
        <x:v>121dce4cf5263302d47a467a612b437ffb1a6c660fb7454b6698101f16ea3808</x:v>
      </x:c>
      <x:c r="AL7" t="str">
        <x:v>CURRENT</x:v>
      </x:c>
      <x:c r="AM7" t="str"/>
      <x:c r="AN7" s="42" t="str">
        <x:v>Project-mentioned candidate covering fish and other aquatic animals.</x:v>
      </x:c>
      <x:c r="AO7" t="str">
        <x:v>OFFICIAL_WEBSITE</x:v>
      </x:c>
      <x:c r="AP7" t="str">
        <x:v>OFFICIAL_ORIGINAL</x:v>
      </x:c>
      <x:c r="AQ7" t="str">
        <x:v>ROLLING</x:v>
      </x:c>
      <x:c r="AR7" s="42" t="str"/>
    </x:row>
    <x:row r="8" ht="42" customHeight="1">
      <x:c r="A8" t="str">
        <x:v>PA006</x:v>
      </x:c>
      <x:c r="B8" t="str">
        <x:v>PA006-001</x:v>
      </x:c>
      <x:c r="C8" s="42" t="str">
        <x:v>Organic Production and Labelling Regulations</x:v>
      </x:c>
      <x:c r="D8" s="129" t="str">
        <x:v>https://lovdata.no/dokument/SF/forskrift/2022-06-11-1171</x:v>
      </x:c>
      <x:c r="E8" s="129" t="str">
        <x:v>https://lovdata.no/dokument/SF/forskrift/2022-06-11-1171</x:v>
      </x:c>
      <x:c r="F8" t="str">
        <x:v>A_Public_Authority</x:v>
      </x:c>
      <x:c r="G8" t="str">
        <x:v>html</x:v>
      </x:c>
      <x:c r="H8" t="str">
        <x:v>PA006-001_Organic_Production_and_Labelling_Regulations.html</x:v>
      </x:c>
      <x:c r="I8" t="str">
        <x:v>STORED</x:v>
      </x:c>
      <x:c r="J8" t="str">
        <x:v>Norwegian Government</x:v>
      </x:c>
      <x:c r="K8" t="str">
        <x:v>Norway</x:v>
      </x:c>
      <x:c r="L8" t="str">
        <x:v>Norwegian</x:v>
      </x:c>
      <x:c r="M8" t="str"/>
      <x:c r="N8" s="9"/>
      <x:c r="O8" t="str">
        <x:v>Public authority</x:v>
      </x:c>
      <x:c r="P8" t="str">
        <x:v>Regulation</x:v>
      </x:c>
      <x:c r="Q8" t="str">
        <x:v>Primary normative</x:v>
      </x:c>
      <x:c r="R8" s="42" t="str">
        <x:v>Official regulation issued by Norwegian Government; included because it may impose binding requirements on an in-scope aquaculture asset, activity, permit or certification.</x:v>
      </x:c>
      <x:c r="S8" t="str">
        <x:v>HIGH</x:v>
      </x:c>
      <x:c r="T8" t="str">
        <x:v>MEDIUM</x:v>
      </x:c>
      <x:c r="U8" t="str">
        <x:v>HIGH</x:v>
      </x:c>
      <x:c r="V8" t="str">
        <x:v>HIGH</x:v>
      </x:c>
      <x:c r="W8" t="str">
        <x:v>HIGH</x:v>
      </x:c>
      <x:c r="X8" t="str">
        <x:v>HIGH</x:v>
      </x:c>
      <x:c r="Y8" t="str">
        <x:f>IF(A8="","",IF(OR(J8="",AO8="",AP8="",AP8="UNVERIFIED",AND(AO8="OFFICIAL_WEBSITE",D8=""),AND(OR(P8="Equipment manual / OEM instruction",Q8="Asset-specific normative"),OR(O8&lt;&gt;"Manufacturer / supplier",AR8="",R8=""))),"PENDING",IF(COUNTIF(S8:W8,"LOW")&gt;0,"EXCLUDE",IF(COUNTIF(S8:W8,"MEDIUM")&gt;0,"PENDING",IF(COUNTIF(S8:W8,"HIGH")=5,"INCLUDE","PENDING")))))</x:f>
        <x:v>PENDING</x:v>
      </x:c>
      <x:c r="Z8" t="str">
        <x:v>SUCCESS</x:v>
      </x:c>
      <x:c r="AA8" s="128" t="n">
        <x:v>46262.53070601852</x:v>
      </x:c>
      <x:c r="AB8" s="128" t="n">
        <x:v>46262.53081018518</x:v>
      </x:c>
      <x:c r="AC8" s="128" t="str">
        <x:v>INITIAL</x:v>
      </x:c>
      <x:c r="AD8" s="128" t="str">
        <x:v>AUTO</x:v>
      </x:c>
      <x:c r="AE8" s="128" t="n">
        <x:f>IF(A8="","",IF(AD8="AUTO",AB8,IF(AD8="MANUAL",AF8,"")))</x:f>
        <x:v>46262.53081018518</x:v>
      </x:c>
      <x:c r="AF8" s="9"/>
      <x:c r="AG8" t="str"/>
      <x:c r="AH8" t="str">
        <x:v>NONE</x:v>
      </x:c>
      <x:c r="AI8" s="42" t="str"/>
      <x:c r="AJ8" t="str">
        <x:f>IF(A8="","",IF(OR(Z8="FAIL",AND(AQ8="ROLLING",AC8="CHANGED")),IF(AND(AF8&lt;&gt;"",AF8&gt;=INT(AA8)),"NO","YES"),"NO"))</x:f>
        <x:v>NO</x:v>
      </x:c>
      <x:c r="AK8" t="str">
        <x:v>18009ae503b2261b56c5c11ddde0a8a7400915f2d1b93894f3ea66085b7ec642</x:v>
      </x:c>
      <x:c r="AL8" t="str">
        <x:v>CURRENT</x:v>
      </x:c>
      <x:c r="AM8" t="str"/>
      <x:c r="AN8" s="42" t="str">
        <x:v>Project-mentioned candidate. Include only for organic production or labelling scope.</x:v>
      </x:c>
      <x:c r="AO8" t="str">
        <x:v>OFFICIAL_WEBSITE</x:v>
      </x:c>
      <x:c r="AP8" t="str">
        <x:v>OFFICIAL_ORIGINAL</x:v>
      </x:c>
      <x:c r="AQ8" t="str">
        <x:v>ROLLING</x:v>
      </x:c>
      <x:c r="AR8" s="42" t="str"/>
    </x:row>
    <x:row r="9" ht="42" customHeight="1">
      <x:c r="A9" t="str">
        <x:v>PA007</x:v>
      </x:c>
      <x:c r="B9" t="str">
        <x:v>PA007-001</x:v>
      </x:c>
      <x:c r="C9" s="42" t="str">
        <x:v>Pollution Control Act</x:v>
      </x:c>
      <x:c r="D9" s="129" t="str">
        <x:v>https://lovdata.no/dokument/NL/lov/1981-03-13-6</x:v>
      </x:c>
      <x:c r="E9" s="129" t="str">
        <x:v>https://lovdata.no/dokument/NL/lov/1981-03-13-6</x:v>
      </x:c>
      <x:c r="F9" t="str">
        <x:v>A_Public_Authority</x:v>
      </x:c>
      <x:c r="G9" t="str">
        <x:v>html</x:v>
      </x:c>
      <x:c r="H9" t="str">
        <x:v>PA007-001_Pollution_Control_Act.html</x:v>
      </x:c>
      <x:c r="I9" t="str">
        <x:v>STORED</x:v>
      </x:c>
      <x:c r="J9" t="str">
        <x:v>Norwegian Ministry of Climate and Environment</x:v>
      </x:c>
      <x:c r="K9" t="str">
        <x:v>Norway</x:v>
      </x:c>
      <x:c r="L9" t="str">
        <x:v>Norwegian</x:v>
      </x:c>
      <x:c r="M9" t="str"/>
      <x:c r="N9" s="9"/>
      <x:c r="O9" t="str">
        <x:v>Public authority</x:v>
      </x:c>
      <x:c r="P9" t="str">
        <x:v>Law</x:v>
      </x:c>
      <x:c r="Q9" t="str">
        <x:v>Primary normative</x:v>
      </x:c>
      <x:c r="R9" s="42" t="str">
        <x:v>Official law issued by Norwegian Ministry of Climate and Environment; included because it may impose binding requirements on an in-scope aquaculture asset, activity, permit or certification.</x:v>
      </x:c>
      <x:c r="S9" t="str">
        <x:v>HIGH</x:v>
      </x:c>
      <x:c r="T9" t="str">
        <x:v>HIGH</x:v>
      </x:c>
      <x:c r="U9" t="str">
        <x:v>HIGH</x:v>
      </x:c>
      <x:c r="V9" t="str">
        <x:v>HIGH</x:v>
      </x:c>
      <x:c r="W9" t="str">
        <x:v>HIGH</x:v>
      </x:c>
      <x:c r="X9" t="str">
        <x:v>HIGH</x:v>
      </x:c>
      <x:c r="Y9" t="str">
        <x:f>IF(A9="","",IF(OR(J9="",AO9="",AP9="",AP9="UNVERIFIED",AND(AO9="OFFICIAL_WEBSITE",D9=""),AND(OR(P9="Equipment manual / OEM instruction",Q9="Asset-specific normative"),OR(O9&lt;&gt;"Manufacturer / supplier",AR9="",R9=""))),"PENDING",IF(COUNTIF(S9:W9,"LOW")&gt;0,"EXCLUDE",IF(COUNTIF(S9:W9,"MEDIUM")&gt;0,"PENDING",IF(COUNTIF(S9:W9,"HIGH")=5,"INCLUDE","PENDING")))))</x:f>
        <x:v>INCLUDE</x:v>
      </x:c>
      <x:c r="Z9" t="str">
        <x:v>SUCCESS</x:v>
      </x:c>
      <x:c r="AA9" s="128" t="n">
        <x:v>46262.53081018518</x:v>
      </x:c>
      <x:c r="AB9" s="128" t="n">
        <x:v>46262.53081018518</x:v>
      </x:c>
      <x:c r="AC9" s="128" t="str">
        <x:v>INITIAL</x:v>
      </x:c>
      <x:c r="AD9" s="128" t="str">
        <x:v>AUTO</x:v>
      </x:c>
      <x:c r="AE9" s="128" t="n">
        <x:f>IF(A9="","",IF(AD9="AUTO",AB9,IF(AD9="MANUAL",AF9,"")))</x:f>
        <x:v>46262.53081018518</x:v>
      </x:c>
      <x:c r="AF9" s="9"/>
      <x:c r="AG9" t="str"/>
      <x:c r="AH9" t="str">
        <x:v>NONE</x:v>
      </x:c>
      <x:c r="AI9" s="42" t="str"/>
      <x:c r="AJ9" t="str">
        <x:f>IF(A9="","",IF(OR(Z9="FAIL",AND(AQ9="ROLLING",AC9="CHANGED")),IF(AND(AF9&lt;&gt;"",AF9&gt;=INT(AA9)),"NO","YES"),"NO"))</x:f>
        <x:v>NO</x:v>
      </x:c>
      <x:c r="AK9" t="str">
        <x:v>6dbac9891bf38811447ed04c583140063ff23e0e1494e59f5ca0aa485b1e5901</x:v>
      </x:c>
      <x:c r="AL9" t="str">
        <x:v>CURRENT</x:v>
      </x:c>
      <x:c r="AM9" t="str"/>
      <x:c r="AN9" s="42" t="str">
        <x:v>Project-mentioned candidate for emissions, waste and pollution permits.</x:v>
      </x:c>
      <x:c r="AO9" t="str">
        <x:v>OFFICIAL_WEBSITE</x:v>
      </x:c>
      <x:c r="AP9" t="str">
        <x:v>OFFICIAL_ORIGINAL</x:v>
      </x:c>
      <x:c r="AQ9" t="str">
        <x:v>ROLLING</x:v>
      </x:c>
      <x:c r="AR9" s="42" t="str"/>
    </x:row>
    <x:row r="10" ht="42" customHeight="1">
      <x:c r="A10" t="str">
        <x:v>PA008</x:v>
      </x:c>
      <x:c r="B10" t="str">
        <x:v>PA008-001</x:v>
      </x:c>
      <x:c r="C10" s="42" t="str">
        <x:v>Water Framework Regulations</x:v>
      </x:c>
      <x:c r="D10" s="129" t="str">
        <x:v>https://lovdata.no/dokument/SF/forskrift/2006-12-15-1446</x:v>
      </x:c>
      <x:c r="E10" s="129" t="str">
        <x:v>https://lovdata.no/dokument/SF/forskrift/2006-12-15-1446</x:v>
      </x:c>
      <x:c r="F10" t="str">
        <x:v>A_Public_Authority</x:v>
      </x:c>
      <x:c r="G10" t="str">
        <x:v>html</x:v>
      </x:c>
      <x:c r="H10" t="str">
        <x:v>PA008-001_Water_Framework_Regulations.html</x:v>
      </x:c>
      <x:c r="I10" t="str">
        <x:v>STORED</x:v>
      </x:c>
      <x:c r="J10" t="str">
        <x:v>Norwegian Government</x:v>
      </x:c>
      <x:c r="K10" t="str">
        <x:v>Norway</x:v>
      </x:c>
      <x:c r="L10" t="str">
        <x:v>Norwegian</x:v>
      </x:c>
      <x:c r="M10" t="str"/>
      <x:c r="N10" s="9"/>
      <x:c r="O10" t="str">
        <x:v>Public authority</x:v>
      </x:c>
      <x:c r="P10" t="str">
        <x:v>Regulation</x:v>
      </x:c>
      <x:c r="Q10" t="str">
        <x:v>Referenced normative</x:v>
      </x:c>
      <x:c r="R10" s="42" t="str">
        <x:v>Official referenced source from Norwegian Government; included because an applicable law, permit or certification scheme may make its provisions binding within the approved scope.</x:v>
      </x:c>
      <x:c r="S10" t="str">
        <x:v>HIGH</x:v>
      </x:c>
      <x:c r="T10" t="str">
        <x:v>MEDIUM</x:v>
      </x:c>
      <x:c r="U10" t="str">
        <x:v>HIGH</x:v>
      </x:c>
      <x:c r="V10" t="str">
        <x:v>HIGH</x:v>
      </x:c>
      <x:c r="W10" t="str">
        <x:v>HIGH</x:v>
      </x:c>
      <x:c r="X10" t="str">
        <x:v>HIGH</x:v>
      </x:c>
      <x:c r="Y10" t="str">
        <x:f>IF(A10="","",IF(OR(J10="",AO10="",AP10="",AP10="UNVERIFIED",AND(AO10="OFFICIAL_WEBSITE",D10=""),AND(OR(P10="Equipment manual / OEM instruction",Q10="Asset-specific normative"),OR(O10&lt;&gt;"Manufacturer / supplier",AR10="",R10=""))),"PENDING",IF(COUNTIF(S10:W10,"LOW")&gt;0,"EXCLUDE",IF(COUNTIF(S10:W10,"MEDIUM")&gt;0,"PENDING",IF(COUNTIF(S10:W10,"HIGH")=5,"INCLUDE","PENDING")))))</x:f>
        <x:v>PENDING</x:v>
      </x:c>
      <x:c r="Z10" t="str">
        <x:v>SUCCESS</x:v>
      </x:c>
      <x:c r="AA10" s="128" t="n">
        <x:v>46262.53081018518</x:v>
      </x:c>
      <x:c r="AB10" s="128" t="n">
        <x:v>46262.53081018518</x:v>
      </x:c>
      <x:c r="AC10" s="128" t="str">
        <x:v>INITIAL</x:v>
      </x:c>
      <x:c r="AD10" s="128" t="str">
        <x:v>AUTO</x:v>
      </x:c>
      <x:c r="AE10" s="128" t="n">
        <x:f>IF(A10="","",IF(AD10="AUTO",AB10,IF(AD10="MANUAL",AF10,"")))</x:f>
        <x:v>46262.53081018518</x:v>
      </x:c>
      <x:c r="AF10" s="9"/>
      <x:c r="AG10" t="str"/>
      <x:c r="AH10" t="str">
        <x:v>NONE</x:v>
      </x:c>
      <x:c r="AI10" s="42" t="str"/>
      <x:c r="AJ10" t="str">
        <x:f>IF(A10="","",IF(OR(Z10="FAIL",AND(AQ10="ROLLING",AC10="CHANGED")),IF(AND(AF10&lt;&gt;"",AF10&gt;=INT(AA10)),"NO","YES"),"NO"))</x:f>
        <x:v>NO</x:v>
      </x:c>
      <x:c r="AK10" t="str">
        <x:v>bc9d9f926fe9f5ba2ee6df81938c45b7f4a20579ab7f7a149a5e9d1432169da2</x:v>
      </x:c>
      <x:c r="AL10" t="str">
        <x:v>CURRENT</x:v>
      </x:c>
      <x:c r="AM10" t="str"/>
      <x:c r="AN10" s="42" t="str">
        <x:v>Project-mentioned candidate. Relevance depends on recipient and water-body assessment.</x:v>
      </x:c>
      <x:c r="AO10" t="str">
        <x:v>OFFICIAL_WEBSITE</x:v>
      </x:c>
      <x:c r="AP10" t="str">
        <x:v>OFFICIAL_ORIGINAL</x:v>
      </x:c>
      <x:c r="AQ10" t="str">
        <x:v>ROLLING</x:v>
      </x:c>
      <x:c r="AR10" s="42" t="str"/>
    </x:row>
    <x:row r="11" ht="42" customHeight="1">
      <x:c r="A11" t="str">
        <x:v>PA009</x:v>
      </x:c>
      <x:c r="B11" t="str">
        <x:v>PA009-001</x:v>
      </x:c>
      <x:c r="C11" s="42" t="str">
        <x:v>Product Control Act</x:v>
      </x:c>
      <x:c r="D11" s="129" t="str">
        <x:v>https://lovdata.no/dokument/NL/lov/1976-06-11-79</x:v>
      </x:c>
      <x:c r="E11" s="129" t="str">
        <x:v>https://lovdata.no/dokument/NL/lov/1976-06-11-79</x:v>
      </x:c>
      <x:c r="F11" t="str">
        <x:v>A_Public_Authority</x:v>
      </x:c>
      <x:c r="G11" t="str">
        <x:v>html</x:v>
      </x:c>
      <x:c r="H11" t="str">
        <x:v>PA009-001_Product_Control_Act.html</x:v>
      </x:c>
      <x:c r="I11" t="str">
        <x:v>STORED</x:v>
      </x:c>
      <x:c r="J11" t="str">
        <x:v>Norwegian Ministry of Climate and Environment</x:v>
      </x:c>
      <x:c r="K11" t="str">
        <x:v>Norway</x:v>
      </x:c>
      <x:c r="L11" t="str">
        <x:v>Norwegian</x:v>
      </x:c>
      <x:c r="M11" t="str"/>
      <x:c r="N11" s="9"/>
      <x:c r="O11" t="str">
        <x:v>Public authority</x:v>
      </x:c>
      <x:c r="P11" t="str">
        <x:v>Law</x:v>
      </x:c>
      <x:c r="Q11" t="str">
        <x:v>Primary normative</x:v>
      </x:c>
      <x:c r="R11" s="42" t="str">
        <x:v>Official law issued by Norwegian Ministry of Climate and Environment; included because it may impose binding requirements on an in-scope aquaculture asset, activity, permit or certification.</x:v>
      </x:c>
      <x:c r="S11" t="str">
        <x:v>HIGH</x:v>
      </x:c>
      <x:c r="T11" t="str">
        <x:v>HIGH</x:v>
      </x:c>
      <x:c r="U11" t="str">
        <x:v>HIGH</x:v>
      </x:c>
      <x:c r="V11" t="str">
        <x:v>HIGH</x:v>
      </x:c>
      <x:c r="W11" t="str">
        <x:v>HIGH</x:v>
      </x:c>
      <x:c r="X11" t="str">
        <x:v>HIGH</x:v>
      </x:c>
      <x:c r="Y11" t="str">
        <x:f>IF(A11="","",IF(OR(J11="",AO11="",AP11="",AP11="UNVERIFIED",AND(AO11="OFFICIAL_WEBSITE",D11=""),AND(OR(P11="Equipment manual / OEM instruction",Q11="Asset-specific normative"),OR(O11&lt;&gt;"Manufacturer / supplier",AR11="",R11=""))),"PENDING",IF(COUNTIF(S11:W11,"LOW")&gt;0,"EXCLUDE",IF(COUNTIF(S11:W11,"MEDIUM")&gt;0,"PENDING",IF(COUNTIF(S11:W11,"HIGH")=5,"INCLUDE","PENDING")))))</x:f>
        <x:v>INCLUDE</x:v>
      </x:c>
      <x:c r="Z11" t="str">
        <x:v>SUCCESS</x:v>
      </x:c>
      <x:c r="AA11" s="128" t="n">
        <x:v>46262.53082175926</x:v>
      </x:c>
      <x:c r="AB11" s="128" t="n">
        <x:v>46262.53082175926</x:v>
      </x:c>
      <x:c r="AC11" s="128" t="str">
        <x:v>INITIAL</x:v>
      </x:c>
      <x:c r="AD11" s="128" t="str">
        <x:v>AUTO</x:v>
      </x:c>
      <x:c r="AE11" s="128" t="n">
        <x:f>IF(A11="","",IF(AD11="AUTO",AB11,IF(AD11="MANUAL",AF11,"")))</x:f>
        <x:v>46262.53082175926</x:v>
      </x:c>
      <x:c r="AF11" s="9"/>
      <x:c r="AG11" t="str"/>
      <x:c r="AH11" t="str">
        <x:v>NONE</x:v>
      </x:c>
      <x:c r="AI11" s="42" t="str"/>
      <x:c r="AJ11" t="str">
        <x:f>IF(A11="","",IF(OR(Z11="FAIL",AND(AQ11="ROLLING",AC11="CHANGED")),IF(AND(AF11&lt;&gt;"",AF11&gt;=INT(AA11)),"NO","YES"),"NO"))</x:f>
        <x:v>NO</x:v>
      </x:c>
      <x:c r="AK11" t="str">
        <x:v>3805399145febb193e5e92fe37c364f9d2e0c87c260acc495f284639e92641a2</x:v>
      </x:c>
      <x:c r="AL11" t="str">
        <x:v>CURRENT</x:v>
      </x:c>
      <x:c r="AM11" t="str"/>
      <x:c r="AN11" s="42" t="str">
        <x:v>Project-mentioned candidate, including substitution duties for harmful products.</x:v>
      </x:c>
      <x:c r="AO11" t="str">
        <x:v>OFFICIAL_WEBSITE</x:v>
      </x:c>
      <x:c r="AP11" t="str">
        <x:v>OFFICIAL_ORIGINAL</x:v>
      </x:c>
      <x:c r="AQ11" t="str">
        <x:v>ROLLING</x:v>
      </x:c>
      <x:c r="AR11" s="42" t="str"/>
    </x:row>
    <x:row r="12" ht="42" customHeight="1">
      <x:c r="A12" t="str">
        <x:v>PA010</x:v>
      </x:c>
      <x:c r="B12" t="str">
        <x:v>PA010-001</x:v>
      </x:c>
      <x:c r="C12" s="42" t="str">
        <x:v>Regulation (EU) 2016/429 on transmissible animal diseases (Animal Health Law)</x:v>
      </x:c>
      <x:c r="D12" s="129" t="str">
        <x:v>https://eur-lex.europa.eu/eli/reg/2016/429/oj</x:v>
      </x:c>
      <x:c r="E12" s="129" t="str">
        <x:v>https://eur-lex.europa.eu/eli/reg/2016/429/oj</x:v>
      </x:c>
      <x:c r="F12" t="str">
        <x:v>A_Public_Authority</x:v>
      </x:c>
      <x:c r="G12" t="str">
        <x:v>html</x:v>
      </x:c>
      <x:c r="H12" t="str">
        <x:v>PA010-001_Regulation_EU_2016_429_on_transmissible_animal_diseases_Animal_Health_Law.html</x:v>
      </x:c>
      <x:c r="I12" t="str">
        <x:v>NOT_COLLECTED</x:v>
      </x:c>
      <x:c r="J12" t="str">
        <x:v>European Parliament and Council of the European Union</x:v>
      </x:c>
      <x:c r="K12" t="str">
        <x:v>EU / EEA</x:v>
      </x:c>
      <x:c r="L12" t="str">
        <x:v>Other</x:v>
      </x:c>
      <x:c r="M12" t="str"/>
      <x:c r="N12" s="9"/>
      <x:c r="O12" t="str">
        <x:v>Public authority</x:v>
      </x:c>
      <x:c r="P12" t="str">
        <x:v>Regulation</x:v>
      </x:c>
      <x:c r="Q12" t="str">
        <x:v>Referenced normative</x:v>
      </x:c>
      <x:c r="R12" s="42" t="str">
        <x:v>Official referenced source from European Parliament and Council of the European Union; included because an applicable law, permit or certification scheme may make its provisions binding within the approved scope.</x:v>
      </x:c>
      <x:c r="S12" t="str">
        <x:v>HIGH</x:v>
      </x:c>
      <x:c r="T12" t="str">
        <x:v>MEDIUM</x:v>
      </x:c>
      <x:c r="U12" t="str">
        <x:v>HIGH</x:v>
      </x:c>
      <x:c r="V12" t="str">
        <x:v>HIGH</x:v>
      </x:c>
      <x:c r="W12" t="str">
        <x:v>HIGH</x:v>
      </x:c>
      <x:c r="X12" t="str">
        <x:v>HIGH</x:v>
      </x:c>
      <x:c r="Y12" t="str">
        <x:f>IF(A12="","",IF(OR(J12="",AO12="",AP12="",AP12="UNVERIFIED",AND(AO12="OFFICIAL_WEBSITE",D12=""),AND(OR(P12="Equipment manual / OEM instruction",Q12="Asset-specific normative"),OR(O12&lt;&gt;"Manufacturer / supplier",AR12="",R12=""))),"PENDING",IF(COUNTIF(S12:W12,"LOW")&gt;0,"EXCLUDE",IF(COUNTIF(S12:W12,"MEDIUM")&gt;0,"PENDING",IF(COUNTIF(S12:W12,"HIGH")=5,"INCLUDE","PENDING")))))</x:f>
        <x:v>PENDING</x:v>
      </x:c>
      <x:c r="Z12" t="str">
        <x:v>FAIL</x:v>
      </x:c>
      <x:c r="AA12" s="128" t="n">
        <x:v>46262.53082175926</x:v>
      </x:c>
      <x:c r="AB12" s="128"/>
      <x:c r="AC12" s="128" t="str">
        <x:v>UNKNOWN</x:v>
      </x:c>
      <x:c r="AD12" s="128" t="str">
        <x:v>NONE</x:v>
      </x:c>
      <x:c r="AE12" s="128" t="str">
        <x:f>IF(A12="","",IF(AD12="AUTO",AB12,IF(AD12="MANUAL",AF12,"")))</x:f>
      </x:c>
      <x:c r="AF12" s="9"/>
      <x:c r="AG12" t="str"/>
      <x:c r="AH12" t="str">
        <x:v>CONTENT</x:v>
      </x:c>
      <x:c r="AI12" s="42" t="str">
        <x:v>HTML content is too small: 0 bytes.</x:v>
      </x:c>
      <x:c r="AJ12" t="str">
        <x:f>IF(A12="","",IF(OR(Z12="FAIL",AND(AQ12="ROLLING",AC12="CHANGED")),IF(AND(AF12&lt;&gt;"",AF12&gt;=INT(AA12)),"NO","YES"),"NO"))</x:f>
        <x:v>YES</x:v>
      </x:c>
      <x:c r="AK12" t="str"/>
      <x:c r="AL12" t="str">
        <x:v>CURRENT</x:v>
      </x:c>
      <x:c r="AM12" t="str"/>
      <x:c r="AN12" s="42" t="str">
        <x:v>Project-mentioned EU source. Verify Norwegian EEA implementation and applicable delegated acts before INCLUDE.</x:v>
      </x:c>
      <x:c r="AO12" t="str">
        <x:v>OFFICIAL_WEBSITE</x:v>
      </x:c>
      <x:c r="AP12" t="str">
        <x:v>OFFICIAL_ORIGINAL</x:v>
      </x:c>
      <x:c r="AQ12" t="str">
        <x:v>ROLLING</x:v>
      </x:c>
      <x:c r="AR12" s="42" t="str"/>
    </x:row>
    <x:row r="13" ht="42" customHeight="1">
      <x:c r="A13" t="str">
        <x:v>PA011</x:v>
      </x:c>
      <x:c r="B13" t="str">
        <x:v>PA011-001</x:v>
      </x:c>
      <x:c r="C13" s="42" t="str">
        <x:v>Working Environment Act</x:v>
      </x:c>
      <x:c r="D13" s="129" t="str">
        <x:v>https://lovdata.no/dokument/NL/lov/2005-06-17-62</x:v>
      </x:c>
      <x:c r="E13" s="129" t="str">
        <x:v>https://lovdata.no/dokument/NL/lov/2005-06-17-62</x:v>
      </x:c>
      <x:c r="F13" t="str">
        <x:v>A_Public_Authority</x:v>
      </x:c>
      <x:c r="G13" t="str">
        <x:v>html</x:v>
      </x:c>
      <x:c r="H13" t="str">
        <x:v>PA011-001_Working_Environment_Act.html</x:v>
      </x:c>
      <x:c r="I13" t="str">
        <x:v>STORED</x:v>
      </x:c>
      <x:c r="J13" t="str">
        <x:v>Norwegian Ministry of Labour and Social Inclusion</x:v>
      </x:c>
      <x:c r="K13" t="str">
        <x:v>Norway</x:v>
      </x:c>
      <x:c r="L13" t="str">
        <x:v>Norwegian</x:v>
      </x:c>
      <x:c r="M13" t="str"/>
      <x:c r="N13" s="9"/>
      <x:c r="O13" t="str">
        <x:v>Public authority</x:v>
      </x:c>
      <x:c r="P13" t="str">
        <x:v>Law</x:v>
      </x:c>
      <x:c r="Q13" t="str">
        <x:v>Primary normative</x:v>
      </x:c>
      <x:c r="R13" s="42" t="str">
        <x:v>Official law issued by Norwegian Ministry of Labour and Social Inclusion; included because it may impose binding requirements on an in-scope aquaculture asset, activity, permit or certification.</x:v>
      </x:c>
      <x:c r="S13" t="str">
        <x:v>HIGH</x:v>
      </x:c>
      <x:c r="T13" t="str">
        <x:v>HIGH</x:v>
      </x:c>
      <x:c r="U13" t="str">
        <x:v>HIGH</x:v>
      </x:c>
      <x:c r="V13" t="str">
        <x:v>HIGH</x:v>
      </x:c>
      <x:c r="W13" t="str">
        <x:v>HIGH</x:v>
      </x:c>
      <x:c r="X13" t="str">
        <x:v>HIGH</x:v>
      </x:c>
      <x:c r="Y13" t="str">
        <x:f>IF(A13="","",IF(OR(J13="",AO13="",AP13="",AP13="UNVERIFIED",AND(AO13="OFFICIAL_WEBSITE",D13=""),AND(OR(P13="Equipment manual / OEM instruction",Q13="Asset-specific normative"),OR(O13&lt;&gt;"Manufacturer / supplier",AR13="",R13=""))),"PENDING",IF(COUNTIF(S13:W13,"LOW")&gt;0,"EXCLUDE",IF(COUNTIF(S13:W13,"MEDIUM")&gt;0,"PENDING",IF(COUNTIF(S13:W13,"HIGH")=5,"INCLUDE","PENDING")))))</x:f>
        <x:v>INCLUDE</x:v>
      </x:c>
      <x:c r="Z13" t="str">
        <x:v>SUCCESS</x:v>
      </x:c>
      <x:c r="AA13" s="128" t="n">
        <x:v>46262.53082175926</x:v>
      </x:c>
      <x:c r="AB13" s="128" t="n">
        <x:v>46262.53082175926</x:v>
      </x:c>
      <x:c r="AC13" s="128" t="str">
        <x:v>INITIAL</x:v>
      </x:c>
      <x:c r="AD13" s="128" t="str">
        <x:v>AUTO</x:v>
      </x:c>
      <x:c r="AE13" s="128" t="n">
        <x:f>IF(A13="","",IF(AD13="AUTO",AB13,IF(AD13="MANUAL",AF13,"")))</x:f>
        <x:v>46262.53082175926</x:v>
      </x:c>
      <x:c r="AF13" s="9"/>
      <x:c r="AG13" t="str"/>
      <x:c r="AH13" t="str">
        <x:v>NONE</x:v>
      </x:c>
      <x:c r="AI13" s="42" t="str"/>
      <x:c r="AJ13" t="str">
        <x:f>IF(A13="","",IF(OR(Z13="FAIL",AND(AQ13="ROLLING",AC13="CHANGED")),IF(AND(AF13&lt;&gt;"",AF13&gt;=INT(AA13)),"NO","YES"),"NO"))</x:f>
        <x:v>NO</x:v>
      </x:c>
      <x:c r="AK13" t="str">
        <x:v>96cec52793e643ff1daf51254216f36e1ac4b2216e80dea9f09161708d0a9170</x:v>
      </x:c>
      <x:c r="AL13" t="str">
        <x:v>CURRENT</x:v>
      </x:c>
      <x:c r="AM13" t="str"/>
      <x:c r="AN13" s="42" t="str">
        <x:v>Project-mentioned candidate for worker health, safety and training.</x:v>
      </x:c>
      <x:c r="AO13" t="str">
        <x:v>OFFICIAL_WEBSITE</x:v>
      </x:c>
      <x:c r="AP13" t="str">
        <x:v>OFFICIAL_ORIGINAL</x:v>
      </x:c>
      <x:c r="AQ13" t="str">
        <x:v>ROLLING</x:v>
      </x:c>
      <x:c r="AR13" s="42" t="str"/>
    </x:row>
    <x:row r="14" ht="42" customHeight="1">
      <x:c r="A14" t="str">
        <x:v>PA012</x:v>
      </x:c>
      <x:c r="B14" t="str">
        <x:v>PA012-001</x:v>
      </x:c>
      <x:c r="C14" s="42" t="str">
        <x:v>Regulations concerning the performance of work, psychosocial working environment, use of work equipment and related technical requirements</x:v>
      </x:c>
      <x:c r="D14" s="129" t="str">
        <x:v>https://lovdata.no/dokument/SF/forskrift/2011-12-06-1357</x:v>
      </x:c>
      <x:c r="E14" s="129" t="str">
        <x:v>https://lovdata.no/dokument/SF/forskrift/2011-12-06-1357</x:v>
      </x:c>
      <x:c r="F14" t="str">
        <x:v>A_Public_Authority</x:v>
      </x:c>
      <x:c r="G14" t="str">
        <x:v>html</x:v>
      </x:c>
      <x:c r="H14" t="str">
        <x:v>PA012-001_Regulations_concerning_the_performance_of_work_psychosocial_working_environment_use_of_work_equipment_and_related_techni.html</x:v>
      </x:c>
      <x:c r="I14" t="str">
        <x:v>STORED</x:v>
      </x:c>
      <x:c r="J14" t="str">
        <x:v>Norwegian Ministry of Labour and Social Inclusion</x:v>
      </x:c>
      <x:c r="K14" t="str">
        <x:v>Norway</x:v>
      </x:c>
      <x:c r="L14" t="str">
        <x:v>Norwegian</x:v>
      </x:c>
      <x:c r="M14" t="str"/>
      <x:c r="N14" s="9"/>
      <x:c r="O14" t="str">
        <x:v>Public authority</x:v>
      </x:c>
      <x:c r="P14" t="str">
        <x:v>Regulation</x:v>
      </x:c>
      <x:c r="Q14" t="str">
        <x:v>Primary normative</x:v>
      </x:c>
      <x:c r="R14" s="42" t="str">
        <x:v>Official regulation issued by Norwegian Ministry of Labour and Social Inclusion; included because it may impose binding requirements on an in-scope aquaculture asset, activity, permit or certification.</x:v>
      </x:c>
      <x:c r="S14" t="str">
        <x:v>HIGH</x:v>
      </x:c>
      <x:c r="T14" t="str">
        <x:v>HIGH</x:v>
      </x:c>
      <x:c r="U14" t="str">
        <x:v>HIGH</x:v>
      </x:c>
      <x:c r="V14" t="str">
        <x:v>HIGH</x:v>
      </x:c>
      <x:c r="W14" t="str">
        <x:v>HIGH</x:v>
      </x:c>
      <x:c r="X14" t="str">
        <x:v>HIGH</x:v>
      </x:c>
      <x:c r="Y14" t="str">
        <x:f>IF(A14="","",IF(OR(J14="",AO14="",AP14="",AP14="UNVERIFIED",AND(AO14="OFFICIAL_WEBSITE",D14=""),AND(OR(P14="Equipment manual / OEM instruction",Q14="Asset-specific normative"),OR(O14&lt;&gt;"Manufacturer / supplier",AR14="",R14=""))),"PENDING",IF(COUNTIF(S14:W14,"LOW")&gt;0,"EXCLUDE",IF(COUNTIF(S14:W14,"MEDIUM")&gt;0,"PENDING",IF(COUNTIF(S14:W14,"HIGH")=5,"INCLUDE","PENDING")))))</x:f>
        <x:v>INCLUDE</x:v>
      </x:c>
      <x:c r="Z14" t="str">
        <x:v>SUCCESS</x:v>
      </x:c>
      <x:c r="AA14" s="128" t="n">
        <x:v>46262.53083333333</x:v>
      </x:c>
      <x:c r="AB14" s="128" t="n">
        <x:v>46262.53083333333</x:v>
      </x:c>
      <x:c r="AC14" s="128" t="str">
        <x:v>INITIAL</x:v>
      </x:c>
      <x:c r="AD14" s="128" t="str">
        <x:v>AUTO</x:v>
      </x:c>
      <x:c r="AE14" s="128" t="n">
        <x:f>IF(A14="","",IF(AD14="AUTO",AB14,IF(AD14="MANUAL",AF14,"")))</x:f>
        <x:v>46262.53083333333</x:v>
      </x:c>
      <x:c r="AF14" s="9"/>
      <x:c r="AG14" t="str"/>
      <x:c r="AH14" t="str">
        <x:v>NONE</x:v>
      </x:c>
      <x:c r="AI14" s="42" t="str"/>
      <x:c r="AJ14" t="str">
        <x:f>IF(A14="","",IF(OR(Z14="FAIL",AND(AQ14="ROLLING",AC14="CHANGED")),IF(AND(AF14&lt;&gt;"",AF14&gt;=INT(AA14)),"NO","YES"),"NO"))</x:f>
        <x:v>NO</x:v>
      </x:c>
      <x:c r="AK14" t="str">
        <x:v>15cc7d1de65ea3277121031dd0c7e4d7b44ea7950fdfbd38df7d402255860e68</x:v>
      </x:c>
      <x:c r="AL14" t="str">
        <x:v>CURRENT</x:v>
      </x:c>
      <x:c r="AM14" t="str"/>
      <x:c r="AN14" s="42" t="str">
        <x:v>Project-mentioned candidate. Applicability depends on work activities and equipment.</x:v>
      </x:c>
      <x:c r="AO14" t="str">
        <x:v>OFFICIAL_WEBSITE</x:v>
      </x:c>
      <x:c r="AP14" t="str">
        <x:v>OFFICIAL_ORIGINAL</x:v>
      </x:c>
      <x:c r="AQ14" t="str">
        <x:v>ROLLING</x:v>
      </x:c>
      <x:c r="AR14" s="42" t="str"/>
    </x:row>
    <x:row r="15" ht="42" customHeight="1">
      <x:c r="A15" t="str">
        <x:v>PA013</x:v>
      </x:c>
      <x:c r="B15" t="str">
        <x:v>PA013-001</x:v>
      </x:c>
      <x:c r="C15" s="42" t="str">
        <x:v>Food Act</x:v>
      </x:c>
      <x:c r="D15" s="129" t="str">
        <x:v>https://lovdata.no/dokument/NL/lov/2003-12-19-124</x:v>
      </x:c>
      <x:c r="E15" s="129" t="str">
        <x:v>https://lovdata.no/dokument/NL/lov/2003-12-19-124</x:v>
      </x:c>
      <x:c r="F15" t="str">
        <x:v>A_Public_Authority</x:v>
      </x:c>
      <x:c r="G15" t="str">
        <x:v>html</x:v>
      </x:c>
      <x:c r="H15" t="str">
        <x:v>PA013-001_Food_Act.html</x:v>
      </x:c>
      <x:c r="I15" t="str">
        <x:v>STORED</x:v>
      </x:c>
      <x:c r="J15" t="str">
        <x:v>Norwegian Government</x:v>
      </x:c>
      <x:c r="K15" t="str">
        <x:v>Norway</x:v>
      </x:c>
      <x:c r="L15" t="str">
        <x:v>Norwegian</x:v>
      </x:c>
      <x:c r="M15" t="str"/>
      <x:c r="N15" s="9"/>
      <x:c r="O15" t="str">
        <x:v>Public authority</x:v>
      </x:c>
      <x:c r="P15" t="str">
        <x:v>Law</x:v>
      </x:c>
      <x:c r="Q15" t="str">
        <x:v>Primary normative</x:v>
      </x:c>
      <x:c r="R15" s="42" t="str">
        <x:v>Official law issued by Norwegian Government; included because it may impose binding requirements on an in-scope aquaculture asset, activity, permit or certification.</x:v>
      </x:c>
      <x:c r="S15" t="str">
        <x:v>HIGH</x:v>
      </x:c>
      <x:c r="T15" t="str">
        <x:v>HIGH</x:v>
      </x:c>
      <x:c r="U15" t="str">
        <x:v>HIGH</x:v>
      </x:c>
      <x:c r="V15" t="str">
        <x:v>HIGH</x:v>
      </x:c>
      <x:c r="W15" t="str">
        <x:v>HIGH</x:v>
      </x:c>
      <x:c r="X15" t="str">
        <x:v>HIGH</x:v>
      </x:c>
      <x:c r="Y15" t="str">
        <x:f>IF(A15="","",IF(OR(J15="",AO15="",AP15="",AP15="UNVERIFIED",AND(AO15="OFFICIAL_WEBSITE",D15=""),AND(OR(P15="Equipment manual / OEM instruction",Q15="Asset-specific normative"),OR(O15&lt;&gt;"Manufacturer / supplier",AR15="",R15=""))),"PENDING",IF(COUNTIF(S15:W15,"LOW")&gt;0,"EXCLUDE",IF(COUNTIF(S15:W15,"MEDIUM")&gt;0,"PENDING",IF(COUNTIF(S15:W15,"HIGH")=5,"INCLUDE","PENDING")))))</x:f>
        <x:v>INCLUDE</x:v>
      </x:c>
      <x:c r="Z15" t="str">
        <x:v>SUCCESS</x:v>
      </x:c>
      <x:c r="AA15" s="128" t="n">
        <x:v>46262.53083333333</x:v>
      </x:c>
      <x:c r="AB15" s="128" t="n">
        <x:v>46262.53083333333</x:v>
      </x:c>
      <x:c r="AC15" s="128" t="str">
        <x:v>INITIAL</x:v>
      </x:c>
      <x:c r="AD15" s="128" t="str">
        <x:v>AUTO</x:v>
      </x:c>
      <x:c r="AE15" s="128" t="n">
        <x:f>IF(A15="","",IF(AD15="AUTO",AB15,IF(AD15="MANUAL",AF15,"")))</x:f>
        <x:v>46262.53083333333</x:v>
      </x:c>
      <x:c r="AF15" s="9"/>
      <x:c r="AG15" t="str"/>
      <x:c r="AH15" t="str">
        <x:v>NONE</x:v>
      </x:c>
      <x:c r="AI15" s="42" t="str"/>
      <x:c r="AJ15" t="str">
        <x:f>IF(A15="","",IF(OR(Z15="FAIL",AND(AQ15="ROLLING",AC15="CHANGED")),IF(AND(AF15&lt;&gt;"",AF15&gt;=INT(AA15)),"NO","YES"),"NO"))</x:f>
        <x:v>NO</x:v>
      </x:c>
      <x:c r="AK15" t="str">
        <x:v>fffe78cee31f4f34218728d0e8d8919b5fe5ccae40e8f41a067757370372d8db</x:v>
      </x:c>
      <x:c r="AL15" t="str">
        <x:v>CURRENT</x:v>
      </x:c>
      <x:c r="AM15" t="str"/>
      <x:c r="AN15" s="42" t="str">
        <x:v>Official expansion from Fiskeridirektoratet risk-management sources; scope confirmation required.</x:v>
      </x:c>
      <x:c r="AO15" t="str">
        <x:v>OFFICIAL_WEBSITE</x:v>
      </x:c>
      <x:c r="AP15" t="str">
        <x:v>OFFICIAL_ORIGINAL</x:v>
      </x:c>
      <x:c r="AQ15" t="str">
        <x:v>ROLLING</x:v>
      </x:c>
      <x:c r="AR15" s="42" t="str"/>
    </x:row>
    <x:row r="16" ht="42" customHeight="1">
      <x:c r="A16" t="str">
        <x:v>PA014</x:v>
      </x:c>
      <x:c r="B16" t="str">
        <x:v>PA014-001</x:v>
      </x:c>
      <x:c r="C16" s="42" t="str">
        <x:v>Animal Health Personnel Act</x:v>
      </x:c>
      <x:c r="D16" s="129" t="str">
        <x:v>https://lovdata.no/dokument/NL/lov/2001-06-15-75</x:v>
      </x:c>
      <x:c r="E16" s="129" t="str">
        <x:v>https://lovdata.no/dokument/NL/lov/2001-06-15-75</x:v>
      </x:c>
      <x:c r="F16" t="str">
        <x:v>A_Public_Authority</x:v>
      </x:c>
      <x:c r="G16" t="str">
        <x:v>html</x:v>
      </x:c>
      <x:c r="H16" t="str">
        <x:v>PA014-001_Animal_Health_Personnel_Act.html</x:v>
      </x:c>
      <x:c r="I16" t="str">
        <x:v>STORED</x:v>
      </x:c>
      <x:c r="J16" t="str">
        <x:v>Norwegian Ministry of Agriculture and Food</x:v>
      </x:c>
      <x:c r="K16" t="str">
        <x:v>Norway</x:v>
      </x:c>
      <x:c r="L16" t="str">
        <x:v>Norwegian</x:v>
      </x:c>
      <x:c r="M16" t="str"/>
      <x:c r="N16" s="9"/>
      <x:c r="O16" t="str">
        <x:v>Public authority</x:v>
      </x:c>
      <x:c r="P16" t="str">
        <x:v>Law</x:v>
      </x:c>
      <x:c r="Q16" t="str">
        <x:v>Primary normative</x:v>
      </x:c>
      <x:c r="R16" s="42" t="str">
        <x:v>Official law issued by Norwegian Ministry of Agriculture and Food; included because it may impose binding requirements on an in-scope aquaculture asset, activity, permit or certification.</x:v>
      </x:c>
      <x:c r="S16" t="str">
        <x:v>HIGH</x:v>
      </x:c>
      <x:c r="T16" t="str">
        <x:v>MEDIUM</x:v>
      </x:c>
      <x:c r="U16" t="str">
        <x:v>HIGH</x:v>
      </x:c>
      <x:c r="V16" t="str">
        <x:v>HIGH</x:v>
      </x:c>
      <x:c r="W16" t="str">
        <x:v>HIGH</x:v>
      </x:c>
      <x:c r="X16" t="str">
        <x:v>HIGH</x:v>
      </x:c>
      <x:c r="Y16" t="str">
        <x:f>IF(A16="","",IF(OR(J16="",AO16="",AP16="",AP16="UNVERIFIED",AND(AO16="OFFICIAL_WEBSITE",D16=""),AND(OR(P16="Equipment manual / OEM instruction",Q16="Asset-specific normative"),OR(O16&lt;&gt;"Manufacturer / supplier",AR16="",R16=""))),"PENDING",IF(COUNTIF(S16:W16,"LOW")&gt;0,"EXCLUDE",IF(COUNTIF(S16:W16,"MEDIUM")&gt;0,"PENDING",IF(COUNTIF(S16:W16,"HIGH")=5,"INCLUDE","PENDING")))))</x:f>
        <x:v>PENDING</x:v>
      </x:c>
      <x:c r="Z16" t="str">
        <x:v>SUCCESS</x:v>
      </x:c>
      <x:c r="AA16" s="128" t="n">
        <x:v>46262.53083333333</x:v>
      </x:c>
      <x:c r="AB16" s="128" t="n">
        <x:v>46262.53084490741</x:v>
      </x:c>
      <x:c r="AC16" s="128" t="str">
        <x:v>INITIAL</x:v>
      </x:c>
      <x:c r="AD16" s="128" t="str">
        <x:v>AUTO</x:v>
      </x:c>
      <x:c r="AE16" s="128" t="n">
        <x:f>IF(A16="","",IF(AD16="AUTO",AB16,IF(AD16="MANUAL",AF16,"")))</x:f>
        <x:v>46262.53084490741</x:v>
      </x:c>
      <x:c r="AF16" s="9"/>
      <x:c r="AG16" t="str"/>
      <x:c r="AH16" t="str">
        <x:v>NONE</x:v>
      </x:c>
      <x:c r="AI16" s="42" t="str"/>
      <x:c r="AJ16" t="str">
        <x:f>IF(A16="","",IF(OR(Z16="FAIL",AND(AQ16="ROLLING",AC16="CHANGED")),IF(AND(AF16&lt;&gt;"",AF16&gt;=INT(AA16)),"NO","YES"),"NO"))</x:f>
        <x:v>NO</x:v>
      </x:c>
      <x:c r="AK16" t="str">
        <x:v>d1f92d2c418243c85675fe93401a76b489b88306833b3478073fa844aa83b30b</x:v>
      </x:c>
      <x:c r="AL16" t="str">
        <x:v>CURRENT</x:v>
      </x:c>
      <x:c r="AM16" t="str"/>
      <x:c r="AN16" s="42" t="str">
        <x:v>Official expansion. Relevant where veterinarians or aquatic animal health personnel perform regulated tasks.</x:v>
      </x:c>
      <x:c r="AO16" t="str">
        <x:v>OFFICIAL_WEBSITE</x:v>
      </x:c>
      <x:c r="AP16" t="str">
        <x:v>OFFICIAL_ORIGINAL</x:v>
      </x:c>
      <x:c r="AQ16" t="str">
        <x:v>ROLLING</x:v>
      </x:c>
      <x:c r="AR16" s="42" t="str"/>
    </x:row>
    <x:row r="17" ht="42" customHeight="1">
      <x:c r="A17" t="str">
        <x:v>PA015</x:v>
      </x:c>
      <x:c r="B17" t="str">
        <x:v>PA015-001</x:v>
      </x:c>
      <x:c r="C17" s="42" t="str">
        <x:v>Regulation on control of salmon lice in aquaculture facilities</x:v>
      </x:c>
      <x:c r="D17" s="129" t="str">
        <x:v>https://lovdata.no/dokument/SF/forskrift/2012-12-05-1140</x:v>
      </x:c>
      <x:c r="E17" s="129" t="str">
        <x:v>https://lovdata.no/dokument/SF/forskrift/2012-12-05-1140</x:v>
      </x:c>
      <x:c r="F17" t="str">
        <x:v>A_Public_Authority</x:v>
      </x:c>
      <x:c r="G17" t="str">
        <x:v>html</x:v>
      </x:c>
      <x:c r="H17" t="str">
        <x:v>PA015-001_Regulation_on_control_of_salmon_lice_in_aquaculture_facilities.html</x:v>
      </x:c>
      <x:c r="I17" t="str">
        <x:v>STORED</x:v>
      </x:c>
      <x:c r="J17" t="str">
        <x:v>Norwegian Ministry of Trade, Industry and Fisheries</x:v>
      </x:c>
      <x:c r="K17" t="str">
        <x:v>Norway</x:v>
      </x:c>
      <x:c r="L17" t="str">
        <x:v>Norwegian</x:v>
      </x:c>
      <x:c r="M17" t="str"/>
      <x:c r="N17" s="9"/>
      <x:c r="O17" t="str">
        <x:v>Public authority</x:v>
      </x:c>
      <x:c r="P17" t="str">
        <x:v>Regulation</x:v>
      </x:c>
      <x:c r="Q17" t="str">
        <x:v>Primary normative</x:v>
      </x:c>
      <x:c r="R17" s="42" t="str">
        <x:v>Official regulation issued by Norwegian Ministry of Trade, Industry and Fisheries; included because it may impose binding requirements on an in-scope aquaculture asset, activity, permit or certification.</x:v>
      </x:c>
      <x:c r="S17" t="str">
        <x:v>HIGH</x:v>
      </x:c>
      <x:c r="T17" t="str">
        <x:v>HIGH</x:v>
      </x:c>
      <x:c r="U17" t="str">
        <x:v>HIGH</x:v>
      </x:c>
      <x:c r="V17" t="str">
        <x:v>HIGH</x:v>
      </x:c>
      <x:c r="W17" t="str">
        <x:v>HIGH</x:v>
      </x:c>
      <x:c r="X17" t="str">
        <x:v>HIGH</x:v>
      </x:c>
      <x:c r="Y17" t="str">
        <x:f>IF(A17="","",IF(OR(J17="",AO17="",AP17="",AP17="UNVERIFIED",AND(AO17="OFFICIAL_WEBSITE",D17=""),AND(OR(P17="Equipment manual / OEM instruction",Q17="Asset-specific normative"),OR(O17&lt;&gt;"Manufacturer / supplier",AR17="",R17=""))),"PENDING",IF(COUNTIF(S17:W17,"LOW")&gt;0,"EXCLUDE",IF(COUNTIF(S17:W17,"MEDIUM")&gt;0,"PENDING",IF(COUNTIF(S17:W17,"HIGH")=5,"INCLUDE","PENDING")))))</x:f>
        <x:v>INCLUDE</x:v>
      </x:c>
      <x:c r="Z17" t="str">
        <x:v>SUCCESS</x:v>
      </x:c>
      <x:c r="AA17" s="128" t="n">
        <x:v>46262.53084490741</x:v>
      </x:c>
      <x:c r="AB17" s="128" t="n">
        <x:v>46262.53084490741</x:v>
      </x:c>
      <x:c r="AC17" s="128" t="str">
        <x:v>INITIAL</x:v>
      </x:c>
      <x:c r="AD17" s="128" t="str">
        <x:v>AUTO</x:v>
      </x:c>
      <x:c r="AE17" s="128" t="n">
        <x:f>IF(A17="","",IF(AD17="AUTO",AB17,IF(AD17="MANUAL",AF17,"")))</x:f>
        <x:v>46262.53084490741</x:v>
      </x:c>
      <x:c r="AF17" s="9"/>
      <x:c r="AG17" t="str"/>
      <x:c r="AH17" t="str">
        <x:v>NONE</x:v>
      </x:c>
      <x:c r="AI17" s="42" t="str"/>
      <x:c r="AJ17" t="str">
        <x:f>IF(A17="","",IF(OR(Z17="FAIL",AND(AQ17="ROLLING",AC17="CHANGED")),IF(AND(AF17&lt;&gt;"",AF17&gt;=INT(AA17)),"NO","YES"),"NO"))</x:f>
        <x:v>NO</x:v>
      </x:c>
      <x:c r="AK17" t="str">
        <x:v>9334a78a021971411e5c8826a2bb16aab1db707d778f6249c9a36b0afc90a4a1</x:v>
      </x:c>
      <x:c r="AL17" t="str">
        <x:v>CURRENT</x:v>
      </x:c>
      <x:c r="AM17" t="str"/>
      <x:c r="AN17" s="42" t="str">
        <x:v>Official expansion from Fiskeridirektoratet risk-management sources; species and operation scope must be confirmed.</x:v>
      </x:c>
      <x:c r="AO17" t="str">
        <x:v>OFFICIAL_WEBSITE</x:v>
      </x:c>
      <x:c r="AP17" t="str">
        <x:v>OFFICIAL_ORIGINAL</x:v>
      </x:c>
      <x:c r="AQ17" t="str">
        <x:v>ROLLING</x:v>
      </x:c>
      <x:c r="AR17" s="42" t="str"/>
    </x:row>
    <x:row r="18" ht="42" customHeight="1">
      <x:c r="A18" t="str">
        <x:v>PA016</x:v>
      </x:c>
      <x:c r="B18" t="str">
        <x:v>PA016-001</x:v>
      </x:c>
      <x:c r="C18" s="42" t="str">
        <x:v>Regulation on internal control to comply with aquaculture legislation (IK-Aquaculture)</x:v>
      </x:c>
      <x:c r="D18" s="129" t="str">
        <x:v>https://lovdata.no/dokument/SF/forskrift/2004-03-19-537</x:v>
      </x:c>
      <x:c r="E18" s="129" t="str">
        <x:v>https://lovdata.no/dokument/SF/forskrift/2004-03-19-537</x:v>
      </x:c>
      <x:c r="F18" t="str">
        <x:v>A_Public_Authority</x:v>
      </x:c>
      <x:c r="G18" t="str">
        <x:v>html</x:v>
      </x:c>
      <x:c r="H18" t="str">
        <x:v>PA016-001_Regulation_on_internal_control_to_comply_with_aquaculture_legislation_IK-Aquaculture.html</x:v>
      </x:c>
      <x:c r="I18" t="str">
        <x:v>STORED</x:v>
      </x:c>
      <x:c r="J18" t="str">
        <x:v>Norwegian Government</x:v>
      </x:c>
      <x:c r="K18" t="str">
        <x:v>Norway</x:v>
      </x:c>
      <x:c r="L18" t="str">
        <x:v>Norwegian</x:v>
      </x:c>
      <x:c r="M18" t="str"/>
      <x:c r="N18" s="9"/>
      <x:c r="O18" t="str">
        <x:v>Public authority</x:v>
      </x:c>
      <x:c r="P18" t="str">
        <x:v>Regulation</x:v>
      </x:c>
      <x:c r="Q18" t="str">
        <x:v>Primary normative</x:v>
      </x:c>
      <x:c r="R18" s="42" t="str">
        <x:v>Official regulation issued by Norwegian Government; included because it may impose binding requirements on an in-scope aquaculture asset, activity, permit or certification.</x:v>
      </x:c>
      <x:c r="S18" t="str">
        <x:v>HIGH</x:v>
      </x:c>
      <x:c r="T18" t="str">
        <x:v>HIGH</x:v>
      </x:c>
      <x:c r="U18" t="str">
        <x:v>HIGH</x:v>
      </x:c>
      <x:c r="V18" t="str">
        <x:v>HIGH</x:v>
      </x:c>
      <x:c r="W18" t="str">
        <x:v>HIGH</x:v>
      </x:c>
      <x:c r="X18" t="str">
        <x:v>HIGH</x:v>
      </x:c>
      <x:c r="Y18" t="str">
        <x:f>IF(A18="","",IF(OR(J18="",AO18="",AP18="",AP18="UNVERIFIED",AND(AO18="OFFICIAL_WEBSITE",D18=""),AND(OR(P18="Equipment manual / OEM instruction",Q18="Asset-specific normative"),OR(O18&lt;&gt;"Manufacturer / supplier",AR18="",R18=""))),"PENDING",IF(COUNTIF(S18:W18,"LOW")&gt;0,"EXCLUDE",IF(COUNTIF(S18:W18,"MEDIUM")&gt;0,"PENDING",IF(COUNTIF(S18:W18,"HIGH")=5,"INCLUDE","PENDING")))))</x:f>
        <x:v>INCLUDE</x:v>
      </x:c>
      <x:c r="Z18" t="str">
        <x:v>SUCCESS</x:v>
      </x:c>
      <x:c r="AA18" s="128" t="n">
        <x:v>46262.53084490741</x:v>
      </x:c>
      <x:c r="AB18" s="128" t="n">
        <x:v>46262.53085648148</x:v>
      </x:c>
      <x:c r="AC18" s="128" t="str">
        <x:v>INITIAL</x:v>
      </x:c>
      <x:c r="AD18" s="128" t="str">
        <x:v>AUTO</x:v>
      </x:c>
      <x:c r="AE18" s="128" t="n">
        <x:f>IF(A18="","",IF(AD18="AUTO",AB18,IF(AD18="MANUAL",AF18,"")))</x:f>
        <x:v>46262.53085648148</x:v>
      </x:c>
      <x:c r="AF18" s="9"/>
      <x:c r="AG18" t="str"/>
      <x:c r="AH18" t="str">
        <x:v>NONE</x:v>
      </x:c>
      <x:c r="AI18" s="42" t="str"/>
      <x:c r="AJ18" t="str">
        <x:f>IF(A18="","",IF(OR(Z18="FAIL",AND(AQ18="ROLLING",AC18="CHANGED")),IF(AND(AF18&lt;&gt;"",AF18&gt;=INT(AA18)),"NO","YES"),"NO"))</x:f>
        <x:v>NO</x:v>
      </x:c>
      <x:c r="AK18" t="str">
        <x:v>a8a24e5e32dfc061868654b4e1fa2c6925b6333aa34a41c952cc66de9710977b</x:v>
      </x:c>
      <x:c r="AL18" t="str">
        <x:v>CURRENT</x:v>
      </x:c>
      <x:c r="AM18" t="str"/>
      <x:c r="AN18" s="42" t="str">
        <x:v>Official expansion. Core management-system candidate for Norwegian aquaculture operations.</x:v>
      </x:c>
      <x:c r="AO18" t="str">
        <x:v>OFFICIAL_WEBSITE</x:v>
      </x:c>
      <x:c r="AP18" t="str">
        <x:v>OFFICIAL_ORIGINAL</x:v>
      </x:c>
      <x:c r="AQ18" t="str">
        <x:v>ROLLING</x:v>
      </x:c>
      <x:c r="AR18" s="42" t="str"/>
    </x:row>
    <x:row r="19" ht="42" customHeight="1">
      <x:c r="A19" t="str">
        <x:v>PA017</x:v>
      </x:c>
      <x:c r="B19" t="str">
        <x:v>PA017-001</x:v>
      </x:c>
      <x:c r="C19" s="42" t="str">
        <x:v>Internal Control Regulations</x:v>
      </x:c>
      <x:c r="D19" s="129" t="str">
        <x:v>https://lovdata.no/dokument/SF/forskrift/1996-12-06-1127</x:v>
      </x:c>
      <x:c r="E19" s="129" t="str">
        <x:v>https://lovdata.no/dokument/SF/forskrift/1996-12-06-1127</x:v>
      </x:c>
      <x:c r="F19" t="str">
        <x:v>A_Public_Authority</x:v>
      </x:c>
      <x:c r="G19" t="str">
        <x:v>html</x:v>
      </x:c>
      <x:c r="H19" t="str">
        <x:v>PA017-001_Internal_Control_Regulations.html</x:v>
      </x:c>
      <x:c r="I19" t="str">
        <x:v>STORED</x:v>
      </x:c>
      <x:c r="J19" t="str">
        <x:v>Norwegian Government</x:v>
      </x:c>
      <x:c r="K19" t="str">
        <x:v>Norway</x:v>
      </x:c>
      <x:c r="L19" t="str">
        <x:v>Norwegian</x:v>
      </x:c>
      <x:c r="M19" t="str"/>
      <x:c r="N19" s="9"/>
      <x:c r="O19" t="str">
        <x:v>Public authority</x:v>
      </x:c>
      <x:c r="P19" t="str">
        <x:v>Regulation</x:v>
      </x:c>
      <x:c r="Q19" t="str">
        <x:v>Primary normative</x:v>
      </x:c>
      <x:c r="R19" s="42" t="str">
        <x:v>Official regulation issued by Norwegian Government; included because it may impose binding requirements on an in-scope aquaculture asset, activity, permit or certification.</x:v>
      </x:c>
      <x:c r="S19" t="str">
        <x:v>HIGH</x:v>
      </x:c>
      <x:c r="T19" t="str">
        <x:v>HIGH</x:v>
      </x:c>
      <x:c r="U19" t="str">
        <x:v>HIGH</x:v>
      </x:c>
      <x:c r="V19" t="str">
        <x:v>HIGH</x:v>
      </x:c>
      <x:c r="W19" t="str">
        <x:v>HIGH</x:v>
      </x:c>
      <x:c r="X19" t="str">
        <x:v>HIGH</x:v>
      </x:c>
      <x:c r="Y19" t="str">
        <x:f>IF(A19="","",IF(OR(J19="",AO19="",AP19="",AP19="UNVERIFIED",AND(AO19="OFFICIAL_WEBSITE",D19=""),AND(OR(P19="Equipment manual / OEM instruction",Q19="Asset-specific normative"),OR(O19&lt;&gt;"Manufacturer / supplier",AR19="",R19=""))),"PENDING",IF(COUNTIF(S19:W19,"LOW")&gt;0,"EXCLUDE",IF(COUNTIF(S19:W19,"MEDIUM")&gt;0,"PENDING",IF(COUNTIF(S19:W19,"HIGH")=5,"INCLUDE","PENDING")))))</x:f>
        <x:v>INCLUDE</x:v>
      </x:c>
      <x:c r="Z19" t="str">
        <x:v>SUCCESS</x:v>
      </x:c>
      <x:c r="AA19" s="128" t="n">
        <x:v>46262.53085648148</x:v>
      </x:c>
      <x:c r="AB19" s="128" t="n">
        <x:v>46262.53085648148</x:v>
      </x:c>
      <x:c r="AC19" s="128" t="str">
        <x:v>INITIAL</x:v>
      </x:c>
      <x:c r="AD19" s="128" t="str">
        <x:v>AUTO</x:v>
      </x:c>
      <x:c r="AE19" s="128" t="n">
        <x:f>IF(A19="","",IF(AD19="AUTO",AB19,IF(AD19="MANUAL",AF19,"")))</x:f>
        <x:v>46262.53085648148</x:v>
      </x:c>
      <x:c r="AF19" s="9"/>
      <x:c r="AG19" t="str"/>
      <x:c r="AH19" t="str">
        <x:v>NONE</x:v>
      </x:c>
      <x:c r="AI19" s="42" t="str"/>
      <x:c r="AJ19" t="str">
        <x:f>IF(A19="","",IF(OR(Z19="FAIL",AND(AQ19="ROLLING",AC19="CHANGED")),IF(AND(AF19&lt;&gt;"",AF19&gt;=INT(AA19)),"NO","YES"),"NO"))</x:f>
        <x:v>NO</x:v>
      </x:c>
      <x:c r="AK19" t="str">
        <x:v>7f640e3626fbd2d3aa9e6f8f0fad328170f26e4a73a9f59fd20ffe74f400b546</x:v>
      </x:c>
      <x:c r="AL19" t="str">
        <x:v>CURRENT</x:v>
      </x:c>
      <x:c r="AM19" t="str"/>
      <x:c r="AN19" s="42" t="str">
        <x:v>Official expansion. Cross-sector HSE internal-control source; overlap with IK-Aquaculture requires later mapping.</x:v>
      </x:c>
      <x:c r="AO19" t="str">
        <x:v>OFFICIAL_WEBSITE</x:v>
      </x:c>
      <x:c r="AP19" t="str">
        <x:v>OFFICIAL_ORIGINAL</x:v>
      </x:c>
      <x:c r="AQ19" t="str">
        <x:v>ROLLING</x:v>
      </x:c>
      <x:c r="AR19" s="42" t="str"/>
    </x:row>
    <x:row r="20" ht="42" customHeight="1">
      <x:c r="A20" t="str">
        <x:v>PA018</x:v>
      </x:c>
      <x:c r="B20" t="str">
        <x:v>PA018-001</x:v>
      </x:c>
      <x:c r="C20" s="42" t="str">
        <x:v>Ship Safety and Security Act</x:v>
      </x:c>
      <x:c r="D20" s="129" t="str">
        <x:v>https://lovdata.no/dokument/NL/lov/2007-02-16-9</x:v>
      </x:c>
      <x:c r="E20" s="129" t="str">
        <x:v>https://lovdata.no/dokument/NL/lov/2007-02-16-9</x:v>
      </x:c>
      <x:c r="F20" t="str">
        <x:v>A_Public_Authority</x:v>
      </x:c>
      <x:c r="G20" t="str">
        <x:v>html</x:v>
      </x:c>
      <x:c r="H20" t="str">
        <x:v>PA018-001_Ship_Safety_and_Security_Act.html</x:v>
      </x:c>
      <x:c r="I20" t="str">
        <x:v>STORED</x:v>
      </x:c>
      <x:c r="J20" t="str">
        <x:v>Norwegian Government</x:v>
      </x:c>
      <x:c r="K20" t="str">
        <x:v>Norway</x:v>
      </x:c>
      <x:c r="L20" t="str">
        <x:v>Norwegian</x:v>
      </x:c>
      <x:c r="M20" t="str"/>
      <x:c r="N20" s="9"/>
      <x:c r="O20" t="str">
        <x:v>Public authority</x:v>
      </x:c>
      <x:c r="P20" t="str">
        <x:v>Law</x:v>
      </x:c>
      <x:c r="Q20" t="str">
        <x:v>Primary normative</x:v>
      </x:c>
      <x:c r="R20" s="42" t="str">
        <x:v>Official law issued by Norwegian Government; included because it may impose binding requirements on an in-scope aquaculture asset, activity, permit or certification.</x:v>
      </x:c>
      <x:c r="S20" t="str">
        <x:v>HIGH</x:v>
      </x:c>
      <x:c r="T20" t="str">
        <x:v>MEDIUM</x:v>
      </x:c>
      <x:c r="U20" t="str">
        <x:v>HIGH</x:v>
      </x:c>
      <x:c r="V20" t="str">
        <x:v>HIGH</x:v>
      </x:c>
      <x:c r="W20" t="str">
        <x:v>HIGH</x:v>
      </x:c>
      <x:c r="X20" t="str">
        <x:v>HIGH</x:v>
      </x:c>
      <x:c r="Y20" t="str">
        <x:f>IF(A20="","",IF(OR(J20="",AO20="",AP20="",AP20="UNVERIFIED",AND(AO20="OFFICIAL_WEBSITE",D20=""),AND(OR(P20="Equipment manual / OEM instruction",Q20="Asset-specific normative"),OR(O20&lt;&gt;"Manufacturer / supplier",AR20="",R20=""))),"PENDING",IF(COUNTIF(S20:W20,"LOW")&gt;0,"EXCLUDE",IF(COUNTIF(S20:W20,"MEDIUM")&gt;0,"PENDING",IF(COUNTIF(S20:W20,"HIGH")=5,"INCLUDE","PENDING")))))</x:f>
        <x:v>PENDING</x:v>
      </x:c>
      <x:c r="Z20" t="str">
        <x:v>SUCCESS</x:v>
      </x:c>
      <x:c r="AA20" s="128" t="n">
        <x:v>46262.53085648148</x:v>
      </x:c>
      <x:c r="AB20" s="128" t="n">
        <x:v>46262.53086805555</x:v>
      </x:c>
      <x:c r="AC20" s="128" t="str">
        <x:v>INITIAL</x:v>
      </x:c>
      <x:c r="AD20" s="128" t="str">
        <x:v>AUTO</x:v>
      </x:c>
      <x:c r="AE20" s="128" t="n">
        <x:f>IF(A20="","",IF(AD20="AUTO",AB20,IF(AD20="MANUAL",AF20,"")))</x:f>
        <x:v>46262.53086805555</x:v>
      </x:c>
      <x:c r="AF20" s="9"/>
      <x:c r="AG20" t="str"/>
      <x:c r="AH20" t="str">
        <x:v>NONE</x:v>
      </x:c>
      <x:c r="AI20" s="42" t="str"/>
      <x:c r="AJ20" t="str">
        <x:f>IF(A20="","",IF(OR(Z20="FAIL",AND(AQ20="ROLLING",AC20="CHANGED")),IF(AND(AF20&lt;&gt;"",AF20&gt;=INT(AA20)),"NO","YES"),"NO"))</x:f>
        <x:v>NO</x:v>
      </x:c>
      <x:c r="AK20" t="str">
        <x:v>535ce0ef3c8d36ecc15baf5c64f069fdb5f62dd72579d24e1c6157acc8cdf009</x:v>
      </x:c>
      <x:c r="AL20" t="str">
        <x:v>CURRENT</x:v>
      </x:c>
      <x:c r="AM20" t="str"/>
      <x:c r="AN20" s="42" t="str">
        <x:v>Official expansion. Conditional on vessels and maritime operations within client scope.</x:v>
      </x:c>
      <x:c r="AO20" t="str">
        <x:v>OFFICIAL_WEBSITE</x:v>
      </x:c>
      <x:c r="AP20" t="str">
        <x:v>OFFICIAL_ORIGINAL</x:v>
      </x:c>
      <x:c r="AQ20" t="str">
        <x:v>ROLLING</x:v>
      </x:c>
      <x:c r="AR20" s="42" t="str"/>
    </x:row>
    <x:row r="21" ht="42" customHeight="1">
      <x:c r="A21" t="str">
        <x:v>PA019</x:v>
      </x:c>
      <x:c r="B21" t="str">
        <x:v>PA019-001</x:v>
      </x:c>
      <x:c r="C21" s="42" t="str">
        <x:v>Regulation on transport of aquaculture animals</x:v>
      </x:c>
      <x:c r="D21" s="129" t="str">
        <x:v>https://lovdata.no/dokument/SF/forskrift/2008-06-17-820</x:v>
      </x:c>
      <x:c r="E21" s="129" t="str">
        <x:v>https://lovdata.no/dokument/SF/forskrift/2008-06-17-820</x:v>
      </x:c>
      <x:c r="F21" t="str">
        <x:v>A_Public_Authority</x:v>
      </x:c>
      <x:c r="G21" t="str">
        <x:v>html</x:v>
      </x:c>
      <x:c r="H21" t="str">
        <x:v>PA019-001_Regulation_on_transport_of_aquaculture_animals.html</x:v>
      </x:c>
      <x:c r="I21" t="str">
        <x:v>STORED</x:v>
      </x:c>
      <x:c r="J21" t="str">
        <x:v>Norwegian Government</x:v>
      </x:c>
      <x:c r="K21" t="str">
        <x:v>Norway</x:v>
      </x:c>
      <x:c r="L21" t="str">
        <x:v>Norwegian</x:v>
      </x:c>
      <x:c r="M21" t="str"/>
      <x:c r="N21" s="9"/>
      <x:c r="O21" t="str">
        <x:v>Public authority</x:v>
      </x:c>
      <x:c r="P21" t="str">
        <x:v>Regulation</x:v>
      </x:c>
      <x:c r="Q21" t="str">
        <x:v>Primary normative</x:v>
      </x:c>
      <x:c r="R21" s="42" t="str">
        <x:v>Official regulation issued by Norwegian Government; included because it may impose binding requirements on an in-scope aquaculture asset, activity, permit or certification.</x:v>
      </x:c>
      <x:c r="S21" t="str">
        <x:v>HIGH</x:v>
      </x:c>
      <x:c r="T21" t="str">
        <x:v>MEDIUM</x:v>
      </x:c>
      <x:c r="U21" t="str">
        <x:v>HIGH</x:v>
      </x:c>
      <x:c r="V21" t="str">
        <x:v>HIGH</x:v>
      </x:c>
      <x:c r="W21" t="str">
        <x:v>HIGH</x:v>
      </x:c>
      <x:c r="X21" t="str">
        <x:v>HIGH</x:v>
      </x:c>
      <x:c r="Y21" t="str">
        <x:f>IF(A21="","",IF(OR(J21="",AO21="",AP21="",AP21="UNVERIFIED",AND(AO21="OFFICIAL_WEBSITE",D21=""),AND(OR(P21="Equipment manual / OEM instruction",Q21="Asset-specific normative"),OR(O21&lt;&gt;"Manufacturer / supplier",AR21="",R21=""))),"PENDING",IF(COUNTIF(S21:W21,"LOW")&gt;0,"EXCLUDE",IF(COUNTIF(S21:W21,"MEDIUM")&gt;0,"PENDING",IF(COUNTIF(S21:W21,"HIGH")=5,"INCLUDE","PENDING")))))</x:f>
        <x:v>PENDING</x:v>
      </x:c>
      <x:c r="Z21" t="str">
        <x:v>SUCCESS</x:v>
      </x:c>
      <x:c r="AA21" s="128" t="n">
        <x:v>46262.53086805555</x:v>
      </x:c>
      <x:c r="AB21" s="128" t="n">
        <x:v>46262.53086805555</x:v>
      </x:c>
      <x:c r="AC21" s="128" t="str">
        <x:v>INITIAL</x:v>
      </x:c>
      <x:c r="AD21" s="128" t="str">
        <x:v>AUTO</x:v>
      </x:c>
      <x:c r="AE21" s="128" t="n">
        <x:f>IF(A21="","",IF(AD21="AUTO",AB21,IF(AD21="MANUAL",AF21,"")))</x:f>
        <x:v>46262.53086805555</x:v>
      </x:c>
      <x:c r="AF21" s="9"/>
      <x:c r="AG21" t="str"/>
      <x:c r="AH21" t="str">
        <x:v>NONE</x:v>
      </x:c>
      <x:c r="AI21" s="42" t="str"/>
      <x:c r="AJ21" t="str">
        <x:f>IF(A21="","",IF(OR(Z21="FAIL",AND(AQ21="ROLLING",AC21="CHANGED")),IF(AND(AF21&lt;&gt;"",AF21&gt;=INT(AA21)),"NO","YES"),"NO"))</x:f>
        <x:v>NO</x:v>
      </x:c>
      <x:c r="AK21" t="str">
        <x:v>c3a1a1d71bad6255d833abf37550f8ef1d79c996a82468a85fccbb7a474e6ded</x:v>
      </x:c>
      <x:c r="AL21" t="str">
        <x:v>CURRENT</x:v>
      </x:c>
      <x:c r="AM21" t="str"/>
      <x:c r="AN21" s="42" t="str">
        <x:v>Official expansion from Mattilsynet. Conditional on live-animal transport activities.</x:v>
      </x:c>
      <x:c r="AO21" t="str">
        <x:v>OFFICIAL_WEBSITE</x:v>
      </x:c>
      <x:c r="AP21" t="str">
        <x:v>OFFICIAL_ORIGINAL</x:v>
      </x:c>
      <x:c r="AQ21" t="str">
        <x:v>ROLLING</x:v>
      </x:c>
      <x:c r="AR21" s="42" t="str"/>
    </x:row>
    <x:row r="22" ht="42" customHeight="1">
      <x:c r="A22" t="str">
        <x:v>PA020</x:v>
      </x:c>
      <x:c r="B22" t="str">
        <x:v>PA020-001</x:v>
      </x:c>
      <x:c r="C22" s="42" t="str">
        <x:v>Regulation on slaughterhouses and processing facilities for aquaculture animals</x:v>
      </x:c>
      <x:c r="D22" s="129" t="str">
        <x:v>https://lovdata.no/dokument/SF/forskrift/2006-10-30-1250</x:v>
      </x:c>
      <x:c r="E22" s="129" t="str">
        <x:v>https://lovdata.no/dokument/SF/forskrift/2006-10-30-1250</x:v>
      </x:c>
      <x:c r="F22" t="str">
        <x:v>A_Public_Authority</x:v>
      </x:c>
      <x:c r="G22" t="str">
        <x:v>html</x:v>
      </x:c>
      <x:c r="H22" t="str">
        <x:v>PA020-001_Regulation_on_slaughterhouses_and_processing_facilities_for_aquaculture_animals.html</x:v>
      </x:c>
      <x:c r="I22" t="str">
        <x:v>STORED</x:v>
      </x:c>
      <x:c r="J22" t="str">
        <x:v>Norwegian Ministry of Trade, Industry and Fisheries</x:v>
      </x:c>
      <x:c r="K22" t="str">
        <x:v>Norway</x:v>
      </x:c>
      <x:c r="L22" t="str">
        <x:v>Norwegian</x:v>
      </x:c>
      <x:c r="M22" t="str"/>
      <x:c r="N22" s="9"/>
      <x:c r="O22" t="str">
        <x:v>Public authority</x:v>
      </x:c>
      <x:c r="P22" t="str">
        <x:v>Regulation</x:v>
      </x:c>
      <x:c r="Q22" t="str">
        <x:v>Primary normative</x:v>
      </x:c>
      <x:c r="R22" s="42" t="str">
        <x:v>Official regulation issued by Norwegian Ministry of Trade, Industry and Fisheries; included because it may impose binding requirements on an in-scope aquaculture asset, activity, permit or certification.</x:v>
      </x:c>
      <x:c r="S22" t="str">
        <x:v>HIGH</x:v>
      </x:c>
      <x:c r="T22" t="str">
        <x:v>MEDIUM</x:v>
      </x:c>
      <x:c r="U22" t="str">
        <x:v>HIGH</x:v>
      </x:c>
      <x:c r="V22" t="str">
        <x:v>HIGH</x:v>
      </x:c>
      <x:c r="W22" t="str">
        <x:v>HIGH</x:v>
      </x:c>
      <x:c r="X22" t="str">
        <x:v>HIGH</x:v>
      </x:c>
      <x:c r="Y22" t="str">
        <x:f>IF(A22="","",IF(OR(J22="",AO22="",AP22="",AP22="UNVERIFIED",AND(AO22="OFFICIAL_WEBSITE",D22=""),AND(OR(P22="Equipment manual / OEM instruction",Q22="Asset-specific normative"),OR(O22&lt;&gt;"Manufacturer / supplier",AR22="",R22=""))),"PENDING",IF(COUNTIF(S22:W22,"LOW")&gt;0,"EXCLUDE",IF(COUNTIF(S22:W22,"MEDIUM")&gt;0,"PENDING",IF(COUNTIF(S22:W22,"HIGH")=5,"INCLUDE","PENDING")))))</x:f>
        <x:v>PENDING</x:v>
      </x:c>
      <x:c r="Z22" t="str">
        <x:v>SUCCESS</x:v>
      </x:c>
      <x:c r="AA22" s="128" t="n">
        <x:v>46262.53086805555</x:v>
      </x:c>
      <x:c r="AB22" s="128" t="n">
        <x:v>46262.53086805555</x:v>
      </x:c>
      <x:c r="AC22" s="128" t="str">
        <x:v>INITIAL</x:v>
      </x:c>
      <x:c r="AD22" s="128" t="str">
        <x:v>AUTO</x:v>
      </x:c>
      <x:c r="AE22" s="128" t="n">
        <x:f>IF(A22="","",IF(AD22="AUTO",AB22,IF(AD22="MANUAL",AF22,"")))</x:f>
        <x:v>46262.53086805555</x:v>
      </x:c>
      <x:c r="AF22" s="9"/>
      <x:c r="AG22" t="str"/>
      <x:c r="AH22" t="str">
        <x:v>NONE</x:v>
      </x:c>
      <x:c r="AI22" s="42" t="str"/>
      <x:c r="AJ22" t="str">
        <x:f>IF(A22="","",IF(OR(Z22="FAIL",AND(AQ22="ROLLING",AC22="CHANGED")),IF(AND(AF22&lt;&gt;"",AF22&gt;=INT(AA22)),"NO","YES"),"NO"))</x:f>
        <x:v>NO</x:v>
      </x:c>
      <x:c r="AK22" t="str">
        <x:v>660825e1fb0f6b15f9e8501319e334d7b67de1790c34645715f5b184d3d397cc</x:v>
      </x:c>
      <x:c r="AL22" t="str">
        <x:v>CURRENT</x:v>
      </x:c>
      <x:c r="AM22" t="str"/>
      <x:c r="AN22" s="42" t="str">
        <x:v>Official expansion from Mattilsynet. Include only when slaughter or processing is in scope.</x:v>
      </x:c>
      <x:c r="AO22" t="str">
        <x:v>OFFICIAL_WEBSITE</x:v>
      </x:c>
      <x:c r="AP22" t="str">
        <x:v>OFFICIAL_ORIGINAL</x:v>
      </x:c>
      <x:c r="AQ22" t="str">
        <x:v>ROLLING</x:v>
      </x:c>
      <x:c r="AR22" s="42" t="str"/>
    </x:row>
    <x:row r="23" ht="42" customHeight="1">
      <x:c r="A23" t="str">
        <x:v>PA021</x:v>
      </x:c>
      <x:c r="B23" t="str">
        <x:v>PA021-001</x:v>
      </x:c>
      <x:c r="C23" s="42" t="str">
        <x:v>Regulation on permits for aquaculture of salmon, trout and rainbow trout (Salmon Allocation Regulations)</x:v>
      </x:c>
      <x:c r="D23" s="129" t="str">
        <x:v>https://lovdata.no/dokument/SF/forskrift/2022-11-07-1929</x:v>
      </x:c>
      <x:c r="E23" s="129" t="str">
        <x:v>https://lovdata.no/dokument/SF/forskrift/2022-11-07-1929</x:v>
      </x:c>
      <x:c r="F23" t="str">
        <x:v>A_Public_Authority</x:v>
      </x:c>
      <x:c r="G23" t="str">
        <x:v>html</x:v>
      </x:c>
      <x:c r="H23" t="str">
        <x:v>PA021-001_Regulation_on_permits_for_aquaculture_of_salmon_trout_and_rainbow_trout_Salmon_Allocation_Regulations.html</x:v>
      </x:c>
      <x:c r="I23" t="str">
        <x:v>STORED</x:v>
      </x:c>
      <x:c r="J23" t="str">
        <x:v>Norwegian Ministry of Trade, Industry and Fisheries</x:v>
      </x:c>
      <x:c r="K23" t="str">
        <x:v>Norway</x:v>
      </x:c>
      <x:c r="L23" t="str">
        <x:v>Norwegian</x:v>
      </x:c>
      <x:c r="M23" t="str"/>
      <x:c r="N23" s="9"/>
      <x:c r="O23" t="str">
        <x:v>Public authority</x:v>
      </x:c>
      <x:c r="P23" t="str">
        <x:v>Regulation</x:v>
      </x:c>
      <x:c r="Q23" t="str">
        <x:v>Primary normative</x:v>
      </x:c>
      <x:c r="R23" s="42" t="str">
        <x:v>Official regulation issued by Norwegian Ministry of Trade, Industry and Fisheries; included because it may impose binding requirements on an in-scope aquaculture asset, activity, permit or certification.</x:v>
      </x:c>
      <x:c r="S23" t="str">
        <x:v>HIGH</x:v>
      </x:c>
      <x:c r="T23" t="str">
        <x:v>MEDIUM</x:v>
      </x:c>
      <x:c r="U23" t="str">
        <x:v>HIGH</x:v>
      </x:c>
      <x:c r="V23" t="str">
        <x:v>HIGH</x:v>
      </x:c>
      <x:c r="W23" t="str">
        <x:v>HIGH</x:v>
      </x:c>
      <x:c r="X23" t="str">
        <x:v>HIGH</x:v>
      </x:c>
      <x:c r="Y23" t="str">
        <x:f>IF(A23="","",IF(OR(J23="",AO23="",AP23="",AP23="UNVERIFIED",AND(AO23="OFFICIAL_WEBSITE",D23=""),AND(OR(P23="Equipment manual / OEM instruction",Q23="Asset-specific normative"),OR(O23&lt;&gt;"Manufacturer / supplier",AR23="",R23=""))),"PENDING",IF(COUNTIF(S23:W23,"LOW")&gt;0,"EXCLUDE",IF(COUNTIF(S23:W23,"MEDIUM")&gt;0,"PENDING",IF(COUNTIF(S23:W23,"HIGH")=5,"INCLUDE","PENDING")))))</x:f>
        <x:v>PENDING</x:v>
      </x:c>
      <x:c r="Z23" t="str">
        <x:v>SUCCESS</x:v>
      </x:c>
      <x:c r="AA23" s="128" t="n">
        <x:v>46262.53087962963</x:v>
      </x:c>
      <x:c r="AB23" s="128" t="n">
        <x:v>46262.53087962963</x:v>
      </x:c>
      <x:c r="AC23" s="128" t="str">
        <x:v>INITIAL</x:v>
      </x:c>
      <x:c r="AD23" s="128" t="str">
        <x:v>AUTO</x:v>
      </x:c>
      <x:c r="AE23" s="128" t="n">
        <x:f>IF(A23="","",IF(AD23="AUTO",AB23,IF(AD23="MANUAL",AF23,"")))</x:f>
        <x:v>46262.53087962963</x:v>
      </x:c>
      <x:c r="AF23" s="9"/>
      <x:c r="AG23" t="str"/>
      <x:c r="AH23" t="str">
        <x:v>NONE</x:v>
      </x:c>
      <x:c r="AI23" s="42" t="str"/>
      <x:c r="AJ23" t="str">
        <x:f>IF(A23="","",IF(OR(Z23="FAIL",AND(AQ23="ROLLING",AC23="CHANGED")),IF(AND(AF23&lt;&gt;"",AF23&gt;=INT(AA23)),"NO","YES"),"NO"))</x:f>
        <x:v>NO</x:v>
      </x:c>
      <x:c r="AK23" t="str">
        <x:v>7ad31127a98909210f86c2df281141adc3218206d348c07c01be4a00c540964d</x:v>
      </x:c>
      <x:c r="AL23" t="str">
        <x:v>CURRENT</x:v>
      </x:c>
      <x:c r="AM23" t="str"/>
      <x:c r="AN23" s="42" t="str">
        <x:v>Official expansion from Fiskeridirektoratet's aquaculture regulation index; conditional on species and permit type.</x:v>
      </x:c>
      <x:c r="AO23" t="str">
        <x:v>OFFICIAL_WEBSITE</x:v>
      </x:c>
      <x:c r="AP23" t="str">
        <x:v>OFFICIAL_ORIGINAL</x:v>
      </x:c>
      <x:c r="AQ23" t="str">
        <x:v>ROLLING</x:v>
      </x:c>
      <x:c r="AR23" s="42" t="str"/>
    </x:row>
    <x:row r="24" ht="42" customHeight="1">
      <x:c r="A24" t="str">
        <x:v>PA022</x:v>
      </x:c>
      <x:c r="B24" t="str">
        <x:v>PA022-001</x:v>
      </x:c>
      <x:c r="C24" s="42" t="str">
        <x:v>Regulation on technical standards for land-based aquaculture facilities for fish</x:v>
      </x:c>
      <x:c r="D24" s="129" t="str">
        <x:v>https://lovdata.no/dokument/SF/forskrift/2017-06-19-941</x:v>
      </x:c>
      <x:c r="E24" s="129" t="str">
        <x:v>https://lovdata.no/dokument/SF/forskrift/2017-06-19-941</x:v>
      </x:c>
      <x:c r="F24" t="str">
        <x:v>A_Public_Authority</x:v>
      </x:c>
      <x:c r="G24" t="str">
        <x:v>html</x:v>
      </x:c>
      <x:c r="H24" t="str">
        <x:v>PA022-001_Regulation_on_technical_standards_for_land-based_aquaculture_facilities_for_fish.html</x:v>
      </x:c>
      <x:c r="I24" t="str">
        <x:v>STORED</x:v>
      </x:c>
      <x:c r="J24" t="str">
        <x:v>Norwegian Ministry of Trade, Industry and Fisheries</x:v>
      </x:c>
      <x:c r="K24" t="str">
        <x:v>Norway</x:v>
      </x:c>
      <x:c r="L24" t="str">
        <x:v>Norwegian</x:v>
      </x:c>
      <x:c r="M24" t="str"/>
      <x:c r="N24" s="9"/>
      <x:c r="O24" t="str">
        <x:v>Public authority</x:v>
      </x:c>
      <x:c r="P24" t="str">
        <x:v>Regulation</x:v>
      </x:c>
      <x:c r="Q24" t="str">
        <x:v>Primary normative</x:v>
      </x:c>
      <x:c r="R24" s="42" t="str">
        <x:v>Official regulation issued by Norwegian Ministry of Trade, Industry and Fisheries; included because it may impose binding requirements on an in-scope aquaculture asset, activity, permit or certification.</x:v>
      </x:c>
      <x:c r="S24" t="str">
        <x:v>HIGH</x:v>
      </x:c>
      <x:c r="T24" t="str">
        <x:v>MEDIUM</x:v>
      </x:c>
      <x:c r="U24" t="str">
        <x:v>HIGH</x:v>
      </x:c>
      <x:c r="V24" t="str">
        <x:v>HIGH</x:v>
      </x:c>
      <x:c r="W24" t="str">
        <x:v>HIGH</x:v>
      </x:c>
      <x:c r="X24" t="str">
        <x:v>HIGH</x:v>
      </x:c>
      <x:c r="Y24" t="str">
        <x:f>IF(A24="","",IF(OR(J24="",AO24="",AP24="",AP24="UNVERIFIED",AND(AO24="OFFICIAL_WEBSITE",D24=""),AND(OR(P24="Equipment manual / OEM instruction",Q24="Asset-specific normative"),OR(O24&lt;&gt;"Manufacturer / supplier",AR24="",R24=""))),"PENDING",IF(COUNTIF(S24:W24,"LOW")&gt;0,"EXCLUDE",IF(COUNTIF(S24:W24,"MEDIUM")&gt;0,"PENDING",IF(COUNTIF(S24:W24,"HIGH")=5,"INCLUDE","PENDING")))))</x:f>
        <x:v>PENDING</x:v>
      </x:c>
      <x:c r="Z24" t="str">
        <x:v>SUCCESS</x:v>
      </x:c>
      <x:c r="AA24" s="128" t="n">
        <x:v>46262.53087962963</x:v>
      </x:c>
      <x:c r="AB24" s="128" t="n">
        <x:v>46262.53087962963</x:v>
      </x:c>
      <x:c r="AC24" s="128" t="str">
        <x:v>INITIAL</x:v>
      </x:c>
      <x:c r="AD24" s="128" t="str">
        <x:v>AUTO</x:v>
      </x:c>
      <x:c r="AE24" s="128" t="n">
        <x:f>IF(A24="","",IF(AD24="AUTO",AB24,IF(AD24="MANUAL",AF24,"")))</x:f>
        <x:v>46262.53087962963</x:v>
      </x:c>
      <x:c r="AF24" s="9"/>
      <x:c r="AG24" t="str"/>
      <x:c r="AH24" t="str">
        <x:v>NONE</x:v>
      </x:c>
      <x:c r="AI24" s="42" t="str"/>
      <x:c r="AJ24" t="str">
        <x:f>IF(A24="","",IF(OR(Z24="FAIL",AND(AQ24="ROLLING",AC24="CHANGED")),IF(AND(AF24&lt;&gt;"",AF24&gt;=INT(AA24)),"NO","YES"),"NO"))</x:f>
        <x:v>NO</x:v>
      </x:c>
      <x:c r="AK24" t="str">
        <x:v>2ab1905061a870af1b05ec9e1c8536e90157d00d70217305629365e4986c1918</x:v>
      </x:c>
      <x:c r="AL24" t="str">
        <x:v>CURRENT</x:v>
      </x:c>
      <x:c r="AM24" t="str"/>
      <x:c r="AN24" s="42" t="str">
        <x:v>Official expansion. Include only for land-based facilities.</x:v>
      </x:c>
      <x:c r="AO24" t="str">
        <x:v>OFFICIAL_WEBSITE</x:v>
      </x:c>
      <x:c r="AP24" t="str">
        <x:v>OFFICIAL_ORIGINAL</x:v>
      </x:c>
      <x:c r="AQ24" t="str">
        <x:v>ROLLING</x:v>
      </x:c>
      <x:c r="AR24" s="42" t="str"/>
    </x:row>
    <x:row r="25" ht="42" customHeight="1">
      <x:c r="A25" t="str">
        <x:v>PA023</x:v>
      </x:c>
      <x:c r="B25" t="str">
        <x:v>PA023-001</x:v>
      </x:c>
      <x:c r="C25" s="42" t="str">
        <x:v>Nature Diversity Act</x:v>
      </x:c>
      <x:c r="D25" s="129" t="str">
        <x:v>https://lovdata.no/dokument/NL/lov/2009-06-19-100</x:v>
      </x:c>
      <x:c r="E25" s="129" t="str">
        <x:v>https://lovdata.no/dokument/NL/lov/2009-06-19-100</x:v>
      </x:c>
      <x:c r="F25" t="str">
        <x:v>A_Public_Authority</x:v>
      </x:c>
      <x:c r="G25" t="str">
        <x:v>html</x:v>
      </x:c>
      <x:c r="H25" t="str">
        <x:v>PA023-001_Nature_Diversity_Act.html</x:v>
      </x:c>
      <x:c r="I25" t="str">
        <x:v>STORED</x:v>
      </x:c>
      <x:c r="J25" t="str">
        <x:v>Norwegian Ministry of Climate and Environment</x:v>
      </x:c>
      <x:c r="K25" t="str">
        <x:v>Norway</x:v>
      </x:c>
      <x:c r="L25" t="str">
        <x:v>Norwegian</x:v>
      </x:c>
      <x:c r="M25" t="str"/>
      <x:c r="N25" s="9"/>
      <x:c r="O25" t="str">
        <x:v>Public authority</x:v>
      </x:c>
      <x:c r="P25" t="str">
        <x:v>Law</x:v>
      </x:c>
      <x:c r="Q25" t="str">
        <x:v>Referenced normative</x:v>
      </x:c>
      <x:c r="R25" s="42" t="str">
        <x:v>Official referenced source from Norwegian Ministry of Climate and Environment; included because an applicable law, permit or certification scheme may make its provisions binding within the approved scope.</x:v>
      </x:c>
      <x:c r="S25" t="str">
        <x:v>HIGH</x:v>
      </x:c>
      <x:c r="T25" t="str">
        <x:v>HIGH</x:v>
      </x:c>
      <x:c r="U25" t="str">
        <x:v>HIGH</x:v>
      </x:c>
      <x:c r="V25" t="str">
        <x:v>HIGH</x:v>
      </x:c>
      <x:c r="W25" t="str">
        <x:v>HIGH</x:v>
      </x:c>
      <x:c r="X25" t="str">
        <x:v>HIGH</x:v>
      </x:c>
      <x:c r="Y25" t="str">
        <x:f>IF(A25="","",IF(OR(J25="",AO25="",AP25="",AP25="UNVERIFIED",AND(AO25="OFFICIAL_WEBSITE",D25=""),AND(OR(P25="Equipment manual / OEM instruction",Q25="Asset-specific normative"),OR(O25&lt;&gt;"Manufacturer / supplier",AR25="",R25=""))),"PENDING",IF(COUNTIF(S25:W25,"LOW")&gt;0,"EXCLUDE",IF(COUNTIF(S25:W25,"MEDIUM")&gt;0,"PENDING",IF(COUNTIF(S25:W25,"HIGH")=5,"INCLUDE","PENDING")))))</x:f>
        <x:v>INCLUDE</x:v>
      </x:c>
      <x:c r="Z25" t="str">
        <x:v>SUCCESS</x:v>
      </x:c>
      <x:c r="AA25" s="128" t="n">
        <x:v>46262.53087962963</x:v>
      </x:c>
      <x:c r="AB25" s="128" t="n">
        <x:v>46262.53087962963</x:v>
      </x:c>
      <x:c r="AC25" s="128" t="str">
        <x:v>INITIAL</x:v>
      </x:c>
      <x:c r="AD25" s="128" t="str">
        <x:v>AUTO</x:v>
      </x:c>
      <x:c r="AE25" s="128" t="n">
        <x:f>IF(A25="","",IF(AD25="AUTO",AB25,IF(AD25="MANUAL",AF25,"")))</x:f>
        <x:v>46262.53087962963</x:v>
      </x:c>
      <x:c r="AF25" s="9"/>
      <x:c r="AG25" t="str"/>
      <x:c r="AH25" t="str">
        <x:v>NONE</x:v>
      </x:c>
      <x:c r="AI25" s="42" t="str"/>
      <x:c r="AJ25" t="str">
        <x:f>IF(A25="","",IF(OR(Z25="FAIL",AND(AQ25="ROLLING",AC25="CHANGED")),IF(AND(AF25&lt;&gt;"",AF25&gt;=INT(AA25)),"NO","YES"),"NO"))</x:f>
        <x:v>NO</x:v>
      </x:c>
      <x:c r="AK25" t="str">
        <x:v>3eb19d6be728a20e51a80ac13993de88c500c707580fa4b5eed19495d4871042</x:v>
      </x:c>
      <x:c r="AL25" t="str">
        <x:v>CURRENT</x:v>
      </x:c>
      <x:c r="AM25" t="str"/>
      <x:c r="AN25" s="42" t="str">
        <x:v>Official expansion from environmental authority guidance; often relevant to permitting decisions and environmental assessment.</x:v>
      </x:c>
      <x:c r="AO25" t="str">
        <x:v>OFFICIAL_WEBSITE</x:v>
      </x:c>
      <x:c r="AP25" t="str">
        <x:v>OFFICIAL_ORIGINAL</x:v>
      </x:c>
      <x:c r="AQ25" t="str">
        <x:v>ROLLING</x:v>
      </x:c>
      <x:c r="AR25" s="42" t="str"/>
    </x:row>
    <x:row r="26" ht="42" customHeight="1">
      <x:c r="A26" t="str">
        <x:v>PA024</x:v>
      </x:c>
      <x:c r="B26" t="str">
        <x:v>PA024-001</x:v>
      </x:c>
      <x:c r="C26" s="42" t="str">
        <x:v>Fiskeridirektoratet guidance to NYTEK23</x:v>
      </x:c>
      <x:c r="D26" s="129" t="str">
        <x:v>https://www.fiskeridir.no/akvakultur/veiledere/veileder-til-nytek23</x:v>
      </x:c>
      <x:c r="E26" s="129" t="str">
        <x:v>https://www.fiskeridir.no/akvakultur/veiledere/veileder-til-nytek23</x:v>
      </x:c>
      <x:c r="F26" t="str">
        <x:v>A_Public_Authority</x:v>
      </x:c>
      <x:c r="G26" t="str">
        <x:v>html</x:v>
      </x:c>
      <x:c r="H26" t="str">
        <x:v>PA024-001_Fiskeridirektoratet_guidance_to_NYTEK23.html</x:v>
      </x:c>
      <x:c r="I26" t="str">
        <x:v>STORED</x:v>
      </x:c>
      <x:c r="J26" t="str">
        <x:v>Norwegian Directorate of Fisheries</x:v>
      </x:c>
      <x:c r="K26" t="str">
        <x:v>Norway</x:v>
      </x:c>
      <x:c r="L26" t="str">
        <x:v>Norwegian</x:v>
      </x:c>
      <x:c r="M26" t="str"/>
      <x:c r="N26" s="9"/>
      <x:c r="O26" t="str">
        <x:v>Public authority</x:v>
      </x:c>
      <x:c r="P26" t="str">
        <x:v>Interpretation document</x:v>
      </x:c>
      <x:c r="Q26" t="str">
        <x:v>Guidance / interpretation</x:v>
      </x:c>
      <x:c r="R26" s="42" t="str">
        <x:v>Official guidance from Norwegian Directorate of Fisheries; included to interpret and operationalise linked normative requirements, not as independent legal or certification authority.</x:v>
      </x:c>
      <x:c r="S26" t="str">
        <x:v>HIGH</x:v>
      </x:c>
      <x:c r="T26" t="str">
        <x:v>HIGH</x:v>
      </x:c>
      <x:c r="U26" t="str">
        <x:v>HIGH</x:v>
      </x:c>
      <x:c r="V26" t="str">
        <x:v>HIGH</x:v>
      </x:c>
      <x:c r="W26" t="str">
        <x:v>HIGH</x:v>
      </x:c>
      <x:c r="X26" t="str">
        <x:v>HIGH</x:v>
      </x:c>
      <x:c r="Y26" t="str">
        <x:f>IF(A26="","",IF(OR(J26="",AO26="",AP26="",AP26="UNVERIFIED",AND(AO26="OFFICIAL_WEBSITE",D26=""),AND(OR(P26="Equipment manual / OEM instruction",Q26="Asset-specific normative"),OR(O26&lt;&gt;"Manufacturer / supplier",AR26="",R26=""))),"PENDING",IF(COUNTIF(S26:W26,"LOW")&gt;0,"EXCLUDE",IF(COUNTIF(S26:W26,"MEDIUM")&gt;0,"PENDING",IF(COUNTIF(S26:W26,"HIGH")=5,"INCLUDE","PENDING")))))</x:f>
        <x:v>INCLUDE</x:v>
      </x:c>
      <x:c r="Z26" t="str">
        <x:v>SUCCESS</x:v>
      </x:c>
      <x:c r="AA26" s="128" t="n">
        <x:v>46262.53087962963</x:v>
      </x:c>
      <x:c r="AB26" s="128" t="n">
        <x:v>46262.53089120371</x:v>
      </x:c>
      <x:c r="AC26" s="128" t="str">
        <x:v>INITIAL</x:v>
      </x:c>
      <x:c r="AD26" s="128" t="str">
        <x:v>AUTO</x:v>
      </x:c>
      <x:c r="AE26" s="128" t="n">
        <x:f>IF(A26="","",IF(AD26="AUTO",AB26,IF(AD26="MANUAL",AF26,"")))</x:f>
        <x:v>46262.53089120371</x:v>
      </x:c>
      <x:c r="AF26" s="9"/>
      <x:c r="AG26" t="str"/>
      <x:c r="AH26" t="str">
        <x:v>NONE</x:v>
      </x:c>
      <x:c r="AI26" s="42" t="str"/>
      <x:c r="AJ26" t="str">
        <x:f>IF(A26="","",IF(OR(Z26="FAIL",AND(AQ26="ROLLING",AC26="CHANGED")),IF(AND(AF26&lt;&gt;"",AF26&gt;=INT(AA26)),"NO","YES"),"NO"))</x:f>
        <x:v>NO</x:v>
      </x:c>
      <x:c r="AK26" t="str">
        <x:v>e331c25d9cf82bf550a1e76076c3ad72ef36a37c8f04ca6b17d52d556753c375</x:v>
      </x:c>
      <x:c r="AL26" t="str">
        <x:v>CURRENT</x:v>
      </x:c>
      <x:c r="AM26" t="str">
        <x:v>PA004</x:v>
      </x:c>
      <x:c r="AN26" s="42" t="str">
        <x:v>Official guidance. It supports interpretation but does not replace PA004 or referenced standards.</x:v>
      </x:c>
      <x:c r="AO26" t="str">
        <x:v>OFFICIAL_WEBSITE</x:v>
      </x:c>
      <x:c r="AP26" t="str">
        <x:v>OFFICIAL_ORIGINAL</x:v>
      </x:c>
      <x:c r="AQ26" t="str">
        <x:v>ROLLING</x:v>
      </x:c>
      <x:c r="AR26" s="42" t="str"/>
    </x:row>
    <x:row r="27" ht="42" customHeight="1">
      <x:c r="A27" t="str">
        <x:v>PA025</x:v>
      </x:c>
      <x:c r="B27" t="str">
        <x:v>PA025-001</x:v>
      </x:c>
      <x:c r="C27" s="42" t="str">
        <x:v>Guidance on holistic risk management in aquaculture</x:v>
      </x:c>
      <x:c r="D27" s="129" t="str">
        <x:v>https://www.fiskeridir.no/akvakultur/veiledere/veileder-helhetlig-risikostyring-innen-akvakultur</x:v>
      </x:c>
      <x:c r="E27" s="129" t="str">
        <x:v>https://www.fiskeridir.no/akvakultur/veiledere/veileder-helhetlig-risikostyring-innen-akvakultur</x:v>
      </x:c>
      <x:c r="F27" t="str">
        <x:v>A_Public_Authority</x:v>
      </x:c>
      <x:c r="G27" t="str">
        <x:v>html</x:v>
      </x:c>
      <x:c r="H27" t="str">
        <x:v>PA025-001_Guidance_on_holistic_risk_management_in_aquaculture.html</x:v>
      </x:c>
      <x:c r="I27" t="str">
        <x:v>STORED</x:v>
      </x:c>
      <x:c r="J27" t="str">
        <x:v>Norwegian Directorate of Fisheries</x:v>
      </x:c>
      <x:c r="K27" t="str">
        <x:v>Norway</x:v>
      </x:c>
      <x:c r="L27" t="str">
        <x:v>Norwegian</x:v>
      </x:c>
      <x:c r="M27" t="str"/>
      <x:c r="N27" s="9"/>
      <x:c r="O27" t="str">
        <x:v>Public authority</x:v>
      </x:c>
      <x:c r="P27" t="str">
        <x:v>Interpretation document</x:v>
      </x:c>
      <x:c r="Q27" t="str">
        <x:v>Guidance / interpretation</x:v>
      </x:c>
      <x:c r="R27" s="42" t="str">
        <x:v>Official guidance from Norwegian Directorate of Fisheries; included to interpret and operationalise linked normative requirements, not as independent legal or certification authority.</x:v>
      </x:c>
      <x:c r="S27" t="str">
        <x:v>HIGH</x:v>
      </x:c>
      <x:c r="T27" t="str">
        <x:v>HIGH</x:v>
      </x:c>
      <x:c r="U27" t="str">
        <x:v>HIGH</x:v>
      </x:c>
      <x:c r="V27" t="str">
        <x:v>HIGH</x:v>
      </x:c>
      <x:c r="W27" t="str">
        <x:v>HIGH</x:v>
      </x:c>
      <x:c r="X27" t="str">
        <x:v>HIGH</x:v>
      </x:c>
      <x:c r="Y27" t="str">
        <x:f>IF(A27="","",IF(OR(J27="",AO27="",AP27="",AP27="UNVERIFIED",AND(AO27="OFFICIAL_WEBSITE",D27=""),AND(OR(P27="Equipment manual / OEM instruction",Q27="Asset-specific normative"),OR(O27&lt;&gt;"Manufacturer / supplier",AR27="",R27=""))),"PENDING",IF(COUNTIF(S27:W27,"LOW")&gt;0,"EXCLUDE",IF(COUNTIF(S27:W27,"MEDIUM")&gt;0,"PENDING",IF(COUNTIF(S27:W27,"HIGH")=5,"INCLUDE","PENDING")))))</x:f>
        <x:v>INCLUDE</x:v>
      </x:c>
      <x:c r="Z27" t="str">
        <x:v>SUCCESS</x:v>
      </x:c>
      <x:c r="AA27" s="128" t="n">
        <x:v>46262.53090277778</x:v>
      </x:c>
      <x:c r="AB27" s="128" t="n">
        <x:v>46262.53090277778</x:v>
      </x:c>
      <x:c r="AC27" s="128" t="str">
        <x:v>INITIAL</x:v>
      </x:c>
      <x:c r="AD27" s="128" t="str">
        <x:v>AUTO</x:v>
      </x:c>
      <x:c r="AE27" s="128" t="n">
        <x:f>IF(A27="","",IF(AD27="AUTO",AB27,IF(AD27="MANUAL",AF27,"")))</x:f>
        <x:v>46262.53090277778</x:v>
      </x:c>
      <x:c r="AF27" s="9"/>
      <x:c r="AG27" t="str"/>
      <x:c r="AH27" t="str">
        <x:v>NONE</x:v>
      </x:c>
      <x:c r="AI27" s="42" t="str"/>
      <x:c r="AJ27" t="str">
        <x:f>IF(A27="","",IF(OR(Z27="FAIL",AND(AQ27="ROLLING",AC27="CHANGED")),IF(AND(AF27&lt;&gt;"",AF27&gt;=INT(AA27)),"NO","YES"),"NO"))</x:f>
        <x:v>NO</x:v>
      </x:c>
      <x:c r="AK27" t="str">
        <x:v>6b02f98209cd66f8d09b279dd0ba86c8cf84324e5d65599ca0c476490d10c801</x:v>
      </x:c>
      <x:c r="AL27" t="str">
        <x:v>CURRENT</x:v>
      </x:c>
      <x:c r="AM27" t="str">
        <x:v>PA016</x:v>
      </x:c>
      <x:c r="AN27" s="42" t="str">
        <x:v>Official expansion source map. Useful for discovery and interpretation; not independently normative.</x:v>
      </x:c>
      <x:c r="AO27" t="str">
        <x:v>OFFICIAL_WEBSITE</x:v>
      </x:c>
      <x:c r="AP27" t="str">
        <x:v>OFFICIAL_ORIGINAL</x:v>
      </x:c>
      <x:c r="AQ27" t="str">
        <x:v>ROLLING</x:v>
      </x:c>
      <x:c r="AR27" s="42" t="str"/>
    </x:row>
    <x:row r="28" ht="42" customHeight="1">
      <x:c r="A28" t="str">
        <x:v>PA026</x:v>
      </x:c>
      <x:c r="B28" t="str">
        <x:v>PA026-001</x:v>
      </x:c>
      <x:c r="C28" s="42" t="str">
        <x:v>Environmental authority guidance on aquaculture pollution management</x:v>
      </x:c>
      <x:c r="D28" s="129" t="str">
        <x:v>https://www.miljodirektoratet.no/ansvarsomrader/forurensning/akvakultur/akvakultur-forvaltning/</x:v>
      </x:c>
      <x:c r="E28" s="129" t="str">
        <x:v>https://www.miljodirektoratet.no/ansvarsomrader/forurensning/akvakultur/akvakultur-forvaltning/</x:v>
      </x:c>
      <x:c r="F28" t="str">
        <x:v>A_Public_Authority</x:v>
      </x:c>
      <x:c r="G28" t="str">
        <x:v>html</x:v>
      </x:c>
      <x:c r="H28" t="str">
        <x:v>PA026-001_Environmental_authority_guidance_on_aquaculture_pollution_management.html</x:v>
      </x:c>
      <x:c r="I28" t="str">
        <x:v>STORED</x:v>
      </x:c>
      <x:c r="J28" t="str">
        <x:v>Norwegian Environment Agency</x:v>
      </x:c>
      <x:c r="K28" t="str">
        <x:v>Norway</x:v>
      </x:c>
      <x:c r="L28" t="str">
        <x:v>Norwegian</x:v>
      </x:c>
      <x:c r="M28" t="str"/>
      <x:c r="N28" s="9"/>
      <x:c r="O28" t="str">
        <x:v>Public authority</x:v>
      </x:c>
      <x:c r="P28" t="str">
        <x:v>Interpretation document</x:v>
      </x:c>
      <x:c r="Q28" t="str">
        <x:v>Guidance / interpretation</x:v>
      </x:c>
      <x:c r="R28" s="42" t="str">
        <x:v>Official guidance from Norwegian Environment Agency; included to interpret and operationalise linked normative requirements, not as independent legal or certification authority.</x:v>
      </x:c>
      <x:c r="S28" t="str">
        <x:v>HIGH</x:v>
      </x:c>
      <x:c r="T28" t="str">
        <x:v>HIGH</x:v>
      </x:c>
      <x:c r="U28" t="str">
        <x:v>HIGH</x:v>
      </x:c>
      <x:c r="V28" t="str">
        <x:v>HIGH</x:v>
      </x:c>
      <x:c r="W28" t="str">
        <x:v>HIGH</x:v>
      </x:c>
      <x:c r="X28" t="str">
        <x:v>HIGH</x:v>
      </x:c>
      <x:c r="Y28" t="str">
        <x:f>IF(A28="","",IF(OR(J28="",AO28="",AP28="",AP28="UNVERIFIED",AND(AO28="OFFICIAL_WEBSITE",D28=""),AND(OR(P28="Equipment manual / OEM instruction",Q28="Asset-specific normative"),OR(O28&lt;&gt;"Manufacturer / supplier",AR28="",R28=""))),"PENDING",IF(COUNTIF(S28:W28,"LOW")&gt;0,"EXCLUDE",IF(COUNTIF(S28:W28,"MEDIUM")&gt;0,"PENDING",IF(COUNTIF(S28:W28,"HIGH")=5,"INCLUDE","PENDING")))))</x:f>
        <x:v>INCLUDE</x:v>
      </x:c>
      <x:c r="Z28" t="str">
        <x:v>SUCCESS</x:v>
      </x:c>
      <x:c r="AA28" s="128" t="n">
        <x:v>46262.53090277778</x:v>
      </x:c>
      <x:c r="AB28" s="128" t="n">
        <x:v>46262.53090277778</x:v>
      </x:c>
      <x:c r="AC28" s="128" t="str">
        <x:v>INITIAL</x:v>
      </x:c>
      <x:c r="AD28" s="128" t="str">
        <x:v>AUTO</x:v>
      </x:c>
      <x:c r="AE28" s="128" t="n">
        <x:f>IF(A28="","",IF(AD28="AUTO",AB28,IF(AD28="MANUAL",AF28,"")))</x:f>
        <x:v>46262.53090277778</x:v>
      </x:c>
      <x:c r="AF28" s="9"/>
      <x:c r="AG28" t="str"/>
      <x:c r="AH28" t="str">
        <x:v>NONE</x:v>
      </x:c>
      <x:c r="AI28" s="42" t="str"/>
      <x:c r="AJ28" t="str">
        <x:f>IF(A28="","",IF(OR(Z28="FAIL",AND(AQ28="ROLLING",AC28="CHANGED")),IF(AND(AF28&lt;&gt;"",AF28&gt;=INT(AA28)),"NO","YES"),"NO"))</x:f>
        <x:v>NO</x:v>
      </x:c>
      <x:c r="AK28" t="str">
        <x:v>b21a5486fb976b28eaab6a693a453e5e39ccf551e5b0fe3dbfc376f923b028a1</x:v>
      </x:c>
      <x:c r="AL28" t="str">
        <x:v>CURRENT</x:v>
      </x:c>
      <x:c r="AM28" t="str">
        <x:v>PA007</x:v>
      </x:c>
      <x:c r="AN28" s="42" t="str">
        <x:v>Official expansion. Identifies pollution-law, permit and monitoring relationships.</x:v>
      </x:c>
      <x:c r="AO28" t="str">
        <x:v>OFFICIAL_WEBSITE</x:v>
      </x:c>
      <x:c r="AP28" t="str">
        <x:v>OFFICIAL_ORIGINAL</x:v>
      </x:c>
      <x:c r="AQ28" t="str">
        <x:v>ROLLING</x:v>
      </x:c>
      <x:c r="AR28" s="42" t="str"/>
    </x:row>
    <x:row r="29" ht="42" customHeight="1">
      <x:c r="A29" t="str">
        <x:v>PA027</x:v>
      </x:c>
      <x:c r="B29" t="str">
        <x:v>PA027-001</x:v>
      </x:c>
      <x:c r="C29" s="42" t="str">
        <x:v>Mattilsynet fish welfare guidance hub</x:v>
      </x:c>
      <x:c r="D29" s="129" t="str">
        <x:v>https://www.mattilsynet.no/fisk-og-akvakultur/fiskevelferd</x:v>
      </x:c>
      <x:c r="E29" s="129" t="str">
        <x:v>https://www.mattilsynet.no/fisk-og-akvakultur/fiskevelferd</x:v>
      </x:c>
      <x:c r="F29" t="str">
        <x:v>A_Public_Authority</x:v>
      </x:c>
      <x:c r="G29" t="str">
        <x:v>html</x:v>
      </x:c>
      <x:c r="H29" t="str">
        <x:v>PA027-001_Mattilsynet_fish_welfare_guidance_hub.html</x:v>
      </x:c>
      <x:c r="I29" t="str">
        <x:v>STORED</x:v>
      </x:c>
      <x:c r="J29" t="str">
        <x:v>Norwegian Food Safety Authority</x:v>
      </x:c>
      <x:c r="K29" t="str">
        <x:v>Norway</x:v>
      </x:c>
      <x:c r="L29" t="str">
        <x:v>Norwegian</x:v>
      </x:c>
      <x:c r="M29" t="str"/>
      <x:c r="N29" s="9"/>
      <x:c r="O29" t="str">
        <x:v>Public authority</x:v>
      </x:c>
      <x:c r="P29" t="str">
        <x:v>Interpretation document</x:v>
      </x:c>
      <x:c r="Q29" t="str">
        <x:v>Guidance / interpretation</x:v>
      </x:c>
      <x:c r="R29" s="42" t="str">
        <x:v>Official guidance from Norwegian Food Safety Authority; included to interpret and operationalise linked normative requirements, not as independent legal or certification authority.</x:v>
      </x:c>
      <x:c r="S29" t="str">
        <x:v>HIGH</x:v>
      </x:c>
      <x:c r="T29" t="str">
        <x:v>HIGH</x:v>
      </x:c>
      <x:c r="U29" t="str">
        <x:v>HIGH</x:v>
      </x:c>
      <x:c r="V29" t="str">
        <x:v>HIGH</x:v>
      </x:c>
      <x:c r="W29" t="str">
        <x:v>HIGH</x:v>
      </x:c>
      <x:c r="X29" t="str">
        <x:v>HIGH</x:v>
      </x:c>
      <x:c r="Y29" t="str">
        <x:f>IF(A29="","",IF(OR(J29="",AO29="",AP29="",AP29="UNVERIFIED",AND(AO29="OFFICIAL_WEBSITE",D29=""),AND(OR(P29="Equipment manual / OEM instruction",Q29="Asset-specific normative"),OR(O29&lt;&gt;"Manufacturer / supplier",AR29="",R29=""))),"PENDING",IF(COUNTIF(S29:W29,"LOW")&gt;0,"EXCLUDE",IF(COUNTIF(S29:W29,"MEDIUM")&gt;0,"PENDING",IF(COUNTIF(S29:W29,"HIGH")=5,"INCLUDE","PENDING")))))</x:f>
        <x:v>INCLUDE</x:v>
      </x:c>
      <x:c r="Z29" t="str">
        <x:v>SUCCESS</x:v>
      </x:c>
      <x:c r="AA29" s="128" t="n">
        <x:v>46262.53090277778</x:v>
      </x:c>
      <x:c r="AB29" s="128" t="n">
        <x:v>46262.53091435185</x:v>
      </x:c>
      <x:c r="AC29" s="128" t="str">
        <x:v>INITIAL</x:v>
      </x:c>
      <x:c r="AD29" s="128" t="str">
        <x:v>AUTO</x:v>
      </x:c>
      <x:c r="AE29" s="128" t="n">
        <x:f>IF(A29="","",IF(AD29="AUTO",AB29,IF(AD29="MANUAL",AF29,"")))</x:f>
        <x:v>46262.53091435185</x:v>
      </x:c>
      <x:c r="AF29" s="9"/>
      <x:c r="AG29" t="str"/>
      <x:c r="AH29" t="str">
        <x:v>NONE</x:v>
      </x:c>
      <x:c r="AI29" s="42" t="str"/>
      <x:c r="AJ29" t="str">
        <x:f>IF(A29="","",IF(OR(Z29="FAIL",AND(AQ29="ROLLING",AC29="CHANGED")),IF(AND(AF29&lt;&gt;"",AF29&gt;=INT(AA29)),"NO","YES"),"NO"))</x:f>
        <x:v>NO</x:v>
      </x:c>
      <x:c r="AK29" t="str">
        <x:v>32a13fc92400f9d3afede91b9772367087a32fcd4bb72541cf576b4f2367e4dd</x:v>
      </x:c>
      <x:c r="AL29" t="str">
        <x:v>CURRENT</x:v>
      </x:c>
      <x:c r="AM29" t="str">
        <x:v>PA005</x:v>
      </x:c>
      <x:c r="AN29" s="42" t="str">
        <x:v>Official expansion hub. Child guidance pages may later become separate sources when directly applicable.</x:v>
      </x:c>
      <x:c r="AO29" t="str">
        <x:v>OFFICIAL_WEBSITE</x:v>
      </x:c>
      <x:c r="AP29" t="str">
        <x:v>OFFICIAL_ORIGINAL</x:v>
      </x:c>
      <x:c r="AQ29" t="str">
        <x:v>ROLLING</x:v>
      </x:c>
      <x:c r="AR29" s="42" t="str"/>
    </x:row>
    <x:row r="30" ht="42" customHeight="1">
      <x:c r="A30" t="str">
        <x:v>PA028</x:v>
      </x:c>
      <x:c r="B30" t="str">
        <x:v>PA028-001</x:v>
      </x:c>
      <x:c r="C30" s="42" t="str">
        <x:v>Norwegian Aquaculture Register</x:v>
      </x:c>
      <x:c r="D30" s="129" t="str">
        <x:v>https://www.fiskeridir.no/registre/akvakulturregisteret</x:v>
      </x:c>
      <x:c r="E30" s="129" t="str">
        <x:v>https://www.fiskeridir.no/registre/akvakulturregisteret</x:v>
      </x:c>
      <x:c r="F30" t="str">
        <x:v>A_Public_Authority</x:v>
      </x:c>
      <x:c r="G30" t="str">
        <x:v>html</x:v>
      </x:c>
      <x:c r="H30" t="str">
        <x:v>PA028-001_Norwegian_Aquaculture_Register.html</x:v>
      </x:c>
      <x:c r="I30" t="str">
        <x:v>STORED</x:v>
      </x:c>
      <x:c r="J30" t="str">
        <x:v>Norwegian Directorate of Fisheries</x:v>
      </x:c>
      <x:c r="K30" t="str">
        <x:v>Norway</x:v>
      </x:c>
      <x:c r="L30" t="str">
        <x:v>Norwegian</x:v>
      </x:c>
      <x:c r="M30" t="str"/>
      <x:c r="N30" s="9"/>
      <x:c r="O30" t="str">
        <x:v>Public authority</x:v>
      </x:c>
      <x:c r="P30" t="str">
        <x:v>Other</x:v>
      </x:c>
      <x:c r="Q30" t="str">
        <x:v>Context / evidence</x:v>
      </x:c>
      <x:c r="R30" s="42" t="str">
        <x:v>Official context source from Norwegian Directorate of Fisheries; included for applicability, site identity or source discovery, not for generating standalone requirements.</x:v>
      </x:c>
      <x:c r="S30" t="str">
        <x:v>HIGH</x:v>
      </x:c>
      <x:c r="T30" t="str">
        <x:v>MEDIUM</x:v>
      </x:c>
      <x:c r="U30" t="str">
        <x:v>HIGH</x:v>
      </x:c>
      <x:c r="V30" t="str">
        <x:v>HIGH</x:v>
      </x:c>
      <x:c r="W30" t="str">
        <x:v>HIGH</x:v>
      </x:c>
      <x:c r="X30" t="str">
        <x:v>HIGH</x:v>
      </x:c>
      <x:c r="Y30" t="str">
        <x:f>IF(A30="","",IF(OR(J30="",AO30="",AP30="",AP30="UNVERIFIED",AND(AO30="OFFICIAL_WEBSITE",D30=""),AND(OR(P30="Equipment manual / OEM instruction",Q30="Asset-specific normative"),OR(O30&lt;&gt;"Manufacturer / supplier",AR30="",R30=""))),"PENDING",IF(COUNTIF(S30:W30,"LOW")&gt;0,"EXCLUDE",IF(COUNTIF(S30:W30,"MEDIUM")&gt;0,"PENDING",IF(COUNTIF(S30:W30,"HIGH")=5,"INCLUDE","PENDING")))))</x:f>
        <x:v>PENDING</x:v>
      </x:c>
      <x:c r="Z30" t="str">
        <x:v>SUCCESS</x:v>
      </x:c>
      <x:c r="AA30" s="128" t="n">
        <x:v>46262.53091435185</x:v>
      </x:c>
      <x:c r="AB30" s="128" t="n">
        <x:v>46262.53092592592</x:v>
      </x:c>
      <x:c r="AC30" s="128" t="str">
        <x:v>INITIAL</x:v>
      </x:c>
      <x:c r="AD30" s="128" t="str">
        <x:v>AUTO</x:v>
      </x:c>
      <x:c r="AE30" s="128" t="n">
        <x:f>IF(A30="","",IF(AD30="AUTO",AB30,IF(AD30="MANUAL",AF30,"")))</x:f>
        <x:v>46262.53092592592</x:v>
      </x:c>
      <x:c r="AF30" s="9"/>
      <x:c r="AG30" t="str"/>
      <x:c r="AH30" t="str">
        <x:v>NONE</x:v>
      </x:c>
      <x:c r="AI30" s="42" t="str"/>
      <x:c r="AJ30" t="str">
        <x:f>IF(A30="","",IF(OR(Z30="FAIL",AND(AQ30="ROLLING",AC30="CHANGED")),IF(AND(AF30&lt;&gt;"",AF30&gt;=INT(AA30)),"NO","YES"),"NO"))</x:f>
        <x:v>NO</x:v>
      </x:c>
      <x:c r="AK30" t="str">
        <x:v>e4b0fe39d80e5dff689ac77b143523e86d5c40228f73405a6c9171ee40462790</x:v>
      </x:c>
      <x:c r="AL30" t="str">
        <x:v>CURRENT</x:v>
      </x:c>
      <x:c r="AM30" t="str">
        <x:v>PA032</x:v>
      </x:c>
      <x:c r="AN30" s="42" t="str">
        <x:v>Official expansion. Applicability and site identity source, not a primary source of normative text.</x:v>
      </x:c>
      <x:c r="AO30" t="str">
        <x:v>OFFICIAL_WEBSITE</x:v>
      </x:c>
      <x:c r="AP30" t="str">
        <x:v>OFFICIAL_ORIGINAL</x:v>
      </x:c>
      <x:c r="AQ30" t="str">
        <x:v>ROLLING</x:v>
      </x:c>
      <x:c r="AR30" s="42" t="str"/>
    </x:row>
    <x:row r="31" ht="42" customHeight="1">
      <x:c r="A31" t="str">
        <x:v>PA029</x:v>
      </x:c>
      <x:c r="B31" t="str">
        <x:v>PA029-001</x:v>
      </x:c>
      <x:c r="C31" s="42" t="str">
        <x:v>Yggdrasil map of Norwegian aquaculture localities</x:v>
      </x:c>
      <x:c r="D31" s="129" t="str">
        <x:v>https://portal.fiskeridir.no/akva</x:v>
      </x:c>
      <x:c r="E31" s="129" t="str">
        <x:v>https://portal.fiskeridir.no/akva</x:v>
      </x:c>
      <x:c r="F31" t="str">
        <x:v>A_Public_Authority</x:v>
      </x:c>
      <x:c r="G31" t="str">
        <x:v>html</x:v>
      </x:c>
      <x:c r="H31" t="str">
        <x:v>PA029-001_Yggdrasil_map_of_Norwegian_aquaculture_localities.html</x:v>
      </x:c>
      <x:c r="I31" t="str">
        <x:v>NOT_COLLECTED</x:v>
      </x:c>
      <x:c r="J31" t="str">
        <x:v>Norwegian Directorate of Fisheries</x:v>
      </x:c>
      <x:c r="K31" t="str">
        <x:v>Norway</x:v>
      </x:c>
      <x:c r="L31" t="str">
        <x:v>Norwegian</x:v>
      </x:c>
      <x:c r="M31" t="str"/>
      <x:c r="N31" s="9"/>
      <x:c r="O31" t="str">
        <x:v>Public authority</x:v>
      </x:c>
      <x:c r="P31" t="str">
        <x:v>Other</x:v>
      </x:c>
      <x:c r="Q31" t="str">
        <x:v>Context / evidence</x:v>
      </x:c>
      <x:c r="R31" s="42" t="str">
        <x:v>Official context source from Norwegian Directorate of Fisheries; included for applicability, site identity or source discovery, not for generating standalone requirements.</x:v>
      </x:c>
      <x:c r="S31" t="str">
        <x:v>HIGH</x:v>
      </x:c>
      <x:c r="T31" t="str">
        <x:v>MEDIUM</x:v>
      </x:c>
      <x:c r="U31" t="str">
        <x:v>HIGH</x:v>
      </x:c>
      <x:c r="V31" t="str">
        <x:v>HIGH</x:v>
      </x:c>
      <x:c r="W31" t="str">
        <x:v>HIGH</x:v>
      </x:c>
      <x:c r="X31" t="str">
        <x:v>HIGH</x:v>
      </x:c>
      <x:c r="Y31" t="str">
        <x:f>IF(A31="","",IF(OR(J31="",AO31="",AP31="",AP31="UNVERIFIED",AND(AO31="OFFICIAL_WEBSITE",D31=""),AND(OR(P31="Equipment manual / OEM instruction",Q31="Asset-specific normative"),OR(O31&lt;&gt;"Manufacturer / supplier",AR31="",R31=""))),"PENDING",IF(COUNTIF(S31:W31,"LOW")&gt;0,"EXCLUDE",IF(COUNTIF(S31:W31,"MEDIUM")&gt;0,"PENDING",IF(COUNTIF(S31:W31,"HIGH")=5,"INCLUDE","PENDING")))))</x:f>
        <x:v>PENDING</x:v>
      </x:c>
      <x:c r="Z31" t="str">
        <x:v>FAIL</x:v>
      </x:c>
      <x:c r="AA31" s="128" t="n">
        <x:v>46262.53092592592</x:v>
      </x:c>
      <x:c r="AB31" s="128"/>
      <x:c r="AC31" s="128" t="str">
        <x:v>UNKNOWN</x:v>
      </x:c>
      <x:c r="AD31" s="128" t="str">
        <x:v>NONE</x:v>
      </x:c>
      <x:c r="AE31" s="128" t="str">
        <x:f>IF(A31="","",IF(AD31="AUTO",AB31,IF(AD31="MANUAL",AF31,"")))</x:f>
      </x:c>
      <x:c r="AF31" s="9"/>
      <x:c r="AG31" t="str"/>
      <x:c r="AH31" t="str">
        <x:v>CONTENT</x:v>
      </x:c>
      <x:c r="AI31" s="42" t="str">
        <x:v>HTML readable body text is too short; the response may be a redirect or error page.</x:v>
      </x:c>
      <x:c r="AJ31" t="str">
        <x:f>IF(A31="","",IF(OR(Z31="FAIL",AND(AQ31="ROLLING",AC31="CHANGED")),IF(AND(AF31&lt;&gt;"",AF31&gt;=INT(AA31)),"NO","YES"),"NO"))</x:f>
        <x:v>YES</x:v>
      </x:c>
      <x:c r="AK31" t="str"/>
      <x:c r="AL31" t="str">
        <x:v>CURRENT</x:v>
      </x:c>
      <x:c r="AM31" t="str">
        <x:v>PA001</x:v>
      </x:c>
      <x:c r="AN31" s="42" t="str">
        <x:v>Official expansion. Site and locality context; not a primary normative source.</x:v>
      </x:c>
      <x:c r="AO31" t="str">
        <x:v>OFFICIAL_WEBSITE</x:v>
      </x:c>
      <x:c r="AP31" t="str">
        <x:v>OFFICIAL_ORIGINAL</x:v>
      </x:c>
      <x:c r="AQ31" t="str">
        <x:v>ROLLING</x:v>
      </x:c>
      <x:c r="AR31" s="42" t="str"/>
    </x:row>
    <x:row r="32" ht="42" customHeight="1">
      <x:c r="A32" t="str">
        <x:v>PA030</x:v>
      </x:c>
      <x:c r="B32" t="str">
        <x:v>PA030-001</x:v>
      </x:c>
      <x:c r="C32" s="42" t="str">
        <x:v>Regulation on special requirements for aquaculture-related activities in or near national salmon rivers and fjords</x:v>
      </x:c>
      <x:c r="D32" s="129" t="str">
        <x:v>https://lovdata.no/dokument/SF/forskrift/2009-06-22-961</x:v>
      </x:c>
      <x:c r="E32" s="129" t="str">
        <x:v>https://lovdata.no/dokument/SF/forskrift/2009-06-22-961</x:v>
      </x:c>
      <x:c r="F32" t="str">
        <x:v>A_Public_Authority</x:v>
      </x:c>
      <x:c r="G32" t="str">
        <x:v>html</x:v>
      </x:c>
      <x:c r="H32" t="str">
        <x:v>PA030-001_Regulation_on_special_requirements_for_aquaculture-related_activities_in_or_near_national_salmon_rivers_and_fjords.html</x:v>
      </x:c>
      <x:c r="I32" t="str">
        <x:v>STORED</x:v>
      </x:c>
      <x:c r="J32" t="str">
        <x:v>Norwegian Ministry of Trade, Industry and Fisheries</x:v>
      </x:c>
      <x:c r="K32" t="str">
        <x:v>Norway</x:v>
      </x:c>
      <x:c r="L32" t="str">
        <x:v>Norwegian</x:v>
      </x:c>
      <x:c r="M32" t="str"/>
      <x:c r="N32" s="9"/>
      <x:c r="O32" t="str">
        <x:v>Public authority</x:v>
      </x:c>
      <x:c r="P32" t="str">
        <x:v>Regulation</x:v>
      </x:c>
      <x:c r="Q32" t="str">
        <x:v>Primary normative</x:v>
      </x:c>
      <x:c r="R32" s="42" t="str">
        <x:v>Official regulation issued by Norwegian Ministry of Trade, Industry and Fisheries; included because it may impose binding requirements on an in-scope aquaculture asset, activity, permit or certification.</x:v>
      </x:c>
      <x:c r="S32" t="str">
        <x:v>HIGH</x:v>
      </x:c>
      <x:c r="T32" t="str">
        <x:v>MEDIUM</x:v>
      </x:c>
      <x:c r="U32" t="str">
        <x:v>HIGH</x:v>
      </x:c>
      <x:c r="V32" t="str">
        <x:v>HIGH</x:v>
      </x:c>
      <x:c r="W32" t="str">
        <x:v>HIGH</x:v>
      </x:c>
      <x:c r="X32" t="str">
        <x:v>HIGH</x:v>
      </x:c>
      <x:c r="Y32" t="str">
        <x:f>IF(A32="","",IF(OR(J32="",AO32="",AP32="",AP32="UNVERIFIED",AND(AO32="OFFICIAL_WEBSITE",D32=""),AND(OR(P32="Equipment manual / OEM instruction",Q32="Asset-specific normative"),OR(O32&lt;&gt;"Manufacturer / supplier",AR32="",R32=""))),"PENDING",IF(COUNTIF(S32:W32,"LOW")&gt;0,"EXCLUDE",IF(COUNTIF(S32:W32,"MEDIUM")&gt;0,"PENDING",IF(COUNTIF(S32:W32,"HIGH")=5,"INCLUDE","PENDING")))))</x:f>
        <x:v>PENDING</x:v>
      </x:c>
      <x:c r="Z32" t="str">
        <x:v>SUCCESS</x:v>
      </x:c>
      <x:c r="AA32" s="128" t="n">
        <x:v>46262.5309375</x:v>
      </x:c>
      <x:c r="AB32" s="128" t="n">
        <x:v>46262.5309375</x:v>
      </x:c>
      <x:c r="AC32" s="128" t="str">
        <x:v>INITIAL</x:v>
      </x:c>
      <x:c r="AD32" s="128" t="str">
        <x:v>AUTO</x:v>
      </x:c>
      <x:c r="AE32" s="128" t="n">
        <x:f>IF(A32="","",IF(AD32="AUTO",AB32,IF(AD32="MANUAL",AF32,"")))</x:f>
        <x:v>46262.5309375</x:v>
      </x:c>
      <x:c r="AF32" s="9"/>
      <x:c r="AG32" t="str"/>
      <x:c r="AH32" t="str">
        <x:v>NONE</x:v>
      </x:c>
      <x:c r="AI32" s="42" t="str"/>
      <x:c r="AJ32" t="str">
        <x:f>IF(A32="","",IF(OR(Z32="FAIL",AND(AQ32="ROLLING",AC32="CHANGED")),IF(AND(AF32&lt;&gt;"",AF32&gt;=INT(AA32)),"NO","YES"),"NO"))</x:f>
        <x:v>NO</x:v>
      </x:c>
      <x:c r="AK32" t="str">
        <x:v>f3e632fdd118f679d3cba93120bdcaf4ab74fef6abca29992ae4b808287ec422</x:v>
      </x:c>
      <x:c r="AL32" t="str">
        <x:v>CURRENT</x:v>
      </x:c>
      <x:c r="AM32" t="str"/>
      <x:c r="AN32" s="42" t="str">
        <x:v>Official expansion from the aquaculture regulation index. Site-specific applicability must be established.</x:v>
      </x:c>
      <x:c r="AO32" t="str">
        <x:v>OFFICIAL_WEBSITE</x:v>
      </x:c>
      <x:c r="AP32" t="str">
        <x:v>OFFICIAL_ORIGINAL</x:v>
      </x:c>
      <x:c r="AQ32" t="str">
        <x:v>ROLLING</x:v>
      </x:c>
      <x:c r="AR32" s="42" t="str"/>
    </x:row>
    <x:row r="33" ht="42" customHeight="1">
      <x:c r="A33" t="str">
        <x:v>PA031</x:v>
      </x:c>
      <x:c r="B33" t="str">
        <x:v>PA031-001</x:v>
      </x:c>
      <x:c r="C33" s="42" t="str">
        <x:v>Regulation on joint responsibility for removal of escaped farmed fish</x:v>
      </x:c>
      <x:c r="D33" s="129" t="str">
        <x:v>https://lovdata.no/dokument/SF/forskrift/2015-02-05-89</x:v>
      </x:c>
      <x:c r="E33" s="129" t="str">
        <x:v>https://lovdata.no/dokument/SF/forskrift/2015-02-05-89</x:v>
      </x:c>
      <x:c r="F33" t="str">
        <x:v>A_Public_Authority</x:v>
      </x:c>
      <x:c r="G33" t="str">
        <x:v>html</x:v>
      </x:c>
      <x:c r="H33" t="str">
        <x:v>PA031-001_Regulation_on_joint_responsibility_for_removal_of_escaped_farmed_fish.html</x:v>
      </x:c>
      <x:c r="I33" t="str">
        <x:v>STORED</x:v>
      </x:c>
      <x:c r="J33" t="str">
        <x:v>Norwegian Ministry of Trade, Industry and Fisheries</x:v>
      </x:c>
      <x:c r="K33" t="str">
        <x:v>Norway</x:v>
      </x:c>
      <x:c r="L33" t="str">
        <x:v>Norwegian</x:v>
      </x:c>
      <x:c r="M33" t="str"/>
      <x:c r="N33" s="9"/>
      <x:c r="O33" t="str">
        <x:v>Public authority</x:v>
      </x:c>
      <x:c r="P33" t="str">
        <x:v>Regulation</x:v>
      </x:c>
      <x:c r="Q33" t="str">
        <x:v>Primary normative</x:v>
      </x:c>
      <x:c r="R33" s="42" t="str">
        <x:v>Official regulation issued by Norwegian Ministry of Trade, Industry and Fisheries; included because it may impose binding requirements on an in-scope aquaculture asset, activity, permit or certification.</x:v>
      </x:c>
      <x:c r="S33" t="str">
        <x:v>HIGH</x:v>
      </x:c>
      <x:c r="T33" t="str">
        <x:v>HIGH</x:v>
      </x:c>
      <x:c r="U33" t="str">
        <x:v>HIGH</x:v>
      </x:c>
      <x:c r="V33" t="str">
        <x:v>HIGH</x:v>
      </x:c>
      <x:c r="W33" t="str">
        <x:v>HIGH</x:v>
      </x:c>
      <x:c r="X33" t="str">
        <x:v>HIGH</x:v>
      </x:c>
      <x:c r="Y33" t="str">
        <x:f>IF(A33="","",IF(OR(J33="",AO33="",AP33="",AP33="UNVERIFIED",AND(AO33="OFFICIAL_WEBSITE",D33=""),AND(OR(P33="Equipment manual / OEM instruction",Q33="Asset-specific normative"),OR(O33&lt;&gt;"Manufacturer / supplier",AR33="",R33=""))),"PENDING",IF(COUNTIF(S33:W33,"LOW")&gt;0,"EXCLUDE",IF(COUNTIF(S33:W33,"MEDIUM")&gt;0,"PENDING",IF(COUNTIF(S33:W33,"HIGH")=5,"INCLUDE","PENDING")))))</x:f>
        <x:v>INCLUDE</x:v>
      </x:c>
      <x:c r="Z33" t="str">
        <x:v>SUCCESS</x:v>
      </x:c>
      <x:c r="AA33" s="128" t="n">
        <x:v>46262.5309375</x:v>
      </x:c>
      <x:c r="AB33" s="128" t="n">
        <x:v>46262.5309375</x:v>
      </x:c>
      <x:c r="AC33" s="128" t="str">
        <x:v>INITIAL</x:v>
      </x:c>
      <x:c r="AD33" s="128" t="str">
        <x:v>AUTO</x:v>
      </x:c>
      <x:c r="AE33" s="128" t="n">
        <x:f>IF(A33="","",IF(AD33="AUTO",AB33,IF(AD33="MANUAL",AF33,"")))</x:f>
        <x:v>46262.5309375</x:v>
      </x:c>
      <x:c r="AF33" s="9"/>
      <x:c r="AG33" t="str"/>
      <x:c r="AH33" t="str">
        <x:v>NONE</x:v>
      </x:c>
      <x:c r="AI33" s="42" t="str"/>
      <x:c r="AJ33" t="str">
        <x:f>IF(A33="","",IF(OR(Z33="FAIL",AND(AQ33="ROLLING",AC33="CHANGED")),IF(AND(AF33&lt;&gt;"",AF33&gt;=INT(AA33)),"NO","YES"),"NO"))</x:f>
        <x:v>NO</x:v>
      </x:c>
      <x:c r="AK33" t="str">
        <x:v>e792a6f90a4e6601a323dcde19ea09b0af31c58b7a4e42c6eaff75dfa5e79e95</x:v>
      </x:c>
      <x:c r="AL33" t="str">
        <x:v>CURRENT</x:v>
      </x:c>
      <x:c r="AM33" t="str"/>
      <x:c r="AN33" s="42" t="str">
        <x:v>Official expansion. Applies to holders of relevant salmon, trout and rainbow-trout permits.</x:v>
      </x:c>
      <x:c r="AO33" t="str">
        <x:v>OFFICIAL_WEBSITE</x:v>
      </x:c>
      <x:c r="AP33" t="str">
        <x:v>OFFICIAL_ORIGINAL</x:v>
      </x:c>
      <x:c r="AQ33" t="str">
        <x:v>ROLLING</x:v>
      </x:c>
      <x:c r="AR33" s="42" t="str"/>
    </x:row>
    <x:row r="34" ht="42" customHeight="1">
      <x:c r="A34" t="str">
        <x:v>PA032</x:v>
      </x:c>
      <x:c r="B34" t="str">
        <x:v>PA032-001</x:v>
      </x:c>
      <x:c r="C34" s="42" t="str">
        <x:v>Regulation on the Aquaculture Register</x:v>
      </x:c>
      <x:c r="D34" s="129" t="str">
        <x:v>https://lovdata.no/dokument/SF/forskrift/2005-12-28-1706</x:v>
      </x:c>
      <x:c r="E34" s="129" t="str">
        <x:v>https://lovdata.no/dokument/SF/forskrift/2005-12-28-1706</x:v>
      </x:c>
      <x:c r="F34" t="str">
        <x:v>A_Public_Authority</x:v>
      </x:c>
      <x:c r="G34" t="str">
        <x:v>html</x:v>
      </x:c>
      <x:c r="H34" t="str">
        <x:v>PA032-001_Regulation_on_the_Aquaculture_Register.html</x:v>
      </x:c>
      <x:c r="I34" t="str">
        <x:v>STORED</x:v>
      </x:c>
      <x:c r="J34" t="str">
        <x:v>Norwegian Ministry of Trade, Industry and Fisheries</x:v>
      </x:c>
      <x:c r="K34" t="str">
        <x:v>Norway</x:v>
      </x:c>
      <x:c r="L34" t="str">
        <x:v>Norwegian</x:v>
      </x:c>
      <x:c r="M34" t="str"/>
      <x:c r="N34" s="9"/>
      <x:c r="O34" t="str">
        <x:v>Public authority</x:v>
      </x:c>
      <x:c r="P34" t="str">
        <x:v>Regulation</x:v>
      </x:c>
      <x:c r="Q34" t="str">
        <x:v>Referenced normative</x:v>
      </x:c>
      <x:c r="R34" s="42" t="str">
        <x:v>Official referenced source from Norwegian Ministry of Trade, Industry and Fisheries; included because an applicable law, permit or certification scheme may make its provisions binding within the approved scope.</x:v>
      </x:c>
      <x:c r="S34" t="str">
        <x:v>HIGH</x:v>
      </x:c>
      <x:c r="T34" t="str">
        <x:v>HIGH</x:v>
      </x:c>
      <x:c r="U34" t="str">
        <x:v>HIGH</x:v>
      </x:c>
      <x:c r="V34" t="str">
        <x:v>HIGH</x:v>
      </x:c>
      <x:c r="W34" t="str">
        <x:v>HIGH</x:v>
      </x:c>
      <x:c r="X34" t="str">
        <x:v>HIGH</x:v>
      </x:c>
      <x:c r="Y34" t="str">
        <x:f>IF(A34="","",IF(OR(J34="",AO34="",AP34="",AP34="UNVERIFIED",AND(AO34="OFFICIAL_WEBSITE",D34=""),AND(OR(P34="Equipment manual / OEM instruction",Q34="Asset-specific normative"),OR(O34&lt;&gt;"Manufacturer / supplier",AR34="",R34=""))),"PENDING",IF(COUNTIF(S34:W34,"LOW")&gt;0,"EXCLUDE",IF(COUNTIF(S34:W34,"MEDIUM")&gt;0,"PENDING",IF(COUNTIF(S34:W34,"HIGH")=5,"INCLUDE","PENDING")))))</x:f>
        <x:v>INCLUDE</x:v>
      </x:c>
      <x:c r="Z34" t="str">
        <x:v>SUCCESS</x:v>
      </x:c>
      <x:c r="AA34" s="128" t="n">
        <x:v>46262.5309375</x:v>
      </x:c>
      <x:c r="AB34" s="128" t="n">
        <x:v>46262.53094907408</x:v>
      </x:c>
      <x:c r="AC34" s="128" t="str">
        <x:v>INITIAL</x:v>
      </x:c>
      <x:c r="AD34" s="128" t="str">
        <x:v>AUTO</x:v>
      </x:c>
      <x:c r="AE34" s="128" t="n">
        <x:f>IF(A34="","",IF(AD34="AUTO",AB34,IF(AD34="MANUAL",AF34,"")))</x:f>
        <x:v>46262.53094907408</x:v>
      </x:c>
      <x:c r="AF34" s="9"/>
      <x:c r="AG34" t="str"/>
      <x:c r="AH34" t="str">
        <x:v>NONE</x:v>
      </x:c>
      <x:c r="AI34" s="42" t="str"/>
      <x:c r="AJ34" t="str">
        <x:f>IF(A34="","",IF(OR(Z34="FAIL",AND(AQ34="ROLLING",AC34="CHANGED")),IF(AND(AF34&lt;&gt;"",AF34&gt;=INT(AA34)),"NO","YES"),"NO"))</x:f>
        <x:v>NO</x:v>
      </x:c>
      <x:c r="AK34" t="str">
        <x:v>29b6b73125d703fc809475418ceff449203a6f024d8d91709c2cd32c3aba6e37</x:v>
      </x:c>
      <x:c r="AL34" t="str">
        <x:v>CURRENT</x:v>
      </x:c>
      <x:c r="AM34" t="str"/>
      <x:c r="AN34" s="42" t="str">
        <x:v>Official expansion. Relevant to registration and traceability; operational applicability requires review.</x:v>
      </x:c>
      <x:c r="AO34" t="str">
        <x:v>OFFICIAL_WEBSITE</x:v>
      </x:c>
      <x:c r="AP34" t="str">
        <x:v>OFFICIAL_ORIGINAL</x:v>
      </x:c>
      <x:c r="AQ34" t="str">
        <x:v>ROLLING</x:v>
      </x:c>
      <x:c r="AR34" s="42" t="str"/>
    </x:row>
    <x:row r="35" ht="42" customHeight="1">
      <x:c r="A35" t="str">
        <x:v>PA033</x:v>
      </x:c>
      <x:c r="B35" t="str">
        <x:v>PA033-001</x:v>
      </x:c>
      <x:c r="C35" s="42" t="str">
        <x:v>Regulation on catch-based aquaculture</x:v>
      </x:c>
      <x:c r="D35" s="129" t="str">
        <x:v>https://lovdata.no/dokument/SF/forskrift/2014-12-15-1831</x:v>
      </x:c>
      <x:c r="E35" s="129" t="str">
        <x:v>https://lovdata.no/dokument/SF/forskrift/2014-12-15-1831</x:v>
      </x:c>
      <x:c r="F35" t="str">
        <x:v>A_Public_Authority</x:v>
      </x:c>
      <x:c r="G35" t="str">
        <x:v>html</x:v>
      </x:c>
      <x:c r="H35" t="str">
        <x:v>PA033-001_Regulation_on_catch-based_aquaculture.html</x:v>
      </x:c>
      <x:c r="I35" t="str">
        <x:v>STORED</x:v>
      </x:c>
      <x:c r="J35" t="str">
        <x:v>Norwegian Ministry of Trade, Industry and Fisheries</x:v>
      </x:c>
      <x:c r="K35" t="str">
        <x:v>Norway</x:v>
      </x:c>
      <x:c r="L35" t="str">
        <x:v>Norwegian</x:v>
      </x:c>
      <x:c r="M35" t="str"/>
      <x:c r="N35" s="9"/>
      <x:c r="O35" t="str">
        <x:v>Public authority</x:v>
      </x:c>
      <x:c r="P35" t="str">
        <x:v>Regulation</x:v>
      </x:c>
      <x:c r="Q35" t="str">
        <x:v>Primary normative</x:v>
      </x:c>
      <x:c r="R35" s="42" t="str">
        <x:v>Official regulation issued by Norwegian Ministry of Trade, Industry and Fisheries; included because it may impose binding requirements on an in-scope aquaculture asset, activity, permit or certification.</x:v>
      </x:c>
      <x:c r="S35" t="str">
        <x:v>HIGH</x:v>
      </x:c>
      <x:c r="T35" t="str">
        <x:v>MEDIUM</x:v>
      </x:c>
      <x:c r="U35" t="str">
        <x:v>HIGH</x:v>
      </x:c>
      <x:c r="V35" t="str">
        <x:v>HIGH</x:v>
      </x:c>
      <x:c r="W35" t="str">
        <x:v>HIGH</x:v>
      </x:c>
      <x:c r="X35" t="str">
        <x:v>HIGH</x:v>
      </x:c>
      <x:c r="Y35" t="str">
        <x:f>IF(A35="","",IF(OR(J35="",AO35="",AP35="",AP35="UNVERIFIED",AND(AO35="OFFICIAL_WEBSITE",D35=""),AND(OR(P35="Equipment manual / OEM instruction",Q35="Asset-specific normative"),OR(O35&lt;&gt;"Manufacturer / supplier",AR35="",R35=""))),"PENDING",IF(COUNTIF(S35:W35,"LOW")&gt;0,"EXCLUDE",IF(COUNTIF(S35:W35,"MEDIUM")&gt;0,"PENDING",IF(COUNTIF(S35:W35,"HIGH")=5,"INCLUDE","PENDING")))))</x:f>
        <x:v>PENDING</x:v>
      </x:c>
      <x:c r="Z35" t="str">
        <x:v>SUCCESS</x:v>
      </x:c>
      <x:c r="AA35" s="128" t="n">
        <x:v>46262.53094907408</x:v>
      </x:c>
      <x:c r="AB35" s="128" t="n">
        <x:v>46262.53094907408</x:v>
      </x:c>
      <x:c r="AC35" s="128" t="str">
        <x:v>INITIAL</x:v>
      </x:c>
      <x:c r="AD35" s="128" t="str">
        <x:v>AUTO</x:v>
      </x:c>
      <x:c r="AE35" s="128" t="n">
        <x:f>IF(A35="","",IF(AD35="AUTO",AB35,IF(AD35="MANUAL",AF35,"")))</x:f>
        <x:v>46262.53094907408</x:v>
      </x:c>
      <x:c r="AF35" s="9"/>
      <x:c r="AG35" t="str"/>
      <x:c r="AH35" t="str">
        <x:v>NONE</x:v>
      </x:c>
      <x:c r="AI35" s="42" t="str"/>
      <x:c r="AJ35" t="str">
        <x:f>IF(A35="","",IF(OR(Z35="FAIL",AND(AQ35="ROLLING",AC35="CHANGED")),IF(AND(AF35&lt;&gt;"",AF35&gt;=INT(AA35)),"NO","YES"),"NO"))</x:f>
        <x:v>NO</x:v>
      </x:c>
      <x:c r="AK35" t="str">
        <x:v>8e117c5d5d5017180a13f307c48ebc4833af52f1359012d6a4f7c713c2e5ef56</x:v>
      </x:c>
      <x:c r="AL35" t="str">
        <x:v>CURRENT</x:v>
      </x:c>
      <x:c r="AM35" t="str"/>
      <x:c r="AN35" s="42" t="str">
        <x:v>Official coverage expansion from the aquaculture regulation index. Include only for catch-based aquaculture activities.</x:v>
      </x:c>
      <x:c r="AO35" t="str">
        <x:v>OFFICIAL_WEBSITE</x:v>
      </x:c>
      <x:c r="AP35" t="str">
        <x:v>OFFICIAL_ORIGINAL</x:v>
      </x:c>
      <x:c r="AQ35" t="str">
        <x:v>ROLLING</x:v>
      </x:c>
      <x:c r="AR35" s="42" t="str"/>
    </x:row>
    <x:row r="36" ht="42" customHeight="1">
      <x:c r="A36" t="str">
        <x:v>PA034</x:v>
      </x:c>
      <x:c r="B36" t="str">
        <x:v>PA034-001</x:v>
      </x:c>
      <x:c r="C36" s="42" t="str">
        <x:v>Regulation on coordination and time limits for processing aquaculture applications</x:v>
      </x:c>
      <x:c r="D36" s="129" t="str">
        <x:v>https://lovdata.no/dokument/SF/forskrift/2010-05-18-708</x:v>
      </x:c>
      <x:c r="E36" s="129" t="str">
        <x:v>https://lovdata.no/dokument/SF/forskrift/2010-05-18-708</x:v>
      </x:c>
      <x:c r="F36" t="str">
        <x:v>A_Public_Authority</x:v>
      </x:c>
      <x:c r="G36" t="str">
        <x:v>html</x:v>
      </x:c>
      <x:c r="H36" t="str">
        <x:v>PA034-001_Regulation_on_coordination_and_time_limits_for_processing_aquaculture_applications.html</x:v>
      </x:c>
      <x:c r="I36" t="str">
        <x:v>STORED</x:v>
      </x:c>
      <x:c r="J36" t="str">
        <x:v>Norwegian Ministry of Trade, Industry and Fisheries</x:v>
      </x:c>
      <x:c r="K36" t="str">
        <x:v>Norway</x:v>
      </x:c>
      <x:c r="L36" t="str">
        <x:v>Norwegian</x:v>
      </x:c>
      <x:c r="M36" t="str"/>
      <x:c r="N36" s="9"/>
      <x:c r="O36" t="str">
        <x:v>Public authority</x:v>
      </x:c>
      <x:c r="P36" t="str">
        <x:v>Regulation</x:v>
      </x:c>
      <x:c r="Q36" t="str">
        <x:v>Referenced normative</x:v>
      </x:c>
      <x:c r="R36" s="42" t="str">
        <x:v>Official referenced source from Norwegian Ministry of Trade, Industry and Fisheries; included because an applicable law, permit or certification scheme may make its provisions binding within the approved scope.</x:v>
      </x:c>
      <x:c r="S36" t="str">
        <x:v>HIGH</x:v>
      </x:c>
      <x:c r="T36" t="str">
        <x:v>MEDIUM</x:v>
      </x:c>
      <x:c r="U36" t="str">
        <x:v>HIGH</x:v>
      </x:c>
      <x:c r="V36" t="str">
        <x:v>HIGH</x:v>
      </x:c>
      <x:c r="W36" t="str">
        <x:v>HIGH</x:v>
      </x:c>
      <x:c r="X36" t="str">
        <x:v>HIGH</x:v>
      </x:c>
      <x:c r="Y36" t="str">
        <x:f>IF(A36="","",IF(OR(J36="",AO36="",AP36="",AP36="UNVERIFIED",AND(AO36="OFFICIAL_WEBSITE",D36=""),AND(OR(P36="Equipment manual / OEM instruction",Q36="Asset-specific normative"),OR(O36&lt;&gt;"Manufacturer / supplier",AR36="",R36=""))),"PENDING",IF(COUNTIF(S36:W36,"LOW")&gt;0,"EXCLUDE",IF(COUNTIF(S36:W36,"MEDIUM")&gt;0,"PENDING",IF(COUNTIF(S36:W36,"HIGH")=5,"INCLUDE","PENDING")))))</x:f>
        <x:v>PENDING</x:v>
      </x:c>
      <x:c r="Z36" t="str">
        <x:v>SUCCESS</x:v>
      </x:c>
      <x:c r="AA36" s="128" t="n">
        <x:v>46262.53094907408</x:v>
      </x:c>
      <x:c r="AB36" s="128" t="n">
        <x:v>46262.53096064815</x:v>
      </x:c>
      <x:c r="AC36" s="128" t="str">
        <x:v>INITIAL</x:v>
      </x:c>
      <x:c r="AD36" s="128" t="str">
        <x:v>AUTO</x:v>
      </x:c>
      <x:c r="AE36" s="128" t="n">
        <x:f>IF(A36="","",IF(AD36="AUTO",AB36,IF(AD36="MANUAL",AF36,"")))</x:f>
        <x:v>46262.53096064815</x:v>
      </x:c>
      <x:c r="AF36" s="9"/>
      <x:c r="AG36" t="str"/>
      <x:c r="AH36" t="str">
        <x:v>NONE</x:v>
      </x:c>
      <x:c r="AI36" s="42" t="str"/>
      <x:c r="AJ36" t="str">
        <x:f>IF(A36="","",IF(OR(Z36="FAIL",AND(AQ36="ROLLING",AC36="CHANGED")),IF(AND(AF36&lt;&gt;"",AF36&gt;=INT(AA36)),"NO","YES"),"NO"))</x:f>
        <x:v>NO</x:v>
      </x:c>
      <x:c r="AK36" t="str">
        <x:v>70eee18edb0de84ba14e2896f95f987b4e9954af8d586f574bff4f4b255a5e15</x:v>
      </x:c>
      <x:c r="AL36" t="str">
        <x:v>CURRENT</x:v>
      </x:c>
      <x:c r="AM36" t="str"/>
      <x:c r="AN36" s="42" t="str">
        <x:v>Official coverage expansion. Relevant to permitting workflow rather than routine operational controls.</x:v>
      </x:c>
      <x:c r="AO36" t="str">
        <x:v>OFFICIAL_WEBSITE</x:v>
      </x:c>
      <x:c r="AP36" t="str">
        <x:v>OFFICIAL_ORIGINAL</x:v>
      </x:c>
      <x:c r="AQ36" t="str">
        <x:v>ROLLING</x:v>
      </x:c>
      <x:c r="AR36" s="42" t="str"/>
    </x:row>
    <x:row r="37" ht="42" customHeight="1">
      <x:c r="A37" t="str">
        <x:v>PA035</x:v>
      </x:c>
      <x:c r="B37" t="str">
        <x:v>PA035-001</x:v>
      </x:c>
      <x:c r="C37" s="42" t="str">
        <x:v>Regulation on reactions for violations of the Aquaculture Act</x:v>
      </x:c>
      <x:c r="D37" s="129" t="str">
        <x:v>https://lovdata.no/dokument/SF/forskrift/2013-12-20-1675</x:v>
      </x:c>
      <x:c r="E37" s="129" t="str">
        <x:v>https://lovdata.no/dokument/SF/forskrift/2013-12-20-1675</x:v>
      </x:c>
      <x:c r="F37" t="str">
        <x:v>A_Public_Authority</x:v>
      </x:c>
      <x:c r="G37" t="str">
        <x:v>html</x:v>
      </x:c>
      <x:c r="H37" t="str">
        <x:v>PA035-001_Regulation_on_reactions_for_violations_of_the_Aquaculture_Act.html</x:v>
      </x:c>
      <x:c r="I37" t="str">
        <x:v>STORED</x:v>
      </x:c>
      <x:c r="J37" t="str">
        <x:v>Norwegian Ministry of Trade, Industry and Fisheries</x:v>
      </x:c>
      <x:c r="K37" t="str">
        <x:v>Norway</x:v>
      </x:c>
      <x:c r="L37" t="str">
        <x:v>Norwegian</x:v>
      </x:c>
      <x:c r="M37" t="str"/>
      <x:c r="N37" s="9"/>
      <x:c r="O37" t="str">
        <x:v>Public authority</x:v>
      </x:c>
      <x:c r="P37" t="str">
        <x:v>Regulation</x:v>
      </x:c>
      <x:c r="Q37" t="str">
        <x:v>Referenced normative</x:v>
      </x:c>
      <x:c r="R37" s="42" t="str">
        <x:v>Official referenced source from Norwegian Ministry of Trade, Industry and Fisheries; included because an applicable law, permit or certification scheme may make its provisions binding within the approved scope.</x:v>
      </x:c>
      <x:c r="S37" t="str">
        <x:v>HIGH</x:v>
      </x:c>
      <x:c r="T37" t="str">
        <x:v>MEDIUM</x:v>
      </x:c>
      <x:c r="U37" t="str">
        <x:v>HIGH</x:v>
      </x:c>
      <x:c r="V37" t="str">
        <x:v>HIGH</x:v>
      </x:c>
      <x:c r="W37" t="str">
        <x:v>HIGH</x:v>
      </x:c>
      <x:c r="X37" t="str">
        <x:v>HIGH</x:v>
      </x:c>
      <x:c r="Y37" t="str">
        <x:f>IF(A37="","",IF(OR(J37="",AO37="",AP37="",AP37="UNVERIFIED",AND(AO37="OFFICIAL_WEBSITE",D37=""),AND(OR(P37="Equipment manual / OEM instruction",Q37="Asset-specific normative"),OR(O37&lt;&gt;"Manufacturer / supplier",AR37="",R37=""))),"PENDING",IF(COUNTIF(S37:W37,"LOW")&gt;0,"EXCLUDE",IF(COUNTIF(S37:W37,"MEDIUM")&gt;0,"PENDING",IF(COUNTIF(S37:W37,"HIGH")=5,"INCLUDE","PENDING")))))</x:f>
        <x:v>PENDING</x:v>
      </x:c>
      <x:c r="Z37" t="str">
        <x:v>SUCCESS</x:v>
      </x:c>
      <x:c r="AA37" s="128" t="n">
        <x:v>46262.53096064815</x:v>
      </x:c>
      <x:c r="AB37" s="128" t="n">
        <x:v>46262.53097222222</x:v>
      </x:c>
      <x:c r="AC37" s="128" t="str">
        <x:v>INITIAL</x:v>
      </x:c>
      <x:c r="AD37" s="128" t="str">
        <x:v>AUTO</x:v>
      </x:c>
      <x:c r="AE37" s="128" t="n">
        <x:f>IF(A37="","",IF(AD37="AUTO",AB37,IF(AD37="MANUAL",AF37,"")))</x:f>
        <x:v>46262.53097222222</x:v>
      </x:c>
      <x:c r="AF37" s="9"/>
      <x:c r="AG37" t="str"/>
      <x:c r="AH37" t="str">
        <x:v>NONE</x:v>
      </x:c>
      <x:c r="AI37" s="42" t="str"/>
      <x:c r="AJ37" t="str">
        <x:f>IF(A37="","",IF(OR(Z37="FAIL",AND(AQ37="ROLLING",AC37="CHANGED")),IF(AND(AF37&lt;&gt;"",AF37&gt;=INT(AA37)),"NO","YES"),"NO"))</x:f>
        <x:v>NO</x:v>
      </x:c>
      <x:c r="AK37" t="str">
        <x:v>9352c1d1b3caebc263c4086816b4f894e69d3aa424bbf97b364e14838ed589b6</x:v>
      </x:c>
      <x:c r="AL37" t="str">
        <x:v>CURRENT</x:v>
      </x:c>
      <x:c r="AM37" t="str"/>
      <x:c r="AN37" s="42" t="str">
        <x:v>Official coverage expansion. Supports enforcement and consequence mapping; it is not normally the source of the underlying operational duty.</x:v>
      </x:c>
      <x:c r="AO37" t="str">
        <x:v>OFFICIAL_WEBSITE</x:v>
      </x:c>
      <x:c r="AP37" t="str">
        <x:v>OFFICIAL_ORIGINAL</x:v>
      </x:c>
      <x:c r="AQ37" t="str">
        <x:v>ROLLING</x:v>
      </x:c>
      <x:c r="AR37" s="42" t="str"/>
    </x:row>
    <x:row r="38" ht="42" customHeight="1">
      <x:c r="A38" t="str">
        <x:v>PA036</x:v>
      </x:c>
      <x:c r="B38" t="str">
        <x:v>PA036-001</x:v>
      </x:c>
      <x:c r="C38" s="42" t="str">
        <x:v>Regulation on permits for aquaculture of species other than salmon, trout and rainbow trout</x:v>
      </x:c>
      <x:c r="D38" s="129" t="str">
        <x:v>https://lovdata.no/dokument/SF/forskrift/2004-12-22-1799</x:v>
      </x:c>
      <x:c r="E38" s="129" t="str">
        <x:v>https://lovdata.no/dokument/SF/forskrift/2004-12-22-1799</x:v>
      </x:c>
      <x:c r="F38" t="str">
        <x:v>A_Public_Authority</x:v>
      </x:c>
      <x:c r="G38" t="str">
        <x:v>html</x:v>
      </x:c>
      <x:c r="H38" t="str">
        <x:v>PA036-001_Regulation_on_permits_for_aquaculture_of_species_other_than_salmon_trout_and_rainbow_trout.html</x:v>
      </x:c>
      <x:c r="I38" t="str">
        <x:v>STORED</x:v>
      </x:c>
      <x:c r="J38" t="str">
        <x:v>Norwegian Ministry of Trade, Industry and Fisheries</x:v>
      </x:c>
      <x:c r="K38" t="str">
        <x:v>Norway</x:v>
      </x:c>
      <x:c r="L38" t="str">
        <x:v>Norwegian</x:v>
      </x:c>
      <x:c r="M38" t="str"/>
      <x:c r="N38" s="9"/>
      <x:c r="O38" t="str">
        <x:v>Public authority</x:v>
      </x:c>
      <x:c r="P38" t="str">
        <x:v>Regulation</x:v>
      </x:c>
      <x:c r="Q38" t="str">
        <x:v>Primary normative</x:v>
      </x:c>
      <x:c r="R38" s="42" t="str">
        <x:v>Official regulation issued by Norwegian Ministry of Trade, Industry and Fisheries; included because it may impose binding requirements on an in-scope aquaculture asset, activity, permit or certification.</x:v>
      </x:c>
      <x:c r="S38" t="str">
        <x:v>HIGH</x:v>
      </x:c>
      <x:c r="T38" t="str">
        <x:v>MEDIUM</x:v>
      </x:c>
      <x:c r="U38" t="str">
        <x:v>HIGH</x:v>
      </x:c>
      <x:c r="V38" t="str">
        <x:v>HIGH</x:v>
      </x:c>
      <x:c r="W38" t="str">
        <x:v>HIGH</x:v>
      </x:c>
      <x:c r="X38" t="str">
        <x:v>HIGH</x:v>
      </x:c>
      <x:c r="Y38" t="str">
        <x:f>IF(A38="","",IF(OR(J38="",AO38="",AP38="",AP38="UNVERIFIED",AND(AO38="OFFICIAL_WEBSITE",D38=""),AND(OR(P38="Equipment manual / OEM instruction",Q38="Asset-specific normative"),OR(O38&lt;&gt;"Manufacturer / supplier",AR38="",R38=""))),"PENDING",IF(COUNTIF(S38:W38,"LOW")&gt;0,"EXCLUDE",IF(COUNTIF(S38:W38,"MEDIUM")&gt;0,"PENDING",IF(COUNTIF(S38:W38,"HIGH")=5,"INCLUDE","PENDING")))))</x:f>
        <x:v>PENDING</x:v>
      </x:c>
      <x:c r="Z38" t="str">
        <x:v>SUCCESS</x:v>
      </x:c>
      <x:c r="AA38" s="128" t="n">
        <x:v>46262.53097222222</x:v>
      </x:c>
      <x:c r="AB38" s="128" t="n">
        <x:v>46262.53097222222</x:v>
      </x:c>
      <x:c r="AC38" s="128" t="str">
        <x:v>INITIAL</x:v>
      </x:c>
      <x:c r="AD38" s="128" t="str">
        <x:v>AUTO</x:v>
      </x:c>
      <x:c r="AE38" s="128" t="n">
        <x:f>IF(A38="","",IF(AD38="AUTO",AB38,IF(AD38="MANUAL",AF38,"")))</x:f>
        <x:v>46262.53097222222</x:v>
      </x:c>
      <x:c r="AF38" s="9"/>
      <x:c r="AG38" t="str"/>
      <x:c r="AH38" t="str">
        <x:v>NONE</x:v>
      </x:c>
      <x:c r="AI38" s="42" t="str"/>
      <x:c r="AJ38" t="str">
        <x:f>IF(A38="","",IF(OR(Z38="FAIL",AND(AQ38="ROLLING",AC38="CHANGED")),IF(AND(AF38&lt;&gt;"",AF38&gt;=INT(AA38)),"NO","YES"),"NO"))</x:f>
        <x:v>NO</x:v>
      </x:c>
      <x:c r="AK38" t="str">
        <x:v>18985a26548697f2ebe542f42a5ef6469c6f9c99a8dc35dedaa8d171c4d2b027</x:v>
      </x:c>
      <x:c r="AL38" t="str">
        <x:v>CURRENT</x:v>
      </x:c>
      <x:c r="AM38" t="str"/>
      <x:c r="AN38" s="42" t="str">
        <x:v>Official coverage expansion. Include only when other species are within the approved scope.</x:v>
      </x:c>
      <x:c r="AO38" t="str">
        <x:v>OFFICIAL_WEBSITE</x:v>
      </x:c>
      <x:c r="AP38" t="str">
        <x:v>OFFICIAL_ORIGINAL</x:v>
      </x:c>
      <x:c r="AQ38" t="str">
        <x:v>ROLLING</x:v>
      </x:c>
      <x:c r="AR38" s="42" t="str"/>
    </x:row>
    <x:row r="39" ht="42" customHeight="1">
      <x:c r="A39" t="str">
        <x:v>PA037</x:v>
      </x:c>
      <x:c r="B39" t="str">
        <x:v>PA037-001</x:v>
      </x:c>
      <x:c r="C39" s="42" t="str">
        <x:v>Regulation on fees and charges relating to aquaculture activities</x:v>
      </x:c>
      <x:c r="D39" s="129" t="str">
        <x:v>https://lovdata.no/dokument/SF/forskrift/2001-12-21-1597</x:v>
      </x:c>
      <x:c r="E39" s="129" t="str">
        <x:v>https://lovdata.no/dokument/SF/forskrift/2001-12-21-1597</x:v>
      </x:c>
      <x:c r="F39" t="str">
        <x:v>A_Public_Authority</x:v>
      </x:c>
      <x:c r="G39" t="str">
        <x:v>html</x:v>
      </x:c>
      <x:c r="H39" t="str">
        <x:v>PA037-001_Regulation_on_fees_and_charges_relating_to_aquaculture_activities.html</x:v>
      </x:c>
      <x:c r="I39" t="str">
        <x:v>STORED</x:v>
      </x:c>
      <x:c r="J39" t="str">
        <x:v>Norwegian Ministry of Trade, Industry and Fisheries</x:v>
      </x:c>
      <x:c r="K39" t="str">
        <x:v>Norway</x:v>
      </x:c>
      <x:c r="L39" t="str">
        <x:v>Norwegian</x:v>
      </x:c>
      <x:c r="M39" t="str"/>
      <x:c r="N39" s="9"/>
      <x:c r="O39" t="str">
        <x:v>Public authority</x:v>
      </x:c>
      <x:c r="P39" t="str">
        <x:v>Regulation</x:v>
      </x:c>
      <x:c r="Q39" t="str">
        <x:v>Referenced normative</x:v>
      </x:c>
      <x:c r="R39" s="42" t="str">
        <x:v>Official referenced source from Norwegian Ministry of Trade, Industry and Fisheries; included because an applicable law, permit or certification scheme may make its provisions binding within the approved scope.</x:v>
      </x:c>
      <x:c r="S39" t="str">
        <x:v>HIGH</x:v>
      </x:c>
      <x:c r="T39" t="str">
        <x:v>MEDIUM</x:v>
      </x:c>
      <x:c r="U39" t="str">
        <x:v>HIGH</x:v>
      </x:c>
      <x:c r="V39" t="str">
        <x:v>HIGH</x:v>
      </x:c>
      <x:c r="W39" t="str">
        <x:v>HIGH</x:v>
      </x:c>
      <x:c r="X39" t="str">
        <x:v>HIGH</x:v>
      </x:c>
      <x:c r="Y39" t="str">
        <x:f>IF(A39="","",IF(OR(J39="",AO39="",AP39="",AP39="UNVERIFIED",AND(AO39="OFFICIAL_WEBSITE",D39=""),AND(OR(P39="Equipment manual / OEM instruction",Q39="Asset-specific normative"),OR(O39&lt;&gt;"Manufacturer / supplier",AR39="",R39=""))),"PENDING",IF(COUNTIF(S39:W39,"LOW")&gt;0,"EXCLUDE",IF(COUNTIF(S39:W39,"MEDIUM")&gt;0,"PENDING",IF(COUNTIF(S39:W39,"HIGH")=5,"INCLUDE","PENDING")))))</x:f>
        <x:v>PENDING</x:v>
      </x:c>
      <x:c r="Z39" t="str">
        <x:v>SUCCESS</x:v>
      </x:c>
      <x:c r="AA39" s="128" t="n">
        <x:v>46262.53097222222</x:v>
      </x:c>
      <x:c r="AB39" s="128" t="n">
        <x:v>46262.5309837963</x:v>
      </x:c>
      <x:c r="AC39" s="128" t="str">
        <x:v>INITIAL</x:v>
      </x:c>
      <x:c r="AD39" s="128" t="str">
        <x:v>AUTO</x:v>
      </x:c>
      <x:c r="AE39" s="128" t="n">
        <x:f>IF(A39="","",IF(AD39="AUTO",AB39,IF(AD39="MANUAL",AF39,"")))</x:f>
        <x:v>46262.5309837963</x:v>
      </x:c>
      <x:c r="AF39" s="9"/>
      <x:c r="AG39" t="str"/>
      <x:c r="AH39" t="str">
        <x:v>NONE</x:v>
      </x:c>
      <x:c r="AI39" s="42" t="str"/>
      <x:c r="AJ39" t="str">
        <x:f>IF(A39="","",IF(OR(Z39="FAIL",AND(AQ39="ROLLING",AC39="CHANGED")),IF(AND(AF39&lt;&gt;"",AF39&gt;=INT(AA39)),"NO","YES"),"NO"))</x:f>
        <x:v>NO</x:v>
      </x:c>
      <x:c r="AK39" t="str">
        <x:v>cf7e9767f070aa451123bb7477591661c984e767d32002ad03db21e2534d7e45</x:v>
      </x:c>
      <x:c r="AL39" t="str">
        <x:v>CURRENT</x:v>
      </x:c>
      <x:c r="AM39" t="str"/>
      <x:c r="AN39" s="42" t="str">
        <x:v>Official coverage expansion. Administrative and financial relevance depends on the permit or application process.</x:v>
      </x:c>
      <x:c r="AO39" t="str">
        <x:v>OFFICIAL_WEBSITE</x:v>
      </x:c>
      <x:c r="AP39" t="str">
        <x:v>OFFICIAL_ORIGINAL</x:v>
      </x:c>
      <x:c r="AQ39" t="str">
        <x:v>ROLLING</x:v>
      </x:c>
      <x:c r="AR39" s="42" t="str"/>
    </x:row>
    <x:row r="40" ht="42" customHeight="1">
      <x:c r="A40" t="str">
        <x:v>PA038</x:v>
      </x:c>
      <x:c r="B40" t="str">
        <x:v>PA038-001</x:v>
      </x:c>
      <x:c r="C40" s="42" t="str">
        <x:v>Regulation on sea ranching</x:v>
      </x:c>
      <x:c r="D40" s="129" t="str">
        <x:v>https://lovdata.no/dokument/SF/forskrift/2003-08-28-1110</x:v>
      </x:c>
      <x:c r="E40" s="129" t="str">
        <x:v>https://lovdata.no/dokument/SF/forskrift/2003-08-28-1110</x:v>
      </x:c>
      <x:c r="F40" t="str">
        <x:v>A_Public_Authority</x:v>
      </x:c>
      <x:c r="G40" t="str">
        <x:v>html</x:v>
      </x:c>
      <x:c r="H40" t="str">
        <x:v>PA038-001_Regulation_on_sea_ranching.html</x:v>
      </x:c>
      <x:c r="I40" t="str">
        <x:v>STORED</x:v>
      </x:c>
      <x:c r="J40" t="str">
        <x:v>Norwegian Ministry of Trade, Industry and Fisheries</x:v>
      </x:c>
      <x:c r="K40" t="str">
        <x:v>Norway</x:v>
      </x:c>
      <x:c r="L40" t="str">
        <x:v>Norwegian</x:v>
      </x:c>
      <x:c r="M40" t="str"/>
      <x:c r="N40" s="9"/>
      <x:c r="O40" t="str">
        <x:v>Public authority</x:v>
      </x:c>
      <x:c r="P40" t="str">
        <x:v>Regulation</x:v>
      </x:c>
      <x:c r="Q40" t="str">
        <x:v>Primary normative</x:v>
      </x:c>
      <x:c r="R40" s="42" t="str">
        <x:v>Official regulation issued by Norwegian Ministry of Trade, Industry and Fisheries; included because it may impose binding requirements on an in-scope aquaculture asset, activity, permit or certification.</x:v>
      </x:c>
      <x:c r="S40" t="str">
        <x:v>HIGH</x:v>
      </x:c>
      <x:c r="T40" t="str">
        <x:v>MEDIUM</x:v>
      </x:c>
      <x:c r="U40" t="str">
        <x:v>HIGH</x:v>
      </x:c>
      <x:c r="V40" t="str">
        <x:v>HIGH</x:v>
      </x:c>
      <x:c r="W40" t="str">
        <x:v>HIGH</x:v>
      </x:c>
      <x:c r="X40" t="str">
        <x:v>HIGH</x:v>
      </x:c>
      <x:c r="Y40" t="str">
        <x:f>IF(A40="","",IF(OR(J40="",AO40="",AP40="",AP40="UNVERIFIED",AND(AO40="OFFICIAL_WEBSITE",D40=""),AND(OR(P40="Equipment manual / OEM instruction",Q40="Asset-specific normative"),OR(O40&lt;&gt;"Manufacturer / supplier",AR40="",R40=""))),"PENDING",IF(COUNTIF(S40:W40,"LOW")&gt;0,"EXCLUDE",IF(COUNTIF(S40:W40,"MEDIUM")&gt;0,"PENDING",IF(COUNTIF(S40:W40,"HIGH")=5,"INCLUDE","PENDING")))))</x:f>
        <x:v>PENDING</x:v>
      </x:c>
      <x:c r="Z40" t="str">
        <x:v>SUCCESS</x:v>
      </x:c>
      <x:c r="AA40" s="128" t="n">
        <x:v>46262.5309837963</x:v>
      </x:c>
      <x:c r="AB40" s="128" t="n">
        <x:v>46262.53099537037</x:v>
      </x:c>
      <x:c r="AC40" s="128" t="str">
        <x:v>INITIAL</x:v>
      </x:c>
      <x:c r="AD40" s="128" t="str">
        <x:v>AUTO</x:v>
      </x:c>
      <x:c r="AE40" s="128" t="n">
        <x:f>IF(A40="","",IF(AD40="AUTO",AB40,IF(AD40="MANUAL",AF40,"")))</x:f>
        <x:v>46262.53099537037</x:v>
      </x:c>
      <x:c r="AF40" s="9"/>
      <x:c r="AG40" t="str"/>
      <x:c r="AH40" t="str">
        <x:v>NONE</x:v>
      </x:c>
      <x:c r="AI40" s="42" t="str"/>
      <x:c r="AJ40" t="str">
        <x:f>IF(A40="","",IF(OR(Z40="FAIL",AND(AQ40="ROLLING",AC40="CHANGED")),IF(AND(AF40&lt;&gt;"",AF40&gt;=INT(AA40)),"NO","YES"),"NO"))</x:f>
        <x:v>NO</x:v>
      </x:c>
      <x:c r="AK40" t="str">
        <x:v>94210cefeb809c7317a22a0b026762a996ea8a0fa4981cd5fd9d2966e3f39ae7</x:v>
      </x:c>
      <x:c r="AL40" t="str">
        <x:v>CURRENT</x:v>
      </x:c>
      <x:c r="AM40" t="str"/>
      <x:c r="AN40" s="42" t="str">
        <x:v>Official coverage expansion. Include only for sea-ranching operations.</x:v>
      </x:c>
      <x:c r="AO40" t="str">
        <x:v>OFFICIAL_WEBSITE</x:v>
      </x:c>
      <x:c r="AP40" t="str">
        <x:v>OFFICIAL_ORIGINAL</x:v>
      </x:c>
      <x:c r="AQ40" t="str">
        <x:v>ROLLING</x:v>
      </x:c>
      <x:c r="AR40" s="42" t="str"/>
    </x:row>
    <x:row r="41" ht="42" customHeight="1">
      <x:c r="A41" t="str">
        <x:v>PA039</x:v>
      </x:c>
      <x:c r="B41" t="str">
        <x:v>PA039-001</x:v>
      </x:c>
      <x:c r="C41" s="42" t="str">
        <x:v>Animal Health Regulation</x:v>
      </x:c>
      <x:c r="D41" s="129" t="str">
        <x:v>https://lovdata.no/dokument/SF/forskrift/2022-04-06-631</x:v>
      </x:c>
      <x:c r="E41" s="129" t="str">
        <x:v>https://lovdata.no/dokument/SF/forskrift/2022-04-06-631</x:v>
      </x:c>
      <x:c r="F41" t="str">
        <x:v>A_Public_Authority</x:v>
      </x:c>
      <x:c r="G41" t="str">
        <x:v>html</x:v>
      </x:c>
      <x:c r="H41" t="str">
        <x:v>PA039-001_Animal_Health_Regulation.html</x:v>
      </x:c>
      <x:c r="I41" t="str">
        <x:v>STORED</x:v>
      </x:c>
      <x:c r="J41" t="str">
        <x:v>Norwegian Ministry of Agriculture and Food</x:v>
      </x:c>
      <x:c r="K41" t="str">
        <x:v>Norway</x:v>
      </x:c>
      <x:c r="L41" t="str">
        <x:v>Norwegian</x:v>
      </x:c>
      <x:c r="M41" t="str"/>
      <x:c r="N41" s="9"/>
      <x:c r="O41" t="str">
        <x:v>Public authority</x:v>
      </x:c>
      <x:c r="P41" t="str">
        <x:v>Regulation</x:v>
      </x:c>
      <x:c r="Q41" t="str">
        <x:v>Primary normative</x:v>
      </x:c>
      <x:c r="R41" s="42" t="str">
        <x:v>Official regulation issued by Norwegian Ministry of Agriculture and Food; included because it may impose binding requirements on an in-scope aquaculture asset, activity, permit or certification.</x:v>
      </x:c>
      <x:c r="S41" t="str">
        <x:v>HIGH</x:v>
      </x:c>
      <x:c r="T41" t="str">
        <x:v>HIGH</x:v>
      </x:c>
      <x:c r="U41" t="str">
        <x:v>HIGH</x:v>
      </x:c>
      <x:c r="V41" t="str">
        <x:v>HIGH</x:v>
      </x:c>
      <x:c r="W41" t="str">
        <x:v>HIGH</x:v>
      </x:c>
      <x:c r="X41" t="str">
        <x:v>HIGH</x:v>
      </x:c>
      <x:c r="Y41" t="str">
        <x:f>IF(A41="","",IF(OR(J41="",AO41="",AP41="",AP41="UNVERIFIED",AND(AO41="OFFICIAL_WEBSITE",D41=""),AND(OR(P41="Equipment manual / OEM instruction",Q41="Asset-specific normative"),OR(O41&lt;&gt;"Manufacturer / supplier",AR41="",R41=""))),"PENDING",IF(COUNTIF(S41:W41,"LOW")&gt;0,"EXCLUDE",IF(COUNTIF(S41:W41,"MEDIUM")&gt;0,"PENDING",IF(COUNTIF(S41:W41,"HIGH")=5,"INCLUDE","PENDING")))))</x:f>
        <x:v>INCLUDE</x:v>
      </x:c>
      <x:c r="Z41" t="str">
        <x:v>SUCCESS</x:v>
      </x:c>
      <x:c r="AA41" s="128" t="n">
        <x:v>46262.53099537037</x:v>
      </x:c>
      <x:c r="AB41" s="128" t="n">
        <x:v>46262.53099537037</x:v>
      </x:c>
      <x:c r="AC41" s="128" t="str">
        <x:v>INITIAL</x:v>
      </x:c>
      <x:c r="AD41" s="128" t="str">
        <x:v>AUTO</x:v>
      </x:c>
      <x:c r="AE41" s="128" t="n">
        <x:f>IF(A41="","",IF(AD41="AUTO",AB41,IF(AD41="MANUAL",AF41,"")))</x:f>
        <x:v>46262.53099537037</x:v>
      </x:c>
      <x:c r="AF41" s="9"/>
      <x:c r="AG41" t="str"/>
      <x:c r="AH41" t="str">
        <x:v>NONE</x:v>
      </x:c>
      <x:c r="AI41" s="42" t="str"/>
      <x:c r="AJ41" t="str">
        <x:f>IF(A41="","",IF(OR(Z41="FAIL",AND(AQ41="ROLLING",AC41="CHANGED")),IF(AND(AF41&lt;&gt;"",AF41&gt;=INT(AA41)),"NO","YES"),"NO"))</x:f>
        <x:v>NO</x:v>
      </x:c>
      <x:c r="AK41" t="str">
        <x:v>9c505be3af04d8879ed1361628aaa96d5a45cacf20987849139a7636c1d97343</x:v>
      </x:c>
      <x:c r="AL41" t="str">
        <x:v>CURRENT</x:v>
      </x:c>
      <x:c r="AM41" t="str">
        <x:v>PA010</x:v>
      </x:c>
      <x:c r="AN41" s="42" t="str">
        <x:v>Official Norwegian implementation package for the EU Animal Health Law. Confirm species and activity-specific provisions.</x:v>
      </x:c>
      <x:c r="AO41" t="str">
        <x:v>OFFICIAL_WEBSITE</x:v>
      </x:c>
      <x:c r="AP41" t="str">
        <x:v>OFFICIAL_ORIGINAL</x:v>
      </x:c>
      <x:c r="AQ41" t="str">
        <x:v>ROLLING</x:v>
      </x:c>
      <x:c r="AR41" s="42" t="str"/>
    </x:row>
    <x:row r="42" ht="42" customHeight="1">
      <x:c r="A42" t="str">
        <x:v>PA040</x:v>
      </x:c>
      <x:c r="B42" t="str">
        <x:v>PA040-001</x:v>
      </x:c>
      <x:c r="C42" s="42" t="str">
        <x:v>Aquabiosafety Regulation</x:v>
      </x:c>
      <x:c r="D42" s="129" t="str">
        <x:v>https://lovdata.no/dokument/SF/forskrift/2022-04-05-624</x:v>
      </x:c>
      <x:c r="E42" s="129" t="str">
        <x:v>https://lovdata.no/dokument/SF/forskrift/2022-04-05-624</x:v>
      </x:c>
      <x:c r="F42" t="str">
        <x:v>A_Public_Authority</x:v>
      </x:c>
      <x:c r="G42" t="str">
        <x:v>html</x:v>
      </x:c>
      <x:c r="H42" t="str">
        <x:v>PA040-001_Aquabiosafety_Regulation.html</x:v>
      </x:c>
      <x:c r="I42" t="str">
        <x:v>STORED</x:v>
      </x:c>
      <x:c r="J42" t="str">
        <x:v>Norwegian Ministry of Trade, Industry and Fisheries</x:v>
      </x:c>
      <x:c r="K42" t="str">
        <x:v>Norway</x:v>
      </x:c>
      <x:c r="L42" t="str">
        <x:v>Norwegian</x:v>
      </x:c>
      <x:c r="M42" t="str"/>
      <x:c r="N42" s="9"/>
      <x:c r="O42" t="str">
        <x:v>Public authority</x:v>
      </x:c>
      <x:c r="P42" t="str">
        <x:v>Regulation</x:v>
      </x:c>
      <x:c r="Q42" t="str">
        <x:v>Primary normative</x:v>
      </x:c>
      <x:c r="R42" s="42" t="str">
        <x:v>Official regulation issued by Norwegian Ministry of Trade, Industry and Fisheries; included because it may impose binding requirements on an in-scope aquaculture asset, activity, permit or certification.</x:v>
      </x:c>
      <x:c r="S42" t="str">
        <x:v>HIGH</x:v>
      </x:c>
      <x:c r="T42" t="str">
        <x:v>HIGH</x:v>
      </x:c>
      <x:c r="U42" t="str">
        <x:v>HIGH</x:v>
      </x:c>
      <x:c r="V42" t="str">
        <x:v>HIGH</x:v>
      </x:c>
      <x:c r="W42" t="str">
        <x:v>HIGH</x:v>
      </x:c>
      <x:c r="X42" t="str">
        <x:v>HIGH</x:v>
      </x:c>
      <x:c r="Y42" t="str">
        <x:f>IF(A42="","",IF(OR(J42="",AO42="",AP42="",AP42="UNVERIFIED",AND(AO42="OFFICIAL_WEBSITE",D42=""),AND(OR(P42="Equipment manual / OEM instruction",Q42="Asset-specific normative"),OR(O42&lt;&gt;"Manufacturer / supplier",AR42="",R42=""))),"PENDING",IF(COUNTIF(S42:W42,"LOW")&gt;0,"EXCLUDE",IF(COUNTIF(S42:W42,"MEDIUM")&gt;0,"PENDING",IF(COUNTIF(S42:W42,"HIGH")=5,"INCLUDE","PENDING")))))</x:f>
        <x:v>INCLUDE</x:v>
      </x:c>
      <x:c r="Z42" t="str">
        <x:v>SUCCESS</x:v>
      </x:c>
      <x:c r="AA42" s="128" t="n">
        <x:v>46262.53099537037</x:v>
      </x:c>
      <x:c r="AB42" s="128" t="n">
        <x:v>46262.53099537037</x:v>
      </x:c>
      <x:c r="AC42" s="128" t="str">
        <x:v>INITIAL</x:v>
      </x:c>
      <x:c r="AD42" s="128" t="str">
        <x:v>AUTO</x:v>
      </x:c>
      <x:c r="AE42" s="128" t="n">
        <x:f>IF(A42="","",IF(AD42="AUTO",AB42,IF(AD42="MANUAL",AF42,"")))</x:f>
        <x:v>46262.53099537037</x:v>
      </x:c>
      <x:c r="AF42" s="9"/>
      <x:c r="AG42" t="str"/>
      <x:c r="AH42" t="str">
        <x:v>NONE</x:v>
      </x:c>
      <x:c r="AI42" s="42" t="str"/>
      <x:c r="AJ42" t="str">
        <x:f>IF(A42="","",IF(OR(Z42="FAIL",AND(AQ42="ROLLING",AC42="CHANGED")),IF(AND(AF42&lt;&gt;"",AF42&gt;=INT(AA42)),"NO","YES"),"NO"))</x:f>
        <x:v>NO</x:v>
      </x:c>
      <x:c r="AK42" t="str">
        <x:v>ede876a30d12f3085e1e83584a4c2c3fd16c39afd42a1722c9c6ddd4bdca5bf9</x:v>
      </x:c>
      <x:c r="AL42" t="str">
        <x:v>CURRENT</x:v>
      </x:c>
      <x:c r="AM42" t="str">
        <x:v>PA010</x:v>
      </x:c>
      <x:c r="AN42" s="42" t="str">
        <x:v>Official expansion from Mattilsynet's aquaculture biosafety guidance. Core candidate for biosecurity planning and operation.</x:v>
      </x:c>
      <x:c r="AO42" t="str">
        <x:v>OFFICIAL_WEBSITE</x:v>
      </x:c>
      <x:c r="AP42" t="str">
        <x:v>OFFICIAL_ORIGINAL</x:v>
      </x:c>
      <x:c r="AQ42" t="str">
        <x:v>ROLLING</x:v>
      </x:c>
      <x:c r="AR42" s="42" t="str"/>
    </x:row>
    <x:row r="43" ht="42" customHeight="1">
      <x:c r="A43" t="str">
        <x:v>PA041</x:v>
      </x:c>
      <x:c r="B43" t="str">
        <x:v>PA041-001</x:v>
      </x:c>
      <x:c r="C43" s="42" t="str">
        <x:v>Animal Health Surveillance Regulation</x:v>
      </x:c>
      <x:c r="D43" s="129" t="str">
        <x:v>https://lovdata.no/dokument/SF/forskrift/2022-04-06-632</x:v>
      </x:c>
      <x:c r="E43" s="129" t="str">
        <x:v>https://lovdata.no/dokument/SF/forskrift/2022-04-06-632</x:v>
      </x:c>
      <x:c r="F43" t="str">
        <x:v>A_Public_Authority</x:v>
      </x:c>
      <x:c r="G43" t="str">
        <x:v>html</x:v>
      </x:c>
      <x:c r="H43" t="str">
        <x:v>PA041-001_Animal_Health_Surveillance_Regulation.html</x:v>
      </x:c>
      <x:c r="I43" t="str">
        <x:v>STORED</x:v>
      </x:c>
      <x:c r="J43" t="str">
        <x:v>Norwegian Ministry of Agriculture and Food</x:v>
      </x:c>
      <x:c r="K43" t="str">
        <x:v>Norway</x:v>
      </x:c>
      <x:c r="L43" t="str">
        <x:v>Norwegian</x:v>
      </x:c>
      <x:c r="M43" t="str"/>
      <x:c r="N43" s="9"/>
      <x:c r="O43" t="str">
        <x:v>Public authority</x:v>
      </x:c>
      <x:c r="P43" t="str">
        <x:v>Regulation</x:v>
      </x:c>
      <x:c r="Q43" t="str">
        <x:v>Primary normative</x:v>
      </x:c>
      <x:c r="R43" s="42" t="str">
        <x:v>Official regulation issued by Norwegian Ministry of Agriculture and Food; included because it may impose binding requirements on an in-scope aquaculture asset, activity, permit or certification.</x:v>
      </x:c>
      <x:c r="S43" t="str">
        <x:v>HIGH</x:v>
      </x:c>
      <x:c r="T43" t="str">
        <x:v>HIGH</x:v>
      </x:c>
      <x:c r="U43" t="str">
        <x:v>HIGH</x:v>
      </x:c>
      <x:c r="V43" t="str">
        <x:v>HIGH</x:v>
      </x:c>
      <x:c r="W43" t="str">
        <x:v>HIGH</x:v>
      </x:c>
      <x:c r="X43" t="str">
        <x:v>HIGH</x:v>
      </x:c>
      <x:c r="Y43" t="str">
        <x:f>IF(A43="","",IF(OR(J43="",AO43="",AP43="",AP43="UNVERIFIED",AND(AO43="OFFICIAL_WEBSITE",D43=""),AND(OR(P43="Equipment manual / OEM instruction",Q43="Asset-specific normative"),OR(O43&lt;&gt;"Manufacturer / supplier",AR43="",R43=""))),"PENDING",IF(COUNTIF(S43:W43,"LOW")&gt;0,"EXCLUDE",IF(COUNTIF(S43:W43,"MEDIUM")&gt;0,"PENDING",IF(COUNTIF(S43:W43,"HIGH")=5,"INCLUDE","PENDING")))))</x:f>
        <x:v>INCLUDE</x:v>
      </x:c>
      <x:c r="Z43" t="str">
        <x:v>SUCCESS</x:v>
      </x:c>
      <x:c r="AA43" s="128" t="n">
        <x:v>46262.53100694445</x:v>
      </x:c>
      <x:c r="AB43" s="128" t="n">
        <x:v>46262.53100694445</x:v>
      </x:c>
      <x:c r="AC43" s="128" t="str">
        <x:v>INITIAL</x:v>
      </x:c>
      <x:c r="AD43" s="128" t="str">
        <x:v>AUTO</x:v>
      </x:c>
      <x:c r="AE43" s="128" t="n">
        <x:f>IF(A43="","",IF(AD43="AUTO",AB43,IF(AD43="MANUAL",AF43,"")))</x:f>
        <x:v>46262.53100694445</x:v>
      </x:c>
      <x:c r="AF43" s="9"/>
      <x:c r="AG43" t="str"/>
      <x:c r="AH43" t="str">
        <x:v>NONE</x:v>
      </x:c>
      <x:c r="AI43" s="42" t="str"/>
      <x:c r="AJ43" t="str">
        <x:f>IF(A43="","",IF(OR(Z43="FAIL",AND(AQ43="ROLLING",AC43="CHANGED")),IF(AND(AF43&lt;&gt;"",AF43&gt;=INT(AA43)),"NO","YES"),"NO"))</x:f>
        <x:v>NO</x:v>
      </x:c>
      <x:c r="AK43" t="str">
        <x:v>ac4adc7d9df4f75a93328f2fd196b1fb854fcc4696e26c150015ec3b30f6ff65</x:v>
      </x:c>
      <x:c r="AL43" t="str">
        <x:v>CURRENT</x:v>
      </x:c>
      <x:c r="AM43" t="str">
        <x:v>PA010</x:v>
      </x:c>
      <x:c r="AN43" s="42" t="str">
        <x:v>Official Norwegian implementation package for animal-health surveillance. Applicability must be mapped to farm species and status.</x:v>
      </x:c>
      <x:c r="AO43" t="str">
        <x:v>OFFICIAL_WEBSITE</x:v>
      </x:c>
      <x:c r="AP43" t="str">
        <x:v>OFFICIAL_ORIGINAL</x:v>
      </x:c>
      <x:c r="AQ43" t="str">
        <x:v>ROLLING</x:v>
      </x:c>
      <x:c r="AR43" s="42" t="str"/>
    </x:row>
    <x:row r="44" ht="42" customHeight="1">
      <x:c r="A44" t="str">
        <x:v>PA042</x:v>
      </x:c>
      <x:c r="B44" t="str">
        <x:v>PA042-001</x:v>
      </x:c>
      <x:c r="C44" s="42" t="str">
        <x:v>Animal Disease Control Regulation</x:v>
      </x:c>
      <x:c r="D44" s="129" t="str">
        <x:v>https://lovdata.no/dokument/SF/forskrift/2022-04-06-634</x:v>
      </x:c>
      <x:c r="E44" s="129" t="str">
        <x:v>https://lovdata.no/dokument/SF/forskrift/2022-04-06-634</x:v>
      </x:c>
      <x:c r="F44" t="str">
        <x:v>A_Public_Authority</x:v>
      </x:c>
      <x:c r="G44" t="str">
        <x:v>html</x:v>
      </x:c>
      <x:c r="H44" t="str">
        <x:v>PA042-001_Animal_Disease_Control_Regulation.html</x:v>
      </x:c>
      <x:c r="I44" t="str">
        <x:v>STORED</x:v>
      </x:c>
      <x:c r="J44" t="str">
        <x:v>Norwegian Ministry of Agriculture and Food</x:v>
      </x:c>
      <x:c r="K44" t="str">
        <x:v>Norway</x:v>
      </x:c>
      <x:c r="L44" t="str">
        <x:v>Norwegian</x:v>
      </x:c>
      <x:c r="M44" t="str"/>
      <x:c r="N44" s="9"/>
      <x:c r="O44" t="str">
        <x:v>Public authority</x:v>
      </x:c>
      <x:c r="P44" t="str">
        <x:v>Regulation</x:v>
      </x:c>
      <x:c r="Q44" t="str">
        <x:v>Primary normative</x:v>
      </x:c>
      <x:c r="R44" s="42" t="str">
        <x:v>Official regulation issued by Norwegian Ministry of Agriculture and Food; included because it may impose binding requirements on an in-scope aquaculture asset, activity, permit or certification.</x:v>
      </x:c>
      <x:c r="S44" t="str">
        <x:v>HIGH</x:v>
      </x:c>
      <x:c r="T44" t="str">
        <x:v>HIGH</x:v>
      </x:c>
      <x:c r="U44" t="str">
        <x:v>HIGH</x:v>
      </x:c>
      <x:c r="V44" t="str">
        <x:v>HIGH</x:v>
      </x:c>
      <x:c r="W44" t="str">
        <x:v>HIGH</x:v>
      </x:c>
      <x:c r="X44" t="str">
        <x:v>HIGH</x:v>
      </x:c>
      <x:c r="Y44" t="str">
        <x:f>IF(A44="","",IF(OR(J44="",AO44="",AP44="",AP44="UNVERIFIED",AND(AO44="OFFICIAL_WEBSITE",D44=""),AND(OR(P44="Equipment manual / OEM instruction",Q44="Asset-specific normative"),OR(O44&lt;&gt;"Manufacturer / supplier",AR44="",R44=""))),"PENDING",IF(COUNTIF(S44:W44,"LOW")&gt;0,"EXCLUDE",IF(COUNTIF(S44:W44,"MEDIUM")&gt;0,"PENDING",IF(COUNTIF(S44:W44,"HIGH")=5,"INCLUDE","PENDING")))))</x:f>
        <x:v>INCLUDE</x:v>
      </x:c>
      <x:c r="Z44" t="str">
        <x:v>SUCCESS</x:v>
      </x:c>
      <x:c r="AA44" s="128" t="n">
        <x:v>46262.53100694445</x:v>
      </x:c>
      <x:c r="AB44" s="128" t="n">
        <x:v>46262.53100694445</x:v>
      </x:c>
      <x:c r="AC44" s="128" t="str">
        <x:v>INITIAL</x:v>
      </x:c>
      <x:c r="AD44" s="128" t="str">
        <x:v>AUTO</x:v>
      </x:c>
      <x:c r="AE44" s="128" t="n">
        <x:f>IF(A44="","",IF(AD44="AUTO",AB44,IF(AD44="MANUAL",AF44,"")))</x:f>
        <x:v>46262.53100694445</x:v>
      </x:c>
      <x:c r="AF44" s="9"/>
      <x:c r="AG44" t="str"/>
      <x:c r="AH44" t="str">
        <x:v>NONE</x:v>
      </x:c>
      <x:c r="AI44" s="42" t="str"/>
      <x:c r="AJ44" t="str">
        <x:f>IF(A44="","",IF(OR(Z44="FAIL",AND(AQ44="ROLLING",AC44="CHANGED")),IF(AND(AF44&lt;&gt;"",AF44&gt;=INT(AA44)),"NO","YES"),"NO"))</x:f>
        <x:v>NO</x:v>
      </x:c>
      <x:c r="AK44" t="str">
        <x:v>0c5693b8397db63986f66ac880a8fae1ba72a0f02771de366f103d3ee196e2e8</x:v>
      </x:c>
      <x:c r="AL44" t="str">
        <x:v>CURRENT</x:v>
      </x:c>
      <x:c r="AM44" t="str">
        <x:v>PA010</x:v>
      </x:c>
      <x:c r="AN44" s="42" t="str">
        <x:v>Official Norwegian implementation package for disease control. Requirements are condition-dependent and may be triggered by disease status.</x:v>
      </x:c>
      <x:c r="AO44" t="str">
        <x:v>OFFICIAL_WEBSITE</x:v>
      </x:c>
      <x:c r="AP44" t="str">
        <x:v>OFFICIAL_ORIGINAL</x:v>
      </x:c>
      <x:c r="AQ44" t="str">
        <x:v>ROLLING</x:v>
      </x:c>
      <x:c r="AR44" s="42" t="str"/>
    </x:row>
    <x:row r="45" ht="42" customHeight="1">
      <x:c r="A45" t="str">
        <x:v>PA043</x:v>
      </x:c>
      <x:c r="B45" t="str">
        <x:v>PA043-001</x:v>
      </x:c>
      <x:c r="C45" s="42" t="str">
        <x:v>Mattilsynet guidance on biosafety plans in aquaculture facilities</x:v>
      </x:c>
      <x:c r="D45" s="129" t="str">
        <x:v>https://mattilsynet.no/fisk-og-akvakultur/biosikkerhetsplan-i-akvakulturanlegg</x:v>
      </x:c>
      <x:c r="E45" s="129" t="str">
        <x:v>https://mattilsynet.no/fisk-og-akvakultur/biosikkerhetsplan-i-akvakulturanlegg</x:v>
      </x:c>
      <x:c r="F45" t="str">
        <x:v>A_Public_Authority</x:v>
      </x:c>
      <x:c r="G45" t="str">
        <x:v>html</x:v>
      </x:c>
      <x:c r="H45" t="str">
        <x:v>PA043-001_Mattilsynet_guidance_on_biosafety_plans_in_aquaculture_facilities.html</x:v>
      </x:c>
      <x:c r="I45" t="str">
        <x:v>STORED</x:v>
      </x:c>
      <x:c r="J45" t="str">
        <x:v>Norwegian Food Safety Authority</x:v>
      </x:c>
      <x:c r="K45" t="str">
        <x:v>Norway</x:v>
      </x:c>
      <x:c r="L45" t="str">
        <x:v>Norwegian</x:v>
      </x:c>
      <x:c r="M45" t="str"/>
      <x:c r="N45" s="9"/>
      <x:c r="O45" t="str">
        <x:v>Public authority</x:v>
      </x:c>
      <x:c r="P45" t="str">
        <x:v>Interpretation document</x:v>
      </x:c>
      <x:c r="Q45" t="str">
        <x:v>Guidance / interpretation</x:v>
      </x:c>
      <x:c r="R45" s="42" t="str">
        <x:v>Official guidance from Norwegian Food Safety Authority; included to interpret and operationalise linked normative requirements, not as independent legal or certification authority.</x:v>
      </x:c>
      <x:c r="S45" t="str">
        <x:v>HIGH</x:v>
      </x:c>
      <x:c r="T45" t="str">
        <x:v>HIGH</x:v>
      </x:c>
      <x:c r="U45" t="str">
        <x:v>HIGH</x:v>
      </x:c>
      <x:c r="V45" t="str">
        <x:v>HIGH</x:v>
      </x:c>
      <x:c r="W45" t="str">
        <x:v>HIGH</x:v>
      </x:c>
      <x:c r="X45" t="str">
        <x:v>HIGH</x:v>
      </x:c>
      <x:c r="Y45" t="str">
        <x:f>IF(A45="","",IF(OR(J45="",AO45="",AP45="",AP45="UNVERIFIED",AND(AO45="OFFICIAL_WEBSITE",D45=""),AND(OR(P45="Equipment manual / OEM instruction",Q45="Asset-specific normative"),OR(O45&lt;&gt;"Manufacturer / supplier",AR45="",R45=""))),"PENDING",IF(COUNTIF(S45:W45,"LOW")&gt;0,"EXCLUDE",IF(COUNTIF(S45:W45,"MEDIUM")&gt;0,"PENDING",IF(COUNTIF(S45:W45,"HIGH")=5,"INCLUDE","PENDING")))))</x:f>
        <x:v>INCLUDE</x:v>
      </x:c>
      <x:c r="Z45" t="str">
        <x:v>SUCCESS</x:v>
      </x:c>
      <x:c r="AA45" s="128" t="n">
        <x:v>46262.53100694445</x:v>
      </x:c>
      <x:c r="AB45" s="128" t="n">
        <x:v>46262.53104166667</x:v>
      </x:c>
      <x:c r="AC45" s="128" t="str">
        <x:v>INITIAL</x:v>
      </x:c>
      <x:c r="AD45" s="128" t="str">
        <x:v>AUTO</x:v>
      </x:c>
      <x:c r="AE45" s="128" t="n">
        <x:f>IF(A45="","",IF(AD45="AUTO",AB45,IF(AD45="MANUAL",AF45,"")))</x:f>
        <x:v>46262.53104166667</x:v>
      </x:c>
      <x:c r="AF45" s="9"/>
      <x:c r="AG45" t="str"/>
      <x:c r="AH45" t="str">
        <x:v>NONE</x:v>
      </x:c>
      <x:c r="AI45" s="42" t="str"/>
      <x:c r="AJ45" t="str">
        <x:f>IF(A45="","",IF(OR(Z45="FAIL",AND(AQ45="ROLLING",AC45="CHANGED")),IF(AND(AF45&lt;&gt;"",AF45&gt;=INT(AA45)),"NO","YES"),"NO"))</x:f>
        <x:v>NO</x:v>
      </x:c>
      <x:c r="AK45" t="str">
        <x:v>56101f0aa402aaec3c59774403a0047534b1c05a5cd4541a00e64f5fb52970ad</x:v>
      </x:c>
      <x:c r="AL45" t="str">
        <x:v>CURRENT</x:v>
      </x:c>
      <x:c r="AM45" t="str">
        <x:v>PA040</x:v>
      </x:c>
      <x:c r="AN45" s="42" t="str">
        <x:v>Official guidance connecting the animal-health implementation package to a practical biosafety plan. It does not replace PA039 to PA042.</x:v>
      </x:c>
      <x:c r="AO45" t="str">
        <x:v>OFFICIAL_WEBSITE</x:v>
      </x:c>
      <x:c r="AP45" t="str">
        <x:v>OFFICIAL_ORIGINAL</x:v>
      </x:c>
      <x:c r="AQ45" t="str">
        <x:v>ROLLING</x:v>
      </x:c>
      <x:c r="AR45" s="42" t="str"/>
    </x:row>
    <x:row r="46" ht="42" customHeight="1">
      <x:c r="A46" t="str">
        <x:v>PA044</x:v>
      </x:c>
      <x:c r="B46" t="str">
        <x:v>PA044-001</x:v>
      </x:c>
      <x:c r="C46" s="42" t="str">
        <x:v>Pollution Regulations, including Chapter 34 on pollution from aquaculture</x:v>
      </x:c>
      <x:c r="D46" s="129" t="str">
        <x:v>https://lovdata.no/dokument/SF/forskrift/2004-06-01-931</x:v>
      </x:c>
      <x:c r="E46" s="129" t="str">
        <x:v>https://lovdata.no/dokument/SF/forskrift/2004-06-01-931</x:v>
      </x:c>
      <x:c r="F46" t="str">
        <x:v>A_Public_Authority</x:v>
      </x:c>
      <x:c r="G46" t="str">
        <x:v>html</x:v>
      </x:c>
      <x:c r="H46" t="str">
        <x:v>PA044-001_Pollution_Regulations_including_Chapter_34_on_pollution_from_aquaculture.html</x:v>
      </x:c>
      <x:c r="I46" t="str">
        <x:v>STORED</x:v>
      </x:c>
      <x:c r="J46" t="str">
        <x:v>Norwegian Ministry of Climate and Environment</x:v>
      </x:c>
      <x:c r="K46" t="str">
        <x:v>Norway</x:v>
      </x:c>
      <x:c r="L46" t="str">
        <x:v>Norwegian</x:v>
      </x:c>
      <x:c r="M46" t="str"/>
      <x:c r="N46" s="9"/>
      <x:c r="O46" t="str">
        <x:v>Public authority</x:v>
      </x:c>
      <x:c r="P46" t="str">
        <x:v>Regulation</x:v>
      </x:c>
      <x:c r="Q46" t="str">
        <x:v>Primary normative</x:v>
      </x:c>
      <x:c r="R46" s="42" t="str">
        <x:v>Official regulation issued by Norwegian Ministry of Climate and Environment; included because it may impose binding requirements on an in-scope aquaculture asset, activity, permit or certification.</x:v>
      </x:c>
      <x:c r="S46" t="str">
        <x:v>HIGH</x:v>
      </x:c>
      <x:c r="T46" t="str">
        <x:v>HIGH</x:v>
      </x:c>
      <x:c r="U46" t="str">
        <x:v>HIGH</x:v>
      </x:c>
      <x:c r="V46" t="str">
        <x:v>HIGH</x:v>
      </x:c>
      <x:c r="W46" t="str">
        <x:v>HIGH</x:v>
      </x:c>
      <x:c r="X46" t="str">
        <x:v>HIGH</x:v>
      </x:c>
      <x:c r="Y46" t="str">
        <x:f>IF(A46="","",IF(OR(J46="",AO46="",AP46="",AP46="UNVERIFIED",AND(AO46="OFFICIAL_WEBSITE",D46=""),AND(OR(P46="Equipment manual / OEM instruction",Q46="Asset-specific normative"),OR(O46&lt;&gt;"Manufacturer / supplier",AR46="",R46=""))),"PENDING",IF(COUNTIF(S46:W46,"LOW")&gt;0,"EXCLUDE",IF(COUNTIF(S46:W46,"MEDIUM")&gt;0,"PENDING",IF(COUNTIF(S46:W46,"HIGH")=5,"INCLUDE","PENDING")))))</x:f>
        <x:v>INCLUDE</x:v>
      </x:c>
      <x:c r="Z46" t="str">
        <x:v>SUCCESS</x:v>
      </x:c>
      <x:c r="AA46" s="128" t="n">
        <x:v>46262.53104166667</x:v>
      </x:c>
      <x:c r="AB46" s="128" t="n">
        <x:v>46262.53104166667</x:v>
      </x:c>
      <x:c r="AC46" s="128" t="str">
        <x:v>INITIAL</x:v>
      </x:c>
      <x:c r="AD46" s="128" t="str">
        <x:v>AUTO</x:v>
      </x:c>
      <x:c r="AE46" s="128" t="n">
        <x:f>IF(A46="","",IF(AD46="AUTO",AB46,IF(AD46="MANUAL",AF46,"")))</x:f>
        <x:v>46262.53104166667</x:v>
      </x:c>
      <x:c r="AF46" s="9"/>
      <x:c r="AG46" t="str"/>
      <x:c r="AH46" t="str">
        <x:v>NONE</x:v>
      </x:c>
      <x:c r="AI46" s="42" t="str"/>
      <x:c r="AJ46" t="str">
        <x:f>IF(A46="","",IF(OR(Z46="FAIL",AND(AQ46="ROLLING",AC46="CHANGED")),IF(AND(AF46&lt;&gt;"",AF46&gt;=INT(AA46)),"NO","YES"),"NO"))</x:f>
        <x:v>NO</x:v>
      </x:c>
      <x:c r="AK46" t="str">
        <x:v>64436e3a3f3ade668fd3eaa53ce867914caf1d3a2f972c3bfd8d034b37641848</x:v>
      </x:c>
      <x:c r="AL46" t="str">
        <x:v>CURRENT</x:v>
      </x:c>
      <x:c r="AM46" t="str">
        <x:v>PA007</x:v>
      </x:c>
      <x:c r="AN46" s="42" t="str">
        <x:v>Official environmental coverage expansion. Chapter-level and permit-specific applicability must be confirmed.</x:v>
      </x:c>
      <x:c r="AO46" t="str">
        <x:v>OFFICIAL_WEBSITE</x:v>
      </x:c>
      <x:c r="AP46" t="str">
        <x:v>OFFICIAL_ORIGINAL</x:v>
      </x:c>
      <x:c r="AQ46" t="str">
        <x:v>ROLLING</x:v>
      </x:c>
      <x:c r="AR46" s="42" t="str"/>
    </x:row>
    <x:row r="47" ht="42" customHeight="1">
      <x:c r="A47" t="str">
        <x:v>PA045</x:v>
      </x:c>
      <x:c r="B47" t="str">
        <x:v>PA045-001</x:v>
      </x:c>
      <x:c r="C47" s="42" t="str">
        <x:v>Regulations concerning organisation, management and employee participation</x:v>
      </x:c>
      <x:c r="D47" s="129" t="str">
        <x:v>https://lovdata.no/dokument/SF/forskrift/2011-12-06-1355</x:v>
      </x:c>
      <x:c r="E47" s="129" t="str">
        <x:v>https://lovdata.no/dokument/SF/forskrift/2011-12-06-1355</x:v>
      </x:c>
      <x:c r="F47" t="str">
        <x:v>A_Public_Authority</x:v>
      </x:c>
      <x:c r="G47" t="str">
        <x:v>html</x:v>
      </x:c>
      <x:c r="H47" t="str">
        <x:v>PA045-001_Regulations_concerning_organisation_management_and_employee_participation.html</x:v>
      </x:c>
      <x:c r="I47" t="str">
        <x:v>STORED</x:v>
      </x:c>
      <x:c r="J47" t="str">
        <x:v>Norwegian Ministry of Labour and Social Inclusion</x:v>
      </x:c>
      <x:c r="K47" t="str">
        <x:v>Norway</x:v>
      </x:c>
      <x:c r="L47" t="str">
        <x:v>Norwegian</x:v>
      </x:c>
      <x:c r="M47" t="str"/>
      <x:c r="N47" s="9"/>
      <x:c r="O47" t="str">
        <x:v>Public authority</x:v>
      </x:c>
      <x:c r="P47" t="str">
        <x:v>Regulation</x:v>
      </x:c>
      <x:c r="Q47" t="str">
        <x:v>Primary normative</x:v>
      </x:c>
      <x:c r="R47" s="42" t="str">
        <x:v>Official regulation issued by Norwegian Ministry of Labour and Social Inclusion; included because it may impose binding requirements on an in-scope aquaculture asset, activity, permit or certification.</x:v>
      </x:c>
      <x:c r="S47" t="str">
        <x:v>HIGH</x:v>
      </x:c>
      <x:c r="T47" t="str">
        <x:v>HIGH</x:v>
      </x:c>
      <x:c r="U47" t="str">
        <x:v>HIGH</x:v>
      </x:c>
      <x:c r="V47" t="str">
        <x:v>HIGH</x:v>
      </x:c>
      <x:c r="W47" t="str">
        <x:v>HIGH</x:v>
      </x:c>
      <x:c r="X47" t="str">
        <x:v>HIGH</x:v>
      </x:c>
      <x:c r="Y47" t="str">
        <x:f>IF(A47="","",IF(OR(J47="",AO47="",AP47="",AP47="UNVERIFIED",AND(AO47="OFFICIAL_WEBSITE",D47=""),AND(OR(P47="Equipment manual / OEM instruction",Q47="Asset-specific normative"),OR(O47&lt;&gt;"Manufacturer / supplier",AR47="",R47=""))),"PENDING",IF(COUNTIF(S47:W47,"LOW")&gt;0,"EXCLUDE",IF(COUNTIF(S47:W47,"MEDIUM")&gt;0,"PENDING",IF(COUNTIF(S47:W47,"HIGH")=5,"INCLUDE","PENDING")))))</x:f>
        <x:v>INCLUDE</x:v>
      </x:c>
      <x:c r="Z47" t="str">
        <x:v>SUCCESS</x:v>
      </x:c>
      <x:c r="AA47" s="128" t="n">
        <x:v>46262.53104166667</x:v>
      </x:c>
      <x:c r="AB47" s="128" t="n">
        <x:v>46262.53104166667</x:v>
      </x:c>
      <x:c r="AC47" s="128" t="str">
        <x:v>INITIAL</x:v>
      </x:c>
      <x:c r="AD47" s="128" t="str">
        <x:v>AUTO</x:v>
      </x:c>
      <x:c r="AE47" s="128" t="n">
        <x:f>IF(A47="","",IF(AD47="AUTO",AB47,IF(AD47="MANUAL",AF47,"")))</x:f>
        <x:v>46262.53104166667</x:v>
      </x:c>
      <x:c r="AF47" s="9"/>
      <x:c r="AG47" t="str"/>
      <x:c r="AH47" t="str">
        <x:v>NONE</x:v>
      </x:c>
      <x:c r="AI47" s="42" t="str"/>
      <x:c r="AJ47" t="str">
        <x:f>IF(A47="","",IF(OR(Z47="FAIL",AND(AQ47="ROLLING",AC47="CHANGED")),IF(AND(AF47&lt;&gt;"",AF47&gt;=INT(AA47)),"NO","YES"),"NO"))</x:f>
        <x:v>NO</x:v>
      </x:c>
      <x:c r="AK47" t="str">
        <x:v>e43d868a759780431d3e95d2b6e6910c66ca52fe42f12adc15e0380a3a81e1e2</x:v>
      </x:c>
      <x:c r="AL47" t="str">
        <x:v>CURRENT</x:v>
      </x:c>
      <x:c r="AM47" t="str">
        <x:v>PA011</x:v>
      </x:c>
      <x:c r="AN47" s="42" t="str">
        <x:v>Official HSE framework expansion. Applies according to work organisation, competence and participation arrangements.</x:v>
      </x:c>
      <x:c r="AO47" t="str">
        <x:v>OFFICIAL_WEBSITE</x:v>
      </x:c>
      <x:c r="AP47" t="str">
        <x:v>OFFICIAL_ORIGINAL</x:v>
      </x:c>
      <x:c r="AQ47" t="str">
        <x:v>ROLLING</x:v>
      </x:c>
      <x:c r="AR47" s="42" t="str"/>
    </x:row>
    <x:row r="48" ht="42" customHeight="1">
      <x:c r="A48" t="str">
        <x:v>PA046</x:v>
      </x:c>
      <x:c r="B48" t="str">
        <x:v>PA046-001</x:v>
      </x:c>
      <x:c r="C48" s="42" t="str">
        <x:v>Workplace Regulations</x:v>
      </x:c>
      <x:c r="D48" s="129" t="str">
        <x:v>https://lovdata.no/dokument/SF/forskrift/2011-12-06-1356</x:v>
      </x:c>
      <x:c r="E48" s="129" t="str">
        <x:v>https://lovdata.no/dokument/SF/forskrift/2011-12-06-1356</x:v>
      </x:c>
      <x:c r="F48" t="str">
        <x:v>A_Public_Authority</x:v>
      </x:c>
      <x:c r="G48" t="str">
        <x:v>html</x:v>
      </x:c>
      <x:c r="H48" t="str">
        <x:v>PA046-001_Workplace_Regulations.html</x:v>
      </x:c>
      <x:c r="I48" t="str">
        <x:v>STORED</x:v>
      </x:c>
      <x:c r="J48" t="str">
        <x:v>Norwegian Ministry of Labour and Social Inclusion</x:v>
      </x:c>
      <x:c r="K48" t="str">
        <x:v>Norway</x:v>
      </x:c>
      <x:c r="L48" t="str">
        <x:v>Norwegian</x:v>
      </x:c>
      <x:c r="M48" t="str"/>
      <x:c r="N48" s="9"/>
      <x:c r="O48" t="str">
        <x:v>Public authority</x:v>
      </x:c>
      <x:c r="P48" t="str">
        <x:v>Regulation</x:v>
      </x:c>
      <x:c r="Q48" t="str">
        <x:v>Primary normative</x:v>
      </x:c>
      <x:c r="R48" s="42" t="str">
        <x:v>Official regulation issued by Norwegian Ministry of Labour and Social Inclusion; included because it may impose binding requirements on an in-scope aquaculture asset, activity, permit or certification.</x:v>
      </x:c>
      <x:c r="S48" t="str">
        <x:v>HIGH</x:v>
      </x:c>
      <x:c r="T48" t="str">
        <x:v>HIGH</x:v>
      </x:c>
      <x:c r="U48" t="str">
        <x:v>HIGH</x:v>
      </x:c>
      <x:c r="V48" t="str">
        <x:v>HIGH</x:v>
      </x:c>
      <x:c r="W48" t="str">
        <x:v>HIGH</x:v>
      </x:c>
      <x:c r="X48" t="str">
        <x:v>HIGH</x:v>
      </x:c>
      <x:c r="Y48" t="str">
        <x:f>IF(A48="","",IF(OR(J48="",AO48="",AP48="",AP48="UNVERIFIED",AND(AO48="OFFICIAL_WEBSITE",D48=""),AND(OR(P48="Equipment manual / OEM instruction",Q48="Asset-specific normative"),OR(O48&lt;&gt;"Manufacturer / supplier",AR48="",R48=""))),"PENDING",IF(COUNTIF(S48:W48,"LOW")&gt;0,"EXCLUDE",IF(COUNTIF(S48:W48,"MEDIUM")&gt;0,"PENDING",IF(COUNTIF(S48:W48,"HIGH")=5,"INCLUDE","PENDING")))))</x:f>
        <x:v>INCLUDE</x:v>
      </x:c>
      <x:c r="Z48" t="str">
        <x:v>SUCCESS</x:v>
      </x:c>
      <x:c r="AA48" s="128" t="n">
        <x:v>46262.53104166667</x:v>
      </x:c>
      <x:c r="AB48" s="128" t="n">
        <x:v>46262.53105324074</x:v>
      </x:c>
      <x:c r="AC48" s="128" t="str">
        <x:v>INITIAL</x:v>
      </x:c>
      <x:c r="AD48" s="128" t="str">
        <x:v>AUTO</x:v>
      </x:c>
      <x:c r="AE48" s="128" t="n">
        <x:f>IF(A48="","",IF(AD48="AUTO",AB48,IF(AD48="MANUAL",AF48,"")))</x:f>
        <x:v>46262.53105324074</x:v>
      </x:c>
      <x:c r="AF48" s="9"/>
      <x:c r="AG48" t="str"/>
      <x:c r="AH48" t="str">
        <x:v>NONE</x:v>
      </x:c>
      <x:c r="AI48" s="42" t="str"/>
      <x:c r="AJ48" t="str">
        <x:f>IF(A48="","",IF(OR(Z48="FAIL",AND(AQ48="ROLLING",AC48="CHANGED")),IF(AND(AF48&lt;&gt;"",AF48&gt;=INT(AA48)),"NO","YES"),"NO"))</x:f>
        <x:v>NO</x:v>
      </x:c>
      <x:c r="AK48" t="str">
        <x:v>3f3b6a9810b38e87332d03d59568a8724e83682d4ab914996dbf9b4d160dd951</x:v>
      </x:c>
      <x:c r="AL48" t="str">
        <x:v>CURRENT</x:v>
      </x:c>
      <x:c r="AM48" t="str">
        <x:v>PA011</x:v>
      </x:c>
      <x:c r="AN48" s="42" t="str">
        <x:v>Official HSE framework expansion. Site and facility applicability must be mapped to actual workplaces.</x:v>
      </x:c>
      <x:c r="AO48" t="str">
        <x:v>OFFICIAL_WEBSITE</x:v>
      </x:c>
      <x:c r="AP48" t="str">
        <x:v>OFFICIAL_ORIGINAL</x:v>
      </x:c>
      <x:c r="AQ48" t="str">
        <x:v>ROLLING</x:v>
      </x:c>
      <x:c r="AR48" s="42" t="str"/>
    </x:row>
    <x:row r="49" ht="42" customHeight="1">
      <x:c r="A49" t="str">
        <x:v>PA047</x:v>
      </x:c>
      <x:c r="B49" t="str">
        <x:v>PA047-001</x:v>
      </x:c>
      <x:c r="C49" s="42" t="str">
        <x:v>Regulations concerning action and limit values</x:v>
      </x:c>
      <x:c r="D49" s="129" t="str">
        <x:v>https://lovdata.no/dokument/SF/forskrift/2011-12-06-1358</x:v>
      </x:c>
      <x:c r="E49" s="129" t="str">
        <x:v>https://lovdata.no/dokument/SF/forskrift/2011-12-06-1358</x:v>
      </x:c>
      <x:c r="F49" t="str">
        <x:v>A_Public_Authority</x:v>
      </x:c>
      <x:c r="G49" t="str">
        <x:v>html</x:v>
      </x:c>
      <x:c r="H49" t="str">
        <x:v>PA047-001_Regulations_concerning_action_and_limit_values.html</x:v>
      </x:c>
      <x:c r="I49" t="str">
        <x:v>STORED</x:v>
      </x:c>
      <x:c r="J49" t="str">
        <x:v>Norwegian Ministry of Labour and Social Inclusion</x:v>
      </x:c>
      <x:c r="K49" t="str">
        <x:v>Norway</x:v>
      </x:c>
      <x:c r="L49" t="str">
        <x:v>Norwegian</x:v>
      </x:c>
      <x:c r="M49" t="str"/>
      <x:c r="N49" s="9"/>
      <x:c r="O49" t="str">
        <x:v>Public authority</x:v>
      </x:c>
      <x:c r="P49" t="str">
        <x:v>Regulation</x:v>
      </x:c>
      <x:c r="Q49" t="str">
        <x:v>Primary normative</x:v>
      </x:c>
      <x:c r="R49" s="42" t="str">
        <x:v>Official regulation issued by Norwegian Ministry of Labour and Social Inclusion; included because it may impose binding requirements on an in-scope aquaculture asset, activity, permit or certification.</x:v>
      </x:c>
      <x:c r="S49" t="str">
        <x:v>HIGH</x:v>
      </x:c>
      <x:c r="T49" t="str">
        <x:v>HIGH</x:v>
      </x:c>
      <x:c r="U49" t="str">
        <x:v>HIGH</x:v>
      </x:c>
      <x:c r="V49" t="str">
        <x:v>HIGH</x:v>
      </x:c>
      <x:c r="W49" t="str">
        <x:v>HIGH</x:v>
      </x:c>
      <x:c r="X49" t="str">
        <x:v>HIGH</x:v>
      </x:c>
      <x:c r="Y49" t="str">
        <x:f>IF(A49="","",IF(OR(J49="",AO49="",AP49="",AP49="UNVERIFIED",AND(AO49="OFFICIAL_WEBSITE",D49=""),AND(OR(P49="Equipment manual / OEM instruction",Q49="Asset-specific normative"),OR(O49&lt;&gt;"Manufacturer / supplier",AR49="",R49=""))),"PENDING",IF(COUNTIF(S49:W49,"LOW")&gt;0,"EXCLUDE",IF(COUNTIF(S49:W49,"MEDIUM")&gt;0,"PENDING",IF(COUNTIF(S49:W49,"HIGH")=5,"INCLUDE","PENDING")))))</x:f>
        <x:v>INCLUDE</x:v>
      </x:c>
      <x:c r="Z49" t="str">
        <x:v>SUCCESS</x:v>
      </x:c>
      <x:c r="AA49" s="128" t="n">
        <x:v>46262.53105324074</x:v>
      </x:c>
      <x:c r="AB49" s="128" t="n">
        <x:v>46262.53105324074</x:v>
      </x:c>
      <x:c r="AC49" s="128" t="str">
        <x:v>INITIAL</x:v>
      </x:c>
      <x:c r="AD49" s="128" t="str">
        <x:v>AUTO</x:v>
      </x:c>
      <x:c r="AE49" s="128" t="n">
        <x:f>IF(A49="","",IF(AD49="AUTO",AB49,IF(AD49="MANUAL",AF49,"")))</x:f>
        <x:v>46262.53105324074</x:v>
      </x:c>
      <x:c r="AF49" s="9"/>
      <x:c r="AG49" t="str"/>
      <x:c r="AH49" t="str">
        <x:v>NONE</x:v>
      </x:c>
      <x:c r="AI49" s="42" t="str"/>
      <x:c r="AJ49" t="str">
        <x:f>IF(A49="","",IF(OR(Z49="FAIL",AND(AQ49="ROLLING",AC49="CHANGED")),IF(AND(AF49&lt;&gt;"",AF49&gt;=INT(AA49)),"NO","YES"),"NO"))</x:f>
        <x:v>NO</x:v>
      </x:c>
      <x:c r="AK49" t="str">
        <x:v>c30790d1b5cdb2e3fc192d1e2141a7996f5e3a3d42983671189edd232c7cbd14</x:v>
      </x:c>
      <x:c r="AL49" t="str">
        <x:v>CURRENT</x:v>
      </x:c>
      <x:c r="AM49" t="str">
        <x:v>PA011</x:v>
      </x:c>
      <x:c r="AN49" s="42" t="str">
        <x:v>Official HSE framework expansion. Include applicable exposure limits after activity and hazard mapping.</x:v>
      </x:c>
      <x:c r="AO49" t="str">
        <x:v>OFFICIAL_WEBSITE</x:v>
      </x:c>
      <x:c r="AP49" t="str">
        <x:v>OFFICIAL_ORIGINAL</x:v>
      </x:c>
      <x:c r="AQ49" t="str">
        <x:v>ROLLING</x:v>
      </x:c>
      <x:c r="AR49" s="42" t="str"/>
    </x:row>
    <x:row r="50" ht="42" customHeight="1">
      <x:c r="A50" t="str">
        <x:v>PA048</x:v>
      </x:c>
      <x:c r="B50" t="str">
        <x:v>PA048-001</x:v>
      </x:c>
      <x:c r="C50" s="42" t="str">
        <x:v>Regulations concerning administrative arrangements in the area of the Working Environment Act</x:v>
      </x:c>
      <x:c r="D50" s="129" t="str">
        <x:v>https://lovdata.no/dokument/SF/forskrift/2011-12-06-1360</x:v>
      </x:c>
      <x:c r="E50" s="129" t="str">
        <x:v>https://lovdata.no/dokument/SF/forskrift/2011-12-06-1360</x:v>
      </x:c>
      <x:c r="F50" t="str">
        <x:v>A_Public_Authority</x:v>
      </x:c>
      <x:c r="G50" t="str">
        <x:v>html</x:v>
      </x:c>
      <x:c r="H50" t="str">
        <x:v>PA048-001_Regulations_concerning_administrative_arrangements_in_the_area_of_the_Working_Environment_Act.html</x:v>
      </x:c>
      <x:c r="I50" t="str">
        <x:v>STORED</x:v>
      </x:c>
      <x:c r="J50" t="str">
        <x:v>Norwegian Ministry of Labour and Social Inclusion</x:v>
      </x:c>
      <x:c r="K50" t="str">
        <x:v>Norway</x:v>
      </x:c>
      <x:c r="L50" t="str">
        <x:v>Norwegian</x:v>
      </x:c>
      <x:c r="M50" t="str"/>
      <x:c r="N50" s="9"/>
      <x:c r="O50" t="str">
        <x:v>Public authority</x:v>
      </x:c>
      <x:c r="P50" t="str">
        <x:v>Regulation</x:v>
      </x:c>
      <x:c r="Q50" t="str">
        <x:v>Referenced normative</x:v>
      </x:c>
      <x:c r="R50" s="42" t="str">
        <x:v>Official referenced source from Norwegian Ministry of Labour and Social Inclusion; included because an applicable law, permit or certification scheme may make its provisions binding within the approved scope.</x:v>
      </x:c>
      <x:c r="S50" t="str">
        <x:v>HIGH</x:v>
      </x:c>
      <x:c r="T50" t="str">
        <x:v>HIGH</x:v>
      </x:c>
      <x:c r="U50" t="str">
        <x:v>HIGH</x:v>
      </x:c>
      <x:c r="V50" t="str">
        <x:v>HIGH</x:v>
      </x:c>
      <x:c r="W50" t="str">
        <x:v>HIGH</x:v>
      </x:c>
      <x:c r="X50" t="str">
        <x:v>HIGH</x:v>
      </x:c>
      <x:c r="Y50" t="str">
        <x:f>IF(A50="","",IF(OR(J50="",AO50="",AP50="",AP50="UNVERIFIED",AND(AO50="OFFICIAL_WEBSITE",D50=""),AND(OR(P50="Equipment manual / OEM instruction",Q50="Asset-specific normative"),OR(O50&lt;&gt;"Manufacturer / supplier",AR50="",R50=""))),"PENDING",IF(COUNTIF(S50:W50,"LOW")&gt;0,"EXCLUDE",IF(COUNTIF(S50:W50,"MEDIUM")&gt;0,"PENDING",IF(COUNTIF(S50:W50,"HIGH")=5,"INCLUDE","PENDING")))))</x:f>
        <x:v>INCLUDE</x:v>
      </x:c>
      <x:c r="Z50" t="str">
        <x:v>SUCCESS</x:v>
      </x:c>
      <x:c r="AA50" s="128" t="n">
        <x:v>46262.53105324074</x:v>
      </x:c>
      <x:c r="AB50" s="128" t="n">
        <x:v>46262.53105324074</x:v>
      </x:c>
      <x:c r="AC50" s="128" t="str">
        <x:v>INITIAL</x:v>
      </x:c>
      <x:c r="AD50" s="128" t="str">
        <x:v>AUTO</x:v>
      </x:c>
      <x:c r="AE50" s="128" t="n">
        <x:f>IF(A50="","",IF(AD50="AUTO",AB50,IF(AD50="MANUAL",AF50,"")))</x:f>
        <x:v>46262.53105324074</x:v>
      </x:c>
      <x:c r="AF50" s="9"/>
      <x:c r="AG50" t="str"/>
      <x:c r="AH50" t="str">
        <x:v>NONE</x:v>
      </x:c>
      <x:c r="AI50" s="42" t="str"/>
      <x:c r="AJ50" t="str">
        <x:f>IF(A50="","",IF(OR(Z50="FAIL",AND(AQ50="ROLLING",AC50="CHANGED")),IF(AND(AF50&lt;&gt;"",AF50&gt;=INT(AA50)),"NO","YES"),"NO"))</x:f>
        <x:v>NO</x:v>
      </x:c>
      <x:c r="AK50" t="str">
        <x:v>a1d40a88d0a41bd2a9b66a59e0f3e46a4769483174bae327b4ca5fc43e07b6be</x:v>
      </x:c>
      <x:c r="AL50" t="str">
        <x:v>CURRENT</x:v>
      </x:c>
      <x:c r="AM50" t="str">
        <x:v>PA011</x:v>
      </x:c>
      <x:c r="AN50" s="42" t="str">
        <x:v>Official HSE framework expansion. Relevant to designated roles, approvals and administrative arrangements.</x:v>
      </x:c>
      <x:c r="AO50" t="str">
        <x:v>OFFICIAL_WEBSITE</x:v>
      </x:c>
      <x:c r="AP50" t="str">
        <x:v>OFFICIAL_ORIGINAL</x:v>
      </x:c>
      <x:c r="AQ50" t="str">
        <x:v>ROLLING</x:v>
      </x:c>
      <x:c r="AR50" s="42" t="str"/>
    </x:row>
    <x:row r="51" ht="42" customHeight="1">
      <x:c r="A51" t="str">
        <x:v>PA049</x:v>
      </x:c>
      <x:c r="B51" t="str">
        <x:v>PA049-001</x:v>
      </x:c>
      <x:c r="C51" s="42" t="str">
        <x:v>Regulation on working environment, safety and health for persons working on board ships</x:v>
      </x:c>
      <x:c r="D51" s="129" t="str">
        <x:v>https://lovdata.no/dokument/SF/forskrift/2005-01-01-8</x:v>
      </x:c>
      <x:c r="E51" s="129" t="str">
        <x:v>https://lovdata.no/dokument/SF/forskrift/2005-01-01-8</x:v>
      </x:c>
      <x:c r="F51" t="str">
        <x:v>A_Public_Authority</x:v>
      </x:c>
      <x:c r="G51" t="str">
        <x:v>html</x:v>
      </x:c>
      <x:c r="H51" t="str">
        <x:v>PA049-001_Regulation_on_working_environment_safety_and_health_for_persons_working_on_board_ships.html</x:v>
      </x:c>
      <x:c r="I51" t="str">
        <x:v>STORED</x:v>
      </x:c>
      <x:c r="J51" t="str">
        <x:v>Norwegian Ministry of Trade, Industry and Fisheries</x:v>
      </x:c>
      <x:c r="K51" t="str">
        <x:v>Norway</x:v>
      </x:c>
      <x:c r="L51" t="str">
        <x:v>Norwegian</x:v>
      </x:c>
      <x:c r="M51" t="str"/>
      <x:c r="N51" s="9"/>
      <x:c r="O51" t="str">
        <x:v>Public authority</x:v>
      </x:c>
      <x:c r="P51" t="str">
        <x:v>Regulation</x:v>
      </x:c>
      <x:c r="Q51" t="str">
        <x:v>Primary normative</x:v>
      </x:c>
      <x:c r="R51" s="42" t="str">
        <x:v>Official regulation issued by Norwegian Ministry of Trade, Industry and Fisheries; included because it may impose binding requirements on an in-scope aquaculture asset, activity, permit or certification.</x:v>
      </x:c>
      <x:c r="S51" t="str">
        <x:v>HIGH</x:v>
      </x:c>
      <x:c r="T51" t="str">
        <x:v>MEDIUM</x:v>
      </x:c>
      <x:c r="U51" t="str">
        <x:v>HIGH</x:v>
      </x:c>
      <x:c r="V51" t="str">
        <x:v>HIGH</x:v>
      </x:c>
      <x:c r="W51" t="str">
        <x:v>HIGH</x:v>
      </x:c>
      <x:c r="X51" t="str">
        <x:v>HIGH</x:v>
      </x:c>
      <x:c r="Y51" t="str">
        <x:f>IF(A51="","",IF(OR(J51="",AO51="",AP51="",AP51="UNVERIFIED",AND(AO51="OFFICIAL_WEBSITE",D51=""),AND(OR(P51="Equipment manual / OEM instruction",Q51="Asset-specific normative"),OR(O51&lt;&gt;"Manufacturer / supplier",AR51="",R51=""))),"PENDING",IF(COUNTIF(S51:W51,"LOW")&gt;0,"EXCLUDE",IF(COUNTIF(S51:W51,"MEDIUM")&gt;0,"PENDING",IF(COUNTIF(S51:W51,"HIGH")=5,"INCLUDE","PENDING")))))</x:f>
        <x:v>PENDING</x:v>
      </x:c>
      <x:c r="Z51" t="str">
        <x:v>SUCCESS</x:v>
      </x:c>
      <x:c r="AA51" s="128" t="n">
        <x:v>46262.53106481482</x:v>
      </x:c>
      <x:c r="AB51" s="128" t="n">
        <x:v>46262.53106481482</x:v>
      </x:c>
      <x:c r="AC51" s="128" t="str">
        <x:v>INITIAL</x:v>
      </x:c>
      <x:c r="AD51" s="128" t="str">
        <x:v>AUTO</x:v>
      </x:c>
      <x:c r="AE51" s="128" t="n">
        <x:f>IF(A51="","",IF(AD51="AUTO",AB51,IF(AD51="MANUAL",AF51,"")))</x:f>
        <x:v>46262.53106481482</x:v>
      </x:c>
      <x:c r="AF51" s="9"/>
      <x:c r="AG51" t="str"/>
      <x:c r="AH51" t="str">
        <x:v>NONE</x:v>
      </x:c>
      <x:c r="AI51" s="42" t="str"/>
      <x:c r="AJ51" t="str">
        <x:f>IF(A51="","",IF(OR(Z51="FAIL",AND(AQ51="ROLLING",AC51="CHANGED")),IF(AND(AF51&lt;&gt;"",AF51&gt;=INT(AA51)),"NO","YES"),"NO"))</x:f>
        <x:v>NO</x:v>
      </x:c>
      <x:c r="AK51" t="str">
        <x:v>669c8fb7232983d365c22bc01253bfe1b6d121397439e31345698e43fa3fcba1</x:v>
      </x:c>
      <x:c r="AL51" t="str">
        <x:v>CURRENT</x:v>
      </x:c>
      <x:c r="AM51" t="str">
        <x:v>PA018</x:v>
      </x:c>
      <x:c r="AN51" s="42" t="str">
        <x:v>Official maritime HSE expansion. Include only for personnel and vessels falling within maritime scope.</x:v>
      </x:c>
      <x:c r="AO51" t="str">
        <x:v>OFFICIAL_WEBSITE</x:v>
      </x:c>
      <x:c r="AP51" t="str">
        <x:v>OFFICIAL_ORIGINAL</x:v>
      </x:c>
      <x:c r="AQ51" t="str">
        <x:v>ROLLING</x:v>
      </x:c>
      <x:c r="AR51" s="42" t="str"/>
    </x:row>
    <x:row r="52" ht="42" customHeight="1">
      <x:c r="A52" t="str">
        <x:v>PA050</x:v>
      </x:c>
      <x:c r="B52" t="str">
        <x:v>PA050-001</x:v>
      </x:c>
      <x:c r="C52" s="42" t="str">
        <x:v>Harbours and Fairways Act</x:v>
      </x:c>
      <x:c r="D52" s="129" t="str">
        <x:v>https://lovdata.no/dokument/NL/lov/2019-06-21-70</x:v>
      </x:c>
      <x:c r="E52" s="129" t="str">
        <x:v>https://lovdata.no/dokument/NL/lov/2019-06-21-70</x:v>
      </x:c>
      <x:c r="F52" t="str">
        <x:v>A_Public_Authority</x:v>
      </x:c>
      <x:c r="G52" t="str">
        <x:v>html</x:v>
      </x:c>
      <x:c r="H52" t="str">
        <x:v>PA050-001_Harbours_and_Fairways_Act.html</x:v>
      </x:c>
      <x:c r="I52" t="str">
        <x:v>STORED</x:v>
      </x:c>
      <x:c r="J52" t="str">
        <x:v>Norwegian Ministry of Trade, Industry and Fisheries</x:v>
      </x:c>
      <x:c r="K52" t="str">
        <x:v>Norway</x:v>
      </x:c>
      <x:c r="L52" t="str">
        <x:v>Norwegian</x:v>
      </x:c>
      <x:c r="M52" t="str"/>
      <x:c r="N52" s="9"/>
      <x:c r="O52" t="str">
        <x:v>Public authority</x:v>
      </x:c>
      <x:c r="P52" t="str">
        <x:v>Law</x:v>
      </x:c>
      <x:c r="Q52" t="str">
        <x:v>Primary normative</x:v>
      </x:c>
      <x:c r="R52" s="42" t="str">
        <x:v>Official law issued by Norwegian Ministry of Trade, Industry and Fisheries; included because it may impose binding requirements on an in-scope aquaculture asset, activity, permit or certification.</x:v>
      </x:c>
      <x:c r="S52" t="str">
        <x:v>HIGH</x:v>
      </x:c>
      <x:c r="T52" t="str">
        <x:v>HIGH</x:v>
      </x:c>
      <x:c r="U52" t="str">
        <x:v>HIGH</x:v>
      </x:c>
      <x:c r="V52" t="str">
        <x:v>HIGH</x:v>
      </x:c>
      <x:c r="W52" t="str">
        <x:v>HIGH</x:v>
      </x:c>
      <x:c r="X52" t="str">
        <x:v>HIGH</x:v>
      </x:c>
      <x:c r="Y52" t="str">
        <x:f>IF(A52="","",IF(OR(J52="",AO52="",AP52="",AP52="UNVERIFIED",AND(AO52="OFFICIAL_WEBSITE",D52=""),AND(OR(P52="Equipment manual / OEM instruction",Q52="Asset-specific normative"),OR(O52&lt;&gt;"Manufacturer / supplier",AR52="",R52=""))),"PENDING",IF(COUNTIF(S52:W52,"LOW")&gt;0,"EXCLUDE",IF(COUNTIF(S52:W52,"MEDIUM")&gt;0,"PENDING",IF(COUNTIF(S52:W52,"HIGH")=5,"INCLUDE","PENDING")))))</x:f>
        <x:v>INCLUDE</x:v>
      </x:c>
      <x:c r="Z52" t="str">
        <x:v>SUCCESS</x:v>
      </x:c>
      <x:c r="AA52" s="128" t="n">
        <x:v>46262.53106481482</x:v>
      </x:c>
      <x:c r="AB52" s="128" t="n">
        <x:v>46262.53106481482</x:v>
      </x:c>
      <x:c r="AC52" s="128" t="str">
        <x:v>INITIAL</x:v>
      </x:c>
      <x:c r="AD52" s="128" t="str">
        <x:v>AUTO</x:v>
      </x:c>
      <x:c r="AE52" s="128" t="n">
        <x:f>IF(A52="","",IF(AD52="AUTO",AB52,IF(AD52="MANUAL",AF52,"")))</x:f>
        <x:v>46262.53106481482</x:v>
      </x:c>
      <x:c r="AF52" s="9"/>
      <x:c r="AG52" t="str"/>
      <x:c r="AH52" t="str">
        <x:v>NONE</x:v>
      </x:c>
      <x:c r="AI52" s="42" t="str"/>
      <x:c r="AJ52" t="str">
        <x:f>IF(A52="","",IF(OR(Z52="FAIL",AND(AQ52="ROLLING",AC52="CHANGED")),IF(AND(AF52&lt;&gt;"",AF52&gt;=INT(AA52)),"NO","YES"),"NO"))</x:f>
        <x:v>NO</x:v>
      </x:c>
      <x:c r="AK52" t="str">
        <x:v>b3340595ebd0e5912f032c385ccebc254cd79b719a1f625d87b4a340b66df3d7</x:v>
      </x:c>
      <x:c r="AL52" t="str">
        <x:v>CURRENT</x:v>
      </x:c>
      <x:c r="AM52" t="str"/>
      <x:c r="AN52" s="42" t="str">
        <x:v>Official permitting expansion. Relevant to sea-based site placement, navigation and measures in fairways.</x:v>
      </x:c>
      <x:c r="AO52" t="str">
        <x:v>OFFICIAL_WEBSITE</x:v>
      </x:c>
      <x:c r="AP52" t="str">
        <x:v>OFFICIAL_ORIGINAL</x:v>
      </x:c>
      <x:c r="AQ52" t="str">
        <x:v>ROLLING</x:v>
      </x:c>
      <x:c r="AR52" s="42" t="str"/>
    </x:row>
    <x:row r="53" ht="42" customHeight="1">
      <x:c r="A53" t="str">
        <x:v>PA051</x:v>
      </x:c>
      <x:c r="B53" t="str">
        <x:v>PA051-001</x:v>
      </x:c>
      <x:c r="C53" s="42" t="str">
        <x:v>Planning and Building Act</x:v>
      </x:c>
      <x:c r="D53" s="129" t="str">
        <x:v>https://lovdata.no/dokument/NL/lov/2008-06-27-71</x:v>
      </x:c>
      <x:c r="E53" s="129" t="str">
        <x:v>https://lovdata.no/dokument/NL/lov/2008-06-27-71</x:v>
      </x:c>
      <x:c r="F53" t="str">
        <x:v>A_Public_Authority</x:v>
      </x:c>
      <x:c r="G53" t="str">
        <x:v>html</x:v>
      </x:c>
      <x:c r="H53" t="str">
        <x:v>PA051-001_Planning_and_Building_Act.html</x:v>
      </x:c>
      <x:c r="I53" t="str">
        <x:v>STORED</x:v>
      </x:c>
      <x:c r="J53" t="str">
        <x:v>Norwegian Ministry of Local Government and Regional Development</x:v>
      </x:c>
      <x:c r="K53" t="str">
        <x:v>Norway</x:v>
      </x:c>
      <x:c r="L53" t="str">
        <x:v>Norwegian</x:v>
      </x:c>
      <x:c r="M53" t="str"/>
      <x:c r="N53" s="9"/>
      <x:c r="O53" t="str">
        <x:v>Public authority</x:v>
      </x:c>
      <x:c r="P53" t="str">
        <x:v>Law</x:v>
      </x:c>
      <x:c r="Q53" t="str">
        <x:v>Referenced normative</x:v>
      </x:c>
      <x:c r="R53" s="42" t="str">
        <x:v>Official referenced source from Norwegian Ministry of Local Government and Regional Development; included because an applicable law, permit or certification scheme may make its provisions binding within the approved scope.</x:v>
      </x:c>
      <x:c r="S53" t="str">
        <x:v>HIGH</x:v>
      </x:c>
      <x:c r="T53" t="str">
        <x:v>MEDIUM</x:v>
      </x:c>
      <x:c r="U53" t="str">
        <x:v>HIGH</x:v>
      </x:c>
      <x:c r="V53" t="str">
        <x:v>HIGH</x:v>
      </x:c>
      <x:c r="W53" t="str">
        <x:v>HIGH</x:v>
      </x:c>
      <x:c r="X53" t="str">
        <x:v>HIGH</x:v>
      </x:c>
      <x:c r="Y53" t="str">
        <x:f>IF(A53="","",IF(OR(J53="",AO53="",AP53="",AP53="UNVERIFIED",AND(AO53="OFFICIAL_WEBSITE",D53=""),AND(OR(P53="Equipment manual / OEM instruction",Q53="Asset-specific normative"),OR(O53&lt;&gt;"Manufacturer / supplier",AR53="",R53=""))),"PENDING",IF(COUNTIF(S53:W53,"LOW")&gt;0,"EXCLUDE",IF(COUNTIF(S53:W53,"MEDIUM")&gt;0,"PENDING",IF(COUNTIF(S53:W53,"HIGH")=5,"INCLUDE","PENDING")))))</x:f>
        <x:v>PENDING</x:v>
      </x:c>
      <x:c r="Z53" t="str">
        <x:v>SUCCESS</x:v>
      </x:c>
      <x:c r="AA53" s="128" t="n">
        <x:v>46262.53106481482</x:v>
      </x:c>
      <x:c r="AB53" s="128" t="n">
        <x:v>46262.53106481482</x:v>
      </x:c>
      <x:c r="AC53" s="128" t="str">
        <x:v>INITIAL</x:v>
      </x:c>
      <x:c r="AD53" s="128" t="str">
        <x:v>AUTO</x:v>
      </x:c>
      <x:c r="AE53" s="128" t="n">
        <x:f>IF(A53="","",IF(AD53="AUTO",AB53,IF(AD53="MANUAL",AF53,"")))</x:f>
        <x:v>46262.53106481482</x:v>
      </x:c>
      <x:c r="AF53" s="9"/>
      <x:c r="AG53" t="str"/>
      <x:c r="AH53" t="str">
        <x:v>NONE</x:v>
      </x:c>
      <x:c r="AI53" s="42" t="str"/>
      <x:c r="AJ53" t="str">
        <x:f>IF(A53="","",IF(OR(Z53="FAIL",AND(AQ53="ROLLING",AC53="CHANGED")),IF(AND(AF53&lt;&gt;"",AF53&gt;=INT(AA53)),"NO","YES"),"NO"))</x:f>
        <x:v>NO</x:v>
      </x:c>
      <x:c r="AK53" t="str">
        <x:v>f2cb33416ae233a0616722ffb0ebf377bf1eea2da309fbee385495f01062c5d2</x:v>
      </x:c>
      <x:c r="AL53" t="str">
        <x:v>CURRENT</x:v>
      </x:c>
      <x:c r="AM53" t="str"/>
      <x:c r="AN53" s="42" t="str">
        <x:v>Official permitting expansion. Relevance depends on municipal plans, land-based works and the specific application.</x:v>
      </x:c>
      <x:c r="AO53" t="str">
        <x:v>OFFICIAL_WEBSITE</x:v>
      </x:c>
      <x:c r="AP53" t="str">
        <x:v>OFFICIAL_ORIGINAL</x:v>
      </x:c>
      <x:c r="AQ53" t="str">
        <x:v>ROLLING</x:v>
      </x:c>
      <x:c r="AR53" s="42" t="str"/>
    </x:row>
    <x:row r="54" ht="42" customHeight="1">
      <x:c r="A54" t="str">
        <x:v>PA052</x:v>
      </x:c>
      <x:c r="B54" t="str">
        <x:v>PA052-001</x:v>
      </x:c>
      <x:c r="C54" s="42" t="str">
        <x:v>Cultural Heritage Act</x:v>
      </x:c>
      <x:c r="D54" s="129" t="str">
        <x:v>https://lovdata.no/dokument/NL/lov/1978-06-09-50</x:v>
      </x:c>
      <x:c r="E54" s="129" t="str">
        <x:v>https://lovdata.no/dokument/NL/lov/1978-06-09-50</x:v>
      </x:c>
      <x:c r="F54" t="str">
        <x:v>A_Public_Authority</x:v>
      </x:c>
      <x:c r="G54" t="str">
        <x:v>html</x:v>
      </x:c>
      <x:c r="H54" t="str">
        <x:v>PA052-001_Cultural_Heritage_Act.html</x:v>
      </x:c>
      <x:c r="I54" t="str">
        <x:v>STORED</x:v>
      </x:c>
      <x:c r="J54" t="str">
        <x:v>Norwegian Ministry of Climate and Environment</x:v>
      </x:c>
      <x:c r="K54" t="str">
        <x:v>Norway</x:v>
      </x:c>
      <x:c r="L54" t="str">
        <x:v>Norwegian</x:v>
      </x:c>
      <x:c r="M54" t="str"/>
      <x:c r="N54" s="9"/>
      <x:c r="O54" t="str">
        <x:v>Public authority</x:v>
      </x:c>
      <x:c r="P54" t="str">
        <x:v>Law</x:v>
      </x:c>
      <x:c r="Q54" t="str">
        <x:v>Referenced normative</x:v>
      </x:c>
      <x:c r="R54" s="42" t="str">
        <x:v>Official referenced source from Norwegian Ministry of Climate and Environment; included because an applicable law, permit or certification scheme may make its provisions binding within the approved scope.</x:v>
      </x:c>
      <x:c r="S54" t="str">
        <x:v>HIGH</x:v>
      </x:c>
      <x:c r="T54" t="str">
        <x:v>MEDIUM</x:v>
      </x:c>
      <x:c r="U54" t="str">
        <x:v>HIGH</x:v>
      </x:c>
      <x:c r="V54" t="str">
        <x:v>HIGH</x:v>
      </x:c>
      <x:c r="W54" t="str">
        <x:v>HIGH</x:v>
      </x:c>
      <x:c r="X54" t="str">
        <x:v>HIGH</x:v>
      </x:c>
      <x:c r="Y54" t="str">
        <x:f>IF(A54="","",IF(OR(J54="",AO54="",AP54="",AP54="UNVERIFIED",AND(AO54="OFFICIAL_WEBSITE",D54=""),AND(OR(P54="Equipment manual / OEM instruction",Q54="Asset-specific normative"),OR(O54&lt;&gt;"Manufacturer / supplier",AR54="",R54=""))),"PENDING",IF(COUNTIF(S54:W54,"LOW")&gt;0,"EXCLUDE",IF(COUNTIF(S54:W54,"MEDIUM")&gt;0,"PENDING",IF(COUNTIF(S54:W54,"HIGH")=5,"INCLUDE","PENDING")))))</x:f>
        <x:v>PENDING</x:v>
      </x:c>
      <x:c r="Z54" t="str">
        <x:v>SUCCESS</x:v>
      </x:c>
      <x:c r="AA54" s="128" t="n">
        <x:v>46262.53106481482</x:v>
      </x:c>
      <x:c r="AB54" s="128" t="n">
        <x:v>46262.53107638889</x:v>
      </x:c>
      <x:c r="AC54" s="128" t="str">
        <x:v>INITIAL</x:v>
      </x:c>
      <x:c r="AD54" s="128" t="str">
        <x:v>AUTO</x:v>
      </x:c>
      <x:c r="AE54" s="128" t="n">
        <x:f>IF(A54="","",IF(AD54="AUTO",AB54,IF(AD54="MANUAL",AF54,"")))</x:f>
        <x:v>46262.53107638889</x:v>
      </x:c>
      <x:c r="AF54" s="9"/>
      <x:c r="AG54" t="str"/>
      <x:c r="AH54" t="str">
        <x:v>NONE</x:v>
      </x:c>
      <x:c r="AI54" s="42" t="str"/>
      <x:c r="AJ54" t="str">
        <x:f>IF(A54="","",IF(OR(Z54="FAIL",AND(AQ54="ROLLING",AC54="CHANGED")),IF(AND(AF54&lt;&gt;"",AF54&gt;=INT(AA54)),"NO","YES"),"NO"))</x:f>
        <x:v>NO</x:v>
      </x:c>
      <x:c r="AK54" t="str">
        <x:v>70a7268b5afd45f369ef12f9d167fc6b9b87d65af7bbc46a28e19a40563b2bcb</x:v>
      </x:c>
      <x:c r="AL54" t="str">
        <x:v>CURRENT</x:v>
      </x:c>
      <x:c r="AM54" t="str"/>
      <x:c r="AN54" s="42" t="str">
        <x:v>Official permitting expansion. Site-specific relevance depends on registered or discovered cultural heritage.</x:v>
      </x:c>
      <x:c r="AO54" t="str">
        <x:v>OFFICIAL_WEBSITE</x:v>
      </x:c>
      <x:c r="AP54" t="str">
        <x:v>OFFICIAL_ORIGINAL</x:v>
      </x:c>
      <x:c r="AQ54" t="str">
        <x:v>ROLLING</x:v>
      </x:c>
      <x:c r="AR54" s="42" t="str"/>
    </x:row>
    <x:row r="55" ht="42" customHeight="1">
      <x:c r="A55" t="str">
        <x:v>PA053</x:v>
      </x:c>
      <x:c r="B55" t="str">
        <x:v>PA053-001</x:v>
      </x:c>
      <x:c r="C55" s="42" t="str">
        <x:v>Water Resources Act</x:v>
      </x:c>
      <x:c r="D55" s="129" t="str">
        <x:v>https://lovdata.no/dokument/NL/lov/2000-11-24-82</x:v>
      </x:c>
      <x:c r="E55" s="129" t="str">
        <x:v>https://lovdata.no/dokument/NL/lov/2000-11-24-82</x:v>
      </x:c>
      <x:c r="F55" t="str">
        <x:v>A_Public_Authority</x:v>
      </x:c>
      <x:c r="G55" t="str">
        <x:v>html</x:v>
      </x:c>
      <x:c r="H55" t="str">
        <x:v>PA053-001_Water_Resources_Act.html</x:v>
      </x:c>
      <x:c r="I55" t="str">
        <x:v>STORED</x:v>
      </x:c>
      <x:c r="J55" t="str">
        <x:v>Norwegian Ministry of Energy</x:v>
      </x:c>
      <x:c r="K55" t="str">
        <x:v>Norway</x:v>
      </x:c>
      <x:c r="L55" t="str">
        <x:v>Norwegian</x:v>
      </x:c>
      <x:c r="M55" t="str"/>
      <x:c r="N55" s="9"/>
      <x:c r="O55" t="str">
        <x:v>Public authority</x:v>
      </x:c>
      <x:c r="P55" t="str">
        <x:v>Law</x:v>
      </x:c>
      <x:c r="Q55" t="str">
        <x:v>Referenced normative</x:v>
      </x:c>
      <x:c r="R55" s="42" t="str">
        <x:v>Official referenced source from Norwegian Ministry of Energy; included because an applicable law, permit or certification scheme may make its provisions binding within the approved scope.</x:v>
      </x:c>
      <x:c r="S55" t="str">
        <x:v>HIGH</x:v>
      </x:c>
      <x:c r="T55" t="str">
        <x:v>MEDIUM</x:v>
      </x:c>
      <x:c r="U55" t="str">
        <x:v>HIGH</x:v>
      </x:c>
      <x:c r="V55" t="str">
        <x:v>HIGH</x:v>
      </x:c>
      <x:c r="W55" t="str">
        <x:v>HIGH</x:v>
      </x:c>
      <x:c r="X55" t="str">
        <x:v>HIGH</x:v>
      </x:c>
      <x:c r="Y55" t="str">
        <x:f>IF(A55="","",IF(OR(J55="",AO55="",AP55="",AP55="UNVERIFIED",AND(AO55="OFFICIAL_WEBSITE",D55=""),AND(OR(P55="Equipment manual / OEM instruction",Q55="Asset-specific normative"),OR(O55&lt;&gt;"Manufacturer / supplier",AR55="",R55=""))),"PENDING",IF(COUNTIF(S55:W55,"LOW")&gt;0,"EXCLUDE",IF(COUNTIF(S55:W55,"MEDIUM")&gt;0,"PENDING",IF(COUNTIF(S55:W55,"HIGH")=5,"INCLUDE","PENDING")))))</x:f>
        <x:v>PENDING</x:v>
      </x:c>
      <x:c r="Z55" t="str">
        <x:v>SUCCESS</x:v>
      </x:c>
      <x:c r="AA55" s="128" t="n">
        <x:v>46262.53107638889</x:v>
      </x:c>
      <x:c r="AB55" s="128" t="n">
        <x:v>46262.53107638889</x:v>
      </x:c>
      <x:c r="AC55" s="128" t="str">
        <x:v>INITIAL</x:v>
      </x:c>
      <x:c r="AD55" s="128" t="str">
        <x:v>AUTO</x:v>
      </x:c>
      <x:c r="AE55" s="128" t="n">
        <x:f>IF(A55="","",IF(AD55="AUTO",AB55,IF(AD55="MANUAL",AF55,"")))</x:f>
        <x:v>46262.53107638889</x:v>
      </x:c>
      <x:c r="AF55" s="9"/>
      <x:c r="AG55" t="str"/>
      <x:c r="AH55" t="str">
        <x:v>NONE</x:v>
      </x:c>
      <x:c r="AI55" s="42" t="str"/>
      <x:c r="AJ55" t="str">
        <x:f>IF(A55="","",IF(OR(Z55="FAIL",AND(AQ55="ROLLING",AC55="CHANGED")),IF(AND(AF55&lt;&gt;"",AF55&gt;=INT(AA55)),"NO","YES"),"NO"))</x:f>
        <x:v>NO</x:v>
      </x:c>
      <x:c r="AK55" t="str">
        <x:v>4f34d5e27c31a36b0d4578795a149e441341f41df43c89eb9aac6a5da9e075f8</x:v>
      </x:c>
      <x:c r="AL55" t="str">
        <x:v>CURRENT</x:v>
      </x:c>
      <x:c r="AM55" t="str"/>
      <x:c r="AN55" s="42" t="str">
        <x:v>Official permitting expansion. Particularly relevant to freshwater or water-abstraction and discharge arrangements.</x:v>
      </x:c>
      <x:c r="AO55" t="str">
        <x:v>OFFICIAL_WEBSITE</x:v>
      </x:c>
      <x:c r="AP55" t="str">
        <x:v>OFFICIAL_ORIGINAL</x:v>
      </x:c>
      <x:c r="AQ55" t="str">
        <x:v>ROLLING</x:v>
      </x:c>
      <x:c r="AR55" s="42" t="str"/>
    </x:row>
    <x:row r="56" ht="42" customHeight="1">
      <x:c r="A56" t="str">
        <x:v>PA054</x:v>
      </x:c>
      <x:c r="B56" t="str">
        <x:v>PA054-001</x:v>
      </x:c>
      <x:c r="C56" s="42" t="str">
        <x:v>Marine Nature Protection Act</x:v>
      </x:c>
      <x:c r="D56" s="129" t="str">
        <x:v>https://lovdata.no/dokument/NL/lov/2025-06-10-33</x:v>
      </x:c>
      <x:c r="E56" s="129" t="str">
        <x:v>https://lovdata.no/dokument/NL/lov/2025-06-10-33</x:v>
      </x:c>
      <x:c r="F56" t="str">
        <x:v>A_Public_Authority</x:v>
      </x:c>
      <x:c r="G56" t="str">
        <x:v>html</x:v>
      </x:c>
      <x:c r="H56" t="str">
        <x:v>PA054-001_Marine_Nature_Protection_Act.html</x:v>
      </x:c>
      <x:c r="I56" t="str">
        <x:v>STORED</x:v>
      </x:c>
      <x:c r="J56" t="str">
        <x:v>Norwegian Ministry of Climate and Environment</x:v>
      </x:c>
      <x:c r="K56" t="str">
        <x:v>Norway</x:v>
      </x:c>
      <x:c r="L56" t="str">
        <x:v>Norwegian</x:v>
      </x:c>
      <x:c r="M56" t="str"/>
      <x:c r="N56" s="9" t="n">
        <x:v>46023</x:v>
      </x:c>
      <x:c r="O56" t="str">
        <x:v>Public authority</x:v>
      </x:c>
      <x:c r="P56" t="str">
        <x:v>Law</x:v>
      </x:c>
      <x:c r="Q56" t="str">
        <x:v>Referenced normative</x:v>
      </x:c>
      <x:c r="R56" s="42" t="str">
        <x:v>Official referenced source from Norwegian Ministry of Climate and Environment; included because an applicable law, permit or certification scheme may make its provisions binding within the approved scope.</x:v>
      </x:c>
      <x:c r="S56" t="str">
        <x:v>HIGH</x:v>
      </x:c>
      <x:c r="T56" t="str">
        <x:v>MEDIUM</x:v>
      </x:c>
      <x:c r="U56" t="str">
        <x:v>HIGH</x:v>
      </x:c>
      <x:c r="V56" t="str">
        <x:v>HIGH</x:v>
      </x:c>
      <x:c r="W56" t="str">
        <x:v>HIGH</x:v>
      </x:c>
      <x:c r="X56" t="str">
        <x:v>HIGH</x:v>
      </x:c>
      <x:c r="Y56" t="str">
        <x:f>IF(A56="","",IF(OR(J56="",AO56="",AP56="",AP56="UNVERIFIED",AND(AO56="OFFICIAL_WEBSITE",D56=""),AND(OR(P56="Equipment manual / OEM instruction",Q56="Asset-specific normative"),OR(O56&lt;&gt;"Manufacturer / supplier",AR56="",R56=""))),"PENDING",IF(COUNTIF(S56:W56,"LOW")&gt;0,"EXCLUDE",IF(COUNTIF(S56:W56,"MEDIUM")&gt;0,"PENDING",IF(COUNTIF(S56:W56,"HIGH")=5,"INCLUDE","PENDING")))))</x:f>
        <x:v>PENDING</x:v>
      </x:c>
      <x:c r="Z56" t="str">
        <x:v>SUCCESS</x:v>
      </x:c>
      <x:c r="AA56" s="128" t="n">
        <x:v>46262.53107638889</x:v>
      </x:c>
      <x:c r="AB56" s="128" t="n">
        <x:v>46262.53107638889</x:v>
      </x:c>
      <x:c r="AC56" s="128" t="str">
        <x:v>INITIAL</x:v>
      </x:c>
      <x:c r="AD56" s="128" t="str">
        <x:v>AUTO</x:v>
      </x:c>
      <x:c r="AE56" s="128" t="n">
        <x:f>IF(A56="","",IF(AD56="AUTO",AB56,IF(AD56="MANUAL",AF56,"")))</x:f>
        <x:v>46262.53107638889</x:v>
      </x:c>
      <x:c r="AF56" s="9"/>
      <x:c r="AG56" t="str"/>
      <x:c r="AH56" t="str">
        <x:v>NONE</x:v>
      </x:c>
      <x:c r="AI56" s="42" t="str"/>
      <x:c r="AJ56" t="str">
        <x:f>IF(A56="","",IF(OR(Z56="FAIL",AND(AQ56="ROLLING",AC56="CHANGED")),IF(AND(AF56&lt;&gt;"",AF56&gt;=INT(AA56)),"NO","YES"),"NO"))</x:f>
        <x:v>NO</x:v>
      </x:c>
      <x:c r="AK56" t="str">
        <x:v>4dce1de2f48bf0d24398b17145c4c2286152eb61a354107445022488b2808c71</x:v>
      </x:c>
      <x:c r="AL56" t="str">
        <x:v>CURRENT</x:v>
      </x:c>
      <x:c r="AM56" t="str"/>
      <x:c r="AN56" s="42" t="str">
        <x:v>Official future-facing coverage expansion. Offshore and site-specific applicability must be confirmed before use.</x:v>
      </x:c>
      <x:c r="AO56" t="str">
        <x:v>OFFICIAL_WEBSITE</x:v>
      </x:c>
      <x:c r="AP56" t="str">
        <x:v>OFFICIAL_ORIGINAL</x:v>
      </x:c>
      <x:c r="AQ56" t="str">
        <x:v>ROLLING</x:v>
      </x:c>
      <x:c r="AR56" s="42" t="str"/>
    </x:row>
    <x:row r="57" ht="42" customHeight="1">
      <x:c r="A57" t="str">
        <x:v>PA055</x:v>
      </x:c>
      <x:c r="B57" t="str">
        <x:v>PA055-001</x:v>
      </x:c>
      <x:c r="C57" s="42" t="str">
        <x:v>Regulation on fairway signs and navigational devices</x:v>
      </x:c>
      <x:c r="D57" s="129" t="str">
        <x:v>https://lovdata.no/dokument/SF/forskrift/2012-12-19-1329</x:v>
      </x:c>
      <x:c r="E57" s="129" t="str">
        <x:v>https://lovdata.no/dokument/SF/forskrift/2012-12-19-1329</x:v>
      </x:c>
      <x:c r="F57" t="str">
        <x:v>A_Public_Authority</x:v>
      </x:c>
      <x:c r="G57" t="str">
        <x:v>html</x:v>
      </x:c>
      <x:c r="H57" t="str">
        <x:v>PA055-001_Regulation_on_fairway_signs_and_navigational_devices.html</x:v>
      </x:c>
      <x:c r="I57" t="str">
        <x:v>STORED</x:v>
      </x:c>
      <x:c r="J57" t="str">
        <x:v>Norwegian Ministry of Trade, Industry and Fisheries</x:v>
      </x:c>
      <x:c r="K57" t="str">
        <x:v>Norway</x:v>
      </x:c>
      <x:c r="L57" t="str">
        <x:v>Norwegian</x:v>
      </x:c>
      <x:c r="M57" t="str"/>
      <x:c r="N57" s="9"/>
      <x:c r="O57" t="str">
        <x:v>Public authority</x:v>
      </x:c>
      <x:c r="P57" t="str">
        <x:v>Regulation</x:v>
      </x:c>
      <x:c r="Q57" t="str">
        <x:v>Primary normative</x:v>
      </x:c>
      <x:c r="R57" s="42" t="str">
        <x:v>Official regulation issued by Norwegian Ministry of Trade, Industry and Fisheries; included because it may impose binding requirements on an in-scope aquaculture asset, activity, permit or certification.</x:v>
      </x:c>
      <x:c r="S57" t="str">
        <x:v>HIGH</x:v>
      </x:c>
      <x:c r="T57" t="str">
        <x:v>HIGH</x:v>
      </x:c>
      <x:c r="U57" t="str">
        <x:v>HIGH</x:v>
      </x:c>
      <x:c r="V57" t="str">
        <x:v>HIGH</x:v>
      </x:c>
      <x:c r="W57" t="str">
        <x:v>HIGH</x:v>
      </x:c>
      <x:c r="X57" t="str">
        <x:v>HIGH</x:v>
      </x:c>
      <x:c r="Y57" t="str">
        <x:f>IF(A57="","",IF(OR(J57="",AO57="",AP57="",AP57="UNVERIFIED",AND(AO57="OFFICIAL_WEBSITE",D57=""),AND(OR(P57="Equipment manual / OEM instruction",Q57="Asset-specific normative"),OR(O57&lt;&gt;"Manufacturer / supplier",AR57="",R57=""))),"PENDING",IF(COUNTIF(S57:W57,"LOW")&gt;0,"EXCLUDE",IF(COUNTIF(S57:W57,"MEDIUM")&gt;0,"PENDING",IF(COUNTIF(S57:W57,"HIGH")=5,"INCLUDE","PENDING")))))</x:f>
        <x:v>INCLUDE</x:v>
      </x:c>
      <x:c r="Z57" t="str">
        <x:v>SUCCESS</x:v>
      </x:c>
      <x:c r="AA57" s="128" t="n">
        <x:v>46262.53107638889</x:v>
      </x:c>
      <x:c r="AB57" s="128" t="n">
        <x:v>46262.53107638889</x:v>
      </x:c>
      <x:c r="AC57" s="128" t="str">
        <x:v>INITIAL</x:v>
      </x:c>
      <x:c r="AD57" s="128" t="str">
        <x:v>AUTO</x:v>
      </x:c>
      <x:c r="AE57" s="128" t="n">
        <x:f>IF(A57="","",IF(AD57="AUTO",AB57,IF(AD57="MANUAL",AF57,"")))</x:f>
        <x:v>46262.53107638889</x:v>
      </x:c>
      <x:c r="AF57" s="9"/>
      <x:c r="AG57" t="str"/>
      <x:c r="AH57" t="str">
        <x:v>NONE</x:v>
      </x:c>
      <x:c r="AI57" s="42" t="str"/>
      <x:c r="AJ57" t="str">
        <x:f>IF(A57="","",IF(OR(Z57="FAIL",AND(AQ57="ROLLING",AC57="CHANGED")),IF(AND(AF57&lt;&gt;"",AF57&gt;=INT(AA57)),"NO","YES"),"NO"))</x:f>
        <x:v>NO</x:v>
      </x:c>
      <x:c r="AK57" t="str">
        <x:v>c497ee186adeef3c2a97e4c9c9508a5b132a1e58eaf76ec1517408bd22fa25d9</x:v>
      </x:c>
      <x:c r="AL57" t="str">
        <x:v>CURRENT</x:v>
      </x:c>
      <x:c r="AM57" t="str">
        <x:v>PA050</x:v>
      </x:c>
      <x:c r="AN57" s="42" t="str">
        <x:v>Official sea-site expansion. Includes marking and navigation-related provisions relevant to applicable aquaculture installations.</x:v>
      </x:c>
      <x:c r="AO57" t="str">
        <x:v>OFFICIAL_WEBSITE</x:v>
      </x:c>
      <x:c r="AP57" t="str">
        <x:v>OFFICIAL_ORIGINAL</x:v>
      </x:c>
      <x:c r="AQ57" t="str">
        <x:v>ROLLING</x:v>
      </x:c>
      <x:c r="AR57" s="42" t="str"/>
    </x:row>
    <x:row r="58" ht="42" customHeight="1">
      <x:c r="A58" t="str">
        <x:v>PA056</x:v>
      </x:c>
      <x:c r="B58" t="str">
        <x:v>PA056-001</x:v>
      </x:c>
      <x:c r="C58" s="42" t="str">
        <x:v>Fiskeridirektoratet guidance for land-based aquaculture facilities</x:v>
      </x:c>
      <x:c r="D58" s="129" t="str">
        <x:v>https://www.fiskeridir.no/akvakultur/landbaserte-anlegg</x:v>
      </x:c>
      <x:c r="E58" s="129" t="str">
        <x:v>https://www.fiskeridir.no/akvakultur/landbaserte-anlegg</x:v>
      </x:c>
      <x:c r="F58" t="str">
        <x:v>A_Public_Authority</x:v>
      </x:c>
      <x:c r="G58" t="str">
        <x:v>html</x:v>
      </x:c>
      <x:c r="H58" t="str">
        <x:v>PA056-001_Fiskeridirektoratet_guidance_for_land-based_aquaculture_facilities.html</x:v>
      </x:c>
      <x:c r="I58" t="str">
        <x:v>STORED</x:v>
      </x:c>
      <x:c r="J58" t="str">
        <x:v>Norwegian Directorate of Fisheries</x:v>
      </x:c>
      <x:c r="K58" t="str">
        <x:v>Norway</x:v>
      </x:c>
      <x:c r="L58" t="str">
        <x:v>Norwegian</x:v>
      </x:c>
      <x:c r="M58" t="str"/>
      <x:c r="N58" s="9"/>
      <x:c r="O58" t="str">
        <x:v>Public authority</x:v>
      </x:c>
      <x:c r="P58" t="str">
        <x:v>Interpretation document</x:v>
      </x:c>
      <x:c r="Q58" t="str">
        <x:v>Guidance / interpretation</x:v>
      </x:c>
      <x:c r="R58" s="42" t="str">
        <x:v>Official guidance from Norwegian Directorate of Fisheries; included to interpret and operationalise linked normative requirements, not as independent legal or certification authority.</x:v>
      </x:c>
      <x:c r="S58" t="str">
        <x:v>HIGH</x:v>
      </x:c>
      <x:c r="T58" t="str">
        <x:v>MEDIUM</x:v>
      </x:c>
      <x:c r="U58" t="str">
        <x:v>HIGH</x:v>
      </x:c>
      <x:c r="V58" t="str">
        <x:v>HIGH</x:v>
      </x:c>
      <x:c r="W58" t="str">
        <x:v>HIGH</x:v>
      </x:c>
      <x:c r="X58" t="str">
        <x:v>HIGH</x:v>
      </x:c>
      <x:c r="Y58" t="str">
        <x:f>IF(A58="","",IF(OR(J58="",AO58="",AP58="",AP58="UNVERIFIED",AND(AO58="OFFICIAL_WEBSITE",D58=""),AND(OR(P58="Equipment manual / OEM instruction",Q58="Asset-specific normative"),OR(O58&lt;&gt;"Manufacturer / supplier",AR58="",R58=""))),"PENDING",IF(COUNTIF(S58:W58,"LOW")&gt;0,"EXCLUDE",IF(COUNTIF(S58:W58,"MEDIUM")&gt;0,"PENDING",IF(COUNTIF(S58:W58,"HIGH")=5,"INCLUDE","PENDING")))))</x:f>
        <x:v>PENDING</x:v>
      </x:c>
      <x:c r="Z58" t="str">
        <x:v>SUCCESS</x:v>
      </x:c>
      <x:c r="AA58" s="128" t="n">
        <x:v>46262.53108796296</x:v>
      </x:c>
      <x:c r="AB58" s="128" t="n">
        <x:v>46262.53108796296</x:v>
      </x:c>
      <x:c r="AC58" s="128" t="str">
        <x:v>INITIAL</x:v>
      </x:c>
      <x:c r="AD58" s="128" t="str">
        <x:v>AUTO</x:v>
      </x:c>
      <x:c r="AE58" s="128" t="n">
        <x:f>IF(A58="","",IF(AD58="AUTO",AB58,IF(AD58="MANUAL",AF58,"")))</x:f>
        <x:v>46262.53108796296</x:v>
      </x:c>
      <x:c r="AF58" s="9"/>
      <x:c r="AG58" t="str"/>
      <x:c r="AH58" t="str">
        <x:v>NONE</x:v>
      </x:c>
      <x:c r="AI58" s="42" t="str"/>
      <x:c r="AJ58" t="str">
        <x:f>IF(A58="","",IF(OR(Z58="FAIL",AND(AQ58="ROLLING",AC58="CHANGED")),IF(AND(AF58&lt;&gt;"",AF58&gt;=INT(AA58)),"NO","YES"),"NO"))</x:f>
        <x:v>NO</x:v>
      </x:c>
      <x:c r="AK58" t="str">
        <x:v>73c197182a2280a093d6c7ec0a273ab6f46ad0e55edfddc0f31373937b21de93</x:v>
      </x:c>
      <x:c r="AL58" t="str">
        <x:v>CURRENT</x:v>
      </x:c>
      <x:c r="AM58" t="str">
        <x:v>PA022</x:v>
      </x:c>
      <x:c r="AN58" s="42" t="str">
        <x:v>Official land-based facility guidance. Include only when land-based facilities are within scope.</x:v>
      </x:c>
      <x:c r="AO58" t="str">
        <x:v>OFFICIAL_WEBSITE</x:v>
      </x:c>
      <x:c r="AP58" t="str">
        <x:v>OFFICIAL_ORIGINAL</x:v>
      </x:c>
      <x:c r="AQ58" t="str">
        <x:v>ROLLING</x:v>
      </x:c>
      <x:c r="AR58" s="42" t="str"/>
    </x:row>
    <x:row r="59" ht="42" customHeight="1">
      <x:c r="A59" t="str">
        <x:v>PA057</x:v>
      </x:c>
      <x:c r="B59" t="str">
        <x:v>PA057-001</x:v>
      </x:c>
      <x:c r="C59" s="42" t="str">
        <x:v>Guidance for condition assessment of land-based aquaculture facilities</x:v>
      </x:c>
      <x:c r="D59" s="129" t="str">
        <x:v>https://www.fiskeridir.no/Akvakultur/Dokumenter/Veiledere/Tilstandsanalyse-av-landbaserte-anlegg</x:v>
      </x:c>
      <x:c r="E59" s="129" t="str">
        <x:v>https://www.fiskeridir.no/Akvakultur/Dokumenter/Veiledere/Tilstandsanalyse-av-landbaserte-anlegg/_/attachment/download/df2fc451-04b7-4984-8628-770e2cf13ac9%3Ad6ae5a53d45201b6bb2458a1e3506f3f9cd7e3fe/Veileder_tilstandsanalyse_20241011.pdf</x:v>
      </x:c>
      <x:c r="F59" t="str">
        <x:v>A_Public_Authority</x:v>
      </x:c>
      <x:c r="G59" t="str">
        <x:v>pdf</x:v>
      </x:c>
      <x:c r="H59" t="str">
        <x:v>PA057-001_Guidance_for_condition_assessment_of_land-based_aquaculture_facilities.pdf</x:v>
      </x:c>
      <x:c r="I59" t="str">
        <x:v>STORED</x:v>
      </x:c>
      <x:c r="J59" t="str">
        <x:v>Norwegian Directorate of Fisheries</x:v>
      </x:c>
      <x:c r="K59" t="str">
        <x:v>Norway</x:v>
      </x:c>
      <x:c r="L59" t="str">
        <x:v>Norwegian</x:v>
      </x:c>
      <x:c r="M59" t="str">
        <x:v>2024-10-11</x:v>
      </x:c>
      <x:c r="N59" s="9"/>
      <x:c r="O59" t="str">
        <x:v>Public authority</x:v>
      </x:c>
      <x:c r="P59" t="str">
        <x:v>Interpretation document</x:v>
      </x:c>
      <x:c r="Q59" t="str">
        <x:v>Guidance / interpretation</x:v>
      </x:c>
      <x:c r="R59" s="42" t="str">
        <x:v>Official guidance from Norwegian Directorate of Fisheries; included to interpret and operationalise linked normative requirements, not as independent legal or certification authority.</x:v>
      </x:c>
      <x:c r="S59" t="str">
        <x:v>HIGH</x:v>
      </x:c>
      <x:c r="T59" t="str">
        <x:v>MEDIUM</x:v>
      </x:c>
      <x:c r="U59" t="str">
        <x:v>HIGH</x:v>
      </x:c>
      <x:c r="V59" t="str">
        <x:v>HIGH</x:v>
      </x:c>
      <x:c r="W59" t="str">
        <x:v>HIGH</x:v>
      </x:c>
      <x:c r="X59" t="str">
        <x:v>HIGH</x:v>
      </x:c>
      <x:c r="Y59" t="str">
        <x:f>IF(A59="","",IF(OR(J59="",AO59="",AP59="",AP59="UNVERIFIED",AND(AO59="OFFICIAL_WEBSITE",D59=""),AND(OR(P59="Equipment manual / OEM instruction",Q59="Asset-specific normative"),OR(O59&lt;&gt;"Manufacturer / supplier",AR59="",R59=""))),"PENDING",IF(COUNTIF(S59:W59,"LOW")&gt;0,"EXCLUDE",IF(COUNTIF(S59:W59,"MEDIUM")&gt;0,"PENDING",IF(COUNTIF(S59:W59,"HIGH")=5,"INCLUDE","PENDING")))))</x:f>
        <x:v>PENDING</x:v>
      </x:c>
      <x:c r="Z59" t="str">
        <x:v>SUCCESS</x:v>
      </x:c>
      <x:c r="AA59" s="128" t="n">
        <x:v>46262.53108796296</x:v>
      </x:c>
      <x:c r="AB59" s="128" t="n">
        <x:v>46262.53109953704</x:v>
      </x:c>
      <x:c r="AC59" s="128" t="str">
        <x:v>INITIAL</x:v>
      </x:c>
      <x:c r="AD59" s="128" t="str">
        <x:v>AUTO</x:v>
      </x:c>
      <x:c r="AE59" s="128" t="n">
        <x:f>IF(A59="","",IF(AD59="AUTO",AB59,IF(AD59="MANUAL",AF59,"")))</x:f>
        <x:v>46262.53109953704</x:v>
      </x:c>
      <x:c r="AF59" s="9"/>
      <x:c r="AG59" t="str"/>
      <x:c r="AH59" t="str">
        <x:v>NONE</x:v>
      </x:c>
      <x:c r="AI59" s="42" t="str"/>
      <x:c r="AJ59" t="str">
        <x:f>IF(A59="","",IF(OR(Z59="FAIL",AND(AQ59="ROLLING",AC59="CHANGED")),IF(AND(AF59&lt;&gt;"",AF59&gt;=INT(AA59)),"NO","YES"),"NO"))</x:f>
        <x:v>NO</x:v>
      </x:c>
      <x:c r="AK59" t="str">
        <x:v>f9f6bd8531c2cd8a4cc7dd49e4035aaef6ff33cb2f7dbf93f0e340ca0b454778</x:v>
      </x:c>
      <x:c r="AL59" t="str">
        <x:v>CURRENT</x:v>
      </x:c>
      <x:c r="AM59" t="str">
        <x:v>PA022</x:v>
      </x:c>
      <x:c r="AN59" s="42" t="str">
        <x:v>Official technical guidance linked to land-based facility regulation and NS 3424. Conditional on land-based scope.</x:v>
      </x:c>
      <x:c r="AO59" t="str">
        <x:v>OFFICIAL_WEBSITE</x:v>
      </x:c>
      <x:c r="AP59" t="str">
        <x:v>OFFICIAL_ORIGINAL</x:v>
      </x:c>
      <x:c r="AQ59" t="str">
        <x:v>VERSIONED</x:v>
      </x:c>
      <x:c r="AR59" s="42" t="str"/>
    </x:row>
    <x:row r="60" ht="42" customHeight="1">
      <x:c r="A60" t="str">
        <x:v>PA058</x:v>
      </x:c>
      <x:c r="B60" t="str">
        <x:v>PA058-001</x:v>
      </x:c>
      <x:c r="C60" s="42" t="str">
        <x:v>Animal By-Products Regulations</x:v>
      </x:c>
      <x:c r="D60" s="129" t="str">
        <x:v>https://lovdata.no/dokument/SF/forskrift/2016-09-14-1064</x:v>
      </x:c>
      <x:c r="E60" s="129" t="str">
        <x:v>https://lovdata.no/dokument/SF/forskrift/2016-09-14-1064</x:v>
      </x:c>
      <x:c r="F60" t="str">
        <x:v>A_Public_Authority</x:v>
      </x:c>
      <x:c r="G60" t="str">
        <x:v>html</x:v>
      </x:c>
      <x:c r="H60" t="str">
        <x:v>PA058-001_Animal_By-Products_Regulations.html</x:v>
      </x:c>
      <x:c r="I60" t="str">
        <x:v>STORED</x:v>
      </x:c>
      <x:c r="J60" t="str">
        <x:v>Norwegian Ministry of Agriculture and Food</x:v>
      </x:c>
      <x:c r="K60" t="str">
        <x:v>Norway</x:v>
      </x:c>
      <x:c r="L60" t="str">
        <x:v>Norwegian</x:v>
      </x:c>
      <x:c r="M60" t="str"/>
      <x:c r="N60" s="9"/>
      <x:c r="O60" t="str">
        <x:v>Public authority</x:v>
      </x:c>
      <x:c r="P60" t="str">
        <x:v>Regulation</x:v>
      </x:c>
      <x:c r="Q60" t="str">
        <x:v>Primary normative</x:v>
      </x:c>
      <x:c r="R60" s="42" t="str">
        <x:v>Official regulation issued by Norwegian Ministry of Agriculture and Food; included because it may impose binding requirements on an in-scope aquaculture asset, activity, permit or certification.</x:v>
      </x:c>
      <x:c r="S60" t="str">
        <x:v>HIGH</x:v>
      </x:c>
      <x:c r="T60" t="str">
        <x:v>HIGH</x:v>
      </x:c>
      <x:c r="U60" t="str">
        <x:v>HIGH</x:v>
      </x:c>
      <x:c r="V60" t="str">
        <x:v>HIGH</x:v>
      </x:c>
      <x:c r="W60" t="str">
        <x:v>HIGH</x:v>
      </x:c>
      <x:c r="X60" t="str">
        <x:v>HIGH</x:v>
      </x:c>
      <x:c r="Y60" t="str">
        <x:f>IF(A60="","",IF(OR(J60="",AO60="",AP60="",AP60="UNVERIFIED",AND(AO60="OFFICIAL_WEBSITE",D60=""),AND(OR(P60="Equipment manual / OEM instruction",Q60="Asset-specific normative"),OR(O60&lt;&gt;"Manufacturer / supplier",AR60="",R60=""))),"PENDING",IF(COUNTIF(S60:W60,"LOW")&gt;0,"EXCLUDE",IF(COUNTIF(S60:W60,"MEDIUM")&gt;0,"PENDING",IF(COUNTIF(S60:W60,"HIGH")=5,"INCLUDE","PENDING")))))</x:f>
        <x:v>INCLUDE</x:v>
      </x:c>
      <x:c r="Z60" t="str">
        <x:v>SUCCESS</x:v>
      </x:c>
      <x:c r="AA60" s="128" t="n">
        <x:v>46262.53109953704</x:v>
      </x:c>
      <x:c r="AB60" s="128" t="n">
        <x:v>46262.53109953704</x:v>
      </x:c>
      <x:c r="AC60" s="128" t="str">
        <x:v>INITIAL</x:v>
      </x:c>
      <x:c r="AD60" s="128" t="str">
        <x:v>AUTO</x:v>
      </x:c>
      <x:c r="AE60" s="128" t="n">
        <x:f>IF(A60="","",IF(AD60="AUTO",AB60,IF(AD60="MANUAL",AF60,"")))</x:f>
        <x:v>46262.53109953704</x:v>
      </x:c>
      <x:c r="AF60" s="9"/>
      <x:c r="AG60" t="str"/>
      <x:c r="AH60" t="str">
        <x:v>NONE</x:v>
      </x:c>
      <x:c r="AI60" s="42" t="str"/>
      <x:c r="AJ60" t="str">
        <x:f>IF(A60="","",IF(OR(Z60="FAIL",AND(AQ60="ROLLING",AC60="CHANGED")),IF(AND(AF60&lt;&gt;"",AF60&gt;=INT(AA60)),"NO","YES"),"NO"))</x:f>
        <x:v>NO</x:v>
      </x:c>
      <x:c r="AK60" t="str">
        <x:v>fd75ab8dd58b68417b6da68c10c92a6952c7e7e2c8fdb7d48b02c8a46c6dee6a</x:v>
      </x:c>
      <x:c r="AL60" t="str">
        <x:v>CURRENT</x:v>
      </x:c>
      <x:c r="AM60" t="str"/>
      <x:c r="AN60" s="42" t="str">
        <x:v>Official food and animal-health expansion. Relevant to mortality, biological waste and animal by-product handling.</x:v>
      </x:c>
      <x:c r="AO60" t="str">
        <x:v>OFFICIAL_WEBSITE</x:v>
      </x:c>
      <x:c r="AP60" t="str">
        <x:v>OFFICIAL_ORIGINAL</x:v>
      </x:c>
      <x:c r="AQ60" t="str">
        <x:v>ROLLING</x:v>
      </x:c>
      <x:c r="AR60" s="42" t="str"/>
    </x:row>
    <x:row r="61" ht="42" customHeight="1">
      <x:c r="A61" t="str">
        <x:v>PA059</x:v>
      </x:c>
      <x:c r="B61" t="str">
        <x:v>PA059-001</x:v>
      </x:c>
      <x:c r="C61" s="42" t="str">
        <x:v>Feed Hygiene Regulations</x:v>
      </x:c>
      <x:c r="D61" s="129" t="str">
        <x:v>https://lovdata.no/dokument/SF/forskrift/2010-01-14-39</x:v>
      </x:c>
      <x:c r="E61" s="129" t="str">
        <x:v>https://lovdata.no/dokument/SF/forskrift/2010-01-14-39</x:v>
      </x:c>
      <x:c r="F61" t="str">
        <x:v>A_Public_Authority</x:v>
      </x:c>
      <x:c r="G61" t="str">
        <x:v>html</x:v>
      </x:c>
      <x:c r="H61" t="str">
        <x:v>PA059-001_Feed_Hygiene_Regulations.html</x:v>
      </x:c>
      <x:c r="I61" t="str">
        <x:v>STORED</x:v>
      </x:c>
      <x:c r="J61" t="str">
        <x:v>Norwegian Ministry of Agriculture and Food</x:v>
      </x:c>
      <x:c r="K61" t="str">
        <x:v>Norway</x:v>
      </x:c>
      <x:c r="L61" t="str">
        <x:v>Norwegian</x:v>
      </x:c>
      <x:c r="M61" t="str"/>
      <x:c r="N61" s="9"/>
      <x:c r="O61" t="str">
        <x:v>Public authority</x:v>
      </x:c>
      <x:c r="P61" t="str">
        <x:v>Regulation</x:v>
      </x:c>
      <x:c r="Q61" t="str">
        <x:v>Primary normative</x:v>
      </x:c>
      <x:c r="R61" s="42" t="str">
        <x:v>Official regulation issued by Norwegian Ministry of Agriculture and Food; included because it may impose binding requirements on an in-scope aquaculture asset, activity, permit or certification.</x:v>
      </x:c>
      <x:c r="S61" t="str">
        <x:v>HIGH</x:v>
      </x:c>
      <x:c r="T61" t="str">
        <x:v>HIGH</x:v>
      </x:c>
      <x:c r="U61" t="str">
        <x:v>HIGH</x:v>
      </x:c>
      <x:c r="V61" t="str">
        <x:v>HIGH</x:v>
      </x:c>
      <x:c r="W61" t="str">
        <x:v>HIGH</x:v>
      </x:c>
      <x:c r="X61" t="str">
        <x:v>HIGH</x:v>
      </x:c>
      <x:c r="Y61" t="str">
        <x:f>IF(A61="","",IF(OR(J61="",AO61="",AP61="",AP61="UNVERIFIED",AND(AO61="OFFICIAL_WEBSITE",D61=""),AND(OR(P61="Equipment manual / OEM instruction",Q61="Asset-specific normative"),OR(O61&lt;&gt;"Manufacturer / supplier",AR61="",R61=""))),"PENDING",IF(COUNTIF(S61:W61,"LOW")&gt;0,"EXCLUDE",IF(COUNTIF(S61:W61,"MEDIUM")&gt;0,"PENDING",IF(COUNTIF(S61:W61,"HIGH")=5,"INCLUDE","PENDING")))))</x:f>
        <x:v>INCLUDE</x:v>
      </x:c>
      <x:c r="Z61" t="str">
        <x:v>SUCCESS</x:v>
      </x:c>
      <x:c r="AA61" s="128" t="n">
        <x:v>46262.53109953704</x:v>
      </x:c>
      <x:c r="AB61" s="128" t="n">
        <x:v>46262.53109953704</x:v>
      </x:c>
      <x:c r="AC61" s="128" t="str">
        <x:v>INITIAL</x:v>
      </x:c>
      <x:c r="AD61" s="128" t="str">
        <x:v>AUTO</x:v>
      </x:c>
      <x:c r="AE61" s="128" t="n">
        <x:f>IF(A61="","",IF(AD61="AUTO",AB61,IF(AD61="MANUAL",AF61,"")))</x:f>
        <x:v>46262.53109953704</x:v>
      </x:c>
      <x:c r="AF61" s="9"/>
      <x:c r="AG61" t="str"/>
      <x:c r="AH61" t="str">
        <x:v>NONE</x:v>
      </x:c>
      <x:c r="AI61" s="42" t="str"/>
      <x:c r="AJ61" t="str">
        <x:f>IF(A61="","",IF(OR(Z61="FAIL",AND(AQ61="ROLLING",AC61="CHANGED")),IF(AND(AF61&lt;&gt;"",AF61&gt;=INT(AA61)),"NO","YES"),"NO"))</x:f>
        <x:v>NO</x:v>
      </x:c>
      <x:c r="AK61" t="str">
        <x:v>ed6c7697859784b170a511c1cf2959184626790cd65ed05c36bc863c6769a793</x:v>
      </x:c>
      <x:c r="AL61" t="str">
        <x:v>CURRENT</x:v>
      </x:c>
      <x:c r="AM61" t="str"/>
      <x:c r="AN61" s="42" t="str">
        <x:v>Official feed-safety expansion. Applicability depends on storage, handling and feed-business activities.</x:v>
      </x:c>
      <x:c r="AO61" t="str">
        <x:v>OFFICIAL_WEBSITE</x:v>
      </x:c>
      <x:c r="AP61" t="str">
        <x:v>OFFICIAL_ORIGINAL</x:v>
      </x:c>
      <x:c r="AQ61" t="str">
        <x:v>ROLLING</x:v>
      </x:c>
      <x:c r="AR61" s="42" t="str"/>
    </x:row>
    <x:row r="62" ht="42" customHeight="1">
      <x:c r="A62" t="str">
        <x:v>PA060</x:v>
      </x:c>
      <x:c r="B62" t="str">
        <x:v>PA060-001</x:v>
      </x:c>
      <x:c r="C62" s="42" t="str">
        <x:v>Regulation on veterinary medicinal products</x:v>
      </x:c>
      <x:c r="D62" s="129" t="str">
        <x:v>https://lovdata.no/dokument/SF/forskrift/2022-09-08-1573</x:v>
      </x:c>
      <x:c r="E62" s="129" t="str">
        <x:v>https://lovdata.no/dokument/SF/forskrift/2022-09-08-1573</x:v>
      </x:c>
      <x:c r="F62" t="str">
        <x:v>A_Public_Authority</x:v>
      </x:c>
      <x:c r="G62" t="str">
        <x:v>html</x:v>
      </x:c>
      <x:c r="H62" t="str">
        <x:v>PA060-001_Regulation_on_veterinary_medicinal_products.html</x:v>
      </x:c>
      <x:c r="I62" t="str">
        <x:v>STORED</x:v>
      </x:c>
      <x:c r="J62" t="str">
        <x:v>Norwegian Ministry of Health and Care Services</x:v>
      </x:c>
      <x:c r="K62" t="str">
        <x:v>Norway</x:v>
      </x:c>
      <x:c r="L62" t="str">
        <x:v>Norwegian</x:v>
      </x:c>
      <x:c r="M62" t="str"/>
      <x:c r="N62" s="9"/>
      <x:c r="O62" t="str">
        <x:v>Public authority</x:v>
      </x:c>
      <x:c r="P62" t="str">
        <x:v>Regulation</x:v>
      </x:c>
      <x:c r="Q62" t="str">
        <x:v>Primary normative</x:v>
      </x:c>
      <x:c r="R62" s="42" t="str">
        <x:v>Official regulation issued by Norwegian Ministry of Health and Care Services; included because it may impose binding requirements on an in-scope aquaculture asset, activity, permit or certification.</x:v>
      </x:c>
      <x:c r="S62" t="str">
        <x:v>HIGH</x:v>
      </x:c>
      <x:c r="T62" t="str">
        <x:v>HIGH</x:v>
      </x:c>
      <x:c r="U62" t="str">
        <x:v>HIGH</x:v>
      </x:c>
      <x:c r="V62" t="str">
        <x:v>HIGH</x:v>
      </x:c>
      <x:c r="W62" t="str">
        <x:v>HIGH</x:v>
      </x:c>
      <x:c r="X62" t="str">
        <x:v>HIGH</x:v>
      </x:c>
      <x:c r="Y62" t="str">
        <x:f>IF(A62="","",IF(OR(J62="",AO62="",AP62="",AP62="UNVERIFIED",AND(AO62="OFFICIAL_WEBSITE",D62=""),AND(OR(P62="Equipment manual / OEM instruction",Q62="Asset-specific normative"),OR(O62&lt;&gt;"Manufacturer / supplier",AR62="",R62=""))),"PENDING",IF(COUNTIF(S62:W62,"LOW")&gt;0,"EXCLUDE",IF(COUNTIF(S62:W62,"MEDIUM")&gt;0,"PENDING",IF(COUNTIF(S62:W62,"HIGH")=5,"INCLUDE","PENDING")))))</x:f>
        <x:v>INCLUDE</x:v>
      </x:c>
      <x:c r="Z62" t="str">
        <x:v>SUCCESS</x:v>
      </x:c>
      <x:c r="AA62" s="128" t="n">
        <x:v>46262.53109953704</x:v>
      </x:c>
      <x:c r="AB62" s="128" t="n">
        <x:v>46262.53111111111</x:v>
      </x:c>
      <x:c r="AC62" s="128" t="str">
        <x:v>INITIAL</x:v>
      </x:c>
      <x:c r="AD62" s="128" t="str">
        <x:v>AUTO</x:v>
      </x:c>
      <x:c r="AE62" s="128" t="n">
        <x:f>IF(A62="","",IF(AD62="AUTO",AB62,IF(AD62="MANUAL",AF62,"")))</x:f>
        <x:v>46262.53111111111</x:v>
      </x:c>
      <x:c r="AF62" s="9"/>
      <x:c r="AG62" t="str"/>
      <x:c r="AH62" t="str">
        <x:v>NONE</x:v>
      </x:c>
      <x:c r="AI62" s="42" t="str"/>
      <x:c r="AJ62" t="str">
        <x:f>IF(A62="","",IF(OR(Z62="FAIL",AND(AQ62="ROLLING",AC62="CHANGED")),IF(AND(AF62&lt;&gt;"",AF62&gt;=INT(AA62)),"NO","YES"),"NO"))</x:f>
        <x:v>NO</x:v>
      </x:c>
      <x:c r="AK62" t="str">
        <x:v>744c31829906a7667ae58957380386b0baab1a1ad56b468b6a9ce452b7f0ff8b</x:v>
      </x:c>
      <x:c r="AL62" t="str">
        <x:v>CURRENT</x:v>
      </x:c>
      <x:c r="AM62" t="str"/>
      <x:c r="AN62" s="42" t="str">
        <x:v>Official animal-health expansion. Include applicable provisions for procurement, use, records and handling of veterinary medicines.</x:v>
      </x:c>
      <x:c r="AO62" t="str">
        <x:v>OFFICIAL_WEBSITE</x:v>
      </x:c>
      <x:c r="AP62" t="str">
        <x:v>OFFICIAL_ORIGINAL</x:v>
      </x:c>
      <x:c r="AQ62" t="str">
        <x:v>ROLLING</x:v>
      </x:c>
      <x:c r="AR62" s="42" t="str"/>
    </x:row>
    <x:row r="63" ht="42" customHeight="1">
      <x:c r="A63" t="str">
        <x:v>SB001</x:v>
      </x:c>
      <x:c r="B63" t="str">
        <x:v>SB001-001</x:v>
      </x:c>
      <x:c r="C63" s="42" t="str">
        <x:v>NS 9415:2021+AC:2024 Floating aquaculture farms - Site survey, design, execution and use</x:v>
      </x:c>
      <x:c r="D63" s="129" t="str">
        <x:v>https://online.standard.no/nb/ns-9415-2021</x:v>
      </x:c>
      <x:c r="E63" s="129" t="str"/>
      <x:c r="F63" t="str">
        <x:v>B_Standards_Body</x:v>
      </x:c>
      <x:c r="G63" t="str">
        <x:v>pdf</x:v>
      </x:c>
      <x:c r="H63" t="str">
        <x:v>SB001-001_NS_9415_2021_AC_2024_Floating_aquaculture_farms_-_Site_survey_design_execution_and_use.pdf</x:v>
      </x:c>
      <x:c r="I63" t="str">
        <x:v>NOT_COLLECTED</x:v>
      </x:c>
      <x:c r="J63" t="str">
        <x:v>Standards Norway</x:v>
      </x:c>
      <x:c r="K63" t="str">
        <x:v>Norway</x:v>
      </x:c>
      <x:c r="L63" t="str">
        <x:v>Norwegian</x:v>
      </x:c>
      <x:c r="M63" t="str">
        <x:v>2021+AC:2024</x:v>
      </x:c>
      <x:c r="N63" s="9"/>
      <x:c r="O63" t="str">
        <x:v>Standards body</x:v>
      </x:c>
      <x:c r="P63" t="str">
        <x:v>Technical standard</x:v>
      </x:c>
      <x:c r="Q63" t="str">
        <x:v>Referenced normative</x:v>
      </x:c>
      <x:c r="R63" s="42" t="str">
        <x:v>Official referenced source from Standards Norway; included because an applicable law, permit or certification scheme may make its provisions binding within the approved scope.</x:v>
      </x:c>
      <x:c r="S63" t="str">
        <x:v>HIGH</x:v>
      </x:c>
      <x:c r="T63" t="str">
        <x:v>HIGH</x:v>
      </x:c>
      <x:c r="U63" t="str">
        <x:v>HIGH</x:v>
      </x:c>
      <x:c r="V63" t="str">
        <x:v>HIGH</x:v>
      </x:c>
      <x:c r="W63" t="str">
        <x:v>MEDIUM</x:v>
      </x:c>
      <x:c r="X63" t="str">
        <x:v>LOW</x:v>
      </x:c>
      <x:c r="Y63" t="str">
        <x:f>IF(A63="","",IF(OR(J63="",AO63="",AP63="",AP63="UNVERIFIED",AND(AO63="OFFICIAL_WEBSITE",D63=""),AND(OR(P63="Equipment manual / OEM instruction",Q63="Asset-specific normative"),OR(O63&lt;&gt;"Manufacturer / supplier",AR63="",R63=""))),"PENDING",IF(COUNTIF(S63:W63,"LOW")&gt;0,"EXCLUDE",IF(COUNTIF(S63:W63,"MEDIUM")&gt;0,"PENDING",IF(COUNTIF(S63:W63,"HIGH")=5,"INCLUDE","PENDING")))))</x:f>
        <x:v>PENDING</x:v>
      </x:c>
      <x:c r="Z63" t="str">
        <x:v>NOT_RUN</x:v>
      </x:c>
      <x:c r="AA63" s="128"/>
      <x:c r="AB63" s="128"/>
      <x:c r="AC63" s="128" t="str">
        <x:v>UNKNOWN</x:v>
      </x:c>
      <x:c r="AD63" s="128" t="str">
        <x:v>NONE</x:v>
      </x:c>
      <x:c r="AE63" s="128" t="str">
        <x:f>IF(A63="","",IF(AD63="AUTO",AB63,IF(AD63="MANUAL",AF63,"")))</x:f>
      </x:c>
      <x:c r="AF63" s="9"/>
      <x:c r="AG63" t="str"/>
      <x:c r="AH63" t="str">
        <x:v>NONE</x:v>
      </x:c>
      <x:c r="AI63" s="42" t="str"/>
      <x:c r="AJ63" t="str">
        <x:f>IF(A63="","",IF(OR(Z63="FAIL",AND(AQ63="ROLLING",AC63="CHANGED")),IF(AND(AF63&lt;&gt;"",AF63&gt;=INT(AA63)),"NO","YES"),"NO"))</x:f>
        <x:v>NO</x:v>
      </x:c>
      <x:c r="AK63" t="str"/>
      <x:c r="AL63" t="str">
        <x:v>CURRENT</x:v>
      </x:c>
      <x:c r="AM63" t="str">
        <x:v>PA004</x:v>
      </x:c>
      <x:c r="AN63" s="42" t="str">
        <x:v>Project-mentioned standard referenced by NYTEK23. Licensed access is required before automated retrieval.</x:v>
      </x:c>
      <x:c r="AO63" t="str">
        <x:v>OFFICIAL_WEBSITE</x:v>
      </x:c>
      <x:c r="AP63" t="str">
        <x:v>OFFICIAL_ORIGINAL</x:v>
      </x:c>
      <x:c r="AQ63" t="str">
        <x:v>VERSIONED</x:v>
      </x:c>
      <x:c r="AR63" s="42" t="str"/>
    </x:row>
    <x:row r="64" ht="42" customHeight="1">
      <x:c r="A64" t="str">
        <x:v>SB002</x:v>
      </x:c>
      <x:c r="B64" t="str">
        <x:v>SB002-001</x:v>
      </x:c>
      <x:c r="C64" s="42" t="str">
        <x:v>NS 9410:2016 Environmental monitoring of benthic impact from marine fish farms</x:v>
      </x:c>
      <x:c r="D64" s="129" t="str">
        <x:v>https://online.standard.no/ns-9410-2016</x:v>
      </x:c>
      <x:c r="E64" s="129" t="str"/>
      <x:c r="F64" t="str">
        <x:v>B_Standards_Body</x:v>
      </x:c>
      <x:c r="G64" t="str">
        <x:v>pdf</x:v>
      </x:c>
      <x:c r="H64" t="str">
        <x:v>SB002-001_NS_9410_2016_Environmental_monitoring_of_benthic_impact_from_marine_fish_farms.pdf</x:v>
      </x:c>
      <x:c r="I64" t="str">
        <x:v>NOT_COLLECTED</x:v>
      </x:c>
      <x:c r="J64" t="str">
        <x:v>Standards Norway</x:v>
      </x:c>
      <x:c r="K64" t="str">
        <x:v>Norway</x:v>
      </x:c>
      <x:c r="L64" t="str">
        <x:v>Norwegian</x:v>
      </x:c>
      <x:c r="M64" t="str">
        <x:v>2016</x:v>
      </x:c>
      <x:c r="N64" s="9"/>
      <x:c r="O64" t="str">
        <x:v>Standards body</x:v>
      </x:c>
      <x:c r="P64" t="str">
        <x:v>Technical standard</x:v>
      </x:c>
      <x:c r="Q64" t="str">
        <x:v>Referenced normative</x:v>
      </x:c>
      <x:c r="R64" s="42" t="str">
        <x:v>Official referenced source from Standards Norway; included because an applicable law, permit or certification scheme may make its provisions binding within the approved scope.</x:v>
      </x:c>
      <x:c r="S64" t="str">
        <x:v>HIGH</x:v>
      </x:c>
      <x:c r="T64" t="str">
        <x:v>HIGH</x:v>
      </x:c>
      <x:c r="U64" t="str">
        <x:v>MEDIUM</x:v>
      </x:c>
      <x:c r="V64" t="str">
        <x:v>HIGH</x:v>
      </x:c>
      <x:c r="W64" t="str">
        <x:v>MEDIUM</x:v>
      </x:c>
      <x:c r="X64" t="str">
        <x:v>LOW</x:v>
      </x:c>
      <x:c r="Y64" t="str">
        <x:f>IF(A64="","",IF(OR(J64="",AO64="",AP64="",AP64="UNVERIFIED",AND(AO64="OFFICIAL_WEBSITE",D64=""),AND(OR(P64="Equipment manual / OEM instruction",Q64="Asset-specific normative"),OR(O64&lt;&gt;"Manufacturer / supplier",AR64="",R64=""))),"PENDING",IF(COUNTIF(S64:W64,"LOW")&gt;0,"EXCLUDE",IF(COUNTIF(S64:W64,"MEDIUM")&gt;0,"PENDING",IF(COUNTIF(S64:W64,"HIGH")=5,"INCLUDE","PENDING")))))</x:f>
        <x:v>PENDING</x:v>
      </x:c>
      <x:c r="Z64" t="str">
        <x:v>NOT_RUN</x:v>
      </x:c>
      <x:c r="AA64" s="128"/>
      <x:c r="AB64" s="128"/>
      <x:c r="AC64" s="128" t="str">
        <x:v>UNKNOWN</x:v>
      </x:c>
      <x:c r="AD64" s="128" t="str">
        <x:v>NONE</x:v>
      </x:c>
      <x:c r="AE64" s="128" t="str">
        <x:f>IF(A64="","",IF(AD64="AUTO",AB64,IF(AD64="MANUAL",AF64,"")))</x:f>
      </x:c>
      <x:c r="AF64" s="9"/>
      <x:c r="AG64" t="str"/>
      <x:c r="AH64" t="str">
        <x:v>NONE</x:v>
      </x:c>
      <x:c r="AI64" s="42" t="str"/>
      <x:c r="AJ64" t="str">
        <x:f>IF(A64="","",IF(OR(Z64="FAIL",AND(AQ64="ROLLING",AC64="CHANGED")),IF(AND(AF64&lt;&gt;"",AF64&gt;=INT(AA64)),"NO","YES"),"NO"))</x:f>
        <x:v>NO</x:v>
      </x:c>
      <x:c r="AK64" t="str"/>
      <x:c r="AL64" t="str">
        <x:v>CURRENT</x:v>
      </x:c>
      <x:c r="AM64" t="str">
        <x:v>PA044</x:v>
      </x:c>
      <x:c r="AN64" s="42" t="str">
        <x:v>Official expansion from environmental authority guidance. Licensed access is required.</x:v>
      </x:c>
      <x:c r="AO64" t="str">
        <x:v>OFFICIAL_WEBSITE</x:v>
      </x:c>
      <x:c r="AP64" t="str">
        <x:v>OFFICIAL_ORIGINAL</x:v>
      </x:c>
      <x:c r="AQ64" t="str">
        <x:v>VERSIONED</x:v>
      </x:c>
      <x:c r="AR64" s="42" t="str"/>
    </x:row>
    <x:row r="65" ht="42" customHeight="1">
      <x:c r="A65" t="str">
        <x:v>SB003</x:v>
      </x:c>
      <x:c r="B65" t="str">
        <x:v>SB003-001</x:v>
      </x:c>
      <x:c r="C65" s="42" t="str">
        <x:v>NS 9416:2013 Land-based aquaculture facilities for fish</x:v>
      </x:c>
      <x:c r="D65" s="129" t="str">
        <x:v>https://online.standard.no/nb/ns-9416-2013</x:v>
      </x:c>
      <x:c r="E65" s="129" t="str"/>
      <x:c r="F65" t="str">
        <x:v>B_Standards_Body</x:v>
      </x:c>
      <x:c r="G65" t="str">
        <x:v>pdf</x:v>
      </x:c>
      <x:c r="H65" t="str">
        <x:v>SB003-001_NS_9416_2013_Land-based_aquaculture_facilities_for_fish.pdf</x:v>
      </x:c>
      <x:c r="I65" t="str">
        <x:v>NOT_COLLECTED</x:v>
      </x:c>
      <x:c r="J65" t="str">
        <x:v>Standards Norway</x:v>
      </x:c>
      <x:c r="K65" t="str">
        <x:v>Norway</x:v>
      </x:c>
      <x:c r="L65" t="str">
        <x:v>Norwegian</x:v>
      </x:c>
      <x:c r="M65" t="str">
        <x:v>2013</x:v>
      </x:c>
      <x:c r="N65" s="9"/>
      <x:c r="O65" t="str">
        <x:v>Standards body</x:v>
      </x:c>
      <x:c r="P65" t="str">
        <x:v>Technical standard</x:v>
      </x:c>
      <x:c r="Q65" t="str">
        <x:v>Referenced normative</x:v>
      </x:c>
      <x:c r="R65" s="42" t="str">
        <x:v>Official referenced source from Standards Norway; included because an applicable law, permit or certification scheme may make its provisions binding within the approved scope.</x:v>
      </x:c>
      <x:c r="S65" t="str">
        <x:v>HIGH</x:v>
      </x:c>
      <x:c r="T65" t="str">
        <x:v>MEDIUM</x:v>
      </x:c>
      <x:c r="U65" t="str">
        <x:v>MEDIUM</x:v>
      </x:c>
      <x:c r="V65" t="str">
        <x:v>HIGH</x:v>
      </x:c>
      <x:c r="W65" t="str">
        <x:v>MEDIUM</x:v>
      </x:c>
      <x:c r="X65" t="str">
        <x:v>LOW</x:v>
      </x:c>
      <x:c r="Y65" t="str">
        <x:f>IF(A65="","",IF(OR(J65="",AO65="",AP65="",AP65="UNVERIFIED",AND(AO65="OFFICIAL_WEBSITE",D65=""),AND(OR(P65="Equipment manual / OEM instruction",Q65="Asset-specific normative"),OR(O65&lt;&gt;"Manufacturer / supplier",AR65="",R65=""))),"PENDING",IF(COUNTIF(S65:W65,"LOW")&gt;0,"EXCLUDE",IF(COUNTIF(S65:W65,"MEDIUM")&gt;0,"PENDING",IF(COUNTIF(S65:W65,"HIGH")=5,"INCLUDE","PENDING")))))</x:f>
        <x:v>PENDING</x:v>
      </x:c>
      <x:c r="Z65" t="str">
        <x:v>NOT_RUN</x:v>
      </x:c>
      <x:c r="AA65" s="128"/>
      <x:c r="AB65" s="128"/>
      <x:c r="AC65" s="128" t="str">
        <x:v>UNKNOWN</x:v>
      </x:c>
      <x:c r="AD65" s="128" t="str">
        <x:v>NONE</x:v>
      </x:c>
      <x:c r="AE65" s="128" t="str">
        <x:f>IF(A65="","",IF(AD65="AUTO",AB65,IF(AD65="MANUAL",AF65,"")))</x:f>
      </x:c>
      <x:c r="AF65" s="9"/>
      <x:c r="AG65" t="str"/>
      <x:c r="AH65" t="str">
        <x:v>NONE</x:v>
      </x:c>
      <x:c r="AI65" s="42" t="str"/>
      <x:c r="AJ65" t="str">
        <x:f>IF(A65="","",IF(OR(Z65="FAIL",AND(AQ65="ROLLING",AC65="CHANGED")),IF(AND(AF65&lt;&gt;"",AF65&gt;=INT(AA65)),"NO","YES"),"NO"))</x:f>
        <x:v>NO</x:v>
      </x:c>
      <x:c r="AK65" t="str"/>
      <x:c r="AL65" t="str">
        <x:v>CURRENT</x:v>
      </x:c>
      <x:c r="AM65" t="str">
        <x:v>PA022</x:v>
      </x:c>
      <x:c r="AN65" s="42" t="str">
        <x:v>Referenced by PA022. A revision project is active, so currency requires explicit monitoring.</x:v>
      </x:c>
      <x:c r="AO65" t="str">
        <x:v>OFFICIAL_WEBSITE</x:v>
      </x:c>
      <x:c r="AP65" t="str">
        <x:v>OFFICIAL_ORIGINAL</x:v>
      </x:c>
      <x:c r="AQ65" t="str">
        <x:v>VERSIONED</x:v>
      </x:c>
      <x:c r="AR65" s="42" t="str"/>
    </x:row>
    <x:row r="66" ht="42" customHeight="1">
      <x:c r="A66" t="str">
        <x:v>SB004</x:v>
      </x:c>
      <x:c r="B66" t="str">
        <x:v>SB004-001</x:v>
      </x:c>
      <x:c r="C66" s="42" t="str">
        <x:v>NS 5814:2021+AC:2023 Requirements for risk assessments</x:v>
      </x:c>
      <x:c r="D66" s="129" t="str">
        <x:v>https://standard.no/fagomrader/risikostyring/ns-5814-krav-til-risikovurderinger/</x:v>
      </x:c>
      <x:c r="E66" s="129" t="str"/>
      <x:c r="F66" t="str">
        <x:v>B_Standards_Body</x:v>
      </x:c>
      <x:c r="G66" t="str">
        <x:v>pdf</x:v>
      </x:c>
      <x:c r="H66" t="str">
        <x:v>SB004-001_NS_5814_2021_AC_2023_Requirements_for_risk_assessments.pdf</x:v>
      </x:c>
      <x:c r="I66" t="str">
        <x:v>NOT_COLLECTED</x:v>
      </x:c>
      <x:c r="J66" t="str">
        <x:v>Standards Norway</x:v>
      </x:c>
      <x:c r="K66" t="str">
        <x:v>Norway</x:v>
      </x:c>
      <x:c r="L66" t="str">
        <x:v>Norwegian</x:v>
      </x:c>
      <x:c r="M66" t="str">
        <x:v>2021+AC:2023</x:v>
      </x:c>
      <x:c r="N66" s="9"/>
      <x:c r="O66" t="str">
        <x:v>Standards body</x:v>
      </x:c>
      <x:c r="P66" t="str">
        <x:v>Technical standard</x:v>
      </x:c>
      <x:c r="Q66" t="str">
        <x:v>Guidance / interpretation</x:v>
      </x:c>
      <x:c r="R66" s="42" t="str">
        <x:v>Official guidance from Standards Norway; included to interpret and operationalise linked normative requirements, not as independent legal or certification authority.</x:v>
      </x:c>
      <x:c r="S66" t="str">
        <x:v>HIGH</x:v>
      </x:c>
      <x:c r="T66" t="str">
        <x:v>MEDIUM</x:v>
      </x:c>
      <x:c r="U66" t="str">
        <x:v>HIGH</x:v>
      </x:c>
      <x:c r="V66" t="str">
        <x:v>HIGH</x:v>
      </x:c>
      <x:c r="W66" t="str">
        <x:v>MEDIUM</x:v>
      </x:c>
      <x:c r="X66" t="str">
        <x:v>LOW</x:v>
      </x:c>
      <x:c r="Y66" t="str">
        <x:f>IF(A66="","",IF(OR(J66="",AO66="",AP66="",AP66="UNVERIFIED",AND(AO66="OFFICIAL_WEBSITE",D66=""),AND(OR(P66="Equipment manual / OEM instruction",Q66="Asset-specific normative"),OR(O66&lt;&gt;"Manufacturer / supplier",AR66="",R66=""))),"PENDING",IF(COUNTIF(S66:W66,"LOW")&gt;0,"EXCLUDE",IF(COUNTIF(S66:W66,"MEDIUM")&gt;0,"PENDING",IF(COUNTIF(S66:W66,"HIGH")=5,"INCLUDE","PENDING")))))</x:f>
        <x:v>PENDING</x:v>
      </x:c>
      <x:c r="Z66" t="str">
        <x:v>NOT_RUN</x:v>
      </x:c>
      <x:c r="AA66" s="128"/>
      <x:c r="AB66" s="128"/>
      <x:c r="AC66" s="128" t="str">
        <x:v>UNKNOWN</x:v>
      </x:c>
      <x:c r="AD66" s="128" t="str">
        <x:v>NONE</x:v>
      </x:c>
      <x:c r="AE66" s="128" t="str">
        <x:f>IF(A66="","",IF(AD66="AUTO",AB66,IF(AD66="MANUAL",AF66,"")))</x:f>
      </x:c>
      <x:c r="AF66" s="9"/>
      <x:c r="AG66" t="str"/>
      <x:c r="AH66" t="str">
        <x:v>NONE</x:v>
      </x:c>
      <x:c r="AI66" s="42" t="str"/>
      <x:c r="AJ66" t="str">
        <x:f>IF(A66="","",IF(OR(Z66="FAIL",AND(AQ66="ROLLING",AC66="CHANGED")),IF(AND(AF66&lt;&gt;"",AF66&gt;=INT(AA66)),"NO","YES"),"NO"))</x:f>
        <x:v>NO</x:v>
      </x:c>
      <x:c r="AK66" t="str"/>
      <x:c r="AL66" t="str">
        <x:v>CURRENT</x:v>
      </x:c>
      <x:c r="AM66" t="str"/>
      <x:c r="AN66" s="42" t="str">
        <x:v>Official expansion from Fiskeridirektoratet risk-management guidance. Include only if adopted by contract, policy or method.</x:v>
      </x:c>
      <x:c r="AO66" t="str">
        <x:v>OFFICIAL_WEBSITE</x:v>
      </x:c>
      <x:c r="AP66" t="str">
        <x:v>OFFICIAL_ORIGINAL</x:v>
      </x:c>
      <x:c r="AQ66" t="str">
        <x:v>VERSIONED</x:v>
      </x:c>
      <x:c r="AR66" s="42" t="str"/>
    </x:row>
    <x:row r="67" ht="42" customHeight="1">
      <x:c r="A67" t="str">
        <x:v>SB005</x:v>
      </x:c>
      <x:c r="B67" t="str">
        <x:v>SB005-001</x:v>
      </x:c>
      <x:c r="C67" s="42" t="str">
        <x:v>NS-ISO 31000:2018 Risk management - Guidelines</x:v>
      </x:c>
      <x:c r="D67" s="129" t="str">
        <x:v>https://standard.no/fagomrader/risikostyring/iso-31000-risikostyring--retningslinjer/</x:v>
      </x:c>
      <x:c r="E67" s="129" t="str"/>
      <x:c r="F67" t="str">
        <x:v>B_Standards_Body</x:v>
      </x:c>
      <x:c r="G67" t="str">
        <x:v>pdf</x:v>
      </x:c>
      <x:c r="H67" t="str">
        <x:v>SB005-001_NS-ISO_31000_2018_Risk_management_-_Guidelines.pdf</x:v>
      </x:c>
      <x:c r="I67" t="str">
        <x:v>NOT_COLLECTED</x:v>
      </x:c>
      <x:c r="J67" t="str">
        <x:v>Standards Norway / ISO</x:v>
      </x:c>
      <x:c r="K67" t="str">
        <x:v>International</x:v>
      </x:c>
      <x:c r="L67" t="str">
        <x:v>Norwegian</x:v>
      </x:c>
      <x:c r="M67" t="str">
        <x:v>2018</x:v>
      </x:c>
      <x:c r="N67" s="9"/>
      <x:c r="O67" t="str">
        <x:v>Standards body</x:v>
      </x:c>
      <x:c r="P67" t="str">
        <x:v>Technical standard</x:v>
      </x:c>
      <x:c r="Q67" t="str">
        <x:v>Guidance / interpretation</x:v>
      </x:c>
      <x:c r="R67" s="42" t="str">
        <x:v>Official guidance from Standards Norway / ISO; included to interpret and operationalise linked normative requirements, not as independent legal or certification authority.</x:v>
      </x:c>
      <x:c r="S67" t="str">
        <x:v>HIGH</x:v>
      </x:c>
      <x:c r="T67" t="str">
        <x:v>MEDIUM</x:v>
      </x:c>
      <x:c r="U67" t="str">
        <x:v>HIGH</x:v>
      </x:c>
      <x:c r="V67" t="str">
        <x:v>HIGH</x:v>
      </x:c>
      <x:c r="W67" t="str">
        <x:v>MEDIUM</x:v>
      </x:c>
      <x:c r="X67" t="str">
        <x:v>LOW</x:v>
      </x:c>
      <x:c r="Y67" t="str">
        <x:f>IF(A67="","",IF(OR(J67="",AO67="",AP67="",AP67="UNVERIFIED",AND(AO67="OFFICIAL_WEBSITE",D67=""),AND(OR(P67="Equipment manual / OEM instruction",Q67="Asset-specific normative"),OR(O67&lt;&gt;"Manufacturer / supplier",AR67="",R67=""))),"PENDING",IF(COUNTIF(S67:W67,"LOW")&gt;0,"EXCLUDE",IF(COUNTIF(S67:W67,"MEDIUM")&gt;0,"PENDING",IF(COUNTIF(S67:W67,"HIGH")=5,"INCLUDE","PENDING")))))</x:f>
        <x:v>PENDING</x:v>
      </x:c>
      <x:c r="Z67" t="str">
        <x:v>NOT_RUN</x:v>
      </x:c>
      <x:c r="AA67" s="128"/>
      <x:c r="AB67" s="128"/>
      <x:c r="AC67" s="128" t="str">
        <x:v>UNKNOWN</x:v>
      </x:c>
      <x:c r="AD67" s="128" t="str">
        <x:v>NONE</x:v>
      </x:c>
      <x:c r="AE67" s="128" t="str">
        <x:f>IF(A67="","",IF(AD67="AUTO",AB67,IF(AD67="MANUAL",AF67,"")))</x:f>
      </x:c>
      <x:c r="AF67" s="9"/>
      <x:c r="AG67" t="str"/>
      <x:c r="AH67" t="str">
        <x:v>NONE</x:v>
      </x:c>
      <x:c r="AI67" s="42" t="str"/>
      <x:c r="AJ67" t="str">
        <x:f>IF(A67="","",IF(OR(Z67="FAIL",AND(AQ67="ROLLING",AC67="CHANGED")),IF(AND(AF67&lt;&gt;"",AF67&gt;=INT(AA67)),"NO","YES"),"NO"))</x:f>
        <x:v>NO</x:v>
      </x:c>
      <x:c r="AK67" t="str"/>
      <x:c r="AL67" t="str">
        <x:v>CURRENT</x:v>
      </x:c>
      <x:c r="AM67" t="str"/>
      <x:c r="AN67" s="42" t="str">
        <x:v>Official expansion. Provides guidance rather than certifiable requirements unless contractually adopted.</x:v>
      </x:c>
      <x:c r="AO67" t="str">
        <x:v>OFFICIAL_WEBSITE</x:v>
      </x:c>
      <x:c r="AP67" t="str">
        <x:v>OFFICIAL_ORIGINAL</x:v>
      </x:c>
      <x:c r="AQ67" t="str">
        <x:v>VERSIONED</x:v>
      </x:c>
      <x:c r="AR67" s="42" t="str"/>
    </x:row>
    <x:row r="68" ht="42" customHeight="1">
      <x:c r="A68" t="str">
        <x:v>SB006</x:v>
      </x:c>
      <x:c r="B68" t="str">
        <x:v>SB006-001</x:v>
      </x:c>
      <x:c r="C68" s="42" t="str">
        <x:v>NS-EN ISO 9001:2015 Quality management systems - Requirements</x:v>
      </x:c>
      <x:c r="D68" s="129" t="str">
        <x:v>https://standard.no/fagomrader/kvalitetsstyring---iso-9000/ledelsessystemer-for-kvalitet--iso-9001/</x:v>
      </x:c>
      <x:c r="E68" s="129" t="str"/>
      <x:c r="F68" t="str">
        <x:v>B_Standards_Body</x:v>
      </x:c>
      <x:c r="G68" t="str">
        <x:v>pdf</x:v>
      </x:c>
      <x:c r="H68" t="str">
        <x:v>SB006-001_NS-EN_ISO_9001_2015_Quality_management_systems_-_Requirements.pdf</x:v>
      </x:c>
      <x:c r="I68" t="str">
        <x:v>NOT_COLLECTED</x:v>
      </x:c>
      <x:c r="J68" t="str">
        <x:v>Standards Norway / ISO</x:v>
      </x:c>
      <x:c r="K68" t="str">
        <x:v>International</x:v>
      </x:c>
      <x:c r="L68" t="str">
        <x:v>Norwegian</x:v>
      </x:c>
      <x:c r="M68" t="str">
        <x:v>2015</x:v>
      </x:c>
      <x:c r="N68" s="9"/>
      <x:c r="O68" t="str">
        <x:v>Standards body</x:v>
      </x:c>
      <x:c r="P68" t="str">
        <x:v>Technical standard</x:v>
      </x:c>
      <x:c r="Q68" t="str">
        <x:v>Referenced normative</x:v>
      </x:c>
      <x:c r="R68" s="42" t="str">
        <x:v>Official referenced source from Standards Norway / ISO; included because an applicable law, permit or certification scheme may make its provisions binding within the approved scope.</x:v>
      </x:c>
      <x:c r="S68" t="str">
        <x:v>HIGH</x:v>
      </x:c>
      <x:c r="T68" t="str">
        <x:v>MEDIUM</x:v>
      </x:c>
      <x:c r="U68" t="str">
        <x:v>HIGH</x:v>
      </x:c>
      <x:c r="V68" t="str">
        <x:v>HIGH</x:v>
      </x:c>
      <x:c r="W68" t="str">
        <x:v>MEDIUM</x:v>
      </x:c>
      <x:c r="X68" t="str">
        <x:v>LOW</x:v>
      </x:c>
      <x:c r="Y68" t="str">
        <x:f>IF(A68="","",IF(OR(J68="",AO68="",AP68="",AP68="UNVERIFIED",AND(AO68="OFFICIAL_WEBSITE",D68=""),AND(OR(P68="Equipment manual / OEM instruction",Q68="Asset-specific normative"),OR(O68&lt;&gt;"Manufacturer / supplier",AR68="",R68=""))),"PENDING",IF(COUNTIF(S68:W68,"LOW")&gt;0,"EXCLUDE",IF(COUNTIF(S68:W68,"MEDIUM")&gt;0,"PENDING",IF(COUNTIF(S68:W68,"HIGH")=5,"INCLUDE","PENDING")))))</x:f>
        <x:v>PENDING</x:v>
      </x:c>
      <x:c r="Z68" t="str">
        <x:v>NOT_RUN</x:v>
      </x:c>
      <x:c r="AA68" s="128"/>
      <x:c r="AB68" s="128"/>
      <x:c r="AC68" s="128" t="str">
        <x:v>UNKNOWN</x:v>
      </x:c>
      <x:c r="AD68" s="128" t="str">
        <x:v>NONE</x:v>
      </x:c>
      <x:c r="AE68" s="128" t="str">
        <x:f>IF(A68="","",IF(AD68="AUTO",AB68,IF(AD68="MANUAL",AF68,"")))</x:f>
      </x:c>
      <x:c r="AF68" s="9"/>
      <x:c r="AG68" t="str"/>
      <x:c r="AH68" t="str">
        <x:v>NONE</x:v>
      </x:c>
      <x:c r="AI68" s="42" t="str"/>
      <x:c r="AJ68" t="str">
        <x:f>IF(A68="","",IF(OR(Z68="FAIL",AND(AQ68="ROLLING",AC68="CHANGED")),IF(AND(AF68&lt;&gt;"",AF68&gt;=INT(AA68)),"NO","YES"),"NO"))</x:f>
        <x:v>NO</x:v>
      </x:c>
      <x:c r="AK68" t="str"/>
      <x:c r="AL68" t="str">
        <x:v>CURRENT</x:v>
      </x:c>
      <x:c r="AM68" t="str"/>
      <x:c r="AN68" s="42" t="str">
        <x:v>Official expansion from Fiskeridirektoratet risk-management guidance. Include only if client certification or contract makes it applicable.</x:v>
      </x:c>
      <x:c r="AO68" t="str">
        <x:v>OFFICIAL_WEBSITE</x:v>
      </x:c>
      <x:c r="AP68" t="str">
        <x:v>OFFICIAL_ORIGINAL</x:v>
      </x:c>
      <x:c r="AQ68" t="str">
        <x:v>VERSIONED</x:v>
      </x:c>
      <x:c r="AR68" s="42" t="str"/>
    </x:row>
    <x:row r="69" ht="42" customHeight="1">
      <x:c r="A69" t="str">
        <x:v>SB007</x:v>
      </x:c>
      <x:c r="B69" t="str">
        <x:v>SB007-001</x:v>
      </x:c>
      <x:c r="C69" s="42" t="str">
        <x:v>NS 3424:2012 Condition survey of construction works - Content and execution</x:v>
      </x:c>
      <x:c r="D69" s="129" t="str">
        <x:v>https://online.standard.no/nb/ns-3424-2012</x:v>
      </x:c>
      <x:c r="E69" s="129" t="str"/>
      <x:c r="F69" t="str">
        <x:v>B_Standards_Body</x:v>
      </x:c>
      <x:c r="G69" t="str">
        <x:v>pdf</x:v>
      </x:c>
      <x:c r="H69" t="str">
        <x:v>SB007-001_NS_3424_2012_Condition_survey_of_construction_works_-_Content_and_execution.pdf</x:v>
      </x:c>
      <x:c r="I69" t="str">
        <x:v>NOT_COLLECTED</x:v>
      </x:c>
      <x:c r="J69" t="str">
        <x:v>Standards Norway</x:v>
      </x:c>
      <x:c r="K69" t="str">
        <x:v>Norway</x:v>
      </x:c>
      <x:c r="L69" t="str">
        <x:v>Norwegian</x:v>
      </x:c>
      <x:c r="M69" t="str">
        <x:v>2012</x:v>
      </x:c>
      <x:c r="N69" s="9"/>
      <x:c r="O69" t="str">
        <x:v>Standards body</x:v>
      </x:c>
      <x:c r="P69" t="str">
        <x:v>Technical standard</x:v>
      </x:c>
      <x:c r="Q69" t="str">
        <x:v>Referenced normative</x:v>
      </x:c>
      <x:c r="R69" s="42" t="str">
        <x:v>Official referenced source from Standards Norway; included because an applicable law, permit or certification scheme may make its provisions binding within the approved scope.</x:v>
      </x:c>
      <x:c r="S69" t="str">
        <x:v>HIGH</x:v>
      </x:c>
      <x:c r="T69" t="str">
        <x:v>MEDIUM</x:v>
      </x:c>
      <x:c r="U69" t="str">
        <x:v>HIGH</x:v>
      </x:c>
      <x:c r="V69" t="str">
        <x:v>HIGH</x:v>
      </x:c>
      <x:c r="W69" t="str">
        <x:v>MEDIUM</x:v>
      </x:c>
      <x:c r="X69" t="str">
        <x:v>LOW</x:v>
      </x:c>
      <x:c r="Y69" t="str">
        <x:f>IF(A69="","",IF(OR(J69="",AO69="",AP69="",AP69="UNVERIFIED",AND(AO69="OFFICIAL_WEBSITE",D69=""),AND(OR(P69="Equipment manual / OEM instruction",Q69="Asset-specific normative"),OR(O69&lt;&gt;"Manufacturer / supplier",AR69="",R69=""))),"PENDING",IF(COUNTIF(S69:W69,"LOW")&gt;0,"EXCLUDE",IF(COUNTIF(S69:W69,"MEDIUM")&gt;0,"PENDING",IF(COUNTIF(S69:W69,"HIGH")=5,"INCLUDE","PENDING")))))</x:f>
        <x:v>PENDING</x:v>
      </x:c>
      <x:c r="Z69" t="str">
        <x:v>NOT_RUN</x:v>
      </x:c>
      <x:c r="AA69" s="128"/>
      <x:c r="AB69" s="128"/>
      <x:c r="AC69" s="128" t="str">
        <x:v>UNKNOWN</x:v>
      </x:c>
      <x:c r="AD69" s="128" t="str">
        <x:v>NONE</x:v>
      </x:c>
      <x:c r="AE69" s="128" t="str">
        <x:f>IF(A69="","",IF(AD69="AUTO",AB69,IF(AD69="MANUAL",AF69,"")))</x:f>
      </x:c>
      <x:c r="AF69" s="9"/>
      <x:c r="AG69" t="str"/>
      <x:c r="AH69" t="str">
        <x:v>NONE</x:v>
      </x:c>
      <x:c r="AI69" s="42" t="str"/>
      <x:c r="AJ69" t="str">
        <x:f>IF(A69="","",IF(OR(Z69="FAIL",AND(AQ69="ROLLING",AC69="CHANGED")),IF(AND(AF69&lt;&gt;"",AF69&gt;=INT(AA69)),"NO","YES"),"NO"))</x:f>
        <x:v>NO</x:v>
      </x:c>
      <x:c r="AK69" t="str"/>
      <x:c r="AL69" t="str">
        <x:v>CURRENT</x:v>
      </x:c>
      <x:c r="AM69" t="str">
        <x:v>PA022</x:v>
      </x:c>
      <x:c r="AN69" s="42" t="str">
        <x:v>Directly referenced by PA057 for condition assessment of land-based facilities. Licensed access is required.</x:v>
      </x:c>
      <x:c r="AO69" t="str">
        <x:v>OFFICIAL_WEBSITE</x:v>
      </x:c>
      <x:c r="AP69" t="str">
        <x:v>OFFICIAL_ORIGINAL</x:v>
      </x:c>
      <x:c r="AQ69" t="str">
        <x:v>VERSIONED</x:v>
      </x:c>
      <x:c r="AR69" s="42" t="str"/>
    </x:row>
    <x:row r="70" ht="42" customHeight="1">
      <x:c r="A70" t="str">
        <x:v>CS001</x:v>
      </x:c>
      <x:c r="B70" t="str">
        <x:v>CS001-001</x:v>
      </x:c>
      <x:c r="C70" s="42" t="str">
        <x:v>ASC Farm Standard</x:v>
      </x:c>
      <x:c r="D70" s="129" t="str">
        <x:v>https://programme-centre.asc-aqua.org/farm-v1/farm-standard/</x:v>
      </x:c>
      <x:c r="E70" s="129" t="str">
        <x:v>https://programme-centre.asc-aqua.org/farm-v1/farm-standard/</x:v>
      </x:c>
      <x:c r="F70" t="str">
        <x:v>C_Certification_Scheme</x:v>
      </x:c>
      <x:c r="G70" t="str">
        <x:v>html</x:v>
      </x:c>
      <x:c r="H70" t="str">
        <x:v>CS001-001_ASC_Farm_Standard.html</x:v>
      </x:c>
      <x:c r="I70" t="str">
        <x:v>STORED</x:v>
      </x:c>
      <x:c r="J70" t="str">
        <x:v>Aquaculture Stewardship Council</x:v>
      </x:c>
      <x:c r="K70" t="str">
        <x:v>International</x:v>
      </x:c>
      <x:c r="L70" t="str">
        <x:v>English</x:v>
      </x:c>
      <x:c r="M70" t="str">
        <x:v>1.0.1A2</x:v>
      </x:c>
      <x:c r="N70" s="9" t="n">
        <x:v>46239</x:v>
      </x:c>
      <x:c r="O70" t="str">
        <x:v>Certification scheme</x:v>
      </x:c>
      <x:c r="P70" t="str">
        <x:v>Scheme standard</x:v>
      </x:c>
      <x:c r="Q70" t="str">
        <x:v>Primary normative</x:v>
      </x:c>
      <x:c r="R70" s="42" t="str">
        <x:v>Official scheme standard issued by Aquaculture Stewardship Council; included because it may impose binding requirements on an in-scope aquaculture asset, activity, permit or certification.</x:v>
      </x:c>
      <x:c r="S70" t="str">
        <x:v>HIGH</x:v>
      </x:c>
      <x:c r="T70" t="str">
        <x:v>HIGH</x:v>
      </x:c>
      <x:c r="U70" t="str">
        <x:v>HIGH</x:v>
      </x:c>
      <x:c r="V70" t="str">
        <x:v>HIGH</x:v>
      </x:c>
      <x:c r="W70" t="str">
        <x:v>HIGH</x:v>
      </x:c>
      <x:c r="X70" t="str">
        <x:v>HIGH</x:v>
      </x:c>
      <x:c r="Y70" t="str">
        <x:f>IF(A70="","",IF(OR(J70="",AO70="",AP70="",AP70="UNVERIFIED",AND(AO70="OFFICIAL_WEBSITE",D70=""),AND(OR(P70="Equipment manual / OEM instruction",Q70="Asset-specific normative"),OR(O70&lt;&gt;"Manufacturer / supplier",AR70="",R70=""))),"PENDING",IF(COUNTIF(S70:W70,"LOW")&gt;0,"EXCLUDE",IF(COUNTIF(S70:W70,"MEDIUM")&gt;0,"PENDING",IF(COUNTIF(S70:W70,"HIGH")=5,"INCLUDE","PENDING")))))</x:f>
        <x:v>INCLUDE</x:v>
      </x:c>
      <x:c r="Z70" t="str">
        <x:v>SUCCESS</x:v>
      </x:c>
      <x:c r="AA70" s="128" t="n">
        <x:v>46262.53111111111</x:v>
      </x:c>
      <x:c r="AB70" s="128" t="n">
        <x:v>46262.53112268518</x:v>
      </x:c>
      <x:c r="AC70" s="128" t="str">
        <x:v>INITIAL</x:v>
      </x:c>
      <x:c r="AD70" s="128" t="str">
        <x:v>AUTO</x:v>
      </x:c>
      <x:c r="AE70" s="128" t="n">
        <x:f>IF(A70="","",IF(AD70="AUTO",AB70,IF(AD70="MANUAL",AF70,"")))</x:f>
        <x:v>46262.53112268518</x:v>
      </x:c>
      <x:c r="AF70" s="9"/>
      <x:c r="AG70" t="str"/>
      <x:c r="AH70" t="str">
        <x:v>NONE</x:v>
      </x:c>
      <x:c r="AI70" s="42" t="str"/>
      <x:c r="AJ70" t="str">
        <x:f>IF(A70="","",IF(OR(Z70="FAIL",AND(AQ70="ROLLING",AC70="CHANGED")),IF(AND(AF70&lt;&gt;"",AF70&gt;=INT(AA70)),"NO","YES"),"NO"))</x:f>
        <x:v>NO</x:v>
      </x:c>
      <x:c r="AK70" t="str">
        <x:v>a40846bb23436f8ab6c5971f8a33577660eaed1059861ee01cdb2ca3f60c062b</x:v>
      </x:c>
      <x:c r="AL70" t="str">
        <x:v>CURRENT</x:v>
      </x:c>
      <x:c r="AM70" t="str"/>
      <x:c r="AN70" s="42" t="str">
        <x:v>Project-mentioned candidate. Official source is newer than the repository PDF; certification scope still requires confirmation.</x:v>
      </x:c>
      <x:c r="AO70" t="str">
        <x:v>OFFICIAL_WEBSITE</x:v>
      </x:c>
      <x:c r="AP70" t="str">
        <x:v>OFFICIAL_ORIGINAL</x:v>
      </x:c>
      <x:c r="AQ70" t="str">
        <x:v>VERSIONED</x:v>
      </x:c>
      <x:c r="AR70" s="42" t="str"/>
    </x:row>
    <x:row r="71" ht="42" customHeight="1">
      <x:c r="A71" t="str">
        <x:v>CS002</x:v>
      </x:c>
      <x:c r="B71" t="str">
        <x:v>CS002-001</x:v>
      </x:c>
      <x:c r="C71" s="42" t="str">
        <x:v>ASC Farm Standard Interpretation Manual</x:v>
      </x:c>
      <x:c r="D71" s="129" t="str">
        <x:v>https://programme-centre.asc-aqua.org/farm-v1/farm-interpretation/</x:v>
      </x:c>
      <x:c r="E71" s="129" t="str">
        <x:v>https://programme-centre.asc-aqua.org/farm-v1/farm-interpretation/</x:v>
      </x:c>
      <x:c r="F71" t="str">
        <x:v>C_Certification_Scheme</x:v>
      </x:c>
      <x:c r="G71" t="str">
        <x:v>html</x:v>
      </x:c>
      <x:c r="H71" t="str">
        <x:v>CS002-001_ASC_Farm_Standard_Interpretation_Manual.html</x:v>
      </x:c>
      <x:c r="I71" t="str">
        <x:v>STORED</x:v>
      </x:c>
      <x:c r="J71" t="str">
        <x:v>Aquaculture Stewardship Council</x:v>
      </x:c>
      <x:c r="K71" t="str">
        <x:v>International</x:v>
      </x:c>
      <x:c r="L71" t="str">
        <x:v>English</x:v>
      </x:c>
      <x:c r="M71" t="str">
        <x:v>1.0.1</x:v>
      </x:c>
      <x:c r="N71" s="9" t="n">
        <x:v>45901</x:v>
      </x:c>
      <x:c r="O71" t="str">
        <x:v>Certification scheme</x:v>
      </x:c>
      <x:c r="P71" t="str">
        <x:v>Interpretation document</x:v>
      </x:c>
      <x:c r="Q71" t="str">
        <x:v>Guidance / interpretation</x:v>
      </x:c>
      <x:c r="R71" s="42" t="str">
        <x:v>Official guidance from Aquaculture Stewardship Council; included to interpret and operationalise linked normative requirements, not as independent legal or certification authority.</x:v>
      </x:c>
      <x:c r="S71" t="str">
        <x:v>HIGH</x:v>
      </x:c>
      <x:c r="T71" t="str">
        <x:v>HIGH</x:v>
      </x:c>
      <x:c r="U71" t="str">
        <x:v>HIGH</x:v>
      </x:c>
      <x:c r="V71" t="str">
        <x:v>HIGH</x:v>
      </x:c>
      <x:c r="W71" t="str">
        <x:v>HIGH</x:v>
      </x:c>
      <x:c r="X71" t="str">
        <x:v>HIGH</x:v>
      </x:c>
      <x:c r="Y71" t="str">
        <x:f>IF(A71="","",IF(OR(J71="",AO71="",AP71="",AP71="UNVERIFIED",AND(AO71="OFFICIAL_WEBSITE",D71=""),AND(OR(P71="Equipment manual / OEM instruction",Q71="Asset-specific normative"),OR(O71&lt;&gt;"Manufacturer / supplier",AR71="",R71=""))),"PENDING",IF(COUNTIF(S71:W71,"LOW")&gt;0,"EXCLUDE",IF(COUNTIF(S71:W71,"MEDIUM")&gt;0,"PENDING",IF(COUNTIF(S71:W71,"HIGH")=5,"INCLUDE","PENDING")))))</x:f>
        <x:v>INCLUDE</x:v>
      </x:c>
      <x:c r="Z71" t="str">
        <x:v>SUCCESS</x:v>
      </x:c>
      <x:c r="AA71" s="128" t="n">
        <x:v>46262.53112268518</x:v>
      </x:c>
      <x:c r="AB71" s="128" t="n">
        <x:v>46262.53113425926</x:v>
      </x:c>
      <x:c r="AC71" s="128" t="str">
        <x:v>INITIAL</x:v>
      </x:c>
      <x:c r="AD71" s="128" t="str">
        <x:v>AUTO</x:v>
      </x:c>
      <x:c r="AE71" s="128" t="n">
        <x:f>IF(A71="","",IF(AD71="AUTO",AB71,IF(AD71="MANUAL",AF71,"")))</x:f>
        <x:v>46262.53113425926</x:v>
      </x:c>
      <x:c r="AF71" s="9"/>
      <x:c r="AG71" t="str"/>
      <x:c r="AH71" t="str">
        <x:v>NONE</x:v>
      </x:c>
      <x:c r="AI71" s="42" t="str"/>
      <x:c r="AJ71" t="str">
        <x:f>IF(A71="","",IF(OR(Z71="FAIL",AND(AQ71="ROLLING",AC71="CHANGED")),IF(AND(AF71&lt;&gt;"",AF71&gt;=INT(AA71)),"NO","YES"),"NO"))</x:f>
        <x:v>NO</x:v>
      </x:c>
      <x:c r="AK71" t="str">
        <x:v>44da418c7669b1b9162a153aa76389722f9d0e6415864d2618b5d381e82232ea</x:v>
      </x:c>
      <x:c r="AL71" t="str">
        <x:v>CURRENT</x:v>
      </x:c>
      <x:c r="AM71" t="str">
        <x:v>CS001</x:v>
      </x:c>
      <x:c r="AN71" s="42" t="str">
        <x:v>Project-mentioned source. The repository copy is an obsolete draft; use the official current manual.</x:v>
      </x:c>
      <x:c r="AO71" t="str">
        <x:v>OFFICIAL_WEBSITE</x:v>
      </x:c>
      <x:c r="AP71" t="str">
        <x:v>OFFICIAL_ORIGINAL</x:v>
      </x:c>
      <x:c r="AQ71" t="str">
        <x:v>VERSIONED</x:v>
      </x:c>
      <x:c r="AR71" s="42" t="str"/>
    </x:row>
    <x:row r="72" ht="42" customHeight="1">
      <x:c r="A72" t="str">
        <x:v>CS003</x:v>
      </x:c>
      <x:c r="B72" t="str">
        <x:v>CS003-001</x:v>
      </x:c>
      <x:c r="C72" s="42" t="str">
        <x:v>ASC Salmon Audit Manual</x:v>
      </x:c>
      <x:c r="D72" s="129" t="str">
        <x:v>https://asc-aqua.org/producers/asc-standards/species-standards/salmon-cod/</x:v>
      </x:c>
      <x:c r="E72" s="129" t="str">
        <x:v>https://asc-aqua.org/wp-content/uploads/2023/04/ASC-Salmon-Audit-Manual_v1.4.pdf</x:v>
      </x:c>
      <x:c r="F72" t="str">
        <x:v>C_Certification_Scheme</x:v>
      </x:c>
      <x:c r="G72" t="str">
        <x:v>pdf</x:v>
      </x:c>
      <x:c r="H72" t="str">
        <x:v>CS003-001_ASC_Salmon_Audit_Manual.pdf</x:v>
      </x:c>
      <x:c r="I72" t="str">
        <x:v>STORED</x:v>
      </x:c>
      <x:c r="J72" t="str">
        <x:v>Aquaculture Stewardship Council</x:v>
      </x:c>
      <x:c r="K72" t="str">
        <x:v>International</x:v>
      </x:c>
      <x:c r="L72" t="str">
        <x:v>English</x:v>
      </x:c>
      <x:c r="M72" t="str">
        <x:v>1.4</x:v>
      </x:c>
      <x:c r="N72" s="9"/>
      <x:c r="O72" t="str">
        <x:v>Certification scheme</x:v>
      </x:c>
      <x:c r="P72" t="str">
        <x:v>Audit / assessment document</x:v>
      </x:c>
      <x:c r="Q72" t="str">
        <x:v>Audit / assessment tool</x:v>
      </x:c>
      <x:c r="R72" s="42" t="str">
        <x:v>Official assessment tool from Aquaculture Stewardship Council; included to structure compliance checks and trace evidence back to its linked normative source.</x:v>
      </x:c>
      <x:c r="S72" t="str">
        <x:v>HIGH</x:v>
      </x:c>
      <x:c r="T72" t="str">
        <x:v>HIGH</x:v>
      </x:c>
      <x:c r="U72" t="str">
        <x:v>HIGH</x:v>
      </x:c>
      <x:c r="V72" t="str">
        <x:v>HIGH</x:v>
      </x:c>
      <x:c r="W72" t="str">
        <x:v>HIGH</x:v>
      </x:c>
      <x:c r="X72" t="str">
        <x:v>HIGH</x:v>
      </x:c>
      <x:c r="Y72" t="str">
        <x:f>IF(A72="","",IF(OR(J72="",AO72="",AP72="",AP72="UNVERIFIED",AND(AO72="OFFICIAL_WEBSITE",D72=""),AND(OR(P72="Equipment manual / OEM instruction",Q72="Asset-specific normative"),OR(O72&lt;&gt;"Manufacturer / supplier",AR72="",R72=""))),"PENDING",IF(COUNTIF(S72:W72,"LOW")&gt;0,"EXCLUDE",IF(COUNTIF(S72:W72,"MEDIUM")&gt;0,"PENDING",IF(COUNTIF(S72:W72,"HIGH")=5,"INCLUDE","PENDING")))))</x:f>
        <x:v>INCLUDE</x:v>
      </x:c>
      <x:c r="Z72" t="str">
        <x:v>SUCCESS</x:v>
      </x:c>
      <x:c r="AA72" s="128" t="n">
        <x:v>46262.53113425926</x:v>
      </x:c>
      <x:c r="AB72" s="128" t="n">
        <x:v>46262.53113425926</x:v>
      </x:c>
      <x:c r="AC72" s="128" t="str">
        <x:v>INITIAL</x:v>
      </x:c>
      <x:c r="AD72" s="128" t="str">
        <x:v>AUTO</x:v>
      </x:c>
      <x:c r="AE72" s="128" t="n">
        <x:f>IF(A72="","",IF(AD72="AUTO",AB72,IF(AD72="MANUAL",AF72,"")))</x:f>
        <x:v>46262.53113425926</x:v>
      </x:c>
      <x:c r="AF72" s="9"/>
      <x:c r="AG72" t="str"/>
      <x:c r="AH72" t="str">
        <x:v>NONE</x:v>
      </x:c>
      <x:c r="AI72" s="42" t="str"/>
      <x:c r="AJ72" t="str">
        <x:f>IF(A72="","",IF(OR(Z72="FAIL",AND(AQ72="ROLLING",AC72="CHANGED")),IF(AND(AF72&lt;&gt;"",AF72&gt;=INT(AA72)),"NO","YES"),"NO"))</x:f>
        <x:v>NO</x:v>
      </x:c>
      <x:c r="AK72" t="str">
        <x:v>911b716d6e4f9aacc1e0c7999dbcf1e009f08c3b322269c748d867006521e76d</x:v>
      </x:c>
      <x:c r="AL72" t="str">
        <x:v>CURRENT</x:v>
      </x:c>
      <x:c r="AM72" t="str">
        <x:v>CS004</x:v>
      </x:c>
      <x:c r="AN72" s="42" t="str">
        <x:v>Repository-held assessment tool. Trace extracted requirements to the applicable normative ASC standard.</x:v>
      </x:c>
      <x:c r="AO72" t="str">
        <x:v>OFFICIAL_WEBSITE</x:v>
      </x:c>
      <x:c r="AP72" t="str">
        <x:v>OFFICIAL_ORIGINAL</x:v>
      </x:c>
      <x:c r="AQ72" t="str">
        <x:v>VERSIONED</x:v>
      </x:c>
      <x:c r="AR72" s="42" t="str"/>
    </x:row>
    <x:row r="73" ht="42" customHeight="1">
      <x:c r="A73" t="str">
        <x:v>CS004</x:v>
      </x:c>
      <x:c r="B73" t="str">
        <x:v>CS004-001</x:v>
      </x:c>
      <x:c r="C73" s="42" t="str">
        <x:v>ASC Salmon and Cod Standard</x:v>
      </x:c>
      <x:c r="D73" s="129" t="str">
        <x:v>https://asc-aqua.org/producers/asc-standards/species-standards/salmon-cod/</x:v>
      </x:c>
      <x:c r="E73" s="129" t="str">
        <x:v>https://asc-aqua.org/wp-content/uploads/2025/10/ASC-STD-010-ASC-Salmon-and-Cod-Standard-V1.5-Oct-2025-1.pdf</x:v>
      </x:c>
      <x:c r="F73" t="str">
        <x:v>C_Certification_Scheme</x:v>
      </x:c>
      <x:c r="G73" t="str">
        <x:v>pdf</x:v>
      </x:c>
      <x:c r="H73" t="str">
        <x:v>CS004-001_ASC_Salmon_and_Cod_Standard.pdf</x:v>
      </x:c>
      <x:c r="I73" t="str">
        <x:v>STORED</x:v>
      </x:c>
      <x:c r="J73" t="str">
        <x:v>Aquaculture Stewardship Council</x:v>
      </x:c>
      <x:c r="K73" t="str">
        <x:v>International</x:v>
      </x:c>
      <x:c r="L73" t="str">
        <x:v>English</x:v>
      </x:c>
      <x:c r="M73" t="str">
        <x:v>1.5</x:v>
      </x:c>
      <x:c r="N73" s="9" t="n">
        <x:v>45943</x:v>
      </x:c>
      <x:c r="O73" t="str">
        <x:v>Certification scheme</x:v>
      </x:c>
      <x:c r="P73" t="str">
        <x:v>Scheme standard</x:v>
      </x:c>
      <x:c r="Q73" t="str">
        <x:v>Primary normative</x:v>
      </x:c>
      <x:c r="R73" s="42" t="str">
        <x:v>Official scheme standard issued by Aquaculture Stewardship Council; included because it may impose binding requirements on an in-scope aquaculture asset, activity, permit or certification.</x:v>
      </x:c>
      <x:c r="S73" t="str">
        <x:v>HIGH</x:v>
      </x:c>
      <x:c r="T73" t="str">
        <x:v>HIGH</x:v>
      </x:c>
      <x:c r="U73" t="str">
        <x:v>HIGH</x:v>
      </x:c>
      <x:c r="V73" t="str">
        <x:v>HIGH</x:v>
      </x:c>
      <x:c r="W73" t="str">
        <x:v>HIGH</x:v>
      </x:c>
      <x:c r="X73" t="str">
        <x:v>HIGH</x:v>
      </x:c>
      <x:c r="Y73" t="str">
        <x:f>IF(A73="","",IF(OR(J73="",AO73="",AP73="",AP73="UNVERIFIED",AND(AO73="OFFICIAL_WEBSITE",D73=""),AND(OR(P73="Equipment manual / OEM instruction",Q73="Asset-specific normative"),OR(O73&lt;&gt;"Manufacturer / supplier",AR73="",R73=""))),"PENDING",IF(COUNTIF(S73:W73,"LOW")&gt;0,"EXCLUDE",IF(COUNTIF(S73:W73,"MEDIUM")&gt;0,"PENDING",IF(COUNTIF(S73:W73,"HIGH")=5,"INCLUDE","PENDING")))))</x:f>
        <x:v>INCLUDE</x:v>
      </x:c>
      <x:c r="Z73" t="str">
        <x:v>SUCCESS</x:v>
      </x:c>
      <x:c r="AA73" s="128" t="n">
        <x:v>46262.53114583333</x:v>
      </x:c>
      <x:c r="AB73" s="128" t="n">
        <x:v>46262.53114583333</x:v>
      </x:c>
      <x:c r="AC73" s="128" t="str">
        <x:v>INITIAL</x:v>
      </x:c>
      <x:c r="AD73" s="128" t="str">
        <x:v>AUTO</x:v>
      </x:c>
      <x:c r="AE73" s="128" t="n">
        <x:f>IF(A73="","",IF(AD73="AUTO",AB73,IF(AD73="MANUAL",AF73,"")))</x:f>
        <x:v>46262.53114583333</x:v>
      </x:c>
      <x:c r="AF73" s="9"/>
      <x:c r="AG73" t="str"/>
      <x:c r="AH73" t="str">
        <x:v>NONE</x:v>
      </x:c>
      <x:c r="AI73" s="42" t="str"/>
      <x:c r="AJ73" t="str">
        <x:f>IF(A73="","",IF(OR(Z73="FAIL",AND(AQ73="ROLLING",AC73="CHANGED")),IF(AND(AF73&lt;&gt;"",AF73&gt;=INT(AA73)),"NO","YES"),"NO"))</x:f>
        <x:v>NO</x:v>
      </x:c>
      <x:c r="AK73" t="str">
        <x:v>a34e5f4fc78486136ddbf3d661d26aad85e4b8a1990b2e6eda3f3ac1df7f7b5c</x:v>
      </x:c>
      <x:c r="AL73" t="str">
        <x:v>CURRENT</x:v>
      </x:c>
      <x:c r="AM73" t="str"/>
      <x:c r="AN73" s="42" t="str">
        <x:v>Project-mentioned candidate. Include while the species standard remains applicable during ASC transition.</x:v>
      </x:c>
      <x:c r="AO73" t="str">
        <x:v>OFFICIAL_WEBSITE</x:v>
      </x:c>
      <x:c r="AP73" t="str">
        <x:v>OFFICIAL_ORIGINAL</x:v>
      </x:c>
      <x:c r="AQ73" t="str">
        <x:v>VERSIONED</x:v>
      </x:c>
      <x:c r="AR73" s="42" t="str"/>
    </x:row>
    <x:row r="74" ht="42" customHeight="1">
      <x:c r="A74" t="str">
        <x:v>CS005</x:v>
      </x:c>
      <x:c r="B74" t="str">
        <x:v>CS005-001</x:v>
      </x:c>
      <x:c r="C74" s="42" t="str">
        <x:v>ASC Farm and Feed Certification and Accreditation Requirements</x:v>
      </x:c>
      <x:c r="D74" s="129" t="str">
        <x:v>https://programme-centre.asc-aqua.org/resource-hub/?filter=farm</x:v>
      </x:c>
      <x:c r="E74" s="129" t="str">
        <x:v>https://programme-centre.asc-aqua.org/app/uploads/2025/04/ASC-CAR-001-ASC-Farm-and-Feed-CAR-V1.0-May-2025.pdf</x:v>
      </x:c>
      <x:c r="F74" t="str">
        <x:v>C_Certification_Scheme</x:v>
      </x:c>
      <x:c r="G74" t="str">
        <x:v>pdf</x:v>
      </x:c>
      <x:c r="H74" t="str">
        <x:v>CS005-001_ASC_Farm_and_Feed_Certification_and_Accreditation_Requirements.pdf</x:v>
      </x:c>
      <x:c r="I74" t="str">
        <x:v>STORED</x:v>
      </x:c>
      <x:c r="J74" t="str">
        <x:v>Aquaculture Stewardship Council</x:v>
      </x:c>
      <x:c r="K74" t="str">
        <x:v>International</x:v>
      </x:c>
      <x:c r="L74" t="str">
        <x:v>English</x:v>
      </x:c>
      <x:c r="M74" t="str">
        <x:v>1.0</x:v>
      </x:c>
      <x:c r="N74" s="9"/>
      <x:c r="O74" t="str">
        <x:v>Certification scheme</x:v>
      </x:c>
      <x:c r="P74" t="str">
        <x:v>Scheme standard</x:v>
      </x:c>
      <x:c r="Q74" t="str">
        <x:v>Referenced normative</x:v>
      </x:c>
      <x:c r="R74" s="42" t="str">
        <x:v>Official referenced source from Aquaculture Stewardship Council; included because an applicable law, permit or certification scheme may make its provisions binding within the approved scope.</x:v>
      </x:c>
      <x:c r="S74" t="str">
        <x:v>HIGH</x:v>
      </x:c>
      <x:c r="T74" t="str">
        <x:v>HIGH</x:v>
      </x:c>
      <x:c r="U74" t="str">
        <x:v>HIGH</x:v>
      </x:c>
      <x:c r="V74" t="str">
        <x:v>HIGH</x:v>
      </x:c>
      <x:c r="W74" t="str">
        <x:v>HIGH</x:v>
      </x:c>
      <x:c r="X74" t="str">
        <x:v>HIGH</x:v>
      </x:c>
      <x:c r="Y74" t="str">
        <x:f>IF(A74="","",IF(OR(J74="",AO74="",AP74="",AP74="UNVERIFIED",AND(AO74="OFFICIAL_WEBSITE",D74=""),AND(OR(P74="Equipment manual / OEM instruction",Q74="Asset-specific normative"),OR(O74&lt;&gt;"Manufacturer / supplier",AR74="",R74=""))),"PENDING",IF(COUNTIF(S74:W74,"LOW")&gt;0,"EXCLUDE",IF(COUNTIF(S74:W74,"MEDIUM")&gt;0,"PENDING",IF(COUNTIF(S74:W74,"HIGH")=5,"INCLUDE","PENDING")))))</x:f>
        <x:v>INCLUDE</x:v>
      </x:c>
      <x:c r="Z74" t="str">
        <x:v>SUCCESS</x:v>
      </x:c>
      <x:c r="AA74" s="128" t="n">
        <x:v>46262.53114583333</x:v>
      </x:c>
      <x:c r="AB74" s="128" t="n">
        <x:v>46262.53115740741</x:v>
      </x:c>
      <x:c r="AC74" s="128" t="str">
        <x:v>INITIAL</x:v>
      </x:c>
      <x:c r="AD74" s="128" t="str">
        <x:v>AUTO</x:v>
      </x:c>
      <x:c r="AE74" s="128" t="n">
        <x:f>IF(A74="","",IF(AD74="AUTO",AB74,IF(AD74="MANUAL",AF74,"")))</x:f>
        <x:v>46262.53115740741</x:v>
      </x:c>
      <x:c r="AF74" s="9"/>
      <x:c r="AG74" t="str"/>
      <x:c r="AH74" t="str">
        <x:v>NONE</x:v>
      </x:c>
      <x:c r="AI74" s="42" t="str"/>
      <x:c r="AJ74" t="str">
        <x:f>IF(A74="","",IF(OR(Z74="FAIL",AND(AQ74="ROLLING",AC74="CHANGED")),IF(AND(AF74&lt;&gt;"",AF74&gt;=INT(AA74)),"NO","YES"),"NO"))</x:f>
        <x:v>NO</x:v>
      </x:c>
      <x:c r="AK74" t="str">
        <x:v>77e1d87383382fda4f27dc9be79937cc3017ce350b8b1d436a74500561083838</x:v>
      </x:c>
      <x:c r="AL74" t="str">
        <x:v>CURRENT</x:v>
      </x:c>
      <x:c r="AM74" t="str">
        <x:v>CS001</x:v>
      </x:c>
      <x:c r="AN74" s="42" t="str">
        <x:v>Official expansion. The ASC Farm Standard identifies this CAR as normative.</x:v>
      </x:c>
      <x:c r="AO74" t="str">
        <x:v>OFFICIAL_WEBSITE</x:v>
      </x:c>
      <x:c r="AP74" t="str">
        <x:v>OFFICIAL_ORIGINAL</x:v>
      </x:c>
      <x:c r="AQ74" t="str">
        <x:v>VERSIONED</x:v>
      </x:c>
      <x:c r="AR74" s="42" t="str"/>
    </x:row>
    <x:row r="75" ht="42" customHeight="1">
      <x:c r="A75" t="str">
        <x:v>CS006</x:v>
      </x:c>
      <x:c r="B75" t="str">
        <x:v>CS006-001</x:v>
      </x:c>
      <x:c r="C75" s="42" t="str">
        <x:v>ASC Group Requirements for Farms</x:v>
      </x:c>
      <x:c r="D75" s="129" t="str">
        <x:v>https://programme-centre.asc-aqua.org/resource-hub/?filter=farm</x:v>
      </x:c>
      <x:c r="E75" s="129" t="str"/>
      <x:c r="F75" t="str">
        <x:v>C_Certification_Scheme</x:v>
      </x:c>
      <x:c r="G75" t="str">
        <x:v>pdf</x:v>
      </x:c>
      <x:c r="H75" t="str">
        <x:v>CS006-001_ASC_Group_Requirements_for_Farms.pdf</x:v>
      </x:c>
      <x:c r="I75" t="str">
        <x:v>NOT_COLLECTED</x:v>
      </x:c>
      <x:c r="J75" t="str">
        <x:v>Aquaculture Stewardship Council</x:v>
      </x:c>
      <x:c r="K75" t="str">
        <x:v>International</x:v>
      </x:c>
      <x:c r="L75" t="str">
        <x:v>English</x:v>
      </x:c>
      <x:c r="M75" t="str">
        <x:v>1.0</x:v>
      </x:c>
      <x:c r="N75" s="9"/>
      <x:c r="O75" t="str">
        <x:v>Certification scheme</x:v>
      </x:c>
      <x:c r="P75" t="str">
        <x:v>Scheme standard</x:v>
      </x:c>
      <x:c r="Q75" t="str">
        <x:v>Referenced normative</x:v>
      </x:c>
      <x:c r="R75" s="42" t="str">
        <x:v>Official referenced source from Aquaculture Stewardship Council; included because an applicable law, permit or certification scheme may make its provisions binding within the approved scope.</x:v>
      </x:c>
      <x:c r="S75" t="str">
        <x:v>HIGH</x:v>
      </x:c>
      <x:c r="T75" t="str">
        <x:v>MEDIUM</x:v>
      </x:c>
      <x:c r="U75" t="str">
        <x:v>MEDIUM</x:v>
      </x:c>
      <x:c r="V75" t="str">
        <x:v>MEDIUM</x:v>
      </x:c>
      <x:c r="W75" t="str">
        <x:v>HIGH</x:v>
      </x:c>
      <x:c r="X75" t="str">
        <x:v>LOW</x:v>
      </x:c>
      <x:c r="Y75" t="str">
        <x:f>IF(A75="","",IF(OR(J75="",AO75="",AP75="",AP75="UNVERIFIED",AND(AO75="OFFICIAL_WEBSITE",D75=""),AND(OR(P75="Equipment manual / OEM instruction",Q75="Asset-specific normative"),OR(O75&lt;&gt;"Manufacturer / supplier",AR75="",R75=""))),"PENDING",IF(COUNTIF(S75:W75,"LOW")&gt;0,"EXCLUDE",IF(COUNTIF(S75:W75,"MEDIUM")&gt;0,"PENDING",IF(COUNTIF(S75:W75,"HIGH")=5,"INCLUDE","PENDING")))))</x:f>
        <x:v>PENDING</x:v>
      </x:c>
      <x:c r="Z75" t="str">
        <x:v>NOT_RUN</x:v>
      </x:c>
      <x:c r="AA75" s="128"/>
      <x:c r="AB75" s="128"/>
      <x:c r="AC75" s="128" t="str">
        <x:v>UNKNOWN</x:v>
      </x:c>
      <x:c r="AD75" s="128" t="str">
        <x:v>NONE</x:v>
      </x:c>
      <x:c r="AE75" s="128" t="str">
        <x:f>IF(A75="","",IF(AD75="AUTO",AB75,IF(AD75="MANUAL",AF75,"")))</x:f>
      </x:c>
      <x:c r="AF75" s="9"/>
      <x:c r="AG75" t="str"/>
      <x:c r="AH75" t="str">
        <x:v>NONE</x:v>
      </x:c>
      <x:c r="AI75" s="42" t="str"/>
      <x:c r="AJ75" t="str">
        <x:f>IF(A75="","",IF(OR(Z75="FAIL",AND(AQ75="ROLLING",AC75="CHANGED")),IF(AND(AF75&lt;&gt;"",AF75&gt;=INT(AA75)),"NO","YES"),"NO"))</x:f>
        <x:v>NO</x:v>
      </x:c>
      <x:c r="AK75" t="str"/>
      <x:c r="AL75" t="str">
        <x:v>CURRENT</x:v>
      </x:c>
      <x:c r="AM75" t="str">
        <x:v>CS001</x:v>
      </x:c>
      <x:c r="AN75" s="42" t="str">
        <x:v>Official expansion. Conditional on group certification structure.</x:v>
      </x:c>
      <x:c r="AO75" t="str">
        <x:v>OFFICIAL_WEBSITE</x:v>
      </x:c>
      <x:c r="AP75" t="str">
        <x:v>OFFICIAL_ORIGINAL</x:v>
      </x:c>
      <x:c r="AQ75" t="str">
        <x:v>VERSIONED</x:v>
      </x:c>
      <x:c r="AR75" s="42" t="str"/>
    </x:row>
    <x:row r="76" ht="42" customHeight="1">
      <x:c r="A76" t="str">
        <x:v>CS007</x:v>
      </x:c>
      <x:c r="B76" t="str">
        <x:v>CS007-001</x:v>
      </x:c>
      <x:c r="C76" s="42" t="str">
        <x:v>ASC Data Submission Procedure</x:v>
      </x:c>
      <x:c r="D76" s="129" t="str">
        <x:v>https://programme-centre.asc-aqua.org/resource-hub/?filter=farm</x:v>
      </x:c>
      <x:c r="E76" s="129" t="str"/>
      <x:c r="F76" t="str">
        <x:v>C_Certification_Scheme</x:v>
      </x:c>
      <x:c r="G76" t="str">
        <x:v>pdf</x:v>
      </x:c>
      <x:c r="H76" t="str">
        <x:v>CS007-001_ASC_Data_Submission_Procedure.pdf</x:v>
      </x:c>
      <x:c r="I76" t="str">
        <x:v>NOT_COLLECTED</x:v>
      </x:c>
      <x:c r="J76" t="str">
        <x:v>Aquaculture Stewardship Council</x:v>
      </x:c>
      <x:c r="K76" t="str">
        <x:v>International</x:v>
      </x:c>
      <x:c r="L76" t="str">
        <x:v>English</x:v>
      </x:c>
      <x:c r="M76" t="str">
        <x:v>1.0</x:v>
      </x:c>
      <x:c r="N76" s="9"/>
      <x:c r="O76" t="str">
        <x:v>Certification scheme</x:v>
      </x:c>
      <x:c r="P76" t="str">
        <x:v>Scheme standard</x:v>
      </x:c>
      <x:c r="Q76" t="str">
        <x:v>Referenced normative</x:v>
      </x:c>
      <x:c r="R76" s="42" t="str">
        <x:v>Official referenced source from Aquaculture Stewardship Council; included because an applicable law, permit or certification scheme may make its provisions binding within the approved scope.</x:v>
      </x:c>
      <x:c r="S76" t="str">
        <x:v>HIGH</x:v>
      </x:c>
      <x:c r="T76" t="str">
        <x:v>HIGH</x:v>
      </x:c>
      <x:c r="U76" t="str">
        <x:v>MEDIUM</x:v>
      </x:c>
      <x:c r="V76" t="str">
        <x:v>MEDIUM</x:v>
      </x:c>
      <x:c r="W76" t="str">
        <x:v>HIGH</x:v>
      </x:c>
      <x:c r="X76" t="str">
        <x:v>LOW</x:v>
      </x:c>
      <x:c r="Y76" t="str">
        <x:f>IF(A76="","",IF(OR(J76="",AO76="",AP76="",AP76="UNVERIFIED",AND(AO76="OFFICIAL_WEBSITE",D76=""),AND(OR(P76="Equipment manual / OEM instruction",Q76="Asset-specific normative"),OR(O76&lt;&gt;"Manufacturer / supplier",AR76="",R76=""))),"PENDING",IF(COUNTIF(S76:W76,"LOW")&gt;0,"EXCLUDE",IF(COUNTIF(S76:W76,"MEDIUM")&gt;0,"PENDING",IF(COUNTIF(S76:W76,"HIGH")=5,"INCLUDE","PENDING")))))</x:f>
        <x:v>PENDING</x:v>
      </x:c>
      <x:c r="Z76" t="str">
        <x:v>NOT_RUN</x:v>
      </x:c>
      <x:c r="AA76" s="128"/>
      <x:c r="AB76" s="128"/>
      <x:c r="AC76" s="128" t="str">
        <x:v>UNKNOWN</x:v>
      </x:c>
      <x:c r="AD76" s="128" t="str">
        <x:v>NONE</x:v>
      </x:c>
      <x:c r="AE76" s="128" t="str">
        <x:f>IF(A76="","",IF(AD76="AUTO",AB76,IF(AD76="MANUAL",AF76,"")))</x:f>
      </x:c>
      <x:c r="AF76" s="9"/>
      <x:c r="AG76" t="str"/>
      <x:c r="AH76" t="str">
        <x:v>NONE</x:v>
      </x:c>
      <x:c r="AI76" s="42" t="str"/>
      <x:c r="AJ76" t="str">
        <x:f>IF(A76="","",IF(OR(Z76="FAIL",AND(AQ76="ROLLING",AC76="CHANGED")),IF(AND(AF76&lt;&gt;"",AF76&gt;=INT(AA76)),"NO","YES"),"NO"))</x:f>
        <x:v>NO</x:v>
      </x:c>
      <x:c r="AK76" t="str"/>
      <x:c r="AL76" t="str">
        <x:v>CURRENT</x:v>
      </x:c>
      <x:c r="AM76" t="str">
        <x:v>CS001</x:v>
      </x:c>
      <x:c r="AN76" s="42" t="str">
        <x:v>Official expansion. The ASC Farm Standard lists this procedure among normative references.</x:v>
      </x:c>
      <x:c r="AO76" t="str">
        <x:v>OFFICIAL_WEBSITE</x:v>
      </x:c>
      <x:c r="AP76" t="str">
        <x:v>OFFICIAL_ORIGINAL</x:v>
      </x:c>
      <x:c r="AQ76" t="str">
        <x:v>VERSIONED</x:v>
      </x:c>
      <x:c r="AR76" s="42" t="str"/>
    </x:row>
    <x:row r="77" ht="42" customHeight="1">
      <x:c r="A77" t="str">
        <x:v>CS008</x:v>
      </x:c>
      <x:c r="B77" t="str">
        <x:v>CS008-001</x:v>
      </x:c>
      <x:c r="C77" s="42" t="str">
        <x:v>GLOBALG.A.P. IFA v6 Smart for aquaculture - Principles and criteria</x:v>
      </x:c>
      <x:c r="D77" s="129" t="str">
        <x:v>https://globalgap.org/what-we-offer/solutions/ifa-aquaculture/</x:v>
      </x:c>
      <x:c r="E77" s="129" t="str"/>
      <x:c r="F77" t="str">
        <x:v>C_Certification_Scheme</x:v>
      </x:c>
      <x:c r="G77" t="str">
        <x:v>pdf</x:v>
      </x:c>
      <x:c r="H77" t="str">
        <x:v>CS008-001_GLOBALG.A.P._IFA_v6_Smart_for_aquaculture_-_Principles_and_criteria.pdf</x:v>
      </x:c>
      <x:c r="I77" t="str">
        <x:v>NOT_COLLECTED</x:v>
      </x:c>
      <x:c r="J77" t="str">
        <x:v>GLOBALG.A.P.</x:v>
      </x:c>
      <x:c r="K77" t="str">
        <x:v>International</x:v>
      </x:c>
      <x:c r="L77" t="str">
        <x:v>English</x:v>
      </x:c>
      <x:c r="M77" t="str">
        <x:v>V6</x:v>
      </x:c>
      <x:c r="N77" s="9"/>
      <x:c r="O77" t="str">
        <x:v>Certification scheme</x:v>
      </x:c>
      <x:c r="P77" t="str">
        <x:v>Scheme standard</x:v>
      </x:c>
      <x:c r="Q77" t="str">
        <x:v>Primary normative</x:v>
      </x:c>
      <x:c r="R77" s="42" t="str">
        <x:v>Official scheme standard issued by GLOBALG.A.P.; included because it may impose binding requirements on an in-scope aquaculture asset, activity, permit or certification.</x:v>
      </x:c>
      <x:c r="S77" t="str">
        <x:v>HIGH</x:v>
      </x:c>
      <x:c r="T77" t="str">
        <x:v>HIGH</x:v>
      </x:c>
      <x:c r="U77" t="str">
        <x:v>MEDIUM</x:v>
      </x:c>
      <x:c r="V77" t="str">
        <x:v>MEDIUM</x:v>
      </x:c>
      <x:c r="W77" t="str">
        <x:v>HIGH</x:v>
      </x:c>
      <x:c r="X77" t="str">
        <x:v>LOW</x:v>
      </x:c>
      <x:c r="Y77" t="str">
        <x:f>IF(A77="","",IF(OR(J77="",AO77="",AP77="",AP77="UNVERIFIED",AND(AO77="OFFICIAL_WEBSITE",D77=""),AND(OR(P77="Equipment manual / OEM instruction",Q77="Asset-specific normative"),OR(O77&lt;&gt;"Manufacturer / supplier",AR77="",R77=""))),"PENDING",IF(COUNTIF(S77:W77,"LOW")&gt;0,"EXCLUDE",IF(COUNTIF(S77:W77,"MEDIUM")&gt;0,"PENDING",IF(COUNTIF(S77:W77,"HIGH")=5,"INCLUDE","PENDING")))))</x:f>
        <x:v>PENDING</x:v>
      </x:c>
      <x:c r="Z77" t="str">
        <x:v>NOT_RUN</x:v>
      </x:c>
      <x:c r="AA77" s="128"/>
      <x:c r="AB77" s="128"/>
      <x:c r="AC77" s="128" t="str">
        <x:v>UNKNOWN</x:v>
      </x:c>
      <x:c r="AD77" s="128" t="str">
        <x:v>NONE</x:v>
      </x:c>
      <x:c r="AE77" s="128" t="str">
        <x:f>IF(A77="","",IF(AD77="AUTO",AB77,IF(AD77="MANUAL",AF77,"")))</x:f>
      </x:c>
      <x:c r="AF77" s="9"/>
      <x:c r="AG77" t="str"/>
      <x:c r="AH77" t="str">
        <x:v>NONE</x:v>
      </x:c>
      <x:c r="AI77" s="42" t="str"/>
      <x:c r="AJ77" t="str">
        <x:f>IF(A77="","",IF(OR(Z77="FAIL",AND(AQ77="ROLLING",AC77="CHANGED")),IF(AND(AF77&lt;&gt;"",AF77&gt;=INT(AA77)),"NO","YES"),"NO"))</x:f>
        <x:v>NO</x:v>
      </x:c>
      <x:c r="AK77" t="str"/>
      <x:c r="AL77" t="str">
        <x:v>CURRENT</x:v>
      </x:c>
      <x:c r="AM77" t="str"/>
      <x:c r="AN77" s="42" t="str">
        <x:v>Project-mentioned scheme source. The repository contains the checklist, but the P&amp;C document is the primary normative source.</x:v>
      </x:c>
      <x:c r="AO77" t="str">
        <x:v>OFFICIAL_WEBSITE</x:v>
      </x:c>
      <x:c r="AP77" t="str">
        <x:v>OFFICIAL_ORIGINAL</x:v>
      </x:c>
      <x:c r="AQ77" t="str">
        <x:v>VERSIONED</x:v>
      </x:c>
      <x:c r="AR77" s="42" t="str"/>
    </x:row>
    <x:row r="78" ht="42" customHeight="1">
      <x:c r="A78" t="str">
        <x:v>CS009</x:v>
      </x:c>
      <x:c r="B78" t="str">
        <x:v>CS009-001</x:v>
      </x:c>
      <x:c r="C78" s="42" t="str">
        <x:v>GLOBALG.A.P. IFA v6 Smart for aquaculture - Checklist</x:v>
      </x:c>
      <x:c r="D78" s="129" t="str">
        <x:v>https://globalgap.org/what-we-offer/solutions/ifa-aquaculture/</x:v>
      </x:c>
      <x:c r="E78" s="129" t="str"/>
      <x:c r="F78" t="str">
        <x:v>C_Certification_Scheme</x:v>
      </x:c>
      <x:c r="G78" t="str">
        <x:v>xlsx</x:v>
      </x:c>
      <x:c r="H78" t="str">
        <x:v>CS009-001_GLOBALG.A.P._IFA_v6_Smart_for_aquaculture_-_Checklist.xlsx</x:v>
      </x:c>
      <x:c r="I78" t="str">
        <x:v>NOT_COLLECTED</x:v>
      </x:c>
      <x:c r="J78" t="str">
        <x:v>GLOBALG.A.P.</x:v>
      </x:c>
      <x:c r="K78" t="str">
        <x:v>International</x:v>
      </x:c>
      <x:c r="L78" t="str">
        <x:v>English</x:v>
      </x:c>
      <x:c r="M78" t="str">
        <x:v>V6</x:v>
      </x:c>
      <x:c r="N78" s="9"/>
      <x:c r="O78" t="str">
        <x:v>Certification scheme</x:v>
      </x:c>
      <x:c r="P78" t="str">
        <x:v>Audit / assessment document</x:v>
      </x:c>
      <x:c r="Q78" t="str">
        <x:v>Audit / assessment tool</x:v>
      </x:c>
      <x:c r="R78" s="42" t="str">
        <x:v>Official assessment tool from GLOBALG.A.P.; included to structure compliance checks and trace evidence back to its linked normative source.</x:v>
      </x:c>
      <x:c r="S78" t="str">
        <x:v>HIGH</x:v>
      </x:c>
      <x:c r="T78" t="str">
        <x:v>HIGH</x:v>
      </x:c>
      <x:c r="U78" t="str">
        <x:v>MEDIUM</x:v>
      </x:c>
      <x:c r="V78" t="str">
        <x:v>MEDIUM</x:v>
      </x:c>
      <x:c r="W78" t="str">
        <x:v>HIGH</x:v>
      </x:c>
      <x:c r="X78" t="str">
        <x:v>LOW</x:v>
      </x:c>
      <x:c r="Y78" t="str">
        <x:f>IF(A78="","",IF(OR(J78="",AO78="",AP78="",AP78="UNVERIFIED",AND(AO78="OFFICIAL_WEBSITE",D78=""),AND(OR(P78="Equipment manual / OEM instruction",Q78="Asset-specific normative"),OR(O78&lt;&gt;"Manufacturer / supplier",AR78="",R78=""))),"PENDING",IF(COUNTIF(S78:W78,"LOW")&gt;0,"EXCLUDE",IF(COUNTIF(S78:W78,"MEDIUM")&gt;0,"PENDING",IF(COUNTIF(S78:W78,"HIGH")=5,"INCLUDE","PENDING")))))</x:f>
        <x:v>PENDING</x:v>
      </x:c>
      <x:c r="Z78" t="str">
        <x:v>NOT_RUN</x:v>
      </x:c>
      <x:c r="AA78" s="128"/>
      <x:c r="AB78" s="128"/>
      <x:c r="AC78" s="128" t="str">
        <x:v>UNKNOWN</x:v>
      </x:c>
      <x:c r="AD78" s="128" t="str">
        <x:v>NONE</x:v>
      </x:c>
      <x:c r="AE78" s="128" t="str">
        <x:f>IF(A78="","",IF(AD78="AUTO",AB78,IF(AD78="MANUAL",AF78,"")))</x:f>
      </x:c>
      <x:c r="AF78" s="9"/>
      <x:c r="AG78" t="str"/>
      <x:c r="AH78" t="str">
        <x:v>NONE</x:v>
      </x:c>
      <x:c r="AI78" s="42" t="str"/>
      <x:c r="AJ78" t="str">
        <x:f>IF(A78="","",IF(OR(Z78="FAIL",AND(AQ78="ROLLING",AC78="CHANGED")),IF(AND(AF78&lt;&gt;"",AF78&gt;=INT(AA78)),"NO","YES"),"NO"))</x:f>
        <x:v>NO</x:v>
      </x:c>
      <x:c r="AK78" t="str"/>
      <x:c r="AL78" t="str">
        <x:v>CURRENT</x:v>
      </x:c>
      <x:c r="AM78" t="str">
        <x:v>CS008</x:v>
      </x:c>
      <x:c r="AN78" s="42" t="str">
        <x:v>Repository-held assessment artifact. Official distribution may be ZIP/XLSX; trace requirements to CS008.</x:v>
      </x:c>
      <x:c r="AO78" t="str">
        <x:v>OFFICIAL_WEBSITE</x:v>
      </x:c>
      <x:c r="AP78" t="str">
        <x:v>OFFICIAL_ORIGINAL</x:v>
      </x:c>
      <x:c r="AQ78" t="str">
        <x:v>VERSIONED</x:v>
      </x:c>
      <x:c r="AR78" s="42" t="str"/>
    </x:row>
    <x:row r="79" ht="42" customHeight="1">
      <x:c r="A79" t="str">
        <x:v>CS010</x:v>
      </x:c>
      <x:c r="B79" t="str">
        <x:v>CS010-001</x:v>
      </x:c>
      <x:c r="C79" s="42" t="str">
        <x:v>GLOBALG.A.P. General Regulations - Rules for aquaculture scope</x:v>
      </x:c>
      <x:c r="D79" s="129" t="str">
        <x:v>https://globalgap.org/what-we-offer/solutions/ifa-aquaculture/</x:v>
      </x:c>
      <x:c r="E79" s="129" t="str">
        <x:v>https://documents.globalgap.org/documents/220929_GG_GR_Rules_for_aquaculture_v6_0_Sep22_en.pdf</x:v>
      </x:c>
      <x:c r="F79" t="str">
        <x:v>C_Certification_Scheme</x:v>
      </x:c>
      <x:c r="G79" t="str">
        <x:v>pdf</x:v>
      </x:c>
      <x:c r="H79" t="str">
        <x:v>CS010-001_GLOBALG.A.P._General_Regulations_-_Rules_for_aquaculture_scope.pdf</x:v>
      </x:c>
      <x:c r="I79" t="str">
        <x:v>STORED</x:v>
      </x:c>
      <x:c r="J79" t="str">
        <x:v>GLOBALG.A.P.</x:v>
      </x:c>
      <x:c r="K79" t="str">
        <x:v>International</x:v>
      </x:c>
      <x:c r="L79" t="str">
        <x:v>English</x:v>
      </x:c>
      <x:c r="M79" t="str">
        <x:v>6.0</x:v>
      </x:c>
      <x:c r="N79" s="9"/>
      <x:c r="O79" t="str">
        <x:v>Certification scheme</x:v>
      </x:c>
      <x:c r="P79" t="str">
        <x:v>Scheme standard</x:v>
      </x:c>
      <x:c r="Q79" t="str">
        <x:v>Referenced normative</x:v>
      </x:c>
      <x:c r="R79" s="42" t="str">
        <x:v>Official referenced source from GLOBALG.A.P.; included because an applicable law, permit or certification scheme may make its provisions binding within the approved scope.</x:v>
      </x:c>
      <x:c r="S79" t="str">
        <x:v>HIGH</x:v>
      </x:c>
      <x:c r="T79" t="str">
        <x:v>HIGH</x:v>
      </x:c>
      <x:c r="U79" t="str">
        <x:v>HIGH</x:v>
      </x:c>
      <x:c r="V79" t="str">
        <x:v>HIGH</x:v>
      </x:c>
      <x:c r="W79" t="str">
        <x:v>HIGH</x:v>
      </x:c>
      <x:c r="X79" t="str">
        <x:v>HIGH</x:v>
      </x:c>
      <x:c r="Y79" t="str">
        <x:f>IF(A79="","",IF(OR(J79="",AO79="",AP79="",AP79="UNVERIFIED",AND(AO79="OFFICIAL_WEBSITE",D79=""),AND(OR(P79="Equipment manual / OEM instruction",Q79="Asset-specific normative"),OR(O79&lt;&gt;"Manufacturer / supplier",AR79="",R79=""))),"PENDING",IF(COUNTIF(S79:W79,"LOW")&gt;0,"EXCLUDE",IF(COUNTIF(S79:W79,"MEDIUM")&gt;0,"PENDING",IF(COUNTIF(S79:W79,"HIGH")=5,"INCLUDE","PENDING")))))</x:f>
        <x:v>INCLUDE</x:v>
      </x:c>
      <x:c r="Z79" t="str">
        <x:v>SUCCESS</x:v>
      </x:c>
      <x:c r="AA79" s="128" t="n">
        <x:v>46262.53115740741</x:v>
      </x:c>
      <x:c r="AB79" s="128" t="n">
        <x:v>46262.53115740741</x:v>
      </x:c>
      <x:c r="AC79" s="128" t="str">
        <x:v>INITIAL</x:v>
      </x:c>
      <x:c r="AD79" s="128" t="str">
        <x:v>AUTO</x:v>
      </x:c>
      <x:c r="AE79" s="128" t="n">
        <x:f>IF(A79="","",IF(AD79="AUTO",AB79,IF(AD79="MANUAL",AF79,"")))</x:f>
        <x:v>46262.53115740741</x:v>
      </x:c>
      <x:c r="AF79" s="9"/>
      <x:c r="AG79" t="str"/>
      <x:c r="AH79" t="str">
        <x:v>NONE</x:v>
      </x:c>
      <x:c r="AI79" s="42" t="str"/>
      <x:c r="AJ79" t="str">
        <x:f>IF(A79="","",IF(OR(Z79="FAIL",AND(AQ79="ROLLING",AC79="CHANGED")),IF(AND(AF79&lt;&gt;"",AF79&gt;=INT(AA79)),"NO","YES"),"NO"))</x:f>
        <x:v>NO</x:v>
      </x:c>
      <x:c r="AK79" t="str">
        <x:v>ce5c8950c69e3b5b60b85110f5abd2c6d8637c83291c6c00ac03f28b102dac54</x:v>
      </x:c>
      <x:c r="AL79" t="str">
        <x:v>CURRENT</x:v>
      </x:c>
      <x:c r="AM79" t="str">
        <x:v>CS008</x:v>
      </x:c>
      <x:c r="AN79" s="42" t="str">
        <x:v>Official expansion. GLOBALG.A.P. identifies the general regulations as required for certification.</x:v>
      </x:c>
      <x:c r="AO79" t="str">
        <x:v>OFFICIAL_WEBSITE</x:v>
      </x:c>
      <x:c r="AP79" t="str">
        <x:v>OFFICIAL_ORIGINAL</x:v>
      </x:c>
      <x:c r="AQ79" t="str">
        <x:v>VERSIONED</x:v>
      </x:c>
      <x:c r="AR79" s="42" t="str"/>
    </x:row>
    <x:row r="80" ht="42" customHeight="1">
      <x:c r="A80" t="str">
        <x:v>CS011</x:v>
      </x:c>
      <x:c r="B80" t="str">
        <x:v>CS011-001</x:v>
      </x:c>
      <x:c r="C80" s="42" t="str">
        <x:v>GLOBALG.A.P. GRASP v2 - Principles and criteria</x:v>
      </x:c>
      <x:c r="D80" s="129" t="str">
        <x:v>https://globalgap.org/what-we-offer/solutions/grasp/</x:v>
      </x:c>
      <x:c r="E80" s="129" t="str">
        <x:v>https://documents.globalgap.org/documents/220929_GRASP_PCs_v2_0_Sep22_en.pdf</x:v>
      </x:c>
      <x:c r="F80" t="str">
        <x:v>C_Certification_Scheme</x:v>
      </x:c>
      <x:c r="G80" t="str">
        <x:v>pdf</x:v>
      </x:c>
      <x:c r="H80" t="str">
        <x:v>CS011-001_GLOBALG.A.P._GRASP_v2_-_Principles_and_criteria.pdf</x:v>
      </x:c>
      <x:c r="I80" t="str">
        <x:v>STORED</x:v>
      </x:c>
      <x:c r="J80" t="str">
        <x:v>GLOBALG.A.P.</x:v>
      </x:c>
      <x:c r="K80" t="str">
        <x:v>International</x:v>
      </x:c>
      <x:c r="L80" t="str">
        <x:v>English</x:v>
      </x:c>
      <x:c r="M80" t="str">
        <x:v>2.0_Sep22</x:v>
      </x:c>
      <x:c r="N80" s="9"/>
      <x:c r="O80" t="str">
        <x:v>Certification scheme</x:v>
      </x:c>
      <x:c r="P80" t="str">
        <x:v>Scheme standard</x:v>
      </x:c>
      <x:c r="Q80" t="str">
        <x:v>Referenced normative</x:v>
      </x:c>
      <x:c r="R80" s="42" t="str">
        <x:v>Official referenced source from GLOBALG.A.P.; included because an applicable law, permit or certification scheme may make its provisions binding within the approved scope.</x:v>
      </x:c>
      <x:c r="S80" t="str">
        <x:v>HIGH</x:v>
      </x:c>
      <x:c r="T80" t="str">
        <x:v>HIGH</x:v>
      </x:c>
      <x:c r="U80" t="str">
        <x:v>HIGH</x:v>
      </x:c>
      <x:c r="V80" t="str">
        <x:v>HIGH</x:v>
      </x:c>
      <x:c r="W80" t="str">
        <x:v>HIGH</x:v>
      </x:c>
      <x:c r="X80" t="str">
        <x:v>HIGH</x:v>
      </x:c>
      <x:c r="Y80" t="str">
        <x:f>IF(A80="","",IF(OR(J80="",AO80="",AP80="",AP80="UNVERIFIED",AND(AO80="OFFICIAL_WEBSITE",D80=""),AND(OR(P80="Equipment manual / OEM instruction",Q80="Asset-specific normative"),OR(O80&lt;&gt;"Manufacturer / supplier",AR80="",R80=""))),"PENDING",IF(COUNTIF(S80:W80,"LOW")&gt;0,"EXCLUDE",IF(COUNTIF(S80:W80,"MEDIUM")&gt;0,"PENDING",IF(COUNTIF(S80:W80,"HIGH")=5,"INCLUDE","PENDING")))))</x:f>
        <x:v>INCLUDE</x:v>
      </x:c>
      <x:c r="Z80" t="str">
        <x:v>SUCCESS</x:v>
      </x:c>
      <x:c r="AA80" s="128" t="n">
        <x:v>46262.53115740741</x:v>
      </x:c>
      <x:c r="AB80" s="128" t="n">
        <x:v>46262.53116898148</x:v>
      </x:c>
      <x:c r="AC80" s="128" t="str">
        <x:v>INITIAL</x:v>
      </x:c>
      <x:c r="AD80" s="128" t="str">
        <x:v>AUTO</x:v>
      </x:c>
      <x:c r="AE80" s="128" t="n">
        <x:f>IF(A80="","",IF(AD80="AUTO",AB80,IF(AD80="MANUAL",AF80,"")))</x:f>
        <x:v>46262.53116898148</x:v>
      </x:c>
      <x:c r="AF80" s="9"/>
      <x:c r="AG80" t="str"/>
      <x:c r="AH80" t="str">
        <x:v>NONE</x:v>
      </x:c>
      <x:c r="AI80" s="42" t="str"/>
      <x:c r="AJ80" t="str">
        <x:f>IF(A80="","",IF(OR(Z80="FAIL",AND(AQ80="ROLLING",AC80="CHANGED")),IF(AND(AF80&lt;&gt;"",AF80&gt;=INT(AA80)),"NO","YES"),"NO"))</x:f>
        <x:v>NO</x:v>
      </x:c>
      <x:c r="AK80" t="str">
        <x:v>5b5c05855c1b0c422755facc234a7d4584eb37f8671421885d7dcc62f9a0e9e8</x:v>
      </x:c>
      <x:c r="AL80" t="str">
        <x:v>CURRENT</x:v>
      </x:c>
      <x:c r="AM80" t="str">
        <x:v>CS008</x:v>
      </x:c>
      <x:c r="AN80" s="42" t="str">
        <x:v>Official expansion. GLOBALG.A.P. states GRASP is mandatory for IFA aquaculture audits.</x:v>
      </x:c>
      <x:c r="AO80" t="str">
        <x:v>OFFICIAL_WEBSITE</x:v>
      </x:c>
      <x:c r="AP80" t="str">
        <x:v>OFFICIAL_ORIGINAL</x:v>
      </x:c>
      <x:c r="AQ80" t="str">
        <x:v>VERSIONED</x:v>
      </x:c>
      <x:c r="AR80" s="42" t="str"/>
    </x:row>
    <x:row r="81" ht="42" customHeight="1">
      <x:c r="A81" t="str">
        <x:v>CS012</x:v>
      </x:c>
      <x:c r="B81" t="str">
        <x:v>CS012-001</x:v>
      </x:c>
      <x:c r="C81" s="42" t="str">
        <x:v>GLOBALG.A.P. Compound Feed Manufacturing Standard</x:v>
      </x:c>
      <x:c r="D81" s="129" t="str">
        <x:v>https://globalgap.org/what-we-offer/solutions/compound-feed-manufacturing/</x:v>
      </x:c>
      <x:c r="E81" s="129" t="str"/>
      <x:c r="F81" t="str">
        <x:v>C_Certification_Scheme</x:v>
      </x:c>
      <x:c r="G81" t="str">
        <x:v>pdf</x:v>
      </x:c>
      <x:c r="H81" t="str">
        <x:v>CS012-001_GLOBALG.A.P._Compound_Feed_Manufacturing_Standard.pdf</x:v>
      </x:c>
      <x:c r="I81" t="str">
        <x:v>NOT_COLLECTED</x:v>
      </x:c>
      <x:c r="J81" t="str">
        <x:v>GLOBALG.A.P.</x:v>
      </x:c>
      <x:c r="K81" t="str">
        <x:v>International</x:v>
      </x:c>
      <x:c r="L81" t="str">
        <x:v>English</x:v>
      </x:c>
      <x:c r="M81" t="str"/>
      <x:c r="N81" s="9"/>
      <x:c r="O81" t="str">
        <x:v>Certification scheme</x:v>
      </x:c>
      <x:c r="P81" t="str">
        <x:v>Scheme standard</x:v>
      </x:c>
      <x:c r="Q81" t="str">
        <x:v>Referenced normative</x:v>
      </x:c>
      <x:c r="R81" s="42" t="str">
        <x:v>Official referenced source from GLOBALG.A.P.; included because an applicable law, permit or certification scheme may make its provisions binding within the approved scope.</x:v>
      </x:c>
      <x:c r="S81" t="str">
        <x:v>HIGH</x:v>
      </x:c>
      <x:c r="T81" t="str">
        <x:v>HIGH</x:v>
      </x:c>
      <x:c r="U81" t="str">
        <x:v>MEDIUM</x:v>
      </x:c>
      <x:c r="V81" t="str">
        <x:v>MEDIUM</x:v>
      </x:c>
      <x:c r="W81" t="str">
        <x:v>HIGH</x:v>
      </x:c>
      <x:c r="X81" t="str">
        <x:v>LOW</x:v>
      </x:c>
      <x:c r="Y81" t="str">
        <x:f>IF(A81="","",IF(OR(J81="",AO81="",AP81="",AP81="UNVERIFIED",AND(AO81="OFFICIAL_WEBSITE",D81=""),AND(OR(P81="Equipment manual / OEM instruction",Q81="Asset-specific normative"),OR(O81&lt;&gt;"Manufacturer / supplier",AR81="",R81=""))),"PENDING",IF(COUNTIF(S81:W81,"LOW")&gt;0,"EXCLUDE",IF(COUNTIF(S81:W81,"MEDIUM")&gt;0,"PENDING",IF(COUNTIF(S81:W81,"HIGH")=5,"INCLUDE","PENDING")))))</x:f>
        <x:v>PENDING</x:v>
      </x:c>
      <x:c r="Z81" t="str">
        <x:v>NOT_RUN</x:v>
      </x:c>
      <x:c r="AA81" s="128"/>
      <x:c r="AB81" s="128"/>
      <x:c r="AC81" s="128" t="str">
        <x:v>UNKNOWN</x:v>
      </x:c>
      <x:c r="AD81" s="128" t="str">
        <x:v>NONE</x:v>
      </x:c>
      <x:c r="AE81" s="128" t="str">
        <x:f>IF(A81="","",IF(AD81="AUTO",AB81,IF(AD81="MANUAL",AF81,"")))</x:f>
      </x:c>
      <x:c r="AF81" s="9"/>
      <x:c r="AG81" t="str"/>
      <x:c r="AH81" t="str">
        <x:v>NONE</x:v>
      </x:c>
      <x:c r="AI81" s="42" t="str"/>
      <x:c r="AJ81" t="str">
        <x:f>IF(A81="","",IF(OR(Z81="FAIL",AND(AQ81="ROLLING",AC81="CHANGED")),IF(AND(AF81&lt;&gt;"",AF81&gt;=INT(AA81)),"NO","YES"),"NO"))</x:f>
        <x:v>NO</x:v>
      </x:c>
      <x:c r="AK81" t="str"/>
      <x:c r="AL81" t="str">
        <x:v>CURRENT</x:v>
      </x:c>
      <x:c r="AM81" t="str">
        <x:v>CS008</x:v>
      </x:c>
      <x:c r="AN81" s="42" t="str">
        <x:v>Official expansion. Relevant to feed-sourcing requirements under IFA aquaculture.</x:v>
      </x:c>
      <x:c r="AO81" t="str">
        <x:v>OFFICIAL_WEBSITE</x:v>
      </x:c>
      <x:c r="AP81" t="str">
        <x:v>OFFICIAL_ORIGINAL</x:v>
      </x:c>
      <x:c r="AQ81" t="str">
        <x:v>VERSIONED</x:v>
      </x:c>
      <x:c r="AR81" s="42" t="str"/>
    </x:row>
    <x:row r="82" ht="42" customHeight="1">
      <x:c r="A82" t="str">
        <x:v>CS013</x:v>
      </x:c>
      <x:c r="B82" t="str">
        <x:v>CS013-001</x:v>
      </x:c>
      <x:c r="C82" s="42" t="str">
        <x:v>GLOBALG.A.P. General Regulations - Rules for individual producers</x:v>
      </x:c>
      <x:c r="D82" s="129" t="str">
        <x:v>https://globalgap.org/what-we-offer/solutions/ifa-aquaculture/</x:v>
      </x:c>
      <x:c r="E82" s="129" t="str">
        <x:v>https://documents.globalgap.org/documents/240902_GG_GR_Rules_for_IP_v6_0_Aug24_en.pdf</x:v>
      </x:c>
      <x:c r="F82" t="str">
        <x:v>C_Certification_Scheme</x:v>
      </x:c>
      <x:c r="G82" t="str">
        <x:v>pdf</x:v>
      </x:c>
      <x:c r="H82" t="str">
        <x:v>CS013-001_GLOBALG.A.P._General_Regulations_-_Rules_for_individual_producers.pdf</x:v>
      </x:c>
      <x:c r="I82" t="str">
        <x:v>STORED</x:v>
      </x:c>
      <x:c r="J82" t="str">
        <x:v>GLOBALG.A.P.</x:v>
      </x:c>
      <x:c r="K82" t="str">
        <x:v>International</x:v>
      </x:c>
      <x:c r="L82" t="str">
        <x:v>English</x:v>
      </x:c>
      <x:c r="M82" t="str">
        <x:v>6.0_Aug24</x:v>
      </x:c>
      <x:c r="N82" s="9" t="n">
        <x:v>45510</x:v>
      </x:c>
      <x:c r="O82" t="str">
        <x:v>Certification scheme</x:v>
      </x:c>
      <x:c r="P82" t="str">
        <x:v>Scheme standard</x:v>
      </x:c>
      <x:c r="Q82" t="str">
        <x:v>Referenced normative</x:v>
      </x:c>
      <x:c r="R82" s="42" t="str">
        <x:v>Official referenced source from GLOBALG.A.P.; included because an applicable law, permit or certification scheme may make its provisions binding within the approved scope.</x:v>
      </x:c>
      <x:c r="S82" t="str">
        <x:v>HIGH</x:v>
      </x:c>
      <x:c r="T82" t="str">
        <x:v>MEDIUM</x:v>
      </x:c>
      <x:c r="U82" t="str">
        <x:v>HIGH</x:v>
      </x:c>
      <x:c r="V82" t="str">
        <x:v>HIGH</x:v>
      </x:c>
      <x:c r="W82" t="str">
        <x:v>HIGH</x:v>
      </x:c>
      <x:c r="X82" t="str">
        <x:v>HIGH</x:v>
      </x:c>
      <x:c r="Y82" t="str">
        <x:f>IF(A82="","",IF(OR(J82="",AO82="",AP82="",AP82="UNVERIFIED",AND(AO82="OFFICIAL_WEBSITE",D82=""),AND(OR(P82="Equipment manual / OEM instruction",Q82="Asset-specific normative"),OR(O82&lt;&gt;"Manufacturer / supplier",AR82="",R82=""))),"PENDING",IF(COUNTIF(S82:W82,"LOW")&gt;0,"EXCLUDE",IF(COUNTIF(S82:W82,"MEDIUM")&gt;0,"PENDING",IF(COUNTIF(S82:W82,"HIGH")=5,"INCLUDE","PENDING")))))</x:f>
        <x:v>PENDING</x:v>
      </x:c>
      <x:c r="Z82" t="str">
        <x:v>SUCCESS</x:v>
      </x:c>
      <x:c r="AA82" s="128" t="n">
        <x:v>46262.53116898148</x:v>
      </x:c>
      <x:c r="AB82" s="128" t="n">
        <x:v>46262.53118055555</x:v>
      </x:c>
      <x:c r="AC82" s="128" t="str">
        <x:v>INITIAL</x:v>
      </x:c>
      <x:c r="AD82" s="128" t="str">
        <x:v>AUTO</x:v>
      </x:c>
      <x:c r="AE82" s="128" t="n">
        <x:f>IF(A82="","",IF(AD82="AUTO",AB82,IF(AD82="MANUAL",AF82,"")))</x:f>
        <x:v>46262.53118055555</x:v>
      </x:c>
      <x:c r="AF82" s="9"/>
      <x:c r="AG82" t="str"/>
      <x:c r="AH82" t="str">
        <x:v>NONE</x:v>
      </x:c>
      <x:c r="AI82" s="42" t="str"/>
      <x:c r="AJ82" t="str">
        <x:f>IF(A82="","",IF(OR(Z82="FAIL",AND(AQ82="ROLLING",AC82="CHANGED")),IF(AND(AF82&lt;&gt;"",AF82&gt;=INT(AA82)),"NO","YES"),"NO"))</x:f>
        <x:v>NO</x:v>
      </x:c>
      <x:c r="AK82" t="str">
        <x:v>1015d3e9d049ce63876f8e511408e9d9e61c38598caf48442dc42be26c6d2716</x:v>
      </x:c>
      <x:c r="AL82" t="str">
        <x:v>CURRENT</x:v>
      </x:c>
      <x:c r="AM82" t="str">
        <x:v>CS008</x:v>
      </x:c>
      <x:c r="AN82" s="42" t="str">
        <x:v>Coverage-audit expansion. The project checklist explicitly cites these rules for individual-producer self-assessment and certification.</x:v>
      </x:c>
      <x:c r="AO82" t="str">
        <x:v>OFFICIAL_WEBSITE</x:v>
      </x:c>
      <x:c r="AP82" t="str">
        <x:v>OFFICIAL_ORIGINAL</x:v>
      </x:c>
      <x:c r="AQ82" t="str">
        <x:v>VERSIONED</x:v>
      </x:c>
      <x:c r="AR82" s="42" t="str"/>
    </x:row>
    <x:row r="83" ht="42" customHeight="1">
      <x:c r="A83" t="str">
        <x:v>CS014</x:v>
      </x:c>
      <x:c r="B83" t="str">
        <x:v>CS014-001</x:v>
      </x:c>
      <x:c r="C83" s="42" t="str">
        <x:v>GLOBALG.A.P. General Regulations - Rules for producer groups and multisite producers with QMS</x:v>
      </x:c>
      <x:c r="D83" s="129" t="str">
        <x:v>https://globalgap.org/what-we-offer/solutions/ifa-aquaculture/</x:v>
      </x:c>
      <x:c r="E83" s="129" t="str">
        <x:v>https://documents.globalgap.org/documents/240902_GG_GR_Rules_for_QMS_v6_0_Aug24_en.pdf</x:v>
      </x:c>
      <x:c r="F83" t="str">
        <x:v>C_Certification_Scheme</x:v>
      </x:c>
      <x:c r="G83" t="str">
        <x:v>pdf</x:v>
      </x:c>
      <x:c r="H83" t="str">
        <x:v>CS014-001_GLOBALG.A.P._General_Regulations_-_Rules_for_producer_groups_and_multisite_producers_with_QMS.pdf</x:v>
      </x:c>
      <x:c r="I83" t="str">
        <x:v>STORED</x:v>
      </x:c>
      <x:c r="J83" t="str">
        <x:v>GLOBALG.A.P.</x:v>
      </x:c>
      <x:c r="K83" t="str">
        <x:v>International</x:v>
      </x:c>
      <x:c r="L83" t="str">
        <x:v>English</x:v>
      </x:c>
      <x:c r="M83" t="str">
        <x:v>6.0_Aug24</x:v>
      </x:c>
      <x:c r="N83" s="9" t="n">
        <x:v>45510</x:v>
      </x:c>
      <x:c r="O83" t="str">
        <x:v>Certification scheme</x:v>
      </x:c>
      <x:c r="P83" t="str">
        <x:v>Scheme standard</x:v>
      </x:c>
      <x:c r="Q83" t="str">
        <x:v>Referenced normative</x:v>
      </x:c>
      <x:c r="R83" s="42" t="str">
        <x:v>Official referenced source from GLOBALG.A.P.; included because an applicable law, permit or certification scheme may make its provisions binding within the approved scope.</x:v>
      </x:c>
      <x:c r="S83" t="str">
        <x:v>HIGH</x:v>
      </x:c>
      <x:c r="T83" t="str">
        <x:v>MEDIUM</x:v>
      </x:c>
      <x:c r="U83" t="str">
        <x:v>HIGH</x:v>
      </x:c>
      <x:c r="V83" t="str">
        <x:v>HIGH</x:v>
      </x:c>
      <x:c r="W83" t="str">
        <x:v>HIGH</x:v>
      </x:c>
      <x:c r="X83" t="str">
        <x:v>HIGH</x:v>
      </x:c>
      <x:c r="Y83" t="str">
        <x:f>IF(A83="","",IF(OR(J83="",AO83="",AP83="",AP83="UNVERIFIED",AND(AO83="OFFICIAL_WEBSITE",D83=""),AND(OR(P83="Equipment manual / OEM instruction",Q83="Asset-specific normative"),OR(O83&lt;&gt;"Manufacturer / supplier",AR83="",R83=""))),"PENDING",IF(COUNTIF(S83:W83,"LOW")&gt;0,"EXCLUDE",IF(COUNTIF(S83:W83,"MEDIUM")&gt;0,"PENDING",IF(COUNTIF(S83:W83,"HIGH")=5,"INCLUDE","PENDING")))))</x:f>
        <x:v>PENDING</x:v>
      </x:c>
      <x:c r="Z83" t="str">
        <x:v>SUCCESS</x:v>
      </x:c>
      <x:c r="AA83" s="128" t="n">
        <x:v>46262.53118055555</x:v>
      </x:c>
      <x:c r="AB83" s="128" t="n">
        <x:v>46262.53119212963</x:v>
      </x:c>
      <x:c r="AC83" s="128" t="str">
        <x:v>INITIAL</x:v>
      </x:c>
      <x:c r="AD83" s="128" t="str">
        <x:v>AUTO</x:v>
      </x:c>
      <x:c r="AE83" s="128" t="n">
        <x:f>IF(A83="","",IF(AD83="AUTO",AB83,IF(AD83="MANUAL",AF83,"")))</x:f>
        <x:v>46262.53119212963</x:v>
      </x:c>
      <x:c r="AF83" s="9"/>
      <x:c r="AG83" t="str"/>
      <x:c r="AH83" t="str">
        <x:v>NONE</x:v>
      </x:c>
      <x:c r="AI83" s="42" t="str"/>
      <x:c r="AJ83" t="str">
        <x:f>IF(A83="","",IF(OR(Z83="FAIL",AND(AQ83="ROLLING",AC83="CHANGED")),IF(AND(AF83&lt;&gt;"",AF83&gt;=INT(AA83)),"NO","YES"),"NO"))</x:f>
        <x:v>NO</x:v>
      </x:c>
      <x:c r="AK83" t="str">
        <x:v>28042ea052f0ef9fe863d94d9035ef3fe4b390ef0f51c304eeb677cf22156dcf</x:v>
      </x:c>
      <x:c r="AL83" t="str">
        <x:v>CURRENT</x:v>
      </x:c>
      <x:c r="AM83" t="str">
        <x:v>CS008</x:v>
      </x:c>
      <x:c r="AN83" s="42" t="str">
        <x:v>Coverage-audit expansion. The project checklist explicitly cites these rules for QMS audits and group or multisite certification.</x:v>
      </x:c>
      <x:c r="AO83" t="str">
        <x:v>OFFICIAL_WEBSITE</x:v>
      </x:c>
      <x:c r="AP83" t="str">
        <x:v>OFFICIAL_ORIGINAL</x:v>
      </x:c>
      <x:c r="AQ83" t="str">
        <x:v>VERSIONED</x:v>
      </x:c>
      <x:c r="AR83" s="42" t="str"/>
    </x:row>
    <x:row r="84" ht="42" customHeight="1">
      <x:c r="A84" t="str">
        <x:v>CS015</x:v>
      </x:c>
      <x:c r="B84" t="str">
        <x:v>CS015-001</x:v>
      </x:c>
      <x:c r="C84" s="42" t="str">
        <x:v>GLOBALG.A.P. trademarks use: Policy and guidelines</x:v>
      </x:c>
      <x:c r="D84" s="129" t="str">
        <x:v>https://globalgap.org/what-we-offer/solutions/ifa-aquaculture/</x:v>
      </x:c>
      <x:c r="E84" s="129" t="str">
        <x:v>https://documents.globalgap.org/documents/230523_GG_Trademarks_policy_v1_0-1_en.pdf</x:v>
      </x:c>
      <x:c r="F84" t="str">
        <x:v>C_Certification_Scheme</x:v>
      </x:c>
      <x:c r="G84" t="str">
        <x:v>pdf</x:v>
      </x:c>
      <x:c r="H84" t="str">
        <x:v>CS015-001_GLOBALG.A.P._trademarks_use_Policy_and_guidelines.pdf</x:v>
      </x:c>
      <x:c r="I84" t="str">
        <x:v>STORED</x:v>
      </x:c>
      <x:c r="J84" t="str">
        <x:v>GLOBALG.A.P.</x:v>
      </x:c>
      <x:c r="K84" t="str">
        <x:v>International</x:v>
      </x:c>
      <x:c r="L84" t="str">
        <x:v>English</x:v>
      </x:c>
      <x:c r="M84" t="str">
        <x:v>1.0-1</x:v>
      </x:c>
      <x:c r="N84" s="9"/>
      <x:c r="O84" t="str">
        <x:v>Certification scheme</x:v>
      </x:c>
      <x:c r="P84" t="str">
        <x:v>Scheme standard</x:v>
      </x:c>
      <x:c r="Q84" t="str">
        <x:v>Referenced normative</x:v>
      </x:c>
      <x:c r="R84" s="42" t="str">
        <x:v>Official referenced source from GLOBALG.A.P.; included because an applicable law, permit or certification scheme may make its provisions binding within the approved scope.</x:v>
      </x:c>
      <x:c r="S84" t="str">
        <x:v>HIGH</x:v>
      </x:c>
      <x:c r="T84" t="str">
        <x:v>HIGH</x:v>
      </x:c>
      <x:c r="U84" t="str">
        <x:v>HIGH</x:v>
      </x:c>
      <x:c r="V84" t="str">
        <x:v>HIGH</x:v>
      </x:c>
      <x:c r="W84" t="str">
        <x:v>HIGH</x:v>
      </x:c>
      <x:c r="X84" t="str">
        <x:v>HIGH</x:v>
      </x:c>
      <x:c r="Y84" t="str">
        <x:f>IF(A84="","",IF(OR(J84="",AO84="",AP84="",AP84="UNVERIFIED",AND(AO84="OFFICIAL_WEBSITE",D84=""),AND(OR(P84="Equipment manual / OEM instruction",Q84="Asset-specific normative"),OR(O84&lt;&gt;"Manufacturer / supplier",AR84="",R84=""))),"PENDING",IF(COUNTIF(S84:W84,"LOW")&gt;0,"EXCLUDE",IF(COUNTIF(S84:W84,"MEDIUM")&gt;0,"PENDING",IF(COUNTIF(S84:W84,"HIGH")=5,"INCLUDE","PENDING")))))</x:f>
        <x:v>INCLUDE</x:v>
      </x:c>
      <x:c r="Z84" t="str">
        <x:v>SUCCESS</x:v>
      </x:c>
      <x:c r="AA84" s="128" t="n">
        <x:v>46262.53119212963</x:v>
      </x:c>
      <x:c r="AB84" s="128" t="n">
        <x:v>46262.5312037037</x:v>
      </x:c>
      <x:c r="AC84" s="128" t="str">
        <x:v>INITIAL</x:v>
      </x:c>
      <x:c r="AD84" s="128" t="str">
        <x:v>AUTO</x:v>
      </x:c>
      <x:c r="AE84" s="128" t="n">
        <x:f>IF(A84="","",IF(AD84="AUTO",AB84,IF(AD84="MANUAL",AF84,"")))</x:f>
        <x:v>46262.5312037037</x:v>
      </x:c>
      <x:c r="AF84" s="9"/>
      <x:c r="AG84" t="str"/>
      <x:c r="AH84" t="str">
        <x:v>NONE</x:v>
      </x:c>
      <x:c r="AI84" s="42" t="str"/>
      <x:c r="AJ84" t="str">
        <x:f>IF(A84="","",IF(OR(Z84="FAIL",AND(AQ84="ROLLING",AC84="CHANGED")),IF(AND(AF84&lt;&gt;"",AF84&gt;=INT(AA84)),"NO","YES"),"NO"))</x:f>
        <x:v>NO</x:v>
      </x:c>
      <x:c r="AK84" t="str">
        <x:v>7279130c3617610cebaaceb4ecae44014f8df742aa4a7ac741a4e4346a066096</x:v>
      </x:c>
      <x:c r="AL84" t="str">
        <x:v>CURRENT</x:v>
      </x:c>
      <x:c r="AM84" t="str">
        <x:v>CS008</x:v>
      </x:c>
      <x:c r="AN84" s="42" t="str">
        <x:v>Coverage-audit expansion. The project checklist cites this policy for certification claims, marks and identification numbers.</x:v>
      </x:c>
      <x:c r="AO84" t="str">
        <x:v>OFFICIAL_WEBSITE</x:v>
      </x:c>
      <x:c r="AP84" t="str">
        <x:v>OFFICIAL_ORIGINAL</x:v>
      </x:c>
      <x:c r="AQ84" t="str">
        <x:v>VERSIONED</x:v>
      </x:c>
      <x:c r="AR84" s="42" t="str"/>
    </x:row>
    <x:row r="85" ht="42" customHeight="1">
      <x:c r="A85" t="str">
        <x:v>CS016</x:v>
      </x:c>
      <x:c r="B85" t="str">
        <x:v>CS016-001</x:v>
      </x:c>
      <x:c r="C85" s="42" t="str">
        <x:v>GLOBALG.A.P. GRASP - General Rules</x:v>
      </x:c>
      <x:c r="D85" s="129" t="str">
        <x:v>https://globalgap.org/what-we-offer/solutions/grasp/</x:v>
      </x:c>
      <x:c r="E85" s="129" t="str">
        <x:v>https://documents.globalgap.org/documents/220929_GRASP_general_rules_v2_0_Sep22_en.pdf</x:v>
      </x:c>
      <x:c r="F85" t="str">
        <x:v>C_Certification_Scheme</x:v>
      </x:c>
      <x:c r="G85" t="str">
        <x:v>pdf</x:v>
      </x:c>
      <x:c r="H85" t="str">
        <x:v>CS016-001_GLOBALG.A.P._GRASP_-_General_Rules.pdf</x:v>
      </x:c>
      <x:c r="I85" t="str">
        <x:v>STORED</x:v>
      </x:c>
      <x:c r="J85" t="str">
        <x:v>GLOBALG.A.P.</x:v>
      </x:c>
      <x:c r="K85" t="str">
        <x:v>International</x:v>
      </x:c>
      <x:c r="L85" t="str">
        <x:v>English</x:v>
      </x:c>
      <x:c r="M85" t="str">
        <x:v>2.0_Sep22</x:v>
      </x:c>
      <x:c r="N85" s="9" t="n">
        <x:v>45292</x:v>
      </x:c>
      <x:c r="O85" t="str">
        <x:v>Certification scheme</x:v>
      </x:c>
      <x:c r="P85" t="str">
        <x:v>Scheme standard</x:v>
      </x:c>
      <x:c r="Q85" t="str">
        <x:v>Referenced normative</x:v>
      </x:c>
      <x:c r="R85" s="42" t="str">
        <x:v>Official referenced source from GLOBALG.A.P.; included because an applicable law, permit or certification scheme may make its provisions binding within the approved scope.</x:v>
      </x:c>
      <x:c r="S85" t="str">
        <x:v>HIGH</x:v>
      </x:c>
      <x:c r="T85" t="str">
        <x:v>HIGH</x:v>
      </x:c>
      <x:c r="U85" t="str">
        <x:v>HIGH</x:v>
      </x:c>
      <x:c r="V85" t="str">
        <x:v>HIGH</x:v>
      </x:c>
      <x:c r="W85" t="str">
        <x:v>HIGH</x:v>
      </x:c>
      <x:c r="X85" t="str">
        <x:v>HIGH</x:v>
      </x:c>
      <x:c r="Y85" t="str">
        <x:f>IF(A85="","",IF(OR(J85="",AO85="",AP85="",AP85="UNVERIFIED",AND(AO85="OFFICIAL_WEBSITE",D85=""),AND(OR(P85="Equipment manual / OEM instruction",Q85="Asset-specific normative"),OR(O85&lt;&gt;"Manufacturer / supplier",AR85="",R85=""))),"PENDING",IF(COUNTIF(S85:W85,"LOW")&gt;0,"EXCLUDE",IF(COUNTIF(S85:W85,"MEDIUM")&gt;0,"PENDING",IF(COUNTIF(S85:W85,"HIGH")=5,"INCLUDE","PENDING")))))</x:f>
        <x:v>INCLUDE</x:v>
      </x:c>
      <x:c r="Z85" t="str">
        <x:v>SUCCESS</x:v>
      </x:c>
      <x:c r="AA85" s="128" t="n">
        <x:v>46262.5312037037</x:v>
      </x:c>
      <x:c r="AB85" s="128" t="n">
        <x:v>46262.53121527778</x:v>
      </x:c>
      <x:c r="AC85" s="128" t="str">
        <x:v>INITIAL</x:v>
      </x:c>
      <x:c r="AD85" s="128" t="str">
        <x:v>AUTO</x:v>
      </x:c>
      <x:c r="AE85" s="128" t="n">
        <x:f>IF(A85="","",IF(AD85="AUTO",AB85,IF(AD85="MANUAL",AF85,"")))</x:f>
        <x:v>46262.53121527778</x:v>
      </x:c>
      <x:c r="AF85" s="9"/>
      <x:c r="AG85" t="str"/>
      <x:c r="AH85" t="str">
        <x:v>NONE</x:v>
      </x:c>
      <x:c r="AI85" s="42" t="str"/>
      <x:c r="AJ85" t="str">
        <x:f>IF(A85="","",IF(OR(Z85="FAIL",AND(AQ85="ROLLING",AC85="CHANGED")),IF(AND(AF85&lt;&gt;"",AF85&gt;=INT(AA85)),"NO","YES"),"NO"))</x:f>
        <x:v>NO</x:v>
      </x:c>
      <x:c r="AK85" t="str">
        <x:v>57c35d150287f8092a9af4a79842d206e1761e9428cf9201d828f9ac563a96e5</x:v>
      </x:c>
      <x:c r="AL85" t="str">
        <x:v>CURRENT</x:v>
      </x:c>
      <x:c r="AM85" t="str">
        <x:v>CS011</x:v>
      </x:c>
      <x:c r="AN85" s="42" t="str">
        <x:v>Coverage-audit expansion. GRASP is mandatory for IFA v6 aquaculture and these rules define its application and assessment process.</x:v>
      </x:c>
      <x:c r="AO85" t="str">
        <x:v>OFFICIAL_WEBSITE</x:v>
      </x:c>
      <x:c r="AP85" t="str">
        <x:v>OFFICIAL_ORIGINAL</x:v>
      </x:c>
      <x:c r="AQ85" t="str">
        <x:v>VERSIONED</x:v>
      </x:c>
      <x:c r="AR85" s="42" t="str"/>
    </x:row>
    <x:row r="86" ht="42" customHeight="1">
      <x:c r="A86" t="str">
        <x:v>CS017</x:v>
      </x:c>
      <x:c r="B86" t="str">
        <x:v>CS017-001</x:v>
      </x:c>
      <x:c r="C86" s="42" t="str">
        <x:v>GLOBALG.A.P. GRASP v2 National Interpretation Guideline for Norway</x:v>
      </x:c>
      <x:c r="D86" s="129" t="str">
        <x:v>https://globalgap.org/what-we-offer/solutions/grasp/</x:v>
      </x:c>
      <x:c r="E86" s="129" t="str"/>
      <x:c r="F86" t="str">
        <x:v>C_Certification_Scheme</x:v>
      </x:c>
      <x:c r="G86" t="str">
        <x:v>pdf</x:v>
      </x:c>
      <x:c r="H86" t="str">
        <x:v>CS017-001_GLOBALG.A.P._GRASP_v2_National_Interpretation_Guideline_for_Norway.pdf</x:v>
      </x:c>
      <x:c r="I86" t="str">
        <x:v>NOT_COLLECTED</x:v>
      </x:c>
      <x:c r="J86" t="str">
        <x:v>GLOBALG.A.P.</x:v>
      </x:c>
      <x:c r="K86" t="str">
        <x:v>Norway</x:v>
      </x:c>
      <x:c r="L86" t="str">
        <x:v>Norwegian</x:v>
      </x:c>
      <x:c r="M86" t="str">
        <x:v>V2</x:v>
      </x:c>
      <x:c r="N86" s="9"/>
      <x:c r="O86" t="str">
        <x:v>Certification scheme</x:v>
      </x:c>
      <x:c r="P86" t="str">
        <x:v>Interpretation document</x:v>
      </x:c>
      <x:c r="Q86" t="str">
        <x:v>Referenced normative</x:v>
      </x:c>
      <x:c r="R86" s="42" t="str">
        <x:v>Official referenced source from GLOBALG.A.P.; included because an applicable law, permit or certification scheme may make its provisions binding within the approved scope.</x:v>
      </x:c>
      <x:c r="S86" t="str">
        <x:v>HIGH</x:v>
      </x:c>
      <x:c r="T86" t="str">
        <x:v>HIGH</x:v>
      </x:c>
      <x:c r="U86" t="str">
        <x:v>MEDIUM</x:v>
      </x:c>
      <x:c r="V86" t="str">
        <x:v>MEDIUM</x:v>
      </x:c>
      <x:c r="W86" t="str">
        <x:v>HIGH</x:v>
      </x:c>
      <x:c r="X86" t="str">
        <x:v>LOW</x:v>
      </x:c>
      <x:c r="Y86" t="str">
        <x:f>IF(A86="","",IF(OR(J86="",AO86="",AP86="",AP86="UNVERIFIED",AND(AO86="OFFICIAL_WEBSITE",D86=""),AND(OR(P86="Equipment manual / OEM instruction",Q86="Asset-specific normative"),OR(O86&lt;&gt;"Manufacturer / supplier",AR86="",R86=""))),"PENDING",IF(COUNTIF(S86:W86,"LOW")&gt;0,"EXCLUDE",IF(COUNTIF(S86:W86,"MEDIUM")&gt;0,"PENDING",IF(COUNTIF(S86:W86,"HIGH")=5,"INCLUDE","PENDING")))))</x:f>
        <x:v>PENDING</x:v>
      </x:c>
      <x:c r="Z86" t="str">
        <x:v>NOT_RUN</x:v>
      </x:c>
      <x:c r="AA86" s="128"/>
      <x:c r="AB86" s="128"/>
      <x:c r="AC86" s="128" t="str">
        <x:v>UNKNOWN</x:v>
      </x:c>
      <x:c r="AD86" s="128" t="str">
        <x:v>NONE</x:v>
      </x:c>
      <x:c r="AE86" s="128" t="str">
        <x:f>IF(A86="","",IF(AD86="AUTO",AB86,IF(AD86="MANUAL",AF86,"")))</x:f>
      </x:c>
      <x:c r="AF86" s="9"/>
      <x:c r="AG86" t="str"/>
      <x:c r="AH86" t="str">
        <x:v>NONE</x:v>
      </x:c>
      <x:c r="AI86" s="42" t="str"/>
      <x:c r="AJ86" t="str">
        <x:f>IF(A86="","",IF(OR(Z86="FAIL",AND(AQ86="ROLLING",AC86="CHANGED")),IF(AND(AF86&lt;&gt;"",AF86&gt;=INT(AA86)),"NO","YES"),"NO"))</x:f>
        <x:v>NO</x:v>
      </x:c>
      <x:c r="AK86" t="str"/>
      <x:c r="AL86" t="str">
        <x:v>CURRENT</x:v>
      </x:c>
      <x:c r="AM86" t="str">
        <x:v>CS011</x:v>
      </x:c>
      <x:c r="AN86" s="42" t="str">
        <x:v>Coverage-audit expansion. An existing country NIG must be applied; confirm the current Norway document and direct download in the GLOBALG.A.P. document center.</x:v>
      </x:c>
      <x:c r="AO86" t="str">
        <x:v>OFFICIAL_WEBSITE</x:v>
      </x:c>
      <x:c r="AP86" t="str">
        <x:v>OFFICIAL_ORIGINAL</x:v>
      </x:c>
      <x:c r="AQ86" t="str">
        <x:v>VERSIONED</x:v>
      </x:c>
      <x:c r="AR86" s="42" t="str"/>
    </x:row>
    <x:row r="87" ht="42" customHeight="1">
      <x:c r="A87" t="str">
        <x:v>CS018</x:v>
      </x:c>
      <x:c r="B87" t="str">
        <x:v>CS018-001</x:v>
      </x:c>
      <x:c r="C87" s="42" t="str">
        <x:v>ASC Vocabulary</x:v>
      </x:c>
      <x:c r="D87" s="129" t="str">
        <x:v>https://programme-centre.asc-aqua.org/resource-hub/?filter=farm</x:v>
      </x:c>
      <x:c r="E87" s="129" t="str"/>
      <x:c r="F87" t="str">
        <x:v>C_Certification_Scheme</x:v>
      </x:c>
      <x:c r="G87" t="str">
        <x:v>pdf</x:v>
      </x:c>
      <x:c r="H87" t="str">
        <x:v>CS018-001_ASC_Vocabulary.pdf</x:v>
      </x:c>
      <x:c r="I87" t="str">
        <x:v>NOT_COLLECTED</x:v>
      </x:c>
      <x:c r="J87" t="str">
        <x:v>Aquaculture Stewardship Council</x:v>
      </x:c>
      <x:c r="K87" t="str">
        <x:v>International</x:v>
      </x:c>
      <x:c r="L87" t="str">
        <x:v>English</x:v>
      </x:c>
      <x:c r="M87" t="str"/>
      <x:c r="N87" s="9"/>
      <x:c r="O87" t="str">
        <x:v>Certification scheme</x:v>
      </x:c>
      <x:c r="P87" t="str">
        <x:v>Scheme standard</x:v>
      </x:c>
      <x:c r="Q87" t="str">
        <x:v>Referenced normative</x:v>
      </x:c>
      <x:c r="R87" s="42" t="str">
        <x:v>Official referenced source from Aquaculture Stewardship Council; included because an applicable law, permit or certification scheme may make its provisions binding within the approved scope.</x:v>
      </x:c>
      <x:c r="S87" t="str">
        <x:v>HIGH</x:v>
      </x:c>
      <x:c r="T87" t="str">
        <x:v>HIGH</x:v>
      </x:c>
      <x:c r="U87" t="str">
        <x:v>MEDIUM</x:v>
      </x:c>
      <x:c r="V87" t="str">
        <x:v>MEDIUM</x:v>
      </x:c>
      <x:c r="W87" t="str">
        <x:v>HIGH</x:v>
      </x:c>
      <x:c r="X87" t="str">
        <x:v>LOW</x:v>
      </x:c>
      <x:c r="Y87" t="str">
        <x:f>IF(A87="","",IF(OR(J87="",AO87="",AP87="",AP87="UNVERIFIED",AND(AO87="OFFICIAL_WEBSITE",D87=""),AND(OR(P87="Equipment manual / OEM instruction",Q87="Asset-specific normative"),OR(O87&lt;&gt;"Manufacturer / supplier",AR87="",R87=""))),"PENDING",IF(COUNTIF(S87:W87,"LOW")&gt;0,"EXCLUDE",IF(COUNTIF(S87:W87,"MEDIUM")&gt;0,"PENDING",IF(COUNTIF(S87:W87,"HIGH")=5,"INCLUDE","PENDING")))))</x:f>
        <x:v>PENDING</x:v>
      </x:c>
      <x:c r="Z87" t="str">
        <x:v>NOT_RUN</x:v>
      </x:c>
      <x:c r="AA87" s="128"/>
      <x:c r="AB87" s="128"/>
      <x:c r="AC87" s="128" t="str">
        <x:v>UNKNOWN</x:v>
      </x:c>
      <x:c r="AD87" s="128" t="str">
        <x:v>NONE</x:v>
      </x:c>
      <x:c r="AE87" s="128" t="str">
        <x:f>IF(A87="","",IF(AD87="AUTO",AB87,IF(AD87="MANUAL",AF87,"")))</x:f>
      </x:c>
      <x:c r="AF87" s="9"/>
      <x:c r="AG87" t="str"/>
      <x:c r="AH87" t="str">
        <x:v>NONE</x:v>
      </x:c>
      <x:c r="AI87" s="42" t="str"/>
      <x:c r="AJ87" t="str">
        <x:f>IF(A87="","",IF(OR(Z87="FAIL",AND(AQ87="ROLLING",AC87="CHANGED")),IF(AND(AF87&lt;&gt;"",AF87&gt;=INT(AA87)),"NO","YES"),"NO"))</x:f>
        <x:v>NO</x:v>
      </x:c>
      <x:c r="AK87" t="str"/>
      <x:c r="AL87" t="str">
        <x:v>CURRENT</x:v>
      </x:c>
      <x:c r="AM87" t="str">
        <x:v>CS001</x:v>
      </x:c>
      <x:c r="AN87" s="42" t="str">
        <x:v>Official coverage expansion. The current ASC Farm Standard lists the vocabulary as a normative reference; direct-file traceability still requires confirmation.</x:v>
      </x:c>
      <x:c r="AO87" t="str">
        <x:v>OFFICIAL_WEBSITE</x:v>
      </x:c>
      <x:c r="AP87" t="str">
        <x:v>OFFICIAL_ORIGINAL</x:v>
      </x:c>
      <x:c r="AQ87" t="str">
        <x:v>VERSIONED</x:v>
      </x:c>
      <x:c r="AR87" s="42" t="str"/>
    </x:row>
    <x:row r="88" ht="42" customHeight="1">
      <x:c r="A88" t="str">
        <x:v>CS019</x:v>
      </x:c>
      <x:c r="B88" t="str">
        <x:v>CS019-001</x:v>
      </x:c>
      <x:c r="C88" s="42" t="str">
        <x:v>ASC Data Submission Requirements</x:v>
      </x:c>
      <x:c r="D88" s="129" t="str">
        <x:v>https://programme-centre.asc-aqua.org/resource-hub/?filter=farm</x:v>
      </x:c>
      <x:c r="E88" s="129" t="str"/>
      <x:c r="F88" t="str">
        <x:v>C_Certification_Scheme</x:v>
      </x:c>
      <x:c r="G88" t="str">
        <x:v>pdf</x:v>
      </x:c>
      <x:c r="H88" t="str">
        <x:v>CS019-001_ASC_Data_Submission_Requirements.pdf</x:v>
      </x:c>
      <x:c r="I88" t="str">
        <x:v>NOT_COLLECTED</x:v>
      </x:c>
      <x:c r="J88" t="str">
        <x:v>Aquaculture Stewardship Council</x:v>
      </x:c>
      <x:c r="K88" t="str">
        <x:v>International</x:v>
      </x:c>
      <x:c r="L88" t="str">
        <x:v>English</x:v>
      </x:c>
      <x:c r="M88" t="str"/>
      <x:c r="N88" s="9"/>
      <x:c r="O88" t="str">
        <x:v>Certification scheme</x:v>
      </x:c>
      <x:c r="P88" t="str">
        <x:v>Scheme standard</x:v>
      </x:c>
      <x:c r="Q88" t="str">
        <x:v>Referenced normative</x:v>
      </x:c>
      <x:c r="R88" s="42" t="str">
        <x:v>Official referenced source from Aquaculture Stewardship Council; included because an applicable law, permit or certification scheme may make its provisions binding within the approved scope.</x:v>
      </x:c>
      <x:c r="S88" t="str">
        <x:v>HIGH</x:v>
      </x:c>
      <x:c r="T88" t="str">
        <x:v>HIGH</x:v>
      </x:c>
      <x:c r="U88" t="str">
        <x:v>MEDIUM</x:v>
      </x:c>
      <x:c r="V88" t="str">
        <x:v>MEDIUM</x:v>
      </x:c>
      <x:c r="W88" t="str">
        <x:v>HIGH</x:v>
      </x:c>
      <x:c r="X88" t="str">
        <x:v>LOW</x:v>
      </x:c>
      <x:c r="Y88" t="str">
        <x:f>IF(A88="","",IF(OR(J88="",AO88="",AP88="",AP88="UNVERIFIED",AND(AO88="OFFICIAL_WEBSITE",D88=""),AND(OR(P88="Equipment manual / OEM instruction",Q88="Asset-specific normative"),OR(O88&lt;&gt;"Manufacturer / supplier",AR88="",R88=""))),"PENDING",IF(COUNTIF(S88:W88,"LOW")&gt;0,"EXCLUDE",IF(COUNTIF(S88:W88,"MEDIUM")&gt;0,"PENDING",IF(COUNTIF(S88:W88,"HIGH")=5,"INCLUDE","PENDING")))))</x:f>
        <x:v>PENDING</x:v>
      </x:c>
      <x:c r="Z88" t="str">
        <x:v>NOT_RUN</x:v>
      </x:c>
      <x:c r="AA88" s="128"/>
      <x:c r="AB88" s="128"/>
      <x:c r="AC88" s="128" t="str">
        <x:v>UNKNOWN</x:v>
      </x:c>
      <x:c r="AD88" s="128" t="str">
        <x:v>NONE</x:v>
      </x:c>
      <x:c r="AE88" s="128" t="str">
        <x:f>IF(A88="","",IF(AD88="AUTO",AB88,IF(AD88="MANUAL",AF88,"")))</x:f>
      </x:c>
      <x:c r="AF88" s="9"/>
      <x:c r="AG88" t="str"/>
      <x:c r="AH88" t="str">
        <x:v>NONE</x:v>
      </x:c>
      <x:c r="AI88" s="42" t="str"/>
      <x:c r="AJ88" t="str">
        <x:f>IF(A88="","",IF(OR(Z88="FAIL",AND(AQ88="ROLLING",AC88="CHANGED")),IF(AND(AF88&lt;&gt;"",AF88&gt;=INT(AA88)),"NO","YES"),"NO"))</x:f>
        <x:v>NO</x:v>
      </x:c>
      <x:c r="AK88" t="str"/>
      <x:c r="AL88" t="str">
        <x:v>CURRENT</x:v>
      </x:c>
      <x:c r="AM88" t="str">
        <x:v>CS001</x:v>
      </x:c>
      <x:c r="AN88" s="42" t="str">
        <x:v>Official coverage expansion. The current ASC Farm Standard lists data submission requirements as a normative reference; direct-file traceability still requires confirmation.</x:v>
      </x:c>
      <x:c r="AO88" t="str">
        <x:v>OFFICIAL_WEBSITE</x:v>
      </x:c>
      <x:c r="AP88" t="str">
        <x:v>OFFICIAL_ORIGINAL</x:v>
      </x:c>
      <x:c r="AQ88" t="str">
        <x:v>VERSIONED</x:v>
      </x:c>
      <x:c r="AR88" s="42" t="str"/>
    </x:row>
    <x:row r="89" ht="42" customHeight="1">
      <x:c r="A89" t="str">
        <x:v>CS020</x:v>
      </x:c>
      <x:c r="B89" t="str">
        <x:v>CS020-001</x:v>
      </x:c>
      <x:c r="C89" s="42" t="str">
        <x:v>GLOBALG.A.P. GRASP v2 - Checklist</x:v>
      </x:c>
      <x:c r="D89" s="129" t="str">
        <x:v>https://globalgap.org/what-we-offer/solutions/grasp/</x:v>
      </x:c>
      <x:c r="E89" s="129" t="str"/>
      <x:c r="F89" t="str">
        <x:v>C_Certification_Scheme</x:v>
      </x:c>
      <x:c r="G89" t="str">
        <x:v>xlsx</x:v>
      </x:c>
      <x:c r="H89" t="str">
        <x:v>CS020-001_GLOBALG.A.P._GRASP_v2_-_Checklist.xlsx</x:v>
      </x:c>
      <x:c r="I89" t="str">
        <x:v>NOT_COLLECTED</x:v>
      </x:c>
      <x:c r="J89" t="str">
        <x:v>GLOBALG.A.P.</x:v>
      </x:c>
      <x:c r="K89" t="str">
        <x:v>International</x:v>
      </x:c>
      <x:c r="L89" t="str">
        <x:v>English</x:v>
      </x:c>
      <x:c r="M89" t="str">
        <x:v>V2</x:v>
      </x:c>
      <x:c r="N89" s="9"/>
      <x:c r="O89" t="str">
        <x:v>Certification scheme</x:v>
      </x:c>
      <x:c r="P89" t="str">
        <x:v>Audit / assessment document</x:v>
      </x:c>
      <x:c r="Q89" t="str">
        <x:v>Audit / assessment tool</x:v>
      </x:c>
      <x:c r="R89" s="42" t="str">
        <x:v>Official assessment tool from GLOBALG.A.P.; included to structure compliance checks and trace evidence back to its linked normative source.</x:v>
      </x:c>
      <x:c r="S89" t="str">
        <x:v>HIGH</x:v>
      </x:c>
      <x:c r="T89" t="str">
        <x:v>HIGH</x:v>
      </x:c>
      <x:c r="U89" t="str">
        <x:v>HIGH</x:v>
      </x:c>
      <x:c r="V89" t="str">
        <x:v>MEDIUM</x:v>
      </x:c>
      <x:c r="W89" t="str">
        <x:v>HIGH</x:v>
      </x:c>
      <x:c r="X89" t="str">
        <x:v>LOW</x:v>
      </x:c>
      <x:c r="Y89" t="str">
        <x:f>IF(A89="","",IF(OR(J89="",AO89="",AP89="",AP89="UNVERIFIED",AND(AO89="OFFICIAL_WEBSITE",D89=""),AND(OR(P89="Equipment manual / OEM instruction",Q89="Asset-specific normative"),OR(O89&lt;&gt;"Manufacturer / supplier",AR89="",R89=""))),"PENDING",IF(COUNTIF(S89:W89,"LOW")&gt;0,"EXCLUDE",IF(COUNTIF(S89:W89,"MEDIUM")&gt;0,"PENDING",IF(COUNTIF(S89:W89,"HIGH")=5,"INCLUDE","PENDING")))))</x:f>
        <x:v>PENDING</x:v>
      </x:c>
      <x:c r="Z89" t="str">
        <x:v>NOT_RUN</x:v>
      </x:c>
      <x:c r="AA89" s="128"/>
      <x:c r="AB89" s="128"/>
      <x:c r="AC89" s="128" t="str">
        <x:v>UNKNOWN</x:v>
      </x:c>
      <x:c r="AD89" s="128" t="str">
        <x:v>NONE</x:v>
      </x:c>
      <x:c r="AE89" s="128" t="str">
        <x:f>IF(A89="","",IF(AD89="AUTO",AB89,IF(AD89="MANUAL",AF89,"")))</x:f>
      </x:c>
      <x:c r="AF89" s="9"/>
      <x:c r="AG89" t="str"/>
      <x:c r="AH89" t="str">
        <x:v>NONE</x:v>
      </x:c>
      <x:c r="AI89" s="42" t="str"/>
      <x:c r="AJ89" t="str">
        <x:f>IF(A89="","",IF(OR(Z89="FAIL",AND(AQ89="ROLLING",AC89="CHANGED")),IF(AND(AF89&lt;&gt;"",AF89&gt;=INT(AA89)),"NO","YES"),"NO"))</x:f>
        <x:v>NO</x:v>
      </x:c>
      <x:c r="AK89" t="str"/>
      <x:c r="AL89" t="str">
        <x:v>CURRENT</x:v>
      </x:c>
      <x:c r="AM89" t="str">
        <x:v>CS011</x:v>
      </x:c>
      <x:c r="AN89" s="42" t="str">
        <x:v>Official coverage expansion. Assessment tool linked to CS011 and CS016; direct-file URL must be confirmed before automated retrieval.</x:v>
      </x:c>
      <x:c r="AO89" t="str">
        <x:v>OFFICIAL_WEBSITE</x:v>
      </x:c>
      <x:c r="AP89" t="str">
        <x:v>OFFICIAL_ORIGINAL</x:v>
      </x:c>
      <x:c r="AQ89" t="str">
        <x:v>VERSIONED</x:v>
      </x:c>
      <x:c r="AR89" s="42" t="str"/>
    </x:row>
    <x:row r="90">
      <x:c r="C90" s="42"/>
      <x:c r="D90" s="129"/>
      <x:c r="E90" s="129"/>
      <x:c r="N90" s="9"/>
      <x:c r="R90" s="42"/>
      <x:c r="AA90" s="128"/>
      <x:c r="AB90" s="128"/>
      <x:c r="AC90" s="128"/>
      <x:c r="AD90" s="128"/>
      <x:c r="AE90" s="128"/>
      <x:c r="AF90" s="9"/>
      <x:c r="AI90" s="42"/>
      <x:c r="AN90" s="42"/>
      <x:c r="AR90" s="42"/>
    </x:row>
    <x:row r="91">
      <x:c r="C91" s="42"/>
      <x:c r="D91" s="129"/>
      <x:c r="E91" s="129"/>
      <x:c r="N91" s="9"/>
      <x:c r="R91" s="42"/>
      <x:c r="AA91" s="128"/>
      <x:c r="AB91" s="128"/>
      <x:c r="AC91" s="128"/>
      <x:c r="AD91" s="128"/>
      <x:c r="AE91" s="128"/>
      <x:c r="AF91" s="9"/>
      <x:c r="AI91" s="42"/>
      <x:c r="AN91" s="42"/>
      <x:c r="AR91" s="42"/>
    </x:row>
    <x:row r="92">
      <x:c r="C92" s="42"/>
      <x:c r="D92" s="129"/>
      <x:c r="E92" s="129"/>
      <x:c r="N92" s="9"/>
      <x:c r="R92" s="42"/>
      <x:c r="AA92" s="128"/>
      <x:c r="AB92" s="128"/>
      <x:c r="AC92" s="128"/>
      <x:c r="AD92" s="128"/>
      <x:c r="AE92" s="128"/>
      <x:c r="AF92" s="9"/>
      <x:c r="AI92" s="42"/>
      <x:c r="AN92" s="42"/>
      <x:c r="AR92" s="42"/>
    </x:row>
    <x:row r="93">
      <x:c r="C93" s="42"/>
      <x:c r="D93" s="129"/>
      <x:c r="E93" s="129"/>
      <x:c r="N93" s="9"/>
      <x:c r="R93" s="42"/>
      <x:c r="AA93" s="128"/>
      <x:c r="AB93" s="128"/>
      <x:c r="AC93" s="128"/>
      <x:c r="AD93" s="128"/>
      <x:c r="AE93" s="128"/>
      <x:c r="AF93" s="9"/>
      <x:c r="AI93" s="42"/>
      <x:c r="AN93" s="42"/>
      <x:c r="AR93" s="42"/>
    </x:row>
    <x:row r="94">
      <x:c r="C94" s="42"/>
      <x:c r="D94" s="129"/>
      <x:c r="E94" s="129"/>
      <x:c r="N94" s="9"/>
      <x:c r="R94" s="42"/>
      <x:c r="AA94" s="128"/>
      <x:c r="AB94" s="128"/>
      <x:c r="AC94" s="128"/>
      <x:c r="AD94" s="128"/>
      <x:c r="AE94" s="128"/>
      <x:c r="AF94" s="9"/>
      <x:c r="AI94" s="42"/>
      <x:c r="AN94" s="42"/>
      <x:c r="AR94" s="42"/>
    </x:row>
    <x:row r="95">
      <x:c r="C95" s="42"/>
      <x:c r="D95" s="129"/>
      <x:c r="E95" s="129"/>
      <x:c r="N95" s="9"/>
      <x:c r="R95" s="42"/>
      <x:c r="AA95" s="128"/>
      <x:c r="AB95" s="128"/>
      <x:c r="AC95" s="128"/>
      <x:c r="AD95" s="128"/>
      <x:c r="AE95" s="128"/>
      <x:c r="AF95" s="9"/>
      <x:c r="AI95" s="42"/>
      <x:c r="AN95" s="42"/>
      <x:c r="AR95" s="42"/>
    </x:row>
    <x:row r="96">
      <x:c r="C96" s="42"/>
      <x:c r="D96" s="129"/>
      <x:c r="E96" s="129"/>
      <x:c r="N96" s="9"/>
      <x:c r="R96" s="42"/>
      <x:c r="AA96" s="128"/>
      <x:c r="AB96" s="128"/>
      <x:c r="AC96" s="128"/>
      <x:c r="AD96" s="128"/>
      <x:c r="AE96" s="128"/>
      <x:c r="AF96" s="9"/>
      <x:c r="AI96" s="42"/>
      <x:c r="AN96" s="42"/>
      <x:c r="AR96" s="42"/>
    </x:row>
    <x:row r="97">
      <x:c r="C97" s="42"/>
      <x:c r="D97" s="129"/>
      <x:c r="E97" s="129"/>
      <x:c r="N97" s="9"/>
      <x:c r="R97" s="42"/>
      <x:c r="AA97" s="128"/>
      <x:c r="AB97" s="128"/>
      <x:c r="AC97" s="128"/>
      <x:c r="AD97" s="128"/>
      <x:c r="AE97" s="128"/>
      <x:c r="AF97" s="9"/>
      <x:c r="AI97" s="42"/>
      <x:c r="AN97" s="42"/>
      <x:c r="AR97" s="42"/>
    </x:row>
    <x:row r="98">
      <x:c r="C98" s="42"/>
      <x:c r="D98" s="129"/>
      <x:c r="E98" s="129"/>
      <x:c r="N98" s="9"/>
      <x:c r="R98" s="42"/>
      <x:c r="AA98" s="128"/>
      <x:c r="AB98" s="128"/>
      <x:c r="AC98" s="128"/>
      <x:c r="AD98" s="128"/>
      <x:c r="AE98" s="128"/>
      <x:c r="AF98" s="9"/>
      <x:c r="AI98" s="42"/>
      <x:c r="AN98" s="42"/>
      <x:c r="AR98" s="42"/>
    </x:row>
    <x:row r="99">
      <x:c r="C99" s="42"/>
      <x:c r="D99" s="129"/>
      <x:c r="E99" s="129"/>
      <x:c r="N99" s="9"/>
      <x:c r="R99" s="42"/>
      <x:c r="AA99" s="128"/>
      <x:c r="AB99" s="128"/>
      <x:c r="AC99" s="128"/>
      <x:c r="AD99" s="128"/>
      <x:c r="AE99" s="128"/>
      <x:c r="AF99" s="9"/>
      <x:c r="AI99" s="42"/>
      <x:c r="AN99" s="42"/>
      <x:c r="AR99" s="42"/>
    </x:row>
    <x:row r="100">
      <x:c r="C100" s="42"/>
      <x:c r="D100" s="129"/>
      <x:c r="E100" s="129"/>
      <x:c r="N100" s="9"/>
      <x:c r="R100" s="42"/>
      <x:c r="AA100" s="128"/>
      <x:c r="AB100" s="128"/>
      <x:c r="AC100" s="128"/>
      <x:c r="AD100" s="128"/>
      <x:c r="AE100" s="128"/>
      <x:c r="AF100" s="9"/>
      <x:c r="AI100" s="42"/>
      <x:c r="AN100" s="42"/>
      <x:c r="AR100" s="42"/>
    </x:row>
    <x:row r="101">
      <x:c r="C101" s="42"/>
      <x:c r="D101" s="129"/>
      <x:c r="E101" s="129"/>
      <x:c r="N101" s="9"/>
      <x:c r="R101" s="42"/>
      <x:c r="AA101" s="128"/>
      <x:c r="AB101" s="128"/>
      <x:c r="AC101" s="128"/>
      <x:c r="AD101" s="128"/>
      <x:c r="AE101" s="128"/>
      <x:c r="AF101" s="9"/>
      <x:c r="AI101" s="42"/>
      <x:c r="AN101" s="42"/>
      <x:c r="AR101" s="42"/>
    </x:row>
    <x:row r="102">
      <x:c r="C102" s="42"/>
      <x:c r="D102" s="129"/>
      <x:c r="E102" s="129"/>
      <x:c r="N102" s="9"/>
      <x:c r="R102" s="42"/>
      <x:c r="AA102" s="128"/>
      <x:c r="AB102" s="128"/>
      <x:c r="AC102" s="128"/>
      <x:c r="AD102" s="128"/>
      <x:c r="AE102" s="128"/>
      <x:c r="AF102" s="9"/>
      <x:c r="AI102" s="42"/>
      <x:c r="AN102" s="42"/>
      <x:c r="AR102" s="42"/>
    </x:row>
    <x:row r="103">
      <x:c r="C103" s="42"/>
      <x:c r="D103" s="129"/>
      <x:c r="E103" s="129"/>
      <x:c r="N103" s="9"/>
      <x:c r="R103" s="42"/>
      <x:c r="AA103" s="128"/>
      <x:c r="AB103" s="128"/>
      <x:c r="AC103" s="128"/>
      <x:c r="AD103" s="128"/>
      <x:c r="AE103" s="128"/>
      <x:c r="AF103" s="9"/>
      <x:c r="AI103" s="42"/>
      <x:c r="AN103" s="42"/>
      <x:c r="AR103" s="42"/>
    </x:row>
    <x:row r="104">
      <x:c r="C104" s="42"/>
      <x:c r="D104" s="129"/>
      <x:c r="E104" s="129"/>
      <x:c r="N104" s="9"/>
      <x:c r="R104" s="42"/>
      <x:c r="AA104" s="128"/>
      <x:c r="AB104" s="128"/>
      <x:c r="AC104" s="128"/>
      <x:c r="AD104" s="128"/>
      <x:c r="AE104" s="128"/>
      <x:c r="AF104" s="9"/>
      <x:c r="AI104" s="42"/>
      <x:c r="AN104" s="42"/>
      <x:c r="AR104" s="42"/>
    </x:row>
    <x:row r="105">
      <x:c r="C105" s="42"/>
      <x:c r="D105" s="129"/>
      <x:c r="E105" s="129"/>
      <x:c r="N105" s="9"/>
      <x:c r="R105" s="42"/>
      <x:c r="AA105" s="128"/>
      <x:c r="AB105" s="128"/>
      <x:c r="AC105" s="128"/>
      <x:c r="AD105" s="128"/>
      <x:c r="AE105" s="128"/>
      <x:c r="AF105" s="9"/>
      <x:c r="AI105" s="42"/>
      <x:c r="AN105" s="42"/>
      <x:c r="AR105" s="42"/>
    </x:row>
    <x:row r="106">
      <x:c r="C106" s="42"/>
      <x:c r="D106" s="129"/>
      <x:c r="E106" s="129"/>
      <x:c r="N106" s="9"/>
      <x:c r="R106" s="42"/>
      <x:c r="AA106" s="128"/>
      <x:c r="AB106" s="128"/>
      <x:c r="AC106" s="128"/>
      <x:c r="AD106" s="128"/>
      <x:c r="AE106" s="128"/>
      <x:c r="AF106" s="9"/>
      <x:c r="AI106" s="42"/>
      <x:c r="AN106" s="42"/>
      <x:c r="AR106" s="42"/>
    </x:row>
    <x:row r="107">
      <x:c r="C107" s="42"/>
      <x:c r="D107" s="129"/>
      <x:c r="E107" s="129"/>
      <x:c r="N107" s="9"/>
      <x:c r="R107" s="42"/>
      <x:c r="AA107" s="128"/>
      <x:c r="AB107" s="128"/>
      <x:c r="AC107" s="128"/>
      <x:c r="AD107" s="128"/>
      <x:c r="AE107" s="128"/>
      <x:c r="AF107" s="9"/>
      <x:c r="AI107" s="42"/>
      <x:c r="AN107" s="42"/>
      <x:c r="AR107" s="42"/>
    </x:row>
    <x:row r="108">
      <x:c r="C108" s="42"/>
      <x:c r="D108" s="129"/>
      <x:c r="E108" s="129"/>
      <x:c r="N108" s="9"/>
      <x:c r="R108" s="42"/>
      <x:c r="AA108" s="128"/>
      <x:c r="AB108" s="128"/>
      <x:c r="AC108" s="128"/>
      <x:c r="AD108" s="128"/>
      <x:c r="AE108" s="128"/>
      <x:c r="AF108" s="9"/>
      <x:c r="AI108" s="42"/>
      <x:c r="AN108" s="42"/>
      <x:c r="AR108" s="42"/>
    </x:row>
    <x:row r="109">
      <x:c r="C109" s="42"/>
      <x:c r="D109" s="129"/>
      <x:c r="E109" s="129"/>
      <x:c r="N109" s="9"/>
      <x:c r="R109" s="42"/>
      <x:c r="AA109" s="128"/>
      <x:c r="AB109" s="128"/>
      <x:c r="AC109" s="128"/>
      <x:c r="AD109" s="128"/>
      <x:c r="AE109" s="128"/>
      <x:c r="AF109" s="9"/>
      <x:c r="AI109" s="42"/>
      <x:c r="AN109" s="42"/>
      <x:c r="AR109" s="42"/>
    </x:row>
    <x:row r="110">
      <x:c r="C110" s="42"/>
      <x:c r="D110" s="129"/>
      <x:c r="E110" s="129"/>
      <x:c r="N110" s="9"/>
      <x:c r="R110" s="42"/>
      <x:c r="AA110" s="128"/>
      <x:c r="AB110" s="128"/>
      <x:c r="AC110" s="128"/>
      <x:c r="AD110" s="128"/>
      <x:c r="AE110" s="128"/>
      <x:c r="AF110" s="9"/>
      <x:c r="AI110" s="42"/>
      <x:c r="AN110" s="42"/>
      <x:c r="AR110" s="42"/>
    </x:row>
    <x:row r="111">
      <x:c r="C111" s="42"/>
      <x:c r="D111" s="129"/>
      <x:c r="E111" s="129"/>
      <x:c r="N111" s="9"/>
      <x:c r="R111" s="42"/>
      <x:c r="AA111" s="128"/>
      <x:c r="AB111" s="128"/>
      <x:c r="AC111" s="128"/>
      <x:c r="AD111" s="128"/>
      <x:c r="AE111" s="128"/>
      <x:c r="AF111" s="9"/>
      <x:c r="AI111" s="42"/>
      <x:c r="AN111" s="42"/>
      <x:c r="AR111" s="42"/>
    </x:row>
    <x:row r="112">
      <x:c r="C112" s="42"/>
      <x:c r="D112" s="129"/>
      <x:c r="E112" s="129"/>
      <x:c r="N112" s="9"/>
      <x:c r="R112" s="42"/>
      <x:c r="AA112" s="128"/>
      <x:c r="AB112" s="128"/>
      <x:c r="AC112" s="128"/>
      <x:c r="AD112" s="128"/>
      <x:c r="AE112" s="128"/>
      <x:c r="AF112" s="9"/>
      <x:c r="AI112" s="42"/>
      <x:c r="AN112" s="42"/>
      <x:c r="AR112" s="42"/>
    </x:row>
    <x:row r="113">
      <x:c r="C113" s="42"/>
      <x:c r="D113" s="129"/>
      <x:c r="E113" s="129"/>
      <x:c r="N113" s="9"/>
      <x:c r="R113" s="42"/>
      <x:c r="AA113" s="128"/>
      <x:c r="AB113" s="128"/>
      <x:c r="AC113" s="128"/>
      <x:c r="AD113" s="128"/>
      <x:c r="AE113" s="128"/>
      <x:c r="AF113" s="9"/>
      <x:c r="AI113" s="42"/>
      <x:c r="AN113" s="42"/>
      <x:c r="AR113" s="42"/>
    </x:row>
    <x:row r="114">
      <x:c r="C114" s="42"/>
      <x:c r="D114" s="129"/>
      <x:c r="E114" s="129"/>
      <x:c r="N114" s="9"/>
      <x:c r="R114" s="42"/>
      <x:c r="AA114" s="128"/>
      <x:c r="AB114" s="128"/>
      <x:c r="AC114" s="128"/>
      <x:c r="AD114" s="128"/>
      <x:c r="AE114" s="128"/>
      <x:c r="AF114" s="9"/>
      <x:c r="AI114" s="42"/>
      <x:c r="AN114" s="42"/>
      <x:c r="AR114" s="42"/>
    </x:row>
    <x:row r="115">
      <x:c r="C115" s="42"/>
      <x:c r="D115" s="129"/>
      <x:c r="E115" s="129"/>
      <x:c r="N115" s="9"/>
      <x:c r="R115" s="42"/>
      <x:c r="AA115" s="128"/>
      <x:c r="AB115" s="128"/>
      <x:c r="AC115" s="128"/>
      <x:c r="AD115" s="128"/>
      <x:c r="AE115" s="128"/>
      <x:c r="AF115" s="9"/>
      <x:c r="AI115" s="42"/>
      <x:c r="AN115" s="42"/>
      <x:c r="AR115" s="42"/>
    </x:row>
    <x:row r="116">
      <x:c r="C116" s="42"/>
      <x:c r="D116" s="129"/>
      <x:c r="E116" s="129"/>
      <x:c r="N116" s="9"/>
      <x:c r="R116" s="42"/>
      <x:c r="AA116" s="128"/>
      <x:c r="AB116" s="128"/>
      <x:c r="AC116" s="128"/>
      <x:c r="AD116" s="128"/>
      <x:c r="AE116" s="128"/>
      <x:c r="AF116" s="9"/>
      <x:c r="AI116" s="42"/>
      <x:c r="AN116" s="42"/>
      <x:c r="AR116" s="42"/>
    </x:row>
    <x:row r="117">
      <x:c r="C117" s="42"/>
      <x:c r="D117" s="129"/>
      <x:c r="E117" s="129"/>
      <x:c r="N117" s="9"/>
      <x:c r="R117" s="42"/>
      <x:c r="AA117" s="128"/>
      <x:c r="AB117" s="128"/>
      <x:c r="AC117" s="128"/>
      <x:c r="AD117" s="128"/>
      <x:c r="AE117" s="128"/>
      <x:c r="AF117" s="9"/>
      <x:c r="AI117" s="42"/>
      <x:c r="AN117" s="42"/>
      <x:c r="AR117" s="42"/>
    </x:row>
    <x:row r="118">
      <x:c r="C118" s="42"/>
      <x:c r="D118" s="129"/>
      <x:c r="E118" s="129"/>
      <x:c r="N118" s="9"/>
      <x:c r="R118" s="42"/>
      <x:c r="AA118" s="128"/>
      <x:c r="AB118" s="128"/>
      <x:c r="AC118" s="128"/>
      <x:c r="AD118" s="128"/>
      <x:c r="AE118" s="128"/>
      <x:c r="AF118" s="9"/>
      <x:c r="AI118" s="42"/>
      <x:c r="AN118" s="42"/>
      <x:c r="AR118" s="42"/>
    </x:row>
    <x:row r="119">
      <x:c r="C119" s="42"/>
      <x:c r="D119" s="129"/>
      <x:c r="E119" s="129"/>
      <x:c r="N119" s="9"/>
      <x:c r="R119" s="42"/>
      <x:c r="AA119" s="128"/>
      <x:c r="AB119" s="128"/>
      <x:c r="AC119" s="128"/>
      <x:c r="AD119" s="128"/>
      <x:c r="AE119" s="128"/>
      <x:c r="AF119" s="9"/>
      <x:c r="AI119" s="42"/>
      <x:c r="AN119" s="42"/>
      <x:c r="AR119" s="42"/>
    </x:row>
    <x:row r="120">
      <x:c r="C120" s="42"/>
      <x:c r="D120" s="129"/>
      <x:c r="E120" s="129"/>
      <x:c r="N120" s="9"/>
      <x:c r="R120" s="42"/>
      <x:c r="AA120" s="128"/>
      <x:c r="AB120" s="128"/>
      <x:c r="AC120" s="128"/>
      <x:c r="AD120" s="128"/>
      <x:c r="AE120" s="128"/>
      <x:c r="AF120" s="9"/>
      <x:c r="AI120" s="42"/>
      <x:c r="AN120" s="42"/>
      <x:c r="AR120" s="42"/>
    </x:row>
    <x:row r="121">
      <x:c r="C121" s="42"/>
      <x:c r="D121" s="129"/>
      <x:c r="E121" s="129"/>
      <x:c r="N121" s="9"/>
      <x:c r="R121" s="42"/>
      <x:c r="AA121" s="128"/>
      <x:c r="AB121" s="128"/>
      <x:c r="AC121" s="128"/>
      <x:c r="AD121" s="128"/>
      <x:c r="AE121" s="128"/>
      <x:c r="AF121" s="9"/>
      <x:c r="AI121" s="42"/>
      <x:c r="AN121" s="42"/>
      <x:c r="AR121" s="42"/>
    </x:row>
    <x:row r="122">
      <x:c r="C122" s="42"/>
      <x:c r="D122" s="129"/>
      <x:c r="E122" s="129"/>
      <x:c r="N122" s="9"/>
      <x:c r="R122" s="42"/>
      <x:c r="AA122" s="128"/>
      <x:c r="AB122" s="128"/>
      <x:c r="AC122" s="128"/>
      <x:c r="AD122" s="128"/>
      <x:c r="AE122" s="128"/>
      <x:c r="AF122" s="9"/>
      <x:c r="AI122" s="42"/>
      <x:c r="AN122" s="42"/>
      <x:c r="AR122" s="42"/>
    </x:row>
    <x:row r="123">
      <x:c r="C123" s="42"/>
      <x:c r="D123" s="129"/>
      <x:c r="E123" s="129"/>
      <x:c r="N123" s="9"/>
      <x:c r="R123" s="42"/>
      <x:c r="AA123" s="128"/>
      <x:c r="AB123" s="128"/>
      <x:c r="AC123" s="128"/>
      <x:c r="AD123" s="128"/>
      <x:c r="AE123" s="128"/>
      <x:c r="AF123" s="9"/>
      <x:c r="AI123" s="42"/>
      <x:c r="AN123" s="42"/>
      <x:c r="AR123" s="42"/>
    </x:row>
    <x:row r="124">
      <x:c r="C124" s="42"/>
      <x:c r="D124" s="129"/>
      <x:c r="E124" s="129"/>
      <x:c r="N124" s="9"/>
      <x:c r="R124" s="42"/>
      <x:c r="AA124" s="128"/>
      <x:c r="AB124" s="128"/>
      <x:c r="AC124" s="128"/>
      <x:c r="AD124" s="128"/>
      <x:c r="AE124" s="128"/>
      <x:c r="AF124" s="9"/>
      <x:c r="AI124" s="42"/>
      <x:c r="AN124" s="42"/>
      <x:c r="AR124" s="42"/>
    </x:row>
    <x:row r="125">
      <x:c r="C125" s="42"/>
      <x:c r="D125" s="129"/>
      <x:c r="E125" s="129"/>
      <x:c r="N125" s="9"/>
      <x:c r="R125" s="42"/>
      <x:c r="AA125" s="128"/>
      <x:c r="AB125" s="128"/>
      <x:c r="AC125" s="128"/>
      <x:c r="AD125" s="128"/>
      <x:c r="AE125" s="128"/>
      <x:c r="AF125" s="9"/>
      <x:c r="AI125" s="42"/>
      <x:c r="AN125" s="42"/>
      <x:c r="AR125" s="42"/>
    </x:row>
    <x:row r="126">
      <x:c r="C126" s="42"/>
      <x:c r="D126" s="129"/>
      <x:c r="E126" s="129"/>
      <x:c r="N126" s="9"/>
      <x:c r="R126" s="42"/>
      <x:c r="AA126" s="128"/>
      <x:c r="AB126" s="128"/>
      <x:c r="AC126" s="128"/>
      <x:c r="AD126" s="128"/>
      <x:c r="AE126" s="128"/>
      <x:c r="AF126" s="9"/>
      <x:c r="AI126" s="42"/>
      <x:c r="AN126" s="42"/>
      <x:c r="AR126" s="42"/>
    </x:row>
    <x:row r="127">
      <x:c r="C127" s="42"/>
      <x:c r="D127" s="129"/>
      <x:c r="E127" s="129"/>
      <x:c r="N127" s="9"/>
      <x:c r="R127" s="42"/>
      <x:c r="AA127" s="128"/>
      <x:c r="AB127" s="128"/>
      <x:c r="AC127" s="128"/>
      <x:c r="AD127" s="128"/>
      <x:c r="AE127" s="128"/>
      <x:c r="AF127" s="9"/>
      <x:c r="AI127" s="42"/>
      <x:c r="AN127" s="42"/>
      <x:c r="AR127" s="42"/>
    </x:row>
    <x:row r="128">
      <x:c r="C128" s="42"/>
      <x:c r="D128" s="129"/>
      <x:c r="E128" s="129"/>
      <x:c r="N128" s="9"/>
      <x:c r="R128" s="42"/>
      <x:c r="AA128" s="128"/>
      <x:c r="AB128" s="128"/>
      <x:c r="AC128" s="128"/>
      <x:c r="AD128" s="128"/>
      <x:c r="AE128" s="128"/>
      <x:c r="AF128" s="9"/>
      <x:c r="AI128" s="42"/>
      <x:c r="AN128" s="42"/>
      <x:c r="AR128" s="42"/>
    </x:row>
    <x:row r="129">
      <x:c r="C129" s="42"/>
      <x:c r="D129" s="129"/>
      <x:c r="E129" s="129"/>
      <x:c r="N129" s="9"/>
      <x:c r="R129" s="42"/>
      <x:c r="AA129" s="128"/>
      <x:c r="AB129" s="128"/>
      <x:c r="AC129" s="128"/>
      <x:c r="AD129" s="128"/>
      <x:c r="AE129" s="128"/>
      <x:c r="AF129" s="9"/>
      <x:c r="AI129" s="42"/>
      <x:c r="AN129" s="42"/>
      <x:c r="AR129" s="42"/>
    </x:row>
    <x:row r="130">
      <x:c r="C130" s="42"/>
      <x:c r="D130" s="129"/>
      <x:c r="E130" s="129"/>
      <x:c r="N130" s="9"/>
      <x:c r="R130" s="42"/>
      <x:c r="AA130" s="128"/>
      <x:c r="AB130" s="128"/>
      <x:c r="AC130" s="128"/>
      <x:c r="AD130" s="128"/>
      <x:c r="AE130" s="128"/>
      <x:c r="AF130" s="9"/>
      <x:c r="AI130" s="42"/>
      <x:c r="AN130" s="42"/>
      <x:c r="AR130" s="42"/>
    </x:row>
    <x:row r="131">
      <x:c r="C131" s="42"/>
      <x:c r="D131" s="129"/>
      <x:c r="E131" s="129"/>
      <x:c r="N131" s="9"/>
      <x:c r="R131" s="42"/>
      <x:c r="AA131" s="128"/>
      <x:c r="AB131" s="128"/>
      <x:c r="AC131" s="128"/>
      <x:c r="AD131" s="128"/>
      <x:c r="AE131" s="128"/>
      <x:c r="AF131" s="9"/>
      <x:c r="AI131" s="42"/>
      <x:c r="AN131" s="42"/>
      <x:c r="AR131" s="42"/>
    </x:row>
    <x:row r="132">
      <x:c r="C132" s="42"/>
      <x:c r="D132" s="129"/>
      <x:c r="E132" s="129"/>
      <x:c r="N132" s="9"/>
      <x:c r="R132" s="42"/>
      <x:c r="AA132" s="128"/>
      <x:c r="AB132" s="128"/>
      <x:c r="AC132" s="128"/>
      <x:c r="AD132" s="128"/>
      <x:c r="AE132" s="128"/>
      <x:c r="AF132" s="9"/>
      <x:c r="AI132" s="42"/>
      <x:c r="AN132" s="42"/>
      <x:c r="AR132" s="42"/>
    </x:row>
    <x:row r="133">
      <x:c r="C133" s="42"/>
      <x:c r="D133" s="129"/>
      <x:c r="E133" s="129"/>
      <x:c r="N133" s="9"/>
      <x:c r="R133" s="42"/>
      <x:c r="AA133" s="128"/>
      <x:c r="AB133" s="128"/>
      <x:c r="AC133" s="128"/>
      <x:c r="AD133" s="128"/>
      <x:c r="AE133" s="128"/>
      <x:c r="AF133" s="9"/>
      <x:c r="AI133" s="42"/>
      <x:c r="AN133" s="42"/>
      <x:c r="AR133" s="42"/>
    </x:row>
    <x:row r="134">
      <x:c r="C134" s="42"/>
      <x:c r="D134" s="129"/>
      <x:c r="E134" s="129"/>
      <x:c r="N134" s="9"/>
      <x:c r="R134" s="42"/>
      <x:c r="AA134" s="128"/>
      <x:c r="AB134" s="128"/>
      <x:c r="AC134" s="128"/>
      <x:c r="AD134" s="128"/>
      <x:c r="AE134" s="128"/>
      <x:c r="AF134" s="9"/>
      <x:c r="AI134" s="42"/>
      <x:c r="AN134" s="42"/>
      <x:c r="AR134" s="42"/>
    </x:row>
    <x:row r="135">
      <x:c r="C135" s="42"/>
      <x:c r="D135" s="129"/>
      <x:c r="E135" s="129"/>
      <x:c r="N135" s="9"/>
      <x:c r="R135" s="42"/>
      <x:c r="AA135" s="128"/>
      <x:c r="AB135" s="128"/>
      <x:c r="AC135" s="128"/>
      <x:c r="AD135" s="128"/>
      <x:c r="AE135" s="128"/>
      <x:c r="AF135" s="9"/>
      <x:c r="AI135" s="42"/>
      <x:c r="AN135" s="42"/>
      <x:c r="AR135" s="42"/>
    </x:row>
    <x:row r="136">
      <x:c r="C136" s="42"/>
      <x:c r="D136" s="129"/>
      <x:c r="E136" s="129"/>
      <x:c r="N136" s="9"/>
      <x:c r="R136" s="42"/>
      <x:c r="AA136" s="128"/>
      <x:c r="AB136" s="128"/>
      <x:c r="AC136" s="128"/>
      <x:c r="AD136" s="128"/>
      <x:c r="AE136" s="128"/>
      <x:c r="AF136" s="9"/>
      <x:c r="AI136" s="42"/>
      <x:c r="AN136" s="42"/>
      <x:c r="AR136" s="42"/>
    </x:row>
    <x:row r="137">
      <x:c r="C137" s="42"/>
      <x:c r="D137" s="129"/>
      <x:c r="E137" s="129"/>
      <x:c r="N137" s="9"/>
      <x:c r="R137" s="42"/>
      <x:c r="AA137" s="128"/>
      <x:c r="AB137" s="128"/>
      <x:c r="AC137" s="128"/>
      <x:c r="AD137" s="128"/>
      <x:c r="AE137" s="128"/>
      <x:c r="AF137" s="9"/>
      <x:c r="AI137" s="42"/>
      <x:c r="AN137" s="42"/>
      <x:c r="AR137" s="42"/>
    </x:row>
    <x:row r="138">
      <x:c r="C138" s="42"/>
      <x:c r="D138" s="129"/>
      <x:c r="E138" s="129"/>
      <x:c r="N138" s="9"/>
      <x:c r="R138" s="42"/>
      <x:c r="AA138" s="128"/>
      <x:c r="AB138" s="128"/>
      <x:c r="AC138" s="128"/>
      <x:c r="AD138" s="128"/>
      <x:c r="AE138" s="128"/>
      <x:c r="AF138" s="9"/>
      <x:c r="AI138" s="42"/>
      <x:c r="AN138" s="42"/>
      <x:c r="AR138" s="42"/>
    </x:row>
    <x:row r="139">
      <x:c r="C139" s="42"/>
      <x:c r="D139" s="129"/>
      <x:c r="E139" s="129"/>
      <x:c r="N139" s="9"/>
      <x:c r="R139" s="42"/>
      <x:c r="AA139" s="128"/>
      <x:c r="AB139" s="128"/>
      <x:c r="AC139" s="128"/>
      <x:c r="AD139" s="128"/>
      <x:c r="AE139" s="128"/>
      <x:c r="AF139" s="9"/>
      <x:c r="AI139" s="42"/>
      <x:c r="AN139" s="42"/>
      <x:c r="AR139" s="42"/>
    </x:row>
    <x:row r="140">
      <x:c r="C140" s="42"/>
      <x:c r="D140" s="129"/>
      <x:c r="E140" s="129"/>
      <x:c r="N140" s="9"/>
      <x:c r="R140" s="42"/>
      <x:c r="AA140" s="128"/>
      <x:c r="AB140" s="128"/>
      <x:c r="AC140" s="128"/>
      <x:c r="AD140" s="128"/>
      <x:c r="AE140" s="128"/>
      <x:c r="AF140" s="9"/>
      <x:c r="AI140" s="42"/>
      <x:c r="AN140" s="42"/>
      <x:c r="AR140" s="42"/>
    </x:row>
    <x:row r="141">
      <x:c r="C141" s="42"/>
      <x:c r="D141" s="129"/>
      <x:c r="E141" s="129"/>
      <x:c r="N141" s="9"/>
      <x:c r="R141" s="42"/>
      <x:c r="AA141" s="128"/>
      <x:c r="AB141" s="128"/>
      <x:c r="AC141" s="128"/>
      <x:c r="AD141" s="128"/>
      <x:c r="AE141" s="128"/>
      <x:c r="AF141" s="9"/>
      <x:c r="AI141" s="42"/>
      <x:c r="AN141" s="42"/>
      <x:c r="AR141" s="42"/>
    </x:row>
    <x:row r="142">
      <x:c r="C142" s="42"/>
      <x:c r="D142" s="129"/>
      <x:c r="E142" s="129"/>
      <x:c r="N142" s="9"/>
      <x:c r="R142" s="42"/>
      <x:c r="AA142" s="128"/>
      <x:c r="AB142" s="128"/>
      <x:c r="AC142" s="128"/>
      <x:c r="AD142" s="128"/>
      <x:c r="AE142" s="128"/>
      <x:c r="AF142" s="9"/>
      <x:c r="AI142" s="42"/>
      <x:c r="AN142" s="42"/>
      <x:c r="AR142" s="42"/>
    </x:row>
    <x:row r="143">
      <x:c r="C143" s="42"/>
      <x:c r="D143" s="129"/>
      <x:c r="E143" s="129"/>
      <x:c r="N143" s="9"/>
      <x:c r="R143" s="42"/>
      <x:c r="AA143" s="128"/>
      <x:c r="AB143" s="128"/>
      <x:c r="AC143" s="128"/>
      <x:c r="AD143" s="128"/>
      <x:c r="AE143" s="128"/>
      <x:c r="AF143" s="9"/>
      <x:c r="AI143" s="42"/>
      <x:c r="AN143" s="42"/>
      <x:c r="AR143" s="42"/>
    </x:row>
    <x:row r="144">
      <x:c r="C144" s="42"/>
      <x:c r="D144" s="129"/>
      <x:c r="E144" s="129"/>
      <x:c r="N144" s="9"/>
      <x:c r="R144" s="42"/>
      <x:c r="AA144" s="128"/>
      <x:c r="AB144" s="128"/>
      <x:c r="AC144" s="128"/>
      <x:c r="AD144" s="128"/>
      <x:c r="AE144" s="128"/>
      <x:c r="AF144" s="9"/>
      <x:c r="AI144" s="42"/>
      <x:c r="AN144" s="42"/>
      <x:c r="AR144" s="42"/>
    </x:row>
    <x:row r="145">
      <x:c r="C145" s="42"/>
      <x:c r="D145" s="129"/>
      <x:c r="E145" s="129"/>
      <x:c r="N145" s="9"/>
      <x:c r="R145" s="42"/>
      <x:c r="AA145" s="128"/>
      <x:c r="AB145" s="128"/>
      <x:c r="AC145" s="128"/>
      <x:c r="AD145" s="128"/>
      <x:c r="AE145" s="128"/>
      <x:c r="AF145" s="9"/>
      <x:c r="AI145" s="42"/>
      <x:c r="AN145" s="42"/>
      <x:c r="AR145" s="42"/>
    </x:row>
    <x:row r="146">
      <x:c r="C146" s="42"/>
      <x:c r="D146" s="129"/>
      <x:c r="E146" s="129"/>
      <x:c r="N146" s="9"/>
      <x:c r="R146" s="42"/>
      <x:c r="AA146" s="128"/>
      <x:c r="AB146" s="128"/>
      <x:c r="AC146" s="128"/>
      <x:c r="AD146" s="128"/>
      <x:c r="AE146" s="128"/>
      <x:c r="AF146" s="9"/>
      <x:c r="AI146" s="42"/>
      <x:c r="AN146" s="42"/>
      <x:c r="AR146" s="42"/>
    </x:row>
    <x:row r="147">
      <x:c r="C147" s="42"/>
      <x:c r="D147" s="129"/>
      <x:c r="E147" s="129"/>
      <x:c r="N147" s="9"/>
      <x:c r="R147" s="42"/>
      <x:c r="AA147" s="128"/>
      <x:c r="AB147" s="128"/>
      <x:c r="AC147" s="128"/>
      <x:c r="AD147" s="128"/>
      <x:c r="AE147" s="128"/>
      <x:c r="AF147" s="9"/>
      <x:c r="AI147" s="42"/>
      <x:c r="AN147" s="42"/>
      <x:c r="AR147" s="42"/>
    </x:row>
    <x:row r="148">
      <x:c r="C148" s="42"/>
      <x:c r="D148" s="129"/>
      <x:c r="E148" s="129"/>
      <x:c r="N148" s="9"/>
      <x:c r="R148" s="42"/>
      <x:c r="AA148" s="128"/>
      <x:c r="AB148" s="128"/>
      <x:c r="AC148" s="128"/>
      <x:c r="AD148" s="128"/>
      <x:c r="AE148" s="128"/>
      <x:c r="AF148" s="9"/>
      <x:c r="AI148" s="42"/>
      <x:c r="AN148" s="42"/>
      <x:c r="AR148" s="42"/>
    </x:row>
    <x:row r="149">
      <x:c r="C149" s="42"/>
      <x:c r="D149" s="129"/>
      <x:c r="E149" s="129"/>
      <x:c r="N149" s="9"/>
      <x:c r="R149" s="42"/>
      <x:c r="AA149" s="128"/>
      <x:c r="AB149" s="128"/>
      <x:c r="AC149" s="128"/>
      <x:c r="AD149" s="128"/>
      <x:c r="AE149" s="128"/>
      <x:c r="AF149" s="9"/>
      <x:c r="AI149" s="42"/>
      <x:c r="AN149" s="42"/>
      <x:c r="AR149" s="42"/>
    </x:row>
    <x:row r="150">
      <x:c r="C150" s="42"/>
      <x:c r="D150" s="129"/>
      <x:c r="E150" s="129"/>
      <x:c r="N150" s="9"/>
      <x:c r="R150" s="42"/>
      <x:c r="AA150" s="128"/>
      <x:c r="AB150" s="128"/>
      <x:c r="AC150" s="128"/>
      <x:c r="AD150" s="128"/>
      <x:c r="AE150" s="128"/>
      <x:c r="AF150" s="9"/>
      <x:c r="AI150" s="42"/>
      <x:c r="AN150" s="42"/>
      <x:c r="AR150" s="42"/>
    </x:row>
    <x:row r="151">
      <x:c r="C151" s="42"/>
      <x:c r="D151" s="129"/>
      <x:c r="E151" s="129"/>
      <x:c r="N151" s="9"/>
      <x:c r="R151" s="42"/>
      <x:c r="AA151" s="128"/>
      <x:c r="AB151" s="128"/>
      <x:c r="AC151" s="128"/>
      <x:c r="AD151" s="128"/>
      <x:c r="AE151" s="128"/>
      <x:c r="AF151" s="9"/>
      <x:c r="AI151" s="42"/>
      <x:c r="AN151" s="42"/>
      <x:c r="AR151" s="42"/>
    </x:row>
    <x:row r="152">
      <x:c r="C152" s="42"/>
      <x:c r="D152" s="129"/>
      <x:c r="E152" s="129"/>
      <x:c r="N152" s="9"/>
      <x:c r="R152" s="42"/>
      <x:c r="AA152" s="128"/>
      <x:c r="AB152" s="128"/>
      <x:c r="AC152" s="128"/>
      <x:c r="AD152" s="128"/>
      <x:c r="AE152" s="128"/>
      <x:c r="AF152" s="9"/>
      <x:c r="AI152" s="42"/>
      <x:c r="AN152" s="42"/>
      <x:c r="AR152" s="42"/>
    </x:row>
    <x:row r="153">
      <x:c r="C153" s="42"/>
      <x:c r="D153" s="129"/>
      <x:c r="E153" s="129"/>
      <x:c r="N153" s="9"/>
      <x:c r="R153" s="42"/>
      <x:c r="AA153" s="128"/>
      <x:c r="AB153" s="128"/>
      <x:c r="AC153" s="128"/>
      <x:c r="AD153" s="128"/>
      <x:c r="AE153" s="128"/>
      <x:c r="AF153" s="9"/>
      <x:c r="AI153" s="42"/>
      <x:c r="AN153" s="42"/>
      <x:c r="AR153" s="42"/>
    </x:row>
    <x:row r="154">
      <x:c r="C154" s="42"/>
      <x:c r="D154" s="129"/>
      <x:c r="E154" s="129"/>
      <x:c r="N154" s="9"/>
      <x:c r="R154" s="42"/>
      <x:c r="AA154" s="128"/>
      <x:c r="AB154" s="128"/>
      <x:c r="AC154" s="128"/>
      <x:c r="AD154" s="128"/>
      <x:c r="AE154" s="128"/>
      <x:c r="AF154" s="9"/>
      <x:c r="AI154" s="42"/>
      <x:c r="AN154" s="42"/>
      <x:c r="AR154" s="42"/>
    </x:row>
    <x:row r="155">
      <x:c r="C155" s="42"/>
      <x:c r="D155" s="129"/>
      <x:c r="E155" s="129"/>
      <x:c r="N155" s="9"/>
      <x:c r="R155" s="42"/>
      <x:c r="AA155" s="128"/>
      <x:c r="AB155" s="128"/>
      <x:c r="AC155" s="128"/>
      <x:c r="AD155" s="128"/>
      <x:c r="AE155" s="128"/>
      <x:c r="AF155" s="9"/>
      <x:c r="AI155" s="42"/>
      <x:c r="AN155" s="42"/>
      <x:c r="AR155" s="42"/>
    </x:row>
    <x:row r="156">
      <x:c r="C156" s="42"/>
      <x:c r="D156" s="129"/>
      <x:c r="E156" s="129"/>
      <x:c r="N156" s="9"/>
      <x:c r="R156" s="42"/>
      <x:c r="AA156" s="128"/>
      <x:c r="AB156" s="128"/>
      <x:c r="AC156" s="128"/>
      <x:c r="AD156" s="128"/>
      <x:c r="AE156" s="128"/>
      <x:c r="AF156" s="9"/>
      <x:c r="AI156" s="42"/>
      <x:c r="AN156" s="42"/>
      <x:c r="AR156" s="42"/>
    </x:row>
    <x:row r="157">
      <x:c r="C157" s="42"/>
      <x:c r="D157" s="129"/>
      <x:c r="E157" s="129"/>
      <x:c r="N157" s="9"/>
      <x:c r="R157" s="42"/>
      <x:c r="AA157" s="128"/>
      <x:c r="AB157" s="128"/>
      <x:c r="AC157" s="128"/>
      <x:c r="AD157" s="128"/>
      <x:c r="AE157" s="128"/>
      <x:c r="AF157" s="9"/>
      <x:c r="AI157" s="42"/>
      <x:c r="AN157" s="42"/>
      <x:c r="AR157" s="42"/>
    </x:row>
    <x:row r="158">
      <x:c r="C158" s="42"/>
      <x:c r="D158" s="129"/>
      <x:c r="E158" s="129"/>
      <x:c r="N158" s="9"/>
      <x:c r="R158" s="42"/>
      <x:c r="AA158" s="128"/>
      <x:c r="AB158" s="128"/>
      <x:c r="AC158" s="128"/>
      <x:c r="AD158" s="128"/>
      <x:c r="AE158" s="128"/>
      <x:c r="AF158" s="9"/>
      <x:c r="AI158" s="42"/>
      <x:c r="AN158" s="42"/>
      <x:c r="AR158" s="42"/>
    </x:row>
    <x:row r="159">
      <x:c r="C159" s="42"/>
      <x:c r="D159" s="129"/>
      <x:c r="E159" s="129"/>
      <x:c r="N159" s="9"/>
      <x:c r="R159" s="42"/>
      <x:c r="AA159" s="128"/>
      <x:c r="AB159" s="128"/>
      <x:c r="AC159" s="128"/>
      <x:c r="AD159" s="128"/>
      <x:c r="AE159" s="128"/>
      <x:c r="AF159" s="9"/>
      <x:c r="AI159" s="42"/>
      <x:c r="AN159" s="42"/>
      <x:c r="AR159" s="42"/>
    </x:row>
    <x:row r="160">
      <x:c r="C160" s="42"/>
      <x:c r="D160" s="129"/>
      <x:c r="E160" s="129"/>
      <x:c r="N160" s="9"/>
      <x:c r="R160" s="42"/>
      <x:c r="AA160" s="128"/>
      <x:c r="AB160" s="128"/>
      <x:c r="AC160" s="128"/>
      <x:c r="AD160" s="128"/>
      <x:c r="AE160" s="128"/>
      <x:c r="AF160" s="9"/>
      <x:c r="AI160" s="42"/>
      <x:c r="AN160" s="42"/>
      <x:c r="AR160" s="42"/>
    </x:row>
    <x:row r="161">
      <x:c r="C161" s="42"/>
      <x:c r="D161" s="129"/>
      <x:c r="E161" s="129"/>
      <x:c r="N161" s="9"/>
      <x:c r="R161" s="42"/>
      <x:c r="AA161" s="128"/>
      <x:c r="AB161" s="128"/>
      <x:c r="AC161" s="128"/>
      <x:c r="AD161" s="128"/>
      <x:c r="AE161" s="128"/>
      <x:c r="AF161" s="9"/>
      <x:c r="AI161" s="42"/>
      <x:c r="AN161" s="42"/>
      <x:c r="AR161" s="42"/>
    </x:row>
    <x:row r="162">
      <x:c r="C162" s="42"/>
      <x:c r="D162" s="129"/>
      <x:c r="E162" s="129"/>
      <x:c r="N162" s="9"/>
      <x:c r="R162" s="42"/>
      <x:c r="AA162" s="128"/>
      <x:c r="AB162" s="128"/>
      <x:c r="AC162" s="128"/>
      <x:c r="AD162" s="128"/>
      <x:c r="AE162" s="128"/>
      <x:c r="AF162" s="9"/>
      <x:c r="AI162" s="42"/>
      <x:c r="AN162" s="42"/>
      <x:c r="AR162" s="42"/>
    </x:row>
    <x:row r="163">
      <x:c r="C163" s="42"/>
      <x:c r="D163" s="129"/>
      <x:c r="E163" s="129"/>
      <x:c r="N163" s="9"/>
      <x:c r="R163" s="42"/>
      <x:c r="AA163" s="128"/>
      <x:c r="AB163" s="128"/>
      <x:c r="AC163" s="128"/>
      <x:c r="AD163" s="128"/>
      <x:c r="AE163" s="128"/>
      <x:c r="AF163" s="9"/>
      <x:c r="AI163" s="42"/>
      <x:c r="AN163" s="42"/>
      <x:c r="AR163" s="42"/>
    </x:row>
    <x:row r="164">
      <x:c r="C164" s="42"/>
      <x:c r="D164" s="129"/>
      <x:c r="E164" s="129"/>
      <x:c r="N164" s="9"/>
      <x:c r="R164" s="42"/>
      <x:c r="AA164" s="128"/>
      <x:c r="AB164" s="128"/>
      <x:c r="AC164" s="128"/>
      <x:c r="AD164" s="128"/>
      <x:c r="AE164" s="128"/>
      <x:c r="AF164" s="9"/>
      <x:c r="AI164" s="42"/>
      <x:c r="AN164" s="42"/>
      <x:c r="AR164" s="42"/>
    </x:row>
    <x:row r="165">
      <x:c r="C165" s="42"/>
      <x:c r="D165" s="129"/>
      <x:c r="E165" s="129"/>
      <x:c r="N165" s="9"/>
      <x:c r="R165" s="42"/>
      <x:c r="AA165" s="128"/>
      <x:c r="AB165" s="128"/>
      <x:c r="AC165" s="128"/>
      <x:c r="AD165" s="128"/>
      <x:c r="AE165" s="128"/>
      <x:c r="AF165" s="9"/>
      <x:c r="AI165" s="42"/>
      <x:c r="AN165" s="42"/>
      <x:c r="AR165" s="42"/>
    </x:row>
    <x:row r="166">
      <x:c r="C166" s="42"/>
      <x:c r="D166" s="129"/>
      <x:c r="E166" s="129"/>
      <x:c r="N166" s="9"/>
      <x:c r="R166" s="42"/>
      <x:c r="AA166" s="128"/>
      <x:c r="AB166" s="128"/>
      <x:c r="AC166" s="128"/>
      <x:c r="AD166" s="128"/>
      <x:c r="AE166" s="128"/>
      <x:c r="AF166" s="9"/>
      <x:c r="AI166" s="42"/>
      <x:c r="AN166" s="42"/>
      <x:c r="AR166" s="42"/>
    </x:row>
    <x:row r="167">
      <x:c r="C167" s="42"/>
      <x:c r="D167" s="129"/>
      <x:c r="E167" s="129"/>
      <x:c r="N167" s="9"/>
      <x:c r="R167" s="42"/>
      <x:c r="AA167" s="128"/>
      <x:c r="AB167" s="128"/>
      <x:c r="AC167" s="128"/>
      <x:c r="AD167" s="128"/>
      <x:c r="AE167" s="128"/>
      <x:c r="AF167" s="9"/>
      <x:c r="AI167" s="42"/>
      <x:c r="AN167" s="42"/>
      <x:c r="AR167" s="42"/>
    </x:row>
    <x:row r="168">
      <x:c r="C168" s="42"/>
      <x:c r="D168" s="129"/>
      <x:c r="E168" s="129"/>
      <x:c r="N168" s="9"/>
      <x:c r="R168" s="42"/>
      <x:c r="AA168" s="128"/>
      <x:c r="AB168" s="128"/>
      <x:c r="AC168" s="128"/>
      <x:c r="AD168" s="128"/>
      <x:c r="AE168" s="128"/>
      <x:c r="AF168" s="9"/>
      <x:c r="AI168" s="42"/>
      <x:c r="AN168" s="42"/>
      <x:c r="AR168" s="42"/>
    </x:row>
    <x:row r="169">
      <x:c r="C169" s="42"/>
      <x:c r="D169" s="129"/>
      <x:c r="E169" s="129"/>
      <x:c r="N169" s="9"/>
      <x:c r="R169" s="42"/>
      <x:c r="AA169" s="128"/>
      <x:c r="AB169" s="128"/>
      <x:c r="AC169" s="128"/>
      <x:c r="AD169" s="128"/>
      <x:c r="AE169" s="128"/>
      <x:c r="AF169" s="9"/>
      <x:c r="AI169" s="42"/>
      <x:c r="AN169" s="42"/>
      <x:c r="AR169" s="42"/>
    </x:row>
    <x:row r="170">
      <x:c r="C170" s="42"/>
      <x:c r="D170" s="129"/>
      <x:c r="E170" s="129"/>
      <x:c r="N170" s="9"/>
      <x:c r="R170" s="42"/>
      <x:c r="AA170" s="128"/>
      <x:c r="AB170" s="128"/>
      <x:c r="AC170" s="128"/>
      <x:c r="AD170" s="128"/>
      <x:c r="AE170" s="128"/>
      <x:c r="AF170" s="9"/>
      <x:c r="AI170" s="42"/>
      <x:c r="AN170" s="42"/>
      <x:c r="AR170" s="42"/>
    </x:row>
    <x:row r="171">
      <x:c r="C171" s="42"/>
      <x:c r="D171" s="129"/>
      <x:c r="E171" s="129"/>
      <x:c r="N171" s="9"/>
      <x:c r="R171" s="42"/>
      <x:c r="AA171" s="128"/>
      <x:c r="AB171" s="128"/>
      <x:c r="AC171" s="128"/>
      <x:c r="AD171" s="128"/>
      <x:c r="AE171" s="128"/>
      <x:c r="AF171" s="9"/>
      <x:c r="AI171" s="42"/>
      <x:c r="AN171" s="42"/>
      <x:c r="AR171" s="42"/>
    </x:row>
    <x:row r="172">
      <x:c r="C172" s="42"/>
      <x:c r="D172" s="129"/>
      <x:c r="E172" s="129"/>
      <x:c r="N172" s="9"/>
      <x:c r="R172" s="42"/>
      <x:c r="AA172" s="128"/>
      <x:c r="AB172" s="128"/>
      <x:c r="AC172" s="128"/>
      <x:c r="AD172" s="128"/>
      <x:c r="AE172" s="128"/>
      <x:c r="AF172" s="9"/>
      <x:c r="AI172" s="42"/>
      <x:c r="AN172" s="42"/>
      <x:c r="AR172" s="42"/>
    </x:row>
    <x:row r="173">
      <x:c r="C173" s="42"/>
      <x:c r="D173" s="129"/>
      <x:c r="E173" s="129"/>
      <x:c r="N173" s="9"/>
      <x:c r="R173" s="42"/>
      <x:c r="AA173" s="128"/>
      <x:c r="AB173" s="128"/>
      <x:c r="AC173" s="128"/>
      <x:c r="AD173" s="128"/>
      <x:c r="AE173" s="128"/>
      <x:c r="AF173" s="9"/>
      <x:c r="AI173" s="42"/>
      <x:c r="AN173" s="42"/>
      <x:c r="AR173" s="42"/>
    </x:row>
    <x:row r="174">
      <x:c r="C174" s="42"/>
      <x:c r="D174" s="129"/>
      <x:c r="E174" s="129"/>
      <x:c r="N174" s="9"/>
      <x:c r="R174" s="42"/>
      <x:c r="AA174" s="128"/>
      <x:c r="AB174" s="128"/>
      <x:c r="AC174" s="128"/>
      <x:c r="AD174" s="128"/>
      <x:c r="AE174" s="128"/>
      <x:c r="AF174" s="9"/>
      <x:c r="AI174" s="42"/>
      <x:c r="AN174" s="42"/>
      <x:c r="AR174" s="42"/>
    </x:row>
    <x:row r="175">
      <x:c r="C175" s="42"/>
      <x:c r="D175" s="129"/>
      <x:c r="E175" s="129"/>
      <x:c r="N175" s="9"/>
      <x:c r="R175" s="42"/>
      <x:c r="AA175" s="128"/>
      <x:c r="AB175" s="128"/>
      <x:c r="AC175" s="128"/>
      <x:c r="AD175" s="128"/>
      <x:c r="AE175" s="128"/>
      <x:c r="AF175" s="9"/>
      <x:c r="AI175" s="42"/>
      <x:c r="AN175" s="42"/>
      <x:c r="AR175" s="42"/>
    </x:row>
    <x:row r="176">
      <x:c r="C176" s="42"/>
      <x:c r="D176" s="129"/>
      <x:c r="E176" s="129"/>
      <x:c r="N176" s="9"/>
      <x:c r="R176" s="42"/>
      <x:c r="AA176" s="128"/>
      <x:c r="AB176" s="128"/>
      <x:c r="AC176" s="128"/>
      <x:c r="AD176" s="128"/>
      <x:c r="AE176" s="128"/>
      <x:c r="AF176" s="9"/>
      <x:c r="AI176" s="42"/>
      <x:c r="AN176" s="42"/>
      <x:c r="AR176" s="42"/>
    </x:row>
    <x:row r="177">
      <x:c r="C177" s="42"/>
      <x:c r="D177" s="129"/>
      <x:c r="E177" s="129"/>
      <x:c r="N177" s="9"/>
      <x:c r="R177" s="42"/>
      <x:c r="AA177" s="128"/>
      <x:c r="AB177" s="128"/>
      <x:c r="AC177" s="128"/>
      <x:c r="AD177" s="128"/>
      <x:c r="AE177" s="128"/>
      <x:c r="AF177" s="9"/>
      <x:c r="AI177" s="42"/>
      <x:c r="AN177" s="42"/>
      <x:c r="AR177" s="42"/>
    </x:row>
    <x:row r="178">
      <x:c r="C178" s="42"/>
      <x:c r="D178" s="129"/>
      <x:c r="E178" s="129"/>
      <x:c r="N178" s="9"/>
      <x:c r="R178" s="42"/>
      <x:c r="AA178" s="128"/>
      <x:c r="AB178" s="128"/>
      <x:c r="AC178" s="128"/>
      <x:c r="AD178" s="128"/>
      <x:c r="AE178" s="128"/>
      <x:c r="AF178" s="9"/>
      <x:c r="AI178" s="42"/>
      <x:c r="AN178" s="42"/>
      <x:c r="AR178" s="42"/>
    </x:row>
    <x:row r="179">
      <x:c r="C179" s="42"/>
      <x:c r="D179" s="129"/>
      <x:c r="E179" s="129"/>
      <x:c r="N179" s="9"/>
      <x:c r="R179" s="42"/>
      <x:c r="AA179" s="128"/>
      <x:c r="AB179" s="128"/>
      <x:c r="AC179" s="128"/>
      <x:c r="AD179" s="128"/>
      <x:c r="AE179" s="128"/>
      <x:c r="AF179" s="9"/>
      <x:c r="AI179" s="42"/>
      <x:c r="AN179" s="42"/>
      <x:c r="AR179" s="42"/>
    </x:row>
    <x:row r="180">
      <x:c r="C180" s="42"/>
      <x:c r="D180" s="129"/>
      <x:c r="E180" s="129"/>
      <x:c r="N180" s="9"/>
      <x:c r="R180" s="42"/>
      <x:c r="AA180" s="128"/>
      <x:c r="AB180" s="128"/>
      <x:c r="AC180" s="128"/>
      <x:c r="AD180" s="128"/>
      <x:c r="AE180" s="128"/>
      <x:c r="AF180" s="9"/>
      <x:c r="AI180" s="42"/>
      <x:c r="AN180" s="42"/>
      <x:c r="AR180" s="42"/>
    </x:row>
    <x:row r="181">
      <x:c r="C181" s="42"/>
      <x:c r="D181" s="129"/>
      <x:c r="E181" s="129"/>
      <x:c r="N181" s="9"/>
      <x:c r="R181" s="42"/>
      <x:c r="AA181" s="128"/>
      <x:c r="AB181" s="128"/>
      <x:c r="AC181" s="128"/>
      <x:c r="AD181" s="128"/>
      <x:c r="AE181" s="128"/>
      <x:c r="AF181" s="9"/>
      <x:c r="AI181" s="42"/>
      <x:c r="AN181" s="42"/>
      <x:c r="AR181" s="42"/>
    </x:row>
    <x:row r="182">
      <x:c r="C182" s="42"/>
      <x:c r="D182" s="129"/>
      <x:c r="E182" s="129"/>
      <x:c r="N182" s="9"/>
      <x:c r="R182" s="42"/>
      <x:c r="AA182" s="128"/>
      <x:c r="AB182" s="128"/>
      <x:c r="AC182" s="128"/>
      <x:c r="AD182" s="128"/>
      <x:c r="AE182" s="128"/>
      <x:c r="AF182" s="9"/>
      <x:c r="AI182" s="42"/>
      <x:c r="AN182" s="42"/>
      <x:c r="AR182" s="42"/>
    </x:row>
    <x:row r="183">
      <x:c r="C183" s="42"/>
      <x:c r="D183" s="129"/>
      <x:c r="E183" s="129"/>
      <x:c r="N183" s="9"/>
      <x:c r="R183" s="42"/>
      <x:c r="AA183" s="128"/>
      <x:c r="AB183" s="128"/>
      <x:c r="AC183" s="128"/>
      <x:c r="AD183" s="128"/>
      <x:c r="AE183" s="128"/>
      <x:c r="AF183" s="9"/>
      <x:c r="AI183" s="42"/>
      <x:c r="AN183" s="42"/>
      <x:c r="AR183" s="42"/>
    </x:row>
    <x:row r="184">
      <x:c r="C184" s="42"/>
      <x:c r="D184" s="129"/>
      <x:c r="E184" s="129"/>
      <x:c r="N184" s="9"/>
      <x:c r="R184" s="42"/>
      <x:c r="AA184" s="128"/>
      <x:c r="AB184" s="128"/>
      <x:c r="AC184" s="128"/>
      <x:c r="AD184" s="128"/>
      <x:c r="AE184" s="128"/>
      <x:c r="AF184" s="9"/>
      <x:c r="AI184" s="42"/>
      <x:c r="AN184" s="42"/>
      <x:c r="AR184" s="42"/>
    </x:row>
    <x:row r="185">
      <x:c r="C185" s="42"/>
      <x:c r="D185" s="129"/>
      <x:c r="E185" s="129"/>
      <x:c r="N185" s="9"/>
      <x:c r="R185" s="42"/>
      <x:c r="AA185" s="128"/>
      <x:c r="AB185" s="128"/>
      <x:c r="AC185" s="128"/>
      <x:c r="AD185" s="128"/>
      <x:c r="AE185" s="128"/>
      <x:c r="AF185" s="9"/>
      <x:c r="AI185" s="42"/>
      <x:c r="AN185" s="42"/>
      <x:c r="AR185" s="42"/>
    </x:row>
    <x:row r="186">
      <x:c r="C186" s="42"/>
      <x:c r="D186" s="129"/>
      <x:c r="E186" s="129"/>
      <x:c r="N186" s="9"/>
      <x:c r="R186" s="42"/>
      <x:c r="AA186" s="128"/>
      <x:c r="AB186" s="128"/>
      <x:c r="AC186" s="128"/>
      <x:c r="AD186" s="128"/>
      <x:c r="AE186" s="128"/>
      <x:c r="AF186" s="9"/>
      <x:c r="AI186" s="42"/>
      <x:c r="AN186" s="42"/>
      <x:c r="AR186" s="42"/>
    </x:row>
    <x:row r="187">
      <x:c r="C187" s="42"/>
      <x:c r="D187" s="129"/>
      <x:c r="E187" s="129"/>
      <x:c r="N187" s="9"/>
      <x:c r="R187" s="42"/>
      <x:c r="AA187" s="128"/>
      <x:c r="AB187" s="128"/>
      <x:c r="AC187" s="128"/>
      <x:c r="AD187" s="128"/>
      <x:c r="AE187" s="128"/>
      <x:c r="AF187" s="9"/>
      <x:c r="AI187" s="42"/>
      <x:c r="AN187" s="42"/>
      <x:c r="AR187" s="42"/>
    </x:row>
    <x:row r="188">
      <x:c r="C188" s="42"/>
      <x:c r="D188" s="129"/>
      <x:c r="E188" s="129"/>
      <x:c r="N188" s="9"/>
      <x:c r="R188" s="42"/>
      <x:c r="AA188" s="128"/>
      <x:c r="AB188" s="128"/>
      <x:c r="AC188" s="128"/>
      <x:c r="AD188" s="128"/>
      <x:c r="AE188" s="128"/>
      <x:c r="AF188" s="9"/>
      <x:c r="AI188" s="42"/>
      <x:c r="AN188" s="42"/>
      <x:c r="AR188" s="42"/>
    </x:row>
    <x:row r="189">
      <x:c r="C189" s="42"/>
      <x:c r="D189" s="129"/>
      <x:c r="E189" s="129"/>
      <x:c r="N189" s="9"/>
      <x:c r="R189" s="42"/>
      <x:c r="AA189" s="128"/>
      <x:c r="AB189" s="128"/>
      <x:c r="AC189" s="128"/>
      <x:c r="AD189" s="128"/>
      <x:c r="AE189" s="128"/>
      <x:c r="AF189" s="9"/>
      <x:c r="AI189" s="42"/>
      <x:c r="AN189" s="42"/>
      <x:c r="AR189" s="42"/>
    </x:row>
    <x:row r="190">
      <x:c r="C190" s="42"/>
      <x:c r="D190" s="129"/>
      <x:c r="E190" s="129"/>
      <x:c r="N190" s="9"/>
      <x:c r="R190" s="42"/>
      <x:c r="AA190" s="128"/>
      <x:c r="AB190" s="128"/>
      <x:c r="AC190" s="128"/>
      <x:c r="AD190" s="128"/>
      <x:c r="AE190" s="128"/>
      <x:c r="AF190" s="9"/>
      <x:c r="AI190" s="42"/>
      <x:c r="AN190" s="42"/>
      <x:c r="AR190" s="42"/>
    </x:row>
    <x:row r="191">
      <x:c r="C191" s="42"/>
      <x:c r="D191" s="129"/>
      <x:c r="E191" s="129"/>
      <x:c r="N191" s="9"/>
      <x:c r="R191" s="42"/>
      <x:c r="AA191" s="128"/>
      <x:c r="AB191" s="128"/>
      <x:c r="AC191" s="128"/>
      <x:c r="AD191" s="128"/>
      <x:c r="AE191" s="128"/>
      <x:c r="AF191" s="9"/>
      <x:c r="AI191" s="42"/>
      <x:c r="AN191" s="42"/>
      <x:c r="AR191" s="42"/>
    </x:row>
    <x:row r="192">
      <x:c r="C192" s="42"/>
      <x:c r="D192" s="129"/>
      <x:c r="E192" s="129"/>
      <x:c r="N192" s="9"/>
      <x:c r="R192" s="42"/>
      <x:c r="AA192" s="128"/>
      <x:c r="AB192" s="128"/>
      <x:c r="AC192" s="128"/>
      <x:c r="AD192" s="128"/>
      <x:c r="AE192" s="128"/>
      <x:c r="AF192" s="9"/>
      <x:c r="AI192" s="42"/>
      <x:c r="AN192" s="42"/>
      <x:c r="AR192" s="42"/>
    </x:row>
    <x:row r="193">
      <x:c r="C193" s="42"/>
      <x:c r="D193" s="129"/>
      <x:c r="E193" s="129"/>
      <x:c r="N193" s="9"/>
      <x:c r="R193" s="42"/>
      <x:c r="AA193" s="128"/>
      <x:c r="AB193" s="128"/>
      <x:c r="AC193" s="128"/>
      <x:c r="AD193" s="128"/>
      <x:c r="AE193" s="128"/>
      <x:c r="AF193" s="9"/>
      <x:c r="AI193" s="42"/>
      <x:c r="AN193" s="42"/>
      <x:c r="AR193" s="42"/>
    </x:row>
    <x:row r="194">
      <x:c r="C194" s="42"/>
      <x:c r="D194" s="129"/>
      <x:c r="E194" s="129"/>
      <x:c r="N194" s="9"/>
      <x:c r="R194" s="42"/>
      <x:c r="AA194" s="128"/>
      <x:c r="AB194" s="128"/>
      <x:c r="AC194" s="128"/>
      <x:c r="AD194" s="128"/>
      <x:c r="AE194" s="128"/>
      <x:c r="AF194" s="9"/>
      <x:c r="AI194" s="42"/>
      <x:c r="AN194" s="42"/>
      <x:c r="AR194" s="42"/>
    </x:row>
    <x:row r="195">
      <x:c r="C195" s="42"/>
      <x:c r="D195" s="129"/>
      <x:c r="E195" s="129"/>
      <x:c r="N195" s="9"/>
      <x:c r="R195" s="42"/>
      <x:c r="AA195" s="128"/>
      <x:c r="AB195" s="128"/>
      <x:c r="AC195" s="128"/>
      <x:c r="AD195" s="128"/>
      <x:c r="AE195" s="128"/>
      <x:c r="AF195" s="9"/>
      <x:c r="AI195" s="42"/>
      <x:c r="AN195" s="42"/>
      <x:c r="AR195" s="42"/>
    </x:row>
    <x:row r="196">
      <x:c r="C196" s="42"/>
      <x:c r="D196" s="129"/>
      <x:c r="E196" s="129"/>
      <x:c r="N196" s="9"/>
      <x:c r="R196" s="42"/>
      <x:c r="AA196" s="128"/>
      <x:c r="AB196" s="128"/>
      <x:c r="AC196" s="128"/>
      <x:c r="AD196" s="128"/>
      <x:c r="AE196" s="128"/>
      <x:c r="AF196" s="9"/>
      <x:c r="AI196" s="42"/>
      <x:c r="AN196" s="42"/>
      <x:c r="AR196" s="42"/>
    </x:row>
    <x:row r="197">
      <x:c r="C197" s="42"/>
      <x:c r="D197" s="129"/>
      <x:c r="E197" s="129"/>
      <x:c r="N197" s="9"/>
      <x:c r="R197" s="42"/>
      <x:c r="AA197" s="128"/>
      <x:c r="AB197" s="128"/>
      <x:c r="AC197" s="128"/>
      <x:c r="AD197" s="128"/>
      <x:c r="AE197" s="128"/>
      <x:c r="AF197" s="9"/>
      <x:c r="AI197" s="42"/>
      <x:c r="AN197" s="42"/>
      <x:c r="AR197" s="42"/>
    </x:row>
    <x:row r="198">
      <x:c r="C198" s="42"/>
      <x:c r="D198" s="129"/>
      <x:c r="E198" s="129"/>
      <x:c r="N198" s="9"/>
      <x:c r="R198" s="42"/>
      <x:c r="AA198" s="128"/>
      <x:c r="AB198" s="128"/>
      <x:c r="AC198" s="128"/>
      <x:c r="AD198" s="128"/>
      <x:c r="AE198" s="128"/>
      <x:c r="AF198" s="9"/>
      <x:c r="AI198" s="42"/>
      <x:c r="AN198" s="42"/>
      <x:c r="AR198" s="42"/>
    </x:row>
    <x:row r="199">
      <x:c r="C199" s="42"/>
      <x:c r="D199" s="129"/>
      <x:c r="E199" s="129"/>
      <x:c r="N199" s="9"/>
      <x:c r="R199" s="42"/>
      <x:c r="AA199" s="128"/>
      <x:c r="AB199" s="128"/>
      <x:c r="AC199" s="128"/>
      <x:c r="AD199" s="128"/>
      <x:c r="AE199" s="128"/>
      <x:c r="AF199" s="9"/>
      <x:c r="AI199" s="42"/>
      <x:c r="AN199" s="42"/>
      <x:c r="AR199" s="42"/>
    </x:row>
    <x:row r="200">
      <x:c r="C200" s="42"/>
      <x:c r="D200" s="129"/>
      <x:c r="E200" s="129"/>
      <x:c r="N200" s="9"/>
      <x:c r="R200" s="42"/>
      <x:c r="AA200" s="128"/>
      <x:c r="AB200" s="128"/>
      <x:c r="AC200" s="128"/>
      <x:c r="AD200" s="128"/>
      <x:c r="AE200" s="128"/>
      <x:c r="AF200" s="9"/>
      <x:c r="AI200" s="42"/>
      <x:c r="AN200" s="42"/>
      <x:c r="AR200" s="42"/>
    </x:row>
    <x:row r="201">
      <x:c r="C201" s="42"/>
      <x:c r="D201" s="129"/>
      <x:c r="E201" s="129"/>
      <x:c r="N201" s="9"/>
      <x:c r="R201" s="42"/>
      <x:c r="AA201" s="128"/>
      <x:c r="AB201" s="128"/>
      <x:c r="AC201" s="128"/>
      <x:c r="AD201" s="128"/>
      <x:c r="AE201" s="128"/>
      <x:c r="AF201" s="9"/>
      <x:c r="AI201" s="42"/>
      <x:c r="AN201" s="42"/>
      <x:c r="AR201" s="42"/>
    </x:row>
    <x:row r="202">
      <x:c r="C202" s="42"/>
      <x:c r="D202" s="129"/>
      <x:c r="E202" s="129"/>
      <x:c r="N202" s="9"/>
      <x:c r="R202" s="42"/>
      <x:c r="AA202" s="128"/>
      <x:c r="AB202" s="128"/>
      <x:c r="AC202" s="128"/>
      <x:c r="AD202" s="128"/>
      <x:c r="AE202" s="128"/>
      <x:c r="AF202" s="9"/>
      <x:c r="AI202" s="42"/>
      <x:c r="AN202" s="42"/>
      <x:c r="AR202" s="42"/>
    </x:row>
    <x:row r="203">
      <x:c r="C203" s="42"/>
      <x:c r="D203" s="129"/>
      <x:c r="E203" s="129"/>
      <x:c r="N203" s="9"/>
      <x:c r="R203" s="42"/>
      <x:c r="AA203" s="128"/>
      <x:c r="AB203" s="128"/>
      <x:c r="AC203" s="128"/>
      <x:c r="AD203" s="128"/>
      <x:c r="AE203" s="128"/>
      <x:c r="AF203" s="9"/>
      <x:c r="AI203" s="42"/>
      <x:c r="AN203" s="42"/>
      <x:c r="AR203" s="42"/>
    </x:row>
    <x:row r="204">
      <x:c r="C204" s="42"/>
      <x:c r="D204" s="129"/>
      <x:c r="E204" s="129"/>
      <x:c r="N204" s="9"/>
      <x:c r="R204" s="42"/>
      <x:c r="AA204" s="128"/>
      <x:c r="AB204" s="128"/>
      <x:c r="AC204" s="128"/>
      <x:c r="AD204" s="128"/>
      <x:c r="AE204" s="128"/>
      <x:c r="AF204" s="9"/>
      <x:c r="AI204" s="42"/>
      <x:c r="AN204" s="42"/>
      <x:c r="AR204" s="42"/>
    </x:row>
    <x:row r="205">
      <x:c r="C205" s="42"/>
      <x:c r="D205" s="129"/>
      <x:c r="E205" s="129"/>
      <x:c r="N205" s="9"/>
      <x:c r="R205" s="42"/>
      <x:c r="AA205" s="128"/>
      <x:c r="AB205" s="128"/>
      <x:c r="AC205" s="128"/>
      <x:c r="AD205" s="128"/>
      <x:c r="AE205" s="128"/>
      <x:c r="AF205" s="9"/>
      <x:c r="AI205" s="42"/>
      <x:c r="AN205" s="42"/>
      <x:c r="AR205" s="42"/>
    </x:row>
    <x:row r="206">
      <x:c r="C206" s="42"/>
      <x:c r="D206" s="129"/>
      <x:c r="E206" s="129"/>
      <x:c r="N206" s="9"/>
      <x:c r="R206" s="42"/>
      <x:c r="AA206" s="128"/>
      <x:c r="AB206" s="128"/>
      <x:c r="AC206" s="128"/>
      <x:c r="AD206" s="128"/>
      <x:c r="AE206" s="128"/>
      <x:c r="AF206" s="9"/>
      <x:c r="AI206" s="42"/>
      <x:c r="AN206" s="42"/>
      <x:c r="AR206" s="42"/>
    </x:row>
    <x:row r="207">
      <x:c r="C207" s="42"/>
      <x:c r="D207" s="129"/>
      <x:c r="E207" s="129"/>
      <x:c r="N207" s="9"/>
      <x:c r="R207" s="42"/>
      <x:c r="AA207" s="128"/>
      <x:c r="AB207" s="128"/>
      <x:c r="AC207" s="128"/>
      <x:c r="AD207" s="128"/>
      <x:c r="AE207" s="128"/>
      <x:c r="AF207" s="9"/>
      <x:c r="AI207" s="42"/>
      <x:c r="AN207" s="42"/>
      <x:c r="AR207" s="42"/>
    </x:row>
    <x:row r="208">
      <x:c r="C208" s="42"/>
      <x:c r="D208" s="129"/>
      <x:c r="E208" s="129"/>
      <x:c r="N208" s="9"/>
      <x:c r="R208" s="42"/>
      <x:c r="AA208" s="128"/>
      <x:c r="AB208" s="128"/>
      <x:c r="AC208" s="128"/>
      <x:c r="AD208" s="128"/>
      <x:c r="AE208" s="128"/>
      <x:c r="AF208" s="9"/>
      <x:c r="AI208" s="42"/>
      <x:c r="AN208" s="42"/>
      <x:c r="AR208" s="42"/>
    </x:row>
    <x:row r="209">
      <x:c r="C209" s="42"/>
      <x:c r="D209" s="129"/>
      <x:c r="E209" s="129"/>
      <x:c r="N209" s="9"/>
      <x:c r="R209" s="42"/>
      <x:c r="AA209" s="128"/>
      <x:c r="AB209" s="128"/>
      <x:c r="AC209" s="128"/>
      <x:c r="AD209" s="128"/>
      <x:c r="AE209" s="128"/>
      <x:c r="AF209" s="9"/>
      <x:c r="AI209" s="42"/>
      <x:c r="AN209" s="42"/>
      <x:c r="AR209" s="42"/>
    </x:row>
    <x:row r="210">
      <x:c r="C210" s="42"/>
      <x:c r="D210" s="129"/>
      <x:c r="E210" s="129"/>
      <x:c r="N210" s="9"/>
      <x:c r="R210" s="42"/>
      <x:c r="AA210" s="128"/>
      <x:c r="AB210" s="128"/>
      <x:c r="AC210" s="128"/>
      <x:c r="AD210" s="128"/>
      <x:c r="AE210" s="128"/>
      <x:c r="AF210" s="9"/>
      <x:c r="AI210" s="42"/>
      <x:c r="AN210" s="42"/>
      <x:c r="AR210" s="42"/>
    </x:row>
    <x:row r="211">
      <x:c r="C211" s="42"/>
      <x:c r="D211" s="129"/>
      <x:c r="E211" s="129"/>
      <x:c r="N211" s="9"/>
      <x:c r="R211" s="42"/>
      <x:c r="AA211" s="128"/>
      <x:c r="AB211" s="128"/>
      <x:c r="AC211" s="128"/>
      <x:c r="AD211" s="128"/>
      <x:c r="AE211" s="128"/>
      <x:c r="AF211" s="9"/>
      <x:c r="AI211" s="42"/>
      <x:c r="AN211" s="42"/>
      <x:c r="AR211" s="42"/>
    </x:row>
    <x:row r="212">
      <x:c r="C212" s="42"/>
      <x:c r="D212" s="129"/>
      <x:c r="E212" s="129"/>
      <x:c r="N212" s="9"/>
      <x:c r="R212" s="42"/>
      <x:c r="AA212" s="128"/>
      <x:c r="AB212" s="128"/>
      <x:c r="AC212" s="128"/>
      <x:c r="AD212" s="128"/>
      <x:c r="AE212" s="128"/>
      <x:c r="AF212" s="9"/>
      <x:c r="AI212" s="42"/>
      <x:c r="AN212" s="42"/>
      <x:c r="AR212" s="42"/>
    </x:row>
    <x:row r="213">
      <x:c r="C213" s="42"/>
      <x:c r="D213" s="129"/>
      <x:c r="E213" s="129"/>
      <x:c r="N213" s="9"/>
      <x:c r="R213" s="42"/>
      <x:c r="AA213" s="128"/>
      <x:c r="AB213" s="128"/>
      <x:c r="AC213" s="128"/>
      <x:c r="AD213" s="128"/>
      <x:c r="AE213" s="128"/>
      <x:c r="AF213" s="9"/>
      <x:c r="AI213" s="42"/>
      <x:c r="AN213" s="42"/>
      <x:c r="AR213" s="42"/>
    </x:row>
    <x:row r="214">
      <x:c r="C214" s="42"/>
      <x:c r="D214" s="129"/>
      <x:c r="E214" s="129"/>
      <x:c r="N214" s="9"/>
      <x:c r="R214" s="42"/>
      <x:c r="AA214" s="128"/>
      <x:c r="AB214" s="128"/>
      <x:c r="AC214" s="128"/>
      <x:c r="AD214" s="128"/>
      <x:c r="AE214" s="128"/>
      <x:c r="AF214" s="9"/>
      <x:c r="AI214" s="42"/>
      <x:c r="AN214" s="42"/>
      <x:c r="AR214" s="42"/>
    </x:row>
    <x:row r="215">
      <x:c r="C215" s="42"/>
      <x:c r="D215" s="129"/>
      <x:c r="E215" s="129"/>
      <x:c r="N215" s="9"/>
      <x:c r="R215" s="42"/>
      <x:c r="AA215" s="128"/>
      <x:c r="AB215" s="128"/>
      <x:c r="AC215" s="128"/>
      <x:c r="AD215" s="128"/>
      <x:c r="AE215" s="128"/>
      <x:c r="AF215" s="9"/>
      <x:c r="AI215" s="42"/>
      <x:c r="AN215" s="42"/>
      <x:c r="AR215" s="42"/>
    </x:row>
    <x:row r="216">
      <x:c r="C216" s="42"/>
      <x:c r="D216" s="129"/>
      <x:c r="E216" s="129"/>
      <x:c r="N216" s="9"/>
      <x:c r="R216" s="42"/>
      <x:c r="AA216" s="128"/>
      <x:c r="AB216" s="128"/>
      <x:c r="AC216" s="128"/>
      <x:c r="AD216" s="128"/>
      <x:c r="AE216" s="128"/>
      <x:c r="AF216" s="9"/>
      <x:c r="AI216" s="42"/>
      <x:c r="AN216" s="42"/>
      <x:c r="AR216" s="42"/>
    </x:row>
    <x:row r="217">
      <x:c r="C217" s="42"/>
      <x:c r="D217" s="129"/>
      <x:c r="E217" s="129"/>
      <x:c r="N217" s="9"/>
      <x:c r="R217" s="42"/>
      <x:c r="AA217" s="128"/>
      <x:c r="AB217" s="128"/>
      <x:c r="AC217" s="128"/>
      <x:c r="AD217" s="128"/>
      <x:c r="AE217" s="128"/>
      <x:c r="AF217" s="9"/>
      <x:c r="AI217" s="42"/>
      <x:c r="AN217" s="42"/>
      <x:c r="AR217" s="42"/>
    </x:row>
    <x:row r="218">
      <x:c r="C218" s="42"/>
      <x:c r="D218" s="129"/>
      <x:c r="E218" s="129"/>
      <x:c r="N218" s="9"/>
      <x:c r="R218" s="42"/>
      <x:c r="AA218" s="128"/>
      <x:c r="AB218" s="128"/>
      <x:c r="AC218" s="128"/>
      <x:c r="AD218" s="128"/>
      <x:c r="AE218" s="128"/>
      <x:c r="AF218" s="9"/>
      <x:c r="AI218" s="42"/>
      <x:c r="AN218" s="42"/>
      <x:c r="AR218" s="42"/>
    </x:row>
    <x:row r="219">
      <x:c r="C219" s="42"/>
      <x:c r="D219" s="129"/>
      <x:c r="E219" s="129"/>
      <x:c r="N219" s="9"/>
      <x:c r="R219" s="42"/>
      <x:c r="AA219" s="128"/>
      <x:c r="AB219" s="128"/>
      <x:c r="AC219" s="128"/>
      <x:c r="AD219" s="128"/>
      <x:c r="AE219" s="128"/>
      <x:c r="AF219" s="9"/>
      <x:c r="AI219" s="42"/>
      <x:c r="AN219" s="42"/>
      <x:c r="AR219" s="42"/>
    </x:row>
    <x:row r="220">
      <x:c r="C220" s="42"/>
      <x:c r="D220" s="129"/>
      <x:c r="E220" s="129"/>
      <x:c r="N220" s="9"/>
      <x:c r="R220" s="42"/>
      <x:c r="AA220" s="128"/>
      <x:c r="AB220" s="128"/>
      <x:c r="AC220" s="128"/>
      <x:c r="AD220" s="128"/>
      <x:c r="AE220" s="128"/>
      <x:c r="AF220" s="9"/>
      <x:c r="AI220" s="42"/>
      <x:c r="AN220" s="42"/>
      <x:c r="AR220" s="42"/>
    </x:row>
    <x:row r="221">
      <x:c r="C221" s="42"/>
      <x:c r="D221" s="129"/>
      <x:c r="E221" s="129"/>
      <x:c r="N221" s="9"/>
      <x:c r="R221" s="42"/>
      <x:c r="AA221" s="128"/>
      <x:c r="AB221" s="128"/>
      <x:c r="AC221" s="128"/>
      <x:c r="AD221" s="128"/>
      <x:c r="AE221" s="128"/>
      <x:c r="AF221" s="9"/>
      <x:c r="AI221" s="42"/>
      <x:c r="AN221" s="42"/>
      <x:c r="AR221" s="42"/>
    </x:row>
    <x:row r="222">
      <x:c r="C222" s="42"/>
      <x:c r="D222" s="129"/>
      <x:c r="E222" s="129"/>
      <x:c r="N222" s="9"/>
      <x:c r="R222" s="42"/>
      <x:c r="AA222" s="128"/>
      <x:c r="AB222" s="128"/>
      <x:c r="AC222" s="128"/>
      <x:c r="AD222" s="128"/>
      <x:c r="AE222" s="128"/>
      <x:c r="AF222" s="9"/>
      <x:c r="AI222" s="42"/>
      <x:c r="AN222" s="42"/>
      <x:c r="AR222" s="42"/>
    </x:row>
    <x:row r="223">
      <x:c r="C223" s="42"/>
      <x:c r="D223" s="129"/>
      <x:c r="E223" s="129"/>
      <x:c r="N223" s="9"/>
      <x:c r="R223" s="42"/>
      <x:c r="AA223" s="128"/>
      <x:c r="AB223" s="128"/>
      <x:c r="AC223" s="128"/>
      <x:c r="AD223" s="128"/>
      <x:c r="AE223" s="128"/>
      <x:c r="AF223" s="9"/>
      <x:c r="AI223" s="42"/>
      <x:c r="AN223" s="42"/>
      <x:c r="AR223" s="42"/>
    </x:row>
    <x:row r="224">
      <x:c r="C224" s="42"/>
      <x:c r="D224" s="129"/>
      <x:c r="E224" s="129"/>
      <x:c r="N224" s="9"/>
      <x:c r="R224" s="42"/>
      <x:c r="AA224" s="128"/>
      <x:c r="AB224" s="128"/>
      <x:c r="AC224" s="128"/>
      <x:c r="AD224" s="128"/>
      <x:c r="AE224" s="128"/>
      <x:c r="AF224" s="9"/>
      <x:c r="AI224" s="42"/>
      <x:c r="AN224" s="42"/>
      <x:c r="AR224" s="42"/>
    </x:row>
    <x:row r="225">
      <x:c r="C225" s="42"/>
      <x:c r="D225" s="129"/>
      <x:c r="E225" s="129"/>
      <x:c r="N225" s="9"/>
      <x:c r="R225" s="42"/>
      <x:c r="AA225" s="128"/>
      <x:c r="AB225" s="128"/>
      <x:c r="AC225" s="128"/>
      <x:c r="AD225" s="128"/>
      <x:c r="AE225" s="128"/>
      <x:c r="AF225" s="9"/>
      <x:c r="AI225" s="42"/>
      <x:c r="AN225" s="42"/>
      <x:c r="AR225" s="42"/>
    </x:row>
    <x:row r="226">
      <x:c r="C226" s="42"/>
      <x:c r="D226" s="129"/>
      <x:c r="E226" s="129"/>
      <x:c r="N226" s="9"/>
      <x:c r="R226" s="42"/>
      <x:c r="AA226" s="128"/>
      <x:c r="AB226" s="128"/>
      <x:c r="AC226" s="128"/>
      <x:c r="AD226" s="128"/>
      <x:c r="AE226" s="128"/>
      <x:c r="AF226" s="9"/>
      <x:c r="AI226" s="42"/>
      <x:c r="AN226" s="42"/>
      <x:c r="AR226" s="42"/>
    </x:row>
    <x:row r="227">
      <x:c r="C227" s="42"/>
      <x:c r="D227" s="129"/>
      <x:c r="E227" s="129"/>
      <x:c r="N227" s="9"/>
      <x:c r="R227" s="42"/>
      <x:c r="AA227" s="128"/>
      <x:c r="AB227" s="128"/>
      <x:c r="AC227" s="128"/>
      <x:c r="AD227" s="128"/>
      <x:c r="AE227" s="128"/>
      <x:c r="AF227" s="9"/>
      <x:c r="AI227" s="42"/>
      <x:c r="AN227" s="42"/>
      <x:c r="AR227" s="42"/>
    </x:row>
    <x:row r="228">
      <x:c r="C228" s="42"/>
      <x:c r="D228" s="129"/>
      <x:c r="E228" s="129"/>
      <x:c r="N228" s="9"/>
      <x:c r="R228" s="42"/>
      <x:c r="AA228" s="128"/>
      <x:c r="AB228" s="128"/>
      <x:c r="AC228" s="128"/>
      <x:c r="AD228" s="128"/>
      <x:c r="AE228" s="128"/>
      <x:c r="AF228" s="9"/>
      <x:c r="AI228" s="42"/>
      <x:c r="AN228" s="42"/>
      <x:c r="AR228" s="42"/>
    </x:row>
    <x:row r="229">
      <x:c r="C229" s="42"/>
      <x:c r="D229" s="129"/>
      <x:c r="E229" s="129"/>
      <x:c r="N229" s="9"/>
      <x:c r="R229" s="42"/>
      <x:c r="AA229" s="128"/>
      <x:c r="AB229" s="128"/>
      <x:c r="AC229" s="128"/>
      <x:c r="AD229" s="128"/>
      <x:c r="AE229" s="128"/>
      <x:c r="AF229" s="9"/>
      <x:c r="AI229" s="42"/>
      <x:c r="AN229" s="42"/>
      <x:c r="AR229" s="42"/>
    </x:row>
    <x:row r="230">
      <x:c r="C230" s="42"/>
      <x:c r="D230" s="129"/>
      <x:c r="E230" s="129"/>
      <x:c r="N230" s="9"/>
      <x:c r="R230" s="42"/>
      <x:c r="AA230" s="128"/>
      <x:c r="AB230" s="128"/>
      <x:c r="AC230" s="128"/>
      <x:c r="AD230" s="128"/>
      <x:c r="AE230" s="128"/>
      <x:c r="AF230" s="9"/>
      <x:c r="AI230" s="42"/>
      <x:c r="AN230" s="42"/>
      <x:c r="AR230" s="42"/>
    </x:row>
    <x:row r="231">
      <x:c r="C231" s="42"/>
      <x:c r="D231" s="129"/>
      <x:c r="E231" s="129"/>
      <x:c r="N231" s="9"/>
      <x:c r="R231" s="42"/>
      <x:c r="AA231" s="128"/>
      <x:c r="AB231" s="128"/>
      <x:c r="AC231" s="128"/>
      <x:c r="AD231" s="128"/>
      <x:c r="AE231" s="128"/>
      <x:c r="AF231" s="9"/>
      <x:c r="AI231" s="42"/>
      <x:c r="AN231" s="42"/>
      <x:c r="AR231" s="42"/>
    </x:row>
    <x:row r="232">
      <x:c r="C232" s="42"/>
      <x:c r="D232" s="129"/>
      <x:c r="E232" s="129"/>
      <x:c r="N232" s="9"/>
      <x:c r="R232" s="42"/>
      <x:c r="AA232" s="128"/>
      <x:c r="AB232" s="128"/>
      <x:c r="AC232" s="128"/>
      <x:c r="AD232" s="128"/>
      <x:c r="AE232" s="128"/>
      <x:c r="AF232" s="9"/>
      <x:c r="AI232" s="42"/>
      <x:c r="AN232" s="42"/>
      <x:c r="AR232" s="42"/>
    </x:row>
    <x:row r="233">
      <x:c r="C233" s="42"/>
      <x:c r="D233" s="129"/>
      <x:c r="E233" s="129"/>
      <x:c r="N233" s="9"/>
      <x:c r="R233" s="42"/>
      <x:c r="AA233" s="128"/>
      <x:c r="AB233" s="128"/>
      <x:c r="AC233" s="128"/>
      <x:c r="AD233" s="128"/>
      <x:c r="AE233" s="128"/>
      <x:c r="AF233" s="9"/>
      <x:c r="AI233" s="42"/>
      <x:c r="AN233" s="42"/>
      <x:c r="AR233" s="42"/>
    </x:row>
    <x:row r="234">
      <x:c r="C234" s="42"/>
      <x:c r="D234" s="129"/>
      <x:c r="E234" s="129"/>
      <x:c r="N234" s="9"/>
      <x:c r="R234" s="42"/>
      <x:c r="AA234" s="128"/>
      <x:c r="AB234" s="128"/>
      <x:c r="AC234" s="128"/>
      <x:c r="AD234" s="128"/>
      <x:c r="AE234" s="128"/>
      <x:c r="AF234" s="9"/>
      <x:c r="AI234" s="42"/>
      <x:c r="AN234" s="42"/>
      <x:c r="AR234" s="42"/>
    </x:row>
    <x:row r="235">
      <x:c r="C235" s="42"/>
      <x:c r="D235" s="129"/>
      <x:c r="E235" s="129"/>
      <x:c r="N235" s="9"/>
      <x:c r="R235" s="42"/>
      <x:c r="AA235" s="128"/>
      <x:c r="AB235" s="128"/>
      <x:c r="AC235" s="128"/>
      <x:c r="AD235" s="128"/>
      <x:c r="AE235" s="128"/>
      <x:c r="AF235" s="9"/>
      <x:c r="AI235" s="42"/>
      <x:c r="AN235" s="42"/>
      <x:c r="AR235" s="42"/>
    </x:row>
    <x:row r="236">
      <x:c r="C236" s="42"/>
      <x:c r="D236" s="129"/>
      <x:c r="E236" s="129"/>
      <x:c r="N236" s="9"/>
      <x:c r="R236" s="42"/>
      <x:c r="AA236" s="128"/>
      <x:c r="AB236" s="128"/>
      <x:c r="AC236" s="128"/>
      <x:c r="AD236" s="128"/>
      <x:c r="AE236" s="128"/>
      <x:c r="AF236" s="9"/>
      <x:c r="AI236" s="42"/>
      <x:c r="AN236" s="42"/>
      <x:c r="AR236" s="42"/>
    </x:row>
    <x:row r="237">
      <x:c r="C237" s="42"/>
      <x:c r="D237" s="129"/>
      <x:c r="E237" s="129"/>
      <x:c r="N237" s="9"/>
      <x:c r="R237" s="42"/>
      <x:c r="AA237" s="128"/>
      <x:c r="AB237" s="128"/>
      <x:c r="AC237" s="128"/>
      <x:c r="AD237" s="128"/>
      <x:c r="AE237" s="128"/>
      <x:c r="AF237" s="9"/>
      <x:c r="AI237" s="42"/>
      <x:c r="AN237" s="42"/>
      <x:c r="AR237" s="42"/>
    </x:row>
    <x:row r="238">
      <x:c r="C238" s="42"/>
      <x:c r="D238" s="129"/>
      <x:c r="E238" s="129"/>
      <x:c r="N238" s="9"/>
      <x:c r="R238" s="42"/>
      <x:c r="AA238" s="128"/>
      <x:c r="AB238" s="128"/>
      <x:c r="AC238" s="128"/>
      <x:c r="AD238" s="128"/>
      <x:c r="AE238" s="128"/>
      <x:c r="AF238" s="9"/>
      <x:c r="AI238" s="42"/>
      <x:c r="AN238" s="42"/>
      <x:c r="AR238" s="42"/>
    </x:row>
    <x:row r="239">
      <x:c r="C239" s="42"/>
      <x:c r="D239" s="129"/>
      <x:c r="E239" s="129"/>
      <x:c r="N239" s="9"/>
      <x:c r="R239" s="42"/>
      <x:c r="AA239" s="128"/>
      <x:c r="AB239" s="128"/>
      <x:c r="AC239" s="128"/>
      <x:c r="AD239" s="128"/>
      <x:c r="AE239" s="128"/>
      <x:c r="AF239" s="9"/>
      <x:c r="AI239" s="42"/>
      <x:c r="AN239" s="42"/>
      <x:c r="AR239" s="42"/>
    </x:row>
    <x:row r="240">
      <x:c r="C240" s="42"/>
      <x:c r="D240" s="129"/>
      <x:c r="E240" s="129"/>
      <x:c r="N240" s="9"/>
      <x:c r="R240" s="42"/>
      <x:c r="AA240" s="128"/>
      <x:c r="AB240" s="128"/>
      <x:c r="AC240" s="128"/>
      <x:c r="AD240" s="128"/>
      <x:c r="AE240" s="128"/>
      <x:c r="AF240" s="9"/>
      <x:c r="AI240" s="42"/>
      <x:c r="AN240" s="42"/>
      <x:c r="AR240" s="42"/>
    </x:row>
    <x:row r="241">
      <x:c r="C241" s="42"/>
      <x:c r="D241" s="129"/>
      <x:c r="E241" s="129"/>
      <x:c r="N241" s="9"/>
      <x:c r="R241" s="42"/>
      <x:c r="AA241" s="128"/>
      <x:c r="AB241" s="128"/>
      <x:c r="AC241" s="128"/>
      <x:c r="AD241" s="128"/>
      <x:c r="AE241" s="128"/>
      <x:c r="AF241" s="9"/>
      <x:c r="AI241" s="42"/>
      <x:c r="AN241" s="42"/>
      <x:c r="AR241" s="42"/>
    </x:row>
    <x:row r="242">
      <x:c r="C242" s="42"/>
      <x:c r="D242" s="129"/>
      <x:c r="E242" s="129"/>
      <x:c r="N242" s="9"/>
      <x:c r="R242" s="42"/>
      <x:c r="AA242" s="128"/>
      <x:c r="AB242" s="128"/>
      <x:c r="AC242" s="128"/>
      <x:c r="AD242" s="128"/>
      <x:c r="AE242" s="128"/>
      <x:c r="AF242" s="9"/>
      <x:c r="AI242" s="42"/>
      <x:c r="AN242" s="42"/>
      <x:c r="AR242" s="42"/>
    </x:row>
    <x:row r="243">
      <x:c r="C243" s="42"/>
      <x:c r="D243" s="129"/>
      <x:c r="E243" s="129"/>
      <x:c r="N243" s="9"/>
      <x:c r="R243" s="42"/>
      <x:c r="AA243" s="128"/>
      <x:c r="AB243" s="128"/>
      <x:c r="AC243" s="128"/>
      <x:c r="AD243" s="128"/>
      <x:c r="AE243" s="128"/>
      <x:c r="AF243" s="9"/>
      <x:c r="AI243" s="42"/>
      <x:c r="AN243" s="42"/>
      <x:c r="AR243" s="42"/>
    </x:row>
    <x:row r="244">
      <x:c r="C244" s="42"/>
      <x:c r="D244" s="129"/>
      <x:c r="E244" s="129"/>
      <x:c r="N244" s="9"/>
      <x:c r="R244" s="42"/>
      <x:c r="AA244" s="128"/>
      <x:c r="AB244" s="128"/>
      <x:c r="AC244" s="128"/>
      <x:c r="AD244" s="128"/>
      <x:c r="AE244" s="128"/>
      <x:c r="AF244" s="9"/>
      <x:c r="AI244" s="42"/>
      <x:c r="AN244" s="42"/>
      <x:c r="AR244" s="42"/>
    </x:row>
    <x:row r="245">
      <x:c r="C245" s="42"/>
      <x:c r="D245" s="129"/>
      <x:c r="E245" s="129"/>
      <x:c r="N245" s="9"/>
      <x:c r="R245" s="42"/>
      <x:c r="AA245" s="128"/>
      <x:c r="AB245" s="128"/>
      <x:c r="AC245" s="128"/>
      <x:c r="AD245" s="128"/>
      <x:c r="AE245" s="128"/>
      <x:c r="AF245" s="9"/>
      <x:c r="AI245" s="42"/>
      <x:c r="AN245" s="42"/>
      <x:c r="AR245" s="42"/>
    </x:row>
    <x:row r="246">
      <x:c r="C246" s="42"/>
      <x:c r="D246" s="129"/>
      <x:c r="E246" s="129"/>
      <x:c r="N246" s="9"/>
      <x:c r="R246" s="42"/>
      <x:c r="AA246" s="128"/>
      <x:c r="AB246" s="128"/>
      <x:c r="AC246" s="128"/>
      <x:c r="AD246" s="128"/>
      <x:c r="AE246" s="128"/>
      <x:c r="AF246" s="9"/>
      <x:c r="AI246" s="42"/>
      <x:c r="AN246" s="42"/>
      <x:c r="AR246" s="42"/>
    </x:row>
    <x:row r="247">
      <x:c r="C247" s="42"/>
      <x:c r="D247" s="129"/>
      <x:c r="E247" s="129"/>
      <x:c r="N247" s="9"/>
      <x:c r="R247" s="42"/>
      <x:c r="AA247" s="128"/>
      <x:c r="AB247" s="128"/>
      <x:c r="AC247" s="128"/>
      <x:c r="AD247" s="128"/>
      <x:c r="AE247" s="128"/>
      <x:c r="AF247" s="9"/>
      <x:c r="AI247" s="42"/>
      <x:c r="AN247" s="42"/>
      <x:c r="AR247" s="42"/>
    </x:row>
    <x:row r="248">
      <x:c r="C248" s="42"/>
      <x:c r="D248" s="129"/>
      <x:c r="E248" s="129"/>
      <x:c r="N248" s="9"/>
      <x:c r="R248" s="42"/>
      <x:c r="AA248" s="128"/>
      <x:c r="AB248" s="128"/>
      <x:c r="AC248" s="128"/>
      <x:c r="AD248" s="128"/>
      <x:c r="AE248" s="128"/>
      <x:c r="AF248" s="9"/>
      <x:c r="AI248" s="42"/>
      <x:c r="AN248" s="42"/>
      <x:c r="AR248" s="42"/>
    </x:row>
    <x:row r="249">
      <x:c r="C249" s="42"/>
      <x:c r="D249" s="129"/>
      <x:c r="E249" s="129"/>
      <x:c r="N249" s="9"/>
      <x:c r="R249" s="42"/>
      <x:c r="AA249" s="128"/>
      <x:c r="AB249" s="128"/>
      <x:c r="AC249" s="128"/>
      <x:c r="AD249" s="128"/>
      <x:c r="AE249" s="128"/>
      <x:c r="AF249" s="9"/>
      <x:c r="AI249" s="42"/>
      <x:c r="AN249" s="42"/>
      <x:c r="AR249" s="42"/>
    </x:row>
    <x:row r="250">
      <x:c r="C250" s="42"/>
      <x:c r="D250" s="129"/>
      <x:c r="E250" s="129"/>
      <x:c r="N250" s="9"/>
      <x:c r="R250" s="42"/>
      <x:c r="AA250" s="128"/>
      <x:c r="AB250" s="128"/>
      <x:c r="AC250" s="128"/>
      <x:c r="AD250" s="128"/>
      <x:c r="AE250" s="128"/>
      <x:c r="AF250" s="9"/>
      <x:c r="AI250" s="42"/>
      <x:c r="AN250" s="42"/>
      <x:c r="AR250" s="42"/>
    </x:row>
    <x:row r="251">
      <x:c r="C251" s="42"/>
      <x:c r="D251" s="129"/>
      <x:c r="E251" s="129"/>
      <x:c r="N251" s="9"/>
      <x:c r="R251" s="42"/>
      <x:c r="AA251" s="128"/>
      <x:c r="AB251" s="128"/>
      <x:c r="AC251" s="128"/>
      <x:c r="AD251" s="128"/>
      <x:c r="AE251" s="128"/>
      <x:c r="AF251" s="9"/>
      <x:c r="AI251" s="42"/>
      <x:c r="AN251" s="42"/>
      <x:c r="AR251" s="42"/>
    </x:row>
    <x:row r="252">
      <x:c r="C252" s="42"/>
      <x:c r="D252" s="129"/>
      <x:c r="E252" s="129"/>
      <x:c r="N252" s="9"/>
      <x:c r="R252" s="42"/>
      <x:c r="AA252" s="128"/>
      <x:c r="AB252" s="128"/>
      <x:c r="AC252" s="128"/>
      <x:c r="AD252" s="128"/>
      <x:c r="AE252" s="128"/>
      <x:c r="AF252" s="9"/>
      <x:c r="AI252" s="42"/>
      <x:c r="AN252" s="42"/>
      <x:c r="AR252" s="42"/>
    </x:row>
    <x:row r="253">
      <x:c r="C253" s="42"/>
      <x:c r="D253" s="129"/>
      <x:c r="E253" s="129"/>
      <x:c r="N253" s="9"/>
      <x:c r="R253" s="42"/>
      <x:c r="AA253" s="128"/>
      <x:c r="AB253" s="128"/>
      <x:c r="AC253" s="128"/>
      <x:c r="AD253" s="128"/>
      <x:c r="AE253" s="128"/>
      <x:c r="AF253" s="9"/>
      <x:c r="AI253" s="42"/>
      <x:c r="AN253" s="42"/>
      <x:c r="AR253" s="42"/>
    </x:row>
    <x:row r="254">
      <x:c r="C254" s="42"/>
      <x:c r="D254" s="129"/>
      <x:c r="E254" s="129"/>
      <x:c r="N254" s="9"/>
      <x:c r="R254" s="42"/>
      <x:c r="AA254" s="128"/>
      <x:c r="AB254" s="128"/>
      <x:c r="AC254" s="128"/>
      <x:c r="AD254" s="128"/>
      <x:c r="AE254" s="128"/>
      <x:c r="AF254" s="9"/>
      <x:c r="AI254" s="42"/>
      <x:c r="AN254" s="42"/>
      <x:c r="AR254" s="42"/>
    </x:row>
    <x:row r="255">
      <x:c r="C255" s="42"/>
      <x:c r="D255" s="129"/>
      <x:c r="E255" s="129"/>
      <x:c r="N255" s="9"/>
      <x:c r="R255" s="42"/>
      <x:c r="AA255" s="128"/>
      <x:c r="AB255" s="128"/>
      <x:c r="AC255" s="128"/>
      <x:c r="AD255" s="128"/>
      <x:c r="AE255" s="128"/>
      <x:c r="AF255" s="9"/>
      <x:c r="AI255" s="42"/>
      <x:c r="AN255" s="42"/>
      <x:c r="AR255" s="42"/>
    </x:row>
    <x:row r="256">
      <x:c r="C256" s="42"/>
      <x:c r="D256" s="129"/>
      <x:c r="E256" s="129"/>
      <x:c r="N256" s="9"/>
      <x:c r="R256" s="42"/>
      <x:c r="AA256" s="128"/>
      <x:c r="AB256" s="128"/>
      <x:c r="AC256" s="128"/>
      <x:c r="AD256" s="128"/>
      <x:c r="AE256" s="128"/>
      <x:c r="AF256" s="9"/>
      <x:c r="AI256" s="42"/>
      <x:c r="AN256" s="42"/>
      <x:c r="AR256" s="42"/>
    </x:row>
    <x:row r="257">
      <x:c r="C257" s="42"/>
      <x:c r="D257" s="129"/>
      <x:c r="E257" s="129"/>
      <x:c r="N257" s="9"/>
      <x:c r="R257" s="42"/>
      <x:c r="AA257" s="128"/>
      <x:c r="AB257" s="128"/>
      <x:c r="AC257" s="128"/>
      <x:c r="AD257" s="128"/>
      <x:c r="AE257" s="128"/>
      <x:c r="AF257" s="9"/>
      <x:c r="AI257" s="42"/>
      <x:c r="AN257" s="42"/>
      <x:c r="AR257" s="42"/>
    </x:row>
    <x:row r="258">
      <x:c r="C258" s="42"/>
      <x:c r="D258" s="129"/>
      <x:c r="E258" s="129"/>
      <x:c r="N258" s="9"/>
      <x:c r="R258" s="42"/>
      <x:c r="AA258" s="128"/>
      <x:c r="AB258" s="128"/>
      <x:c r="AC258" s="128"/>
      <x:c r="AD258" s="128"/>
      <x:c r="AE258" s="128"/>
      <x:c r="AF258" s="9"/>
      <x:c r="AI258" s="42"/>
      <x:c r="AN258" s="42"/>
      <x:c r="AR258" s="42"/>
    </x:row>
    <x:row r="259">
      <x:c r="C259" s="42"/>
      <x:c r="D259" s="129"/>
      <x:c r="E259" s="129"/>
      <x:c r="N259" s="9"/>
      <x:c r="R259" s="42"/>
      <x:c r="AA259" s="128"/>
      <x:c r="AB259" s="128"/>
      <x:c r="AC259" s="128"/>
      <x:c r="AD259" s="128"/>
      <x:c r="AE259" s="128"/>
      <x:c r="AF259" s="9"/>
      <x:c r="AI259" s="42"/>
      <x:c r="AN259" s="42"/>
      <x:c r="AR259" s="42"/>
    </x:row>
    <x:row r="260">
      <x:c r="C260" s="42"/>
      <x:c r="D260" s="129"/>
      <x:c r="E260" s="129"/>
      <x:c r="N260" s="9"/>
      <x:c r="R260" s="42"/>
      <x:c r="AA260" s="128"/>
      <x:c r="AB260" s="128"/>
      <x:c r="AC260" s="128"/>
      <x:c r="AD260" s="128"/>
      <x:c r="AE260" s="128"/>
      <x:c r="AF260" s="9"/>
      <x:c r="AI260" s="42"/>
      <x:c r="AN260" s="42"/>
      <x:c r="AR260" s="42"/>
    </x:row>
    <x:row r="261">
      <x:c r="C261" s="42"/>
      <x:c r="D261" s="129"/>
      <x:c r="E261" s="129"/>
      <x:c r="N261" s="9"/>
      <x:c r="R261" s="42"/>
      <x:c r="AA261" s="128"/>
      <x:c r="AB261" s="128"/>
      <x:c r="AC261" s="128"/>
      <x:c r="AD261" s="128"/>
      <x:c r="AE261" s="128"/>
      <x:c r="AF261" s="9"/>
      <x:c r="AI261" s="42"/>
      <x:c r="AN261" s="42"/>
      <x:c r="AR261" s="42"/>
    </x:row>
    <x:row r="262">
      <x:c r="C262" s="42"/>
      <x:c r="D262" s="129"/>
      <x:c r="E262" s="129"/>
      <x:c r="N262" s="9"/>
      <x:c r="R262" s="42"/>
      <x:c r="AA262" s="128"/>
      <x:c r="AB262" s="128"/>
      <x:c r="AC262" s="128"/>
      <x:c r="AD262" s="128"/>
      <x:c r="AE262" s="128"/>
      <x:c r="AF262" s="9"/>
      <x:c r="AI262" s="42"/>
      <x:c r="AN262" s="42"/>
      <x:c r="AR262" s="42"/>
    </x:row>
    <x:row r="263">
      <x:c r="C263" s="42"/>
      <x:c r="D263" s="129"/>
      <x:c r="E263" s="129"/>
      <x:c r="N263" s="9"/>
      <x:c r="R263" s="42"/>
      <x:c r="AA263" s="128"/>
      <x:c r="AB263" s="128"/>
      <x:c r="AC263" s="128"/>
      <x:c r="AD263" s="128"/>
      <x:c r="AE263" s="128"/>
      <x:c r="AF263" s="9"/>
      <x:c r="AI263" s="42"/>
      <x:c r="AN263" s="42"/>
      <x:c r="AR263" s="42"/>
    </x:row>
    <x:row r="264">
      <x:c r="C264" s="42"/>
      <x:c r="D264" s="129"/>
      <x:c r="E264" s="129"/>
      <x:c r="N264" s="9"/>
      <x:c r="R264" s="42"/>
      <x:c r="AA264" s="128"/>
      <x:c r="AB264" s="128"/>
      <x:c r="AC264" s="128"/>
      <x:c r="AD264" s="128"/>
      <x:c r="AE264" s="128"/>
      <x:c r="AF264" s="9"/>
      <x:c r="AI264" s="42"/>
      <x:c r="AN264" s="42"/>
      <x:c r="AR264" s="42"/>
    </x:row>
    <x:row r="265">
      <x:c r="C265" s="42"/>
      <x:c r="D265" s="129"/>
      <x:c r="E265" s="129"/>
      <x:c r="N265" s="9"/>
      <x:c r="R265" s="42"/>
      <x:c r="AA265" s="128"/>
      <x:c r="AB265" s="128"/>
      <x:c r="AC265" s="128"/>
      <x:c r="AD265" s="128"/>
      <x:c r="AE265" s="128"/>
      <x:c r="AF265" s="9"/>
      <x:c r="AI265" s="42"/>
      <x:c r="AN265" s="42"/>
      <x:c r="AR265" s="42"/>
    </x:row>
    <x:row r="266">
      <x:c r="C266" s="42"/>
      <x:c r="D266" s="129"/>
      <x:c r="E266" s="129"/>
      <x:c r="N266" s="9"/>
      <x:c r="R266" s="42"/>
      <x:c r="AA266" s="128"/>
      <x:c r="AB266" s="128"/>
      <x:c r="AC266" s="128"/>
      <x:c r="AD266" s="128"/>
      <x:c r="AE266" s="128"/>
      <x:c r="AF266" s="9"/>
      <x:c r="AI266" s="42"/>
      <x:c r="AN266" s="42"/>
      <x:c r="AR266" s="42"/>
    </x:row>
    <x:row r="267">
      <x:c r="C267" s="42"/>
      <x:c r="D267" s="129"/>
      <x:c r="E267" s="129"/>
      <x:c r="N267" s="9"/>
      <x:c r="R267" s="42"/>
      <x:c r="AA267" s="128"/>
      <x:c r="AB267" s="128"/>
      <x:c r="AC267" s="128"/>
      <x:c r="AD267" s="128"/>
      <x:c r="AE267" s="128"/>
      <x:c r="AF267" s="9"/>
      <x:c r="AI267" s="42"/>
      <x:c r="AN267" s="42"/>
      <x:c r="AR267" s="42"/>
    </x:row>
    <x:row r="268">
      <x:c r="C268" s="42"/>
      <x:c r="D268" s="129"/>
      <x:c r="E268" s="129"/>
      <x:c r="N268" s="9"/>
      <x:c r="R268" s="42"/>
      <x:c r="AA268" s="128"/>
      <x:c r="AB268" s="128"/>
      <x:c r="AC268" s="128"/>
      <x:c r="AD268" s="128"/>
      <x:c r="AE268" s="128"/>
      <x:c r="AF268" s="9"/>
      <x:c r="AI268" s="42"/>
      <x:c r="AN268" s="42"/>
      <x:c r="AR268" s="42"/>
    </x:row>
    <x:row r="269">
      <x:c r="C269" s="42"/>
      <x:c r="D269" s="129"/>
      <x:c r="E269" s="129"/>
      <x:c r="N269" s="9"/>
      <x:c r="R269" s="42"/>
      <x:c r="AA269" s="128"/>
      <x:c r="AB269" s="128"/>
      <x:c r="AC269" s="128"/>
      <x:c r="AD269" s="128"/>
      <x:c r="AE269" s="128"/>
      <x:c r="AF269" s="9"/>
      <x:c r="AI269" s="42"/>
      <x:c r="AN269" s="42"/>
      <x:c r="AR269" s="42"/>
    </x:row>
    <x:row r="270">
      <x:c r="C270" s="42"/>
      <x:c r="D270" s="129"/>
      <x:c r="E270" s="129"/>
      <x:c r="N270" s="9"/>
      <x:c r="R270" s="42"/>
      <x:c r="AA270" s="128"/>
      <x:c r="AB270" s="128"/>
      <x:c r="AC270" s="128"/>
      <x:c r="AD270" s="128"/>
      <x:c r="AE270" s="128"/>
      <x:c r="AF270" s="9"/>
      <x:c r="AI270" s="42"/>
      <x:c r="AN270" s="42"/>
      <x:c r="AR270" s="42"/>
    </x:row>
    <x:row r="271">
      <x:c r="C271" s="42"/>
      <x:c r="D271" s="129"/>
      <x:c r="E271" s="129"/>
      <x:c r="N271" s="9"/>
      <x:c r="R271" s="42"/>
      <x:c r="AA271" s="128"/>
      <x:c r="AB271" s="128"/>
      <x:c r="AC271" s="128"/>
      <x:c r="AD271" s="128"/>
      <x:c r="AE271" s="128"/>
      <x:c r="AF271" s="9"/>
      <x:c r="AI271" s="42"/>
      <x:c r="AN271" s="42"/>
      <x:c r="AR271" s="42"/>
    </x:row>
    <x:row r="272">
      <x:c r="C272" s="42"/>
      <x:c r="D272" s="129"/>
      <x:c r="E272" s="129"/>
      <x:c r="N272" s="9"/>
      <x:c r="R272" s="42"/>
      <x:c r="AA272" s="128"/>
      <x:c r="AB272" s="128"/>
      <x:c r="AC272" s="128"/>
      <x:c r="AD272" s="128"/>
      <x:c r="AE272" s="128"/>
      <x:c r="AF272" s="9"/>
      <x:c r="AI272" s="42"/>
      <x:c r="AN272" s="42"/>
      <x:c r="AR272" s="42"/>
    </x:row>
    <x:row r="273">
      <x:c r="C273" s="42"/>
      <x:c r="D273" s="129"/>
      <x:c r="E273" s="129"/>
      <x:c r="N273" s="9"/>
      <x:c r="R273" s="42"/>
      <x:c r="AA273" s="128"/>
      <x:c r="AB273" s="128"/>
      <x:c r="AC273" s="128"/>
      <x:c r="AD273" s="128"/>
      <x:c r="AE273" s="128"/>
      <x:c r="AF273" s="9"/>
      <x:c r="AI273" s="42"/>
      <x:c r="AN273" s="42"/>
      <x:c r="AR273" s="42"/>
    </x:row>
    <x:row r="274">
      <x:c r="C274" s="42"/>
      <x:c r="D274" s="129"/>
      <x:c r="E274" s="129"/>
      <x:c r="N274" s="9"/>
      <x:c r="R274" s="42"/>
      <x:c r="AA274" s="128"/>
      <x:c r="AB274" s="128"/>
      <x:c r="AC274" s="128"/>
      <x:c r="AD274" s="128"/>
      <x:c r="AE274" s="128"/>
      <x:c r="AF274" s="9"/>
      <x:c r="AI274" s="42"/>
      <x:c r="AN274" s="42"/>
      <x:c r="AR274" s="42"/>
    </x:row>
    <x:row r="275">
      <x:c r="C275" s="42"/>
      <x:c r="D275" s="129"/>
      <x:c r="E275" s="129"/>
      <x:c r="N275" s="9"/>
      <x:c r="R275" s="42"/>
      <x:c r="AA275" s="128"/>
      <x:c r="AB275" s="128"/>
      <x:c r="AC275" s="128"/>
      <x:c r="AD275" s="128"/>
      <x:c r="AE275" s="128"/>
      <x:c r="AF275" s="9"/>
      <x:c r="AI275" s="42"/>
      <x:c r="AN275" s="42"/>
      <x:c r="AR275" s="42"/>
    </x:row>
    <x:row r="276">
      <x:c r="C276" s="42"/>
      <x:c r="D276" s="129"/>
      <x:c r="E276" s="129"/>
      <x:c r="N276" s="9"/>
      <x:c r="R276" s="42"/>
      <x:c r="AA276" s="128"/>
      <x:c r="AB276" s="128"/>
      <x:c r="AC276" s="128"/>
      <x:c r="AD276" s="128"/>
      <x:c r="AE276" s="128"/>
      <x:c r="AF276" s="9"/>
      <x:c r="AI276" s="42"/>
      <x:c r="AN276" s="42"/>
      <x:c r="AR276" s="42"/>
    </x:row>
    <x:row r="277">
      <x:c r="C277" s="42"/>
      <x:c r="D277" s="129"/>
      <x:c r="E277" s="129"/>
      <x:c r="N277" s="9"/>
      <x:c r="R277" s="42"/>
      <x:c r="AA277" s="128"/>
      <x:c r="AB277" s="128"/>
      <x:c r="AC277" s="128"/>
      <x:c r="AD277" s="128"/>
      <x:c r="AE277" s="128"/>
      <x:c r="AF277" s="9"/>
      <x:c r="AI277" s="42"/>
      <x:c r="AN277" s="42"/>
      <x:c r="AR277" s="42"/>
    </x:row>
    <x:row r="278">
      <x:c r="C278" s="42"/>
      <x:c r="D278" s="129"/>
      <x:c r="E278" s="129"/>
      <x:c r="N278" s="9"/>
      <x:c r="R278" s="42"/>
      <x:c r="AA278" s="128"/>
      <x:c r="AB278" s="128"/>
      <x:c r="AC278" s="128"/>
      <x:c r="AD278" s="128"/>
      <x:c r="AE278" s="128"/>
      <x:c r="AF278" s="9"/>
      <x:c r="AI278" s="42"/>
      <x:c r="AN278" s="42"/>
      <x:c r="AR278" s="42"/>
    </x:row>
    <x:row r="279">
      <x:c r="C279" s="42"/>
      <x:c r="D279" s="129"/>
      <x:c r="E279" s="129"/>
      <x:c r="N279" s="9"/>
      <x:c r="R279" s="42"/>
      <x:c r="AA279" s="128"/>
      <x:c r="AB279" s="128"/>
      <x:c r="AC279" s="128"/>
      <x:c r="AD279" s="128"/>
      <x:c r="AE279" s="128"/>
      <x:c r="AF279" s="9"/>
      <x:c r="AI279" s="42"/>
      <x:c r="AN279" s="42"/>
      <x:c r="AR279" s="42"/>
    </x:row>
    <x:row r="280">
      <x:c r="C280" s="42"/>
      <x:c r="D280" s="129"/>
      <x:c r="E280" s="129"/>
      <x:c r="N280" s="9"/>
      <x:c r="R280" s="42"/>
      <x:c r="AA280" s="128"/>
      <x:c r="AB280" s="128"/>
      <x:c r="AC280" s="128"/>
      <x:c r="AD280" s="128"/>
      <x:c r="AE280" s="128"/>
      <x:c r="AF280" s="9"/>
      <x:c r="AI280" s="42"/>
      <x:c r="AN280" s="42"/>
      <x:c r="AR280" s="42"/>
    </x:row>
    <x:row r="281">
      <x:c r="C281" s="42"/>
      <x:c r="D281" s="129"/>
      <x:c r="E281" s="129"/>
      <x:c r="N281" s="9"/>
      <x:c r="R281" s="42"/>
      <x:c r="AA281" s="128"/>
      <x:c r="AB281" s="128"/>
      <x:c r="AC281" s="128"/>
      <x:c r="AD281" s="128"/>
      <x:c r="AE281" s="128"/>
      <x:c r="AF281" s="9"/>
      <x:c r="AI281" s="42"/>
      <x:c r="AN281" s="42"/>
      <x:c r="AR281" s="42"/>
    </x:row>
    <x:row r="282">
      <x:c r="C282" s="42"/>
      <x:c r="D282" s="129"/>
      <x:c r="E282" s="129"/>
      <x:c r="N282" s="9"/>
      <x:c r="R282" s="42"/>
      <x:c r="AA282" s="128"/>
      <x:c r="AB282" s="128"/>
      <x:c r="AC282" s="128"/>
      <x:c r="AD282" s="128"/>
      <x:c r="AE282" s="128"/>
      <x:c r="AF282" s="9"/>
      <x:c r="AI282" s="42"/>
      <x:c r="AN282" s="42"/>
      <x:c r="AR282" s="42"/>
    </x:row>
    <x:row r="283">
      <x:c r="C283" s="42"/>
      <x:c r="D283" s="129"/>
      <x:c r="E283" s="129"/>
      <x:c r="N283" s="9"/>
      <x:c r="R283" s="42"/>
      <x:c r="AA283" s="128"/>
      <x:c r="AB283" s="128"/>
      <x:c r="AC283" s="128"/>
      <x:c r="AD283" s="128"/>
      <x:c r="AE283" s="128"/>
      <x:c r="AF283" s="9"/>
      <x:c r="AI283" s="42"/>
      <x:c r="AN283" s="42"/>
      <x:c r="AR283" s="42"/>
    </x:row>
    <x:row r="284">
      <x:c r="C284" s="42"/>
      <x:c r="D284" s="129"/>
      <x:c r="E284" s="129"/>
      <x:c r="N284" s="9"/>
      <x:c r="R284" s="42"/>
      <x:c r="AA284" s="128"/>
      <x:c r="AB284" s="128"/>
      <x:c r="AC284" s="128"/>
      <x:c r="AD284" s="128"/>
      <x:c r="AE284" s="128"/>
      <x:c r="AF284" s="9"/>
      <x:c r="AI284" s="42"/>
      <x:c r="AN284" s="42"/>
      <x:c r="AR284" s="42"/>
    </x:row>
    <x:row r="285">
      <x:c r="C285" s="42"/>
      <x:c r="D285" s="129"/>
      <x:c r="E285" s="129"/>
      <x:c r="N285" s="9"/>
      <x:c r="R285" s="42"/>
      <x:c r="AA285" s="128"/>
      <x:c r="AB285" s="128"/>
      <x:c r="AC285" s="128"/>
      <x:c r="AD285" s="128"/>
      <x:c r="AE285" s="128"/>
      <x:c r="AF285" s="9"/>
      <x:c r="AI285" s="42"/>
      <x:c r="AN285" s="42"/>
      <x:c r="AR285" s="42"/>
    </x:row>
    <x:row r="286">
      <x:c r="C286" s="42"/>
      <x:c r="D286" s="129"/>
      <x:c r="E286" s="129"/>
      <x:c r="N286" s="9"/>
      <x:c r="R286" s="42"/>
      <x:c r="AA286" s="128"/>
      <x:c r="AB286" s="128"/>
      <x:c r="AC286" s="128"/>
      <x:c r="AD286" s="128"/>
      <x:c r="AE286" s="128"/>
      <x:c r="AF286" s="9"/>
      <x:c r="AI286" s="42"/>
      <x:c r="AN286" s="42"/>
      <x:c r="AR286" s="42"/>
    </x:row>
    <x:row r="287">
      <x:c r="C287" s="42"/>
      <x:c r="D287" s="129"/>
      <x:c r="E287" s="129"/>
      <x:c r="N287" s="9"/>
      <x:c r="R287" s="42"/>
      <x:c r="AA287" s="128"/>
      <x:c r="AB287" s="128"/>
      <x:c r="AC287" s="128"/>
      <x:c r="AD287" s="128"/>
      <x:c r="AE287" s="128"/>
      <x:c r="AF287" s="9"/>
      <x:c r="AI287" s="42"/>
      <x:c r="AN287" s="42"/>
      <x:c r="AR287" s="42"/>
    </x:row>
    <x:row r="288">
      <x:c r="C288" s="42"/>
      <x:c r="D288" s="129"/>
      <x:c r="E288" s="129"/>
      <x:c r="N288" s="9"/>
      <x:c r="R288" s="42"/>
      <x:c r="AA288" s="128"/>
      <x:c r="AB288" s="128"/>
      <x:c r="AC288" s="128"/>
      <x:c r="AD288" s="128"/>
      <x:c r="AE288" s="128"/>
      <x:c r="AF288" s="9"/>
      <x:c r="AI288" s="42"/>
      <x:c r="AN288" s="42"/>
      <x:c r="AR288" s="42"/>
    </x:row>
    <x:row r="289">
      <x:c r="C289" s="42"/>
      <x:c r="D289" s="129"/>
      <x:c r="E289" s="129"/>
      <x:c r="N289" s="9"/>
      <x:c r="R289" s="42"/>
      <x:c r="AA289" s="128"/>
      <x:c r="AB289" s="128"/>
      <x:c r="AC289" s="128"/>
      <x:c r="AD289" s="128"/>
      <x:c r="AE289" s="128"/>
      <x:c r="AF289" s="9"/>
      <x:c r="AI289" s="42"/>
      <x:c r="AN289" s="42"/>
      <x:c r="AR289" s="42"/>
    </x:row>
    <x:row r="290">
      <x:c r="C290" s="42"/>
      <x:c r="D290" s="129"/>
      <x:c r="E290" s="129"/>
      <x:c r="N290" s="9"/>
      <x:c r="R290" s="42"/>
      <x:c r="AA290" s="128"/>
      <x:c r="AB290" s="128"/>
      <x:c r="AC290" s="128"/>
      <x:c r="AD290" s="128"/>
      <x:c r="AE290" s="128"/>
      <x:c r="AF290" s="9"/>
      <x:c r="AI290" s="42"/>
      <x:c r="AN290" s="42"/>
      <x:c r="AR290" s="42"/>
    </x:row>
    <x:row r="291">
      <x:c r="C291" s="42"/>
      <x:c r="D291" s="129"/>
      <x:c r="E291" s="129"/>
      <x:c r="N291" s="9"/>
      <x:c r="R291" s="42"/>
      <x:c r="AA291" s="128"/>
      <x:c r="AB291" s="128"/>
      <x:c r="AC291" s="128"/>
      <x:c r="AD291" s="128"/>
      <x:c r="AE291" s="128"/>
      <x:c r="AF291" s="9"/>
      <x:c r="AI291" s="42"/>
      <x:c r="AN291" s="42"/>
      <x:c r="AR291" s="42"/>
    </x:row>
    <x:row r="292">
      <x:c r="C292" s="42"/>
      <x:c r="D292" s="129"/>
      <x:c r="E292" s="129"/>
      <x:c r="N292" s="9"/>
      <x:c r="R292" s="42"/>
      <x:c r="AA292" s="128"/>
      <x:c r="AB292" s="128"/>
      <x:c r="AC292" s="128"/>
      <x:c r="AD292" s="128"/>
      <x:c r="AE292" s="128"/>
      <x:c r="AF292" s="9"/>
      <x:c r="AI292" s="42"/>
      <x:c r="AN292" s="42"/>
      <x:c r="AR292" s="42"/>
    </x:row>
    <x:row r="293">
      <x:c r="C293" s="42"/>
      <x:c r="D293" s="129"/>
      <x:c r="E293" s="129"/>
      <x:c r="N293" s="9"/>
      <x:c r="R293" s="42"/>
      <x:c r="AA293" s="128"/>
      <x:c r="AB293" s="128"/>
      <x:c r="AC293" s="128"/>
      <x:c r="AD293" s="128"/>
      <x:c r="AE293" s="128"/>
      <x:c r="AF293" s="9"/>
      <x:c r="AI293" s="42"/>
      <x:c r="AN293" s="42"/>
      <x:c r="AR293" s="42"/>
    </x:row>
    <x:row r="294">
      <x:c r="C294" s="42"/>
      <x:c r="D294" s="129"/>
      <x:c r="E294" s="129"/>
      <x:c r="N294" s="9"/>
      <x:c r="R294" s="42"/>
      <x:c r="AA294" s="128"/>
      <x:c r="AB294" s="128"/>
      <x:c r="AC294" s="128"/>
      <x:c r="AD294" s="128"/>
      <x:c r="AE294" s="128"/>
      <x:c r="AF294" s="9"/>
      <x:c r="AI294" s="42"/>
      <x:c r="AN294" s="42"/>
      <x:c r="AR294" s="42"/>
    </x:row>
    <x:row r="295">
      <x:c r="C295" s="42"/>
      <x:c r="D295" s="129"/>
      <x:c r="E295" s="129"/>
      <x:c r="N295" s="9"/>
      <x:c r="R295" s="42"/>
      <x:c r="AA295" s="128"/>
      <x:c r="AB295" s="128"/>
      <x:c r="AC295" s="128"/>
      <x:c r="AD295" s="128"/>
      <x:c r="AE295" s="128"/>
      <x:c r="AF295" s="9"/>
      <x:c r="AI295" s="42"/>
      <x:c r="AN295" s="42"/>
      <x:c r="AR295" s="42"/>
    </x:row>
    <x:row r="296">
      <x:c r="C296" s="42"/>
      <x:c r="D296" s="129"/>
      <x:c r="E296" s="129"/>
      <x:c r="N296" s="9"/>
      <x:c r="R296" s="42"/>
      <x:c r="AA296" s="128"/>
      <x:c r="AB296" s="128"/>
      <x:c r="AC296" s="128"/>
      <x:c r="AD296" s="128"/>
      <x:c r="AE296" s="128"/>
      <x:c r="AF296" s="9"/>
      <x:c r="AI296" s="42"/>
      <x:c r="AN296" s="42"/>
      <x:c r="AR296" s="42"/>
    </x:row>
    <x:row r="297">
      <x:c r="C297" s="42"/>
      <x:c r="D297" s="129"/>
      <x:c r="E297" s="129"/>
      <x:c r="N297" s="9"/>
      <x:c r="R297" s="42"/>
      <x:c r="AA297" s="128"/>
      <x:c r="AB297" s="128"/>
      <x:c r="AC297" s="128"/>
      <x:c r="AD297" s="128"/>
      <x:c r="AE297" s="128"/>
      <x:c r="AF297" s="9"/>
      <x:c r="AI297" s="42"/>
      <x:c r="AN297" s="42"/>
      <x:c r="AR297" s="42"/>
    </x:row>
    <x:row r="298">
      <x:c r="C298" s="42"/>
      <x:c r="D298" s="129"/>
      <x:c r="E298" s="129"/>
      <x:c r="N298" s="9"/>
      <x:c r="R298" s="42"/>
      <x:c r="AA298" s="128"/>
      <x:c r="AB298" s="128"/>
      <x:c r="AC298" s="128"/>
      <x:c r="AD298" s="128"/>
      <x:c r="AE298" s="128"/>
      <x:c r="AF298" s="9"/>
      <x:c r="AI298" s="42"/>
      <x:c r="AN298" s="42"/>
      <x:c r="AR298" s="42"/>
    </x:row>
    <x:row r="299">
      <x:c r="C299" s="42"/>
      <x:c r="D299" s="129"/>
      <x:c r="E299" s="129"/>
      <x:c r="N299" s="9"/>
      <x:c r="R299" s="42"/>
      <x:c r="AA299" s="128"/>
      <x:c r="AB299" s="128"/>
      <x:c r="AC299" s="128"/>
      <x:c r="AD299" s="128"/>
      <x:c r="AE299" s="128"/>
      <x:c r="AF299" s="9"/>
      <x:c r="AI299" s="42"/>
      <x:c r="AN299" s="42"/>
      <x:c r="AR299" s="42"/>
    </x:row>
    <x:row r="300">
      <x:c r="C300" s="42"/>
      <x:c r="D300" s="129"/>
      <x:c r="E300" s="129"/>
      <x:c r="N300" s="9"/>
      <x:c r="R300" s="42"/>
      <x:c r="AA300" s="128"/>
      <x:c r="AB300" s="128"/>
      <x:c r="AC300" s="128"/>
      <x:c r="AD300" s="128"/>
      <x:c r="AE300" s="128"/>
      <x:c r="AF300" s="9"/>
      <x:c r="AI300" s="42"/>
      <x:c r="AN300" s="42"/>
      <x:c r="AR300" s="42"/>
    </x:row>
    <x:row r="301">
      <x:c r="C301" s="42"/>
      <x:c r="D301" s="129"/>
      <x:c r="E301" s="129"/>
      <x:c r="N301" s="9"/>
      <x:c r="R301" s="42"/>
      <x:c r="AA301" s="128"/>
      <x:c r="AB301" s="128"/>
      <x:c r="AC301" s="128"/>
      <x:c r="AD301" s="128"/>
      <x:c r="AE301" s="128"/>
      <x:c r="AF301" s="9"/>
      <x:c r="AI301" s="42"/>
      <x:c r="AN301" s="42"/>
      <x:c r="AR301" s="42"/>
    </x:row>
    <x:row r="302">
      <x:c r="C302" s="42"/>
      <x:c r="D302" s="129"/>
      <x:c r="E302" s="129"/>
      <x:c r="N302" s="9"/>
      <x:c r="R302" s="42"/>
      <x:c r="AA302" s="128"/>
      <x:c r="AB302" s="128"/>
      <x:c r="AC302" s="128"/>
      <x:c r="AD302" s="128"/>
      <x:c r="AE302" s="128"/>
      <x:c r="AF302" s="9"/>
      <x:c r="AI302" s="42"/>
      <x:c r="AN302" s="42"/>
      <x:c r="AR302" s="42"/>
    </x:row>
  </x:sheetData>
  <x:mergeCells>
    <x:mergeCell ref="A1:I1"/>
    <x:mergeCell ref="J1:N1"/>
    <x:mergeCell ref="O1:Q1"/>
    <x:mergeCell ref="R1:Y1"/>
    <x:mergeCell ref="Z1:AK1"/>
    <x:mergeCell ref="AL1:AN1"/>
    <x:mergeCell ref="AO1:AR1"/>
  </x:mergeCells>
  <x:conditionalFormatting sqref="A3:A302">
    <x:cfRule type="duplicateValues" dxfId="0" priority="1"/>
  </x:conditionalFormatting>
  <x:conditionalFormatting sqref="B3:B302">
    <x:cfRule type="duplicateValues" dxfId="1" priority="2"/>
  </x:conditionalFormatting>
  <x:conditionalFormatting sqref="S3:X302">
    <x:cfRule type="containsText" dxfId="2" priority="3" operator="containsText" text="LOW"/>
    <x:cfRule type="containsText" dxfId="3" priority="4" operator="containsText" text="MEDIUM"/>
    <x:cfRule type="containsText" dxfId="4" priority="5" operator="containsText" text="HIGH"/>
  </x:conditionalFormatting>
  <x:conditionalFormatting sqref="Y3:Y302">
    <x:cfRule type="containsText" dxfId="5" priority="6" operator="containsText" text="INCLUDE"/>
    <x:cfRule type="containsText" dxfId="6" priority="7" operator="containsText" text="PENDING"/>
    <x:cfRule type="containsText" dxfId="7" priority="8" operator="containsText" text="EXCLUDE"/>
  </x:conditionalFormatting>
  <x:conditionalFormatting sqref="Z3:Z302">
    <x:cfRule type="containsText" dxfId="8" priority="9" operator="containsText" text="SUCCESS"/>
    <x:cfRule type="containsText" dxfId="9" priority="10" operator="containsText" text="RUNNING"/>
    <x:cfRule type="containsText" dxfId="10" priority="11" operator="containsText" text="FAIL"/>
  </x:conditionalFormatting>
  <x:conditionalFormatting sqref="AC3:AC302">
    <x:cfRule type="containsText" dxfId="11" priority="12" operator="containsText" text="CHANGED"/>
  </x:conditionalFormatting>
  <x:conditionalFormatting sqref="AJ3:AJ302">
    <x:cfRule type="containsText" dxfId="12" priority="13" operator="containsText" text="YES"/>
    <x:cfRule type="containsText" dxfId="13" priority="14" operator="containsText" text="NO"/>
  </x:conditionalFormatting>
  <x:conditionalFormatting sqref="AP3:AP302">
    <x:cfRule type="containsText" dxfId="14" priority="15" operator="containsText" text="UNVERIFIED"/>
  </x:conditionalFormatting>
  <x:conditionalFormatting sqref="AQ3:AQ302">
    <x:cfRule type="containsText" dxfId="15" priority="16" operator="containsText" text="UNKNOWN"/>
  </x:conditionalFormatting>
  <x:dataValidations count="17">
    <x:dataValidation type="list" sqref="F3:F302">
      <x:formula1>'Categories'!$D$6:$D$12</x:formula1>
    </x:dataValidation>
    <x:dataValidation type="list" sqref="G3:G302">
      <x:formula1>'Categories'!$B$55:$B$58</x:formula1>
    </x:dataValidation>
    <x:dataValidation type="list" sqref="I3:I302">
      <x:formula1>'Categories'!$B$74:$B$76</x:formula1>
    </x:dataValidation>
    <x:dataValidation type="list" sqref="K3:K302">
      <x:formula1>'Categories'!$B$46:$B$51</x:formula1>
    </x:dataValidation>
    <x:dataValidation type="list" sqref="L3:L302">
      <x:formula1>'Categories'!$B$40:$B$42</x:formula1>
    </x:dataValidation>
    <x:dataValidation type="list" sqref="O3:O302">
      <x:formula1>'Categories'!$B$6:$B$12</x:formula1>
    </x:dataValidation>
    <x:dataValidation type="list" sqref="P3:P302">
      <x:formula1>'Categories'!$B$16:$B$26</x:formula1>
    </x:dataValidation>
    <x:dataValidation type="list" sqref="Q3:Q302">
      <x:formula1>'Categories'!$B$30:$B$36</x:formula1>
    </x:dataValidation>
    <x:dataValidation type="list" sqref="S3:X302">
      <x:formula1>'Categories'!$B$62:$B$64</x:formula1>
    </x:dataValidation>
    <x:dataValidation type="list" sqref="Z3:Z302">
      <x:formula1>'Categories'!$B$80:$B$83</x:formula1>
    </x:dataValidation>
    <x:dataValidation type="list" sqref="AC3:AC302">
      <x:formula1>'Categories'!$B$87:$B$90</x:formula1>
    </x:dataValidation>
    <x:dataValidation type="list" sqref="AD3:AD302">
      <x:formula1>'Categories'!$B$94:$B$96</x:formula1>
    </x:dataValidation>
    <x:dataValidation type="list" sqref="AH3:AH302">
      <x:formula1>'Categories'!$B$100:$B$108</x:formula1>
    </x:dataValidation>
    <x:dataValidation type="list" sqref="AL3:AL302">
      <x:formula1>'Categories'!$B$112:$B$114</x:formula1>
    </x:dataValidation>
    <x:dataValidation type="list" sqref="AO3:AO302">
      <x:formula1>'Categories'!$B$118:$B$122</x:formula1>
    </x:dataValidation>
    <x:dataValidation type="list" sqref="AP3:AP302">
      <x:formula1>'Categories'!$B$126:$B$129</x:formula1>
    </x:dataValidation>
    <x:dataValidation type="list" sqref="AQ3:AQ302">
      <x:formula1>'Categories'!$B$133:$B$135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bf7dd14c5b0405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4" max="14" width="2" hidden="0" customWidth="1"/>
    <x:col min="1" max="1" width="14" hidden="0" customWidth="1"/>
    <x:col min="2" max="2" width="30" hidden="0" customWidth="1"/>
    <x:col min="3" max="3" width="22" hidden="0" customWidth="1"/>
    <x:col min="4" max="4" width="16" hidden="0" customWidth="1"/>
    <x:col min="5" max="5" width="12" hidden="0" customWidth="1"/>
    <x:col min="6" max="6" width="16" hidden="0" customWidth="1"/>
    <x:col min="7" max="7" width="15" hidden="0" customWidth="1"/>
    <x:col min="8" max="8" width="13" hidden="0" customWidth="1"/>
    <x:col min="9" max="9" width="15" hidden="0" customWidth="1"/>
    <x:col min="10" max="10" width="13" hidden="0" customWidth="1"/>
    <x:col min="11" max="11" width="46" hidden="0" customWidth="1"/>
  </x:cols>
  <x:sheetData>
    <x:row r="1" ht="30" customHeight="1">
      <x:c r="A1" s="132" t="str">
        <x:v>SOURCE LIBRARY SNAPSHOT</x:v>
      </x:c>
      <x:c r="B1" s="132" t="str">
        <x:v>SOURCE LIBRARY SNAPSHOT</x:v>
      </x:c>
      <x:c r="C1" s="132" t="str">
        <x:v>SOURCE LIBRARY SNAPSHOT</x:v>
      </x:c>
      <x:c r="D1" s="132" t="str">
        <x:v>SOURCE LIBRARY SNAPSHOT</x:v>
      </x:c>
      <x:c r="E1" s="132" t="str">
        <x:v>SOURCE LIBRARY SNAPSHOT</x:v>
      </x:c>
      <x:c r="F1" s="132" t="str">
        <x:v>SOURCE LIBRARY SNAPSHOT</x:v>
      </x:c>
      <x:c r="G1" s="132" t="str">
        <x:v>SOURCE LIBRARY SNAPSHOT</x:v>
      </x:c>
      <x:c r="H1" s="132" t="str">
        <x:v>SOURCE LIBRARY SNAPSHOT</x:v>
      </x:c>
      <x:c r="I1" s="132" t="str">
        <x:v>SOURCE LIBRARY SNAPSHOT</x:v>
      </x:c>
      <x:c r="J1" s="132" t="str">
        <x:v>SOURCE LIBRARY SNAPSHOT</x:v>
      </x:c>
      <x:c r="K1" s="132" t="str">
        <x:v>SOURCE LIBRARY SNAPSHOT</x:v>
      </x:c>
    </x:row>
    <x:row r="2">
      <x:c r="A2" s="133"/>
      <x:c r="B2" s="133"/>
      <x:c r="C2" s="133"/>
      <x:c r="D2" s="133"/>
      <x:c r="E2" s="133"/>
      <x:c r="F2" s="133"/>
      <x:c r="G2" s="133"/>
      <x:c r="H2" s="133"/>
      <x:c r="I2" s="133"/>
      <x:c r="J2" s="133"/>
      <x:c r="K2" s="133"/>
      <x:c r="N2" s="381" t="str">
        <x:v>review_queue_rank_helper</x:v>
      </x:c>
    </x:row>
    <x:row r="3">
      <x:c r="A3" s="141" t="str">
        <x:v>TOTAL SOURCES</x:v>
      </x:c>
      <x:c r="B3" s="142" t="str">
        <x:v>TOTAL SOURCES</x:v>
      </x:c>
      <x:c r="C3" s="143" t="str">
        <x:v>TOTAL SOURCES</x:v>
      </x:c>
      <x:c r="D3" s="133"/>
      <x:c r="E3" s="178" t="str">
        <x:v>INCLUDED</x:v>
      </x:c>
      <x:c r="F3" s="179" t="str">
        <x:v>INCLUDED</x:v>
      </x:c>
      <x:c r="G3" s="180" t="str">
        <x:v>INCLUDED</x:v>
      </x:c>
      <x:c r="H3" s="133"/>
      <x:c r="I3" s="214" t="str">
        <x:v>NEEDS ACTION</x:v>
      </x:c>
      <x:c r="J3" s="215" t="str">
        <x:v>NEEDS ACTION</x:v>
      </x:c>
      <x:c r="K3" s="216" t="str">
        <x:v>NEEDS ACTION</x:v>
      </x:c>
      <x:c r="N3" s="381" t="str">
        <x:f>IF('Source Register'!AJ3="YES",COUNTIF('Source Register'!$AJ$3:'Source Register'!AJ3,"YES"),"")</x:f>
      </x:c>
    </x:row>
    <x:row r="4">
      <x:c r="A4" s="164" t="n">
        <x:f>COUNTA('Source Register'!A3:A302)</x:f>
        <x:v>87</x:v>
      </x:c>
      <x:c r="B4" s="165"/>
      <x:c r="C4" s="166"/>
      <x:c r="D4" s="133"/>
      <x:c r="E4" s="200" t="n">
        <x:f>COUNTIF('Source Register'!Y3:Y302,"INCLUDE")</x:f>
        <x:v>44</x:v>
      </x:c>
      <x:c r="F4" s="201"/>
      <x:c r="G4" s="202"/>
      <x:c r="H4" s="133"/>
      <x:c r="I4" s="236" t="n">
        <x:f>COUNTIF('Source Register'!AJ3:AJ302,"YES")</x:f>
        <x:v>2</x:v>
      </x:c>
      <x:c r="J4" s="237"/>
      <x:c r="K4" s="238"/>
      <x:c r="N4" s="381" t="str">
        <x:f>IF('Source Register'!AJ4="YES",COUNTIF('Source Register'!$AJ$3:'Source Register'!AJ4,"YES"),"")</x:f>
      </x:c>
    </x:row>
    <x:row r="5">
      <x:c r="A5" s="167"/>
      <x:c r="B5" s="168"/>
      <x:c r="C5" s="169"/>
      <x:c r="D5" s="133"/>
      <x:c r="E5" s="203"/>
      <x:c r="F5" s="204"/>
      <x:c r="G5" s="205"/>
      <x:c r="H5" s="133"/>
      <x:c r="I5" s="239"/>
      <x:c r="J5" s="240"/>
      <x:c r="K5" s="241"/>
      <x:c r="N5" s="381" t="str">
        <x:f>IF('Source Register'!AJ5="YES",COUNTIF('Source Register'!$AJ$3:'Source Register'!AJ5,"YES"),"")</x:f>
      </x:c>
    </x:row>
    <x:row r="6">
      <x:c r="A6" s="133"/>
      <x:c r="B6" s="133"/>
      <x:c r="C6" s="133"/>
      <x:c r="D6" s="133"/>
      <x:c r="E6" s="133"/>
      <x:c r="F6" s="133"/>
      <x:c r="G6" s="133"/>
      <x:c r="H6" s="133"/>
      <x:c r="I6" s="133"/>
      <x:c r="J6" s="133"/>
      <x:c r="K6" s="133"/>
      <x:c r="N6" s="381" t="str">
        <x:f>IF('Source Register'!AJ6="YES",COUNTIF('Source Register'!$AJ$3:'Source Register'!AJ6,"YES"),"")</x:f>
      </x:c>
    </x:row>
    <x:row r="7">
      <x:c r="A7" s="250" t="str">
        <x:v>PDF FILES</x:v>
      </x:c>
      <x:c r="B7" s="251" t="str">
        <x:v>PDF FILES</x:v>
      </x:c>
      <x:c r="C7" s="252" t="str">
        <x:v>PDF FILES</x:v>
      </x:c>
      <x:c r="D7" s="133"/>
      <x:c r="E7" s="250" t="str">
        <x:v>HTML SOURCES</x:v>
      </x:c>
      <x:c r="F7" s="251" t="str">
        <x:v>HTML SOURCES</x:v>
      </x:c>
      <x:c r="G7" s="252" t="str">
        <x:v>HTML SOURCES</x:v>
      </x:c>
      <x:c r="H7" s="133"/>
      <x:c r="I7" s="310" t="str">
        <x:v>AUTO FAILURES</x:v>
      </x:c>
      <x:c r="J7" s="311" t="str">
        <x:v>AUTO FAILURES</x:v>
      </x:c>
      <x:c r="K7" s="312" t="str">
        <x:v>AUTO FAILURES</x:v>
      </x:c>
      <x:c r="N7" s="381" t="str">
        <x:f>IF('Source Register'!AJ7="YES",COUNTIF('Source Register'!$AJ$3:'Source Register'!AJ7,"YES"),"")</x:f>
      </x:c>
    </x:row>
    <x:row r="8">
      <x:c r="A8" s="272" t="n">
        <x:f>COUNTIF('Source Register'!G3:G302,"pdf")</x:f>
        <x:v>24</x:v>
      </x:c>
      <x:c r="B8" s="273"/>
      <x:c r="C8" s="274"/>
      <x:c r="D8" s="133"/>
      <x:c r="E8" s="297" t="n">
        <x:f>COUNTIF('Source Register'!G3:G302,"html")</x:f>
        <x:v>61</x:v>
      </x:c>
      <x:c r="F8" s="298"/>
      <x:c r="G8" s="299"/>
      <x:c r="H8" s="133"/>
      <x:c r="I8" s="332" t="n">
        <x:f>COUNTIF('Source Register'!Z3:Z302,"FAIL")</x:f>
        <x:v>2</x:v>
      </x:c>
      <x:c r="J8" s="333"/>
      <x:c r="K8" s="334"/>
      <x:c r="N8" s="381" t="str">
        <x:f>IF('Source Register'!AJ8="YES",COUNTIF('Source Register'!$AJ$3:'Source Register'!AJ8,"YES"),"")</x:f>
      </x:c>
    </x:row>
    <x:row r="9">
      <x:c r="A9" s="275"/>
      <x:c r="B9" s="276"/>
      <x:c r="C9" s="277"/>
      <x:c r="D9" s="133"/>
      <x:c r="E9" s="300"/>
      <x:c r="F9" s="301"/>
      <x:c r="G9" s="302"/>
      <x:c r="H9" s="133"/>
      <x:c r="I9" s="335"/>
      <x:c r="J9" s="336"/>
      <x:c r="K9" s="337"/>
      <x:c r="N9" s="381" t="str">
        <x:f>IF('Source Register'!AJ9="YES",COUNTIF('Source Register'!$AJ$3:'Source Register'!AJ9,"YES"),"")</x:f>
      </x:c>
    </x:row>
    <x:row r="10">
      <x:c r="A10" s="133"/>
      <x:c r="B10" s="133"/>
      <x:c r="C10" s="133"/>
      <x:c r="D10" s="133"/>
      <x:c r="E10" s="133"/>
      <x:c r="F10" s="133"/>
      <x:c r="G10" s="133"/>
      <x:c r="H10" s="133"/>
      <x:c r="I10" s="133"/>
      <x:c r="J10" s="133"/>
      <x:c r="K10" s="133"/>
      <x:c r="N10" s="381" t="str">
        <x:f>IF('Source Register'!AJ10="YES",COUNTIF('Source Register'!$AJ$3:'Source Register'!AJ10,"YES"),"")</x:f>
      </x:c>
    </x:row>
    <x:row r="11" ht="32" customHeight="1">
      <x:c r="A11" s="347" t="str">
        <x:v>DOCUMENT TYPE</x:v>
      </x:c>
      <x:c r="B11" s="348" t="str">
        <x:v>COUNT</x:v>
      </x:c>
      <x:c r="C11" s="133"/>
      <x:c r="D11" s="133"/>
      <x:c r="E11" s="133"/>
      <x:c r="F11" s="133"/>
      <x:c r="G11" s="133"/>
      <x:c r="H11" s="133"/>
      <x:c r="I11" s="133"/>
      <x:c r="J11" s="133"/>
      <x:c r="K11" s="133"/>
      <x:c r="N11" s="381" t="str">
        <x:f>IF('Source Register'!AJ11="YES",COUNTIF('Source Register'!$AJ$3:'Source Register'!AJ11,"YES"),"")</x:f>
      </x:c>
    </x:row>
    <x:row r="12">
      <x:c r="A12" s="344" t="str">
        <x:v>Law</x:v>
      </x:c>
      <x:c r="B12" s="349" t="n">
        <x:f>COUNTIF('Source Register'!$P$3:$P$302,"Law")</x:f>
        <x:v>14</x:v>
      </x:c>
      <x:c r="C12" s="133"/>
      <x:c r="D12" s="133"/>
      <x:c r="E12" s="133"/>
      <x:c r="F12" s="133"/>
      <x:c r="G12" s="133"/>
      <x:c r="H12" s="133"/>
      <x:c r="I12" s="133"/>
      <x:c r="J12" s="133"/>
      <x:c r="K12" s="133"/>
      <x:c r="N12" s="381" t="n">
        <x:f>IF('Source Register'!AJ12="YES",COUNTIF('Source Register'!$AJ$3:'Source Register'!AJ12,"YES"),"")</x:f>
        <x:v>1</x:v>
      </x:c>
    </x:row>
    <x:row r="13">
      <x:c r="A13" s="344" t="str">
        <x:v>Regulation</x:v>
      </x:c>
      <x:c r="B13" s="349" t="n">
        <x:f>COUNTIF('Source Register'!$P$3:$P$302,"Regulation")</x:f>
        <x:v>37</x:v>
      </x:c>
      <x:c r="C13" s="133"/>
      <x:c r="D13" s="133"/>
      <x:c r="E13" s="133"/>
      <x:c r="F13" s="133"/>
      <x:c r="G13" s="133"/>
      <x:c r="H13" s="133"/>
      <x:c r="I13" s="133"/>
      <x:c r="J13" s="133"/>
      <x:c r="K13" s="133"/>
      <x:c r="N13" s="381" t="str">
        <x:f>IF('Source Register'!AJ13="YES",COUNTIF('Source Register'!$AJ$3:'Source Register'!AJ13,"YES"),"")</x:f>
      </x:c>
    </x:row>
    <x:row r="14">
      <x:c r="A14" s="344" t="str">
        <x:v>Permit / authority</x:v>
      </x:c>
      <x:c r="B14" s="349" t="n">
        <x:f>COUNTIF('Source Register'!$P$3:$P$302,"Permit / authority decision")</x:f>
        <x:v>0</x:v>
      </x:c>
      <x:c r="C14" s="133"/>
      <x:c r="D14" s="133"/>
      <x:c r="E14" s="133"/>
      <x:c r="F14" s="133"/>
      <x:c r="G14" s="133"/>
      <x:c r="H14" s="133"/>
      <x:c r="I14" s="133"/>
      <x:c r="J14" s="133"/>
      <x:c r="K14" s="133"/>
      <x:c r="N14" s="381" t="str">
        <x:f>IF('Source Register'!AJ14="YES",COUNTIF('Source Register'!$AJ$3:'Source Register'!AJ14,"YES"),"")</x:f>
      </x:c>
    </x:row>
    <x:row r="15">
      <x:c r="A15" s="344" t="str">
        <x:v>Technical standard</x:v>
      </x:c>
      <x:c r="B15" s="349" t="n">
        <x:f>COUNTIF('Source Register'!$P$3:$P$302,"Technical standard")</x:f>
        <x:v>7</x:v>
      </x:c>
      <x:c r="C15" s="133"/>
      <x:c r="D15" s="133"/>
      <x:c r="E15" s="133"/>
      <x:c r="F15" s="133"/>
      <x:c r="G15" s="133"/>
      <x:c r="H15" s="133"/>
      <x:c r="I15" s="133"/>
      <x:c r="J15" s="133"/>
      <x:c r="K15" s="133"/>
      <x:c r="N15" s="381" t="str">
        <x:f>IF('Source Register'!AJ15="YES",COUNTIF('Source Register'!$AJ$3:'Source Register'!AJ15,"YES"),"")</x:f>
      </x:c>
    </x:row>
    <x:row r="16">
      <x:c r="A16" s="344" t="str">
        <x:v>Scheme standard</x:v>
      </x:c>
      <x:c r="B16" s="349" t="n">
        <x:f>COUNTIF('Source Register'!$P$3:$P$302,"Scheme standard")</x:f>
        <x:v>15</x:v>
      </x:c>
      <x:c r="C16" s="133"/>
      <x:c r="D16" s="133"/>
      <x:c r="E16" s="133"/>
      <x:c r="F16" s="133"/>
      <x:c r="G16" s="133"/>
      <x:c r="H16" s="133"/>
      <x:c r="I16" s="133"/>
      <x:c r="J16" s="133"/>
      <x:c r="K16" s="133"/>
      <x:c r="N16" s="381" t="str">
        <x:f>IF('Source Register'!AJ16="YES",COUNTIF('Source Register'!$AJ$3:'Source Register'!AJ16,"YES"),"")</x:f>
      </x:c>
    </x:row>
    <x:row r="17">
      <x:c r="A17" s="344" t="str">
        <x:v>Interpretation</x:v>
      </x:c>
      <x:c r="B17" s="349" t="n">
        <x:f>COUNTIF('Source Register'!$P$3:$P$302,"Interpretation document")</x:f>
        <x:v>9</x:v>
      </x:c>
      <x:c r="C17" s="133"/>
      <x:c r="D17" s="133"/>
      <x:c r="E17" s="133"/>
      <x:c r="F17" s="133"/>
      <x:c r="G17" s="133"/>
      <x:c r="H17" s="133"/>
      <x:c r="I17" s="133"/>
      <x:c r="J17" s="133"/>
      <x:c r="K17" s="133"/>
      <x:c r="N17" s="381" t="str">
        <x:f>IF('Source Register'!AJ17="YES",COUNTIF('Source Register'!$AJ$3:'Source Register'!AJ17,"YES"),"")</x:f>
      </x:c>
    </x:row>
    <x:row r="18">
      <x:c r="A18" s="344" t="str">
        <x:v>Audit / assessment</x:v>
      </x:c>
      <x:c r="B18" s="349" t="n">
        <x:f>COUNTIF('Source Register'!$P$3:$P$302,"Audit / assessment document")</x:f>
        <x:v>3</x:v>
      </x:c>
      <x:c r="C18" s="133"/>
      <x:c r="D18" s="133"/>
      <x:c r="E18" s="133"/>
      <x:c r="F18" s="133"/>
      <x:c r="G18" s="133"/>
      <x:c r="H18" s="133"/>
      <x:c r="I18" s="133"/>
      <x:c r="J18" s="133"/>
      <x:c r="K18" s="133"/>
      <x:c r="N18" s="381" t="str">
        <x:f>IF('Source Register'!AJ18="YES",COUNTIF('Source Register'!$AJ$3:'Source Register'!AJ18,"YES"),"")</x:f>
      </x:c>
    </x:row>
    <x:row r="19">
      <x:c r="A19" s="344" t="str">
        <x:v>Equipment manual</x:v>
      </x:c>
      <x:c r="B19" s="349" t="n">
        <x:f>COUNTIF('Source Register'!$P$3:$P$302,"Equipment manual / OEM instruction")</x:f>
        <x:v>0</x:v>
      </x:c>
      <x:c r="C19" s="133"/>
      <x:c r="D19" s="133"/>
      <x:c r="E19" s="133"/>
      <x:c r="F19" s="133"/>
      <x:c r="G19" s="133"/>
      <x:c r="H19" s="133"/>
      <x:c r="I19" s="133"/>
      <x:c r="J19" s="133"/>
      <x:c r="K19" s="133"/>
      <x:c r="N19" s="381" t="str">
        <x:f>IF('Source Register'!AJ19="YES",COUNTIF('Source Register'!$AJ$3:'Source Register'!AJ19,"YES"),"")</x:f>
      </x:c>
    </x:row>
    <x:row r="20">
      <x:c r="A20" s="344" t="str">
        <x:v>Design / engineering</x:v>
      </x:c>
      <x:c r="B20" s="349" t="n">
        <x:f>COUNTIF('Source Register'!$P$3:$P$302,"Design / engineering document")</x:f>
        <x:v>0</x:v>
      </x:c>
      <x:c r="C20" s="133"/>
      <x:c r="D20" s="133"/>
      <x:c r="E20" s="133"/>
      <x:c r="F20" s="133"/>
      <x:c r="G20" s="133"/>
      <x:c r="H20" s="133"/>
      <x:c r="I20" s="133"/>
      <x:c r="J20" s="133"/>
      <x:c r="K20" s="133"/>
      <x:c r="N20" s="381" t="str">
        <x:f>IF('Source Register'!AJ20="YES",COUNTIF('Source Register'!$AJ$3:'Source Register'!AJ20,"YES"),"")</x:f>
      </x:c>
    </x:row>
    <x:row r="21">
      <x:c r="A21" s="344" t="str">
        <x:v>Policy / contract</x:v>
      </x:c>
      <x:c r="B21" s="349" t="n">
        <x:f>COUNTIF('Source Register'!$P$3:$P$302,"Internal policy / contract")</x:f>
        <x:v>0</x:v>
      </x:c>
      <x:c r="C21" s="133"/>
      <x:c r="D21" s="133"/>
      <x:c r="E21" s="133"/>
      <x:c r="F21" s="133"/>
      <x:c r="G21" s="133"/>
      <x:c r="H21" s="133"/>
      <x:c r="I21" s="133"/>
      <x:c r="J21" s="133"/>
      <x:c r="K21" s="133"/>
      <x:c r="N21" s="381" t="str">
        <x:f>IF('Source Register'!AJ21="YES",COUNTIF('Source Register'!$AJ$3:'Source Register'!AJ21,"YES"),"")</x:f>
      </x:c>
    </x:row>
    <x:row r="22">
      <x:c r="A22" s="344" t="str">
        <x:v>Other</x:v>
      </x:c>
      <x:c r="B22" s="349" t="n">
        <x:f>COUNTIF('Source Register'!$P$3:$P$302,"Other")</x:f>
        <x:v>2</x:v>
      </x:c>
      <x:c r="C22" s="133"/>
      <x:c r="D22" s="133"/>
      <x:c r="E22" s="133"/>
      <x:c r="F22" s="133"/>
      <x:c r="G22" s="133"/>
      <x:c r="H22" s="133"/>
      <x:c r="I22" s="133"/>
      <x:c r="J22" s="133"/>
      <x:c r="K22" s="133"/>
      <x:c r="N22" s="381" t="str">
        <x:f>IF('Source Register'!AJ22="YES",COUNTIF('Source Register'!$AJ$3:'Source Register'!AJ22,"YES"),"")</x:f>
      </x:c>
    </x:row>
    <x:row r="23">
      <x:c r="A23" s="133"/>
      <x:c r="B23" s="133"/>
      <x:c r="C23" s="133"/>
      <x:c r="D23" s="133"/>
      <x:c r="E23" s="133"/>
      <x:c r="F23" s="133"/>
      <x:c r="G23" s="133"/>
      <x:c r="H23" s="133"/>
      <x:c r="I23" s="133"/>
      <x:c r="J23" s="133"/>
      <x:c r="K23" s="133"/>
      <x:c r="N23" s="381" t="str">
        <x:f>IF('Source Register'!AJ23="YES",COUNTIF('Source Register'!$AJ$3:'Source Register'!AJ23,"YES"),"")</x:f>
      </x:c>
    </x:row>
    <x:row r="24">
      <x:c r="A24" s="133"/>
      <x:c r="B24" s="133"/>
      <x:c r="C24" s="133"/>
      <x:c r="D24" s="133"/>
      <x:c r="E24" s="133"/>
      <x:c r="F24" s="133"/>
      <x:c r="G24" s="133"/>
      <x:c r="H24" s="133"/>
      <x:c r="I24" s="133"/>
      <x:c r="J24" s="133"/>
      <x:c r="K24" s="133"/>
      <x:c r="N24" s="381" t="str">
        <x:f>IF('Source Register'!AJ24="YES",COUNTIF('Source Register'!$AJ$3:'Source Register'!AJ24,"YES"),"")</x:f>
      </x:c>
    </x:row>
    <x:row r="25">
      <x:c r="A25" s="133"/>
      <x:c r="B25" s="133"/>
      <x:c r="C25" s="133"/>
      <x:c r="D25" s="133"/>
      <x:c r="E25" s="133"/>
      <x:c r="F25" s="133"/>
      <x:c r="G25" s="133"/>
      <x:c r="H25" s="133"/>
      <x:c r="I25" s="133"/>
      <x:c r="J25" s="133"/>
      <x:c r="K25" s="133"/>
      <x:c r="N25" s="381" t="str">
        <x:f>IF('Source Register'!AJ25="YES",COUNTIF('Source Register'!$AJ$3:'Source Register'!AJ25,"YES"),"")</x:f>
      </x:c>
    </x:row>
    <x:row r="26">
      <x:c r="A26" s="133"/>
      <x:c r="B26" s="133"/>
      <x:c r="C26" s="133"/>
      <x:c r="D26" s="133"/>
      <x:c r="E26" s="133"/>
      <x:c r="F26" s="133"/>
      <x:c r="G26" s="133"/>
      <x:c r="H26" s="133"/>
      <x:c r="I26" s="133"/>
      <x:c r="J26" s="133"/>
      <x:c r="K26" s="133"/>
      <x:c r="N26" s="381" t="str">
        <x:f>IF('Source Register'!AJ26="YES",COUNTIF('Source Register'!$AJ$3:'Source Register'!AJ26,"YES"),"")</x:f>
      </x:c>
    </x:row>
    <x:row r="27">
      <x:c r="A27" s="133"/>
      <x:c r="B27" s="133"/>
      <x:c r="C27" s="133"/>
      <x:c r="D27" s="133"/>
      <x:c r="E27" s="133"/>
      <x:c r="F27" s="133"/>
      <x:c r="G27" s="133"/>
      <x:c r="H27" s="133"/>
      <x:c r="I27" s="133"/>
      <x:c r="J27" s="133"/>
      <x:c r="K27" s="133"/>
      <x:c r="N27" s="381" t="str">
        <x:f>IF('Source Register'!AJ27="YES",COUNTIF('Source Register'!$AJ$3:'Source Register'!AJ27,"YES"),"")</x:f>
      </x:c>
    </x:row>
    <x:row r="28" ht="32" customHeight="1">
      <x:c r="A28" s="347" t="str">
        <x:v>FILE FORMAT</x:v>
      </x:c>
      <x:c r="B28" s="348" t="str">
        <x:v>COUNT</x:v>
      </x:c>
      <x:c r="C28" s="133"/>
      <x:c r="D28" s="133"/>
      <x:c r="E28" s="133"/>
      <x:c r="F28" s="133"/>
      <x:c r="G28" s="133"/>
      <x:c r="H28" s="133"/>
      <x:c r="I28" s="133"/>
      <x:c r="J28" s="133"/>
      <x:c r="K28" s="133"/>
      <x:c r="N28" s="381" t="str">
        <x:f>IF('Source Register'!AJ28="YES",COUNTIF('Source Register'!$AJ$3:'Source Register'!AJ28,"YES"),"")</x:f>
      </x:c>
    </x:row>
    <x:row r="29">
      <x:c r="A29" s="344" t="str">
        <x:v>pdf</x:v>
      </x:c>
      <x:c r="B29" s="344" t="n">
        <x:f>COUNTIF('Source Register'!$G$3:$G$302,A29)</x:f>
        <x:v>24</x:v>
      </x:c>
      <x:c r="C29" s="133"/>
      <x:c r="D29" s="133"/>
      <x:c r="E29" s="133"/>
      <x:c r="F29" s="133"/>
      <x:c r="G29" s="133"/>
      <x:c r="H29" s="133"/>
      <x:c r="I29" s="133"/>
      <x:c r="J29" s="133"/>
      <x:c r="K29" s="133"/>
      <x:c r="N29" s="381" t="str">
        <x:f>IF('Source Register'!AJ29="YES",COUNTIF('Source Register'!$AJ$3:'Source Register'!AJ29,"YES"),"")</x:f>
      </x:c>
    </x:row>
    <x:row r="30">
      <x:c r="A30" s="344" t="str">
        <x:v>html</x:v>
      </x:c>
      <x:c r="B30" s="344" t="n">
        <x:f>COUNTIF('Source Register'!$G$3:$G$302,A30)</x:f>
        <x:v>61</x:v>
      </x:c>
      <x:c r="C30" s="133"/>
      <x:c r="D30" s="133"/>
      <x:c r="E30" s="133"/>
      <x:c r="F30" s="133"/>
      <x:c r="G30" s="133"/>
      <x:c r="H30" s="133"/>
      <x:c r="I30" s="133"/>
      <x:c r="J30" s="133"/>
      <x:c r="K30" s="133"/>
      <x:c r="N30" s="381" t="str">
        <x:f>IF('Source Register'!AJ30="YES",COUNTIF('Source Register'!$AJ$3:'Source Register'!AJ30,"YES"),"")</x:f>
      </x:c>
    </x:row>
    <x:row r="31">
      <x:c r="A31" s="344" t="str">
        <x:v>xlsx</x:v>
      </x:c>
      <x:c r="B31" s="344" t="n">
        <x:f>COUNTIF('Source Register'!$G$3:$G$302,A31)</x:f>
        <x:v>2</x:v>
      </x:c>
      <x:c r="C31" s="133"/>
      <x:c r="D31" s="133"/>
      <x:c r="E31" s="133"/>
      <x:c r="F31" s="133"/>
      <x:c r="G31" s="133"/>
      <x:c r="H31" s="133"/>
      <x:c r="I31" s="133"/>
      <x:c r="J31" s="133"/>
      <x:c r="K31" s="133"/>
      <x:c r="N31" s="381" t="n">
        <x:f>IF('Source Register'!AJ31="YES",COUNTIF('Source Register'!$AJ$3:'Source Register'!AJ31,"YES"),"")</x:f>
        <x:v>2</x:v>
      </x:c>
    </x:row>
    <x:row r="32">
      <x:c r="A32" s="344" t="str">
        <x:v>zip</x:v>
      </x:c>
      <x:c r="B32" s="344" t="n">
        <x:f>COUNTIF('Source Register'!$G$3:$G$302,A32)</x:f>
        <x:v>0</x:v>
      </x:c>
      <x:c r="C32" s="133"/>
      <x:c r="D32" s="133"/>
      <x:c r="E32" s="133"/>
      <x:c r="F32" s="133"/>
      <x:c r="G32" s="133"/>
      <x:c r="H32" s="133"/>
      <x:c r="I32" s="133"/>
      <x:c r="J32" s="133"/>
      <x:c r="K32" s="133"/>
      <x:c r="N32" s="381" t="str">
        <x:f>IF('Source Register'!AJ32="YES",COUNTIF('Source Register'!$AJ$3:'Source Register'!AJ32,"YES"),"")</x:f>
      </x:c>
    </x:row>
    <x:row r="33">
      <x:c r="A33" s="133"/>
      <x:c r="B33" s="133"/>
      <x:c r="C33" s="133"/>
      <x:c r="D33" s="133"/>
      <x:c r="E33" s="133"/>
      <x:c r="F33" s="133"/>
      <x:c r="G33" s="133"/>
      <x:c r="H33" s="133"/>
      <x:c r="I33" s="133"/>
      <x:c r="J33" s="133"/>
      <x:c r="K33" s="133"/>
      <x:c r="N33" s="381" t="str">
        <x:f>IF('Source Register'!AJ33="YES",COUNTIF('Source Register'!$AJ$3:'Source Register'!AJ33,"YES"),"")</x:f>
      </x:c>
    </x:row>
    <x:row r="34">
      <x:c r="A34" s="133"/>
      <x:c r="B34" s="133"/>
      <x:c r="C34" s="133"/>
      <x:c r="D34" s="133"/>
      <x:c r="E34" s="133"/>
      <x:c r="F34" s="133"/>
      <x:c r="G34" s="133"/>
      <x:c r="H34" s="133"/>
      <x:c r="I34" s="133"/>
      <x:c r="J34" s="133"/>
      <x:c r="K34" s="133"/>
      <x:c r="N34" s="381" t="str">
        <x:f>IF('Source Register'!AJ34="YES",COUNTIF('Source Register'!$AJ$3:'Source Register'!AJ34,"YES"),"")</x:f>
      </x:c>
    </x:row>
    <x:row r="35" ht="32" customHeight="1">
      <x:c r="A35" s="347" t="str">
        <x:v>SELECTION STATUS</x:v>
      </x:c>
      <x:c r="B35" s="348" t="str">
        <x:v>COUNT</x:v>
      </x:c>
      <x:c r="C35" s="133"/>
      <x:c r="D35" s="133"/>
      <x:c r="E35" s="133"/>
      <x:c r="F35" s="133"/>
      <x:c r="G35" s="133"/>
      <x:c r="H35" s="133"/>
      <x:c r="I35" s="133"/>
      <x:c r="J35" s="133"/>
      <x:c r="K35" s="133"/>
      <x:c r="N35" s="381" t="str">
        <x:f>IF('Source Register'!AJ35="YES",COUNTIF('Source Register'!$AJ$3:'Source Register'!AJ35,"YES"),"")</x:f>
      </x:c>
    </x:row>
    <x:row r="36">
      <x:c r="A36" s="344" t="str">
        <x:v>INCLUDE</x:v>
      </x:c>
      <x:c r="B36" s="344" t="n">
        <x:f>COUNTIF('Source Register'!$Y$3:$Y$302,A36)</x:f>
        <x:v>44</x:v>
      </x:c>
      <x:c r="C36" s="133"/>
      <x:c r="D36" s="133"/>
      <x:c r="E36" s="133"/>
      <x:c r="F36" s="133"/>
      <x:c r="G36" s="133"/>
      <x:c r="H36" s="133"/>
      <x:c r="I36" s="133"/>
      <x:c r="J36" s="133"/>
      <x:c r="K36" s="133"/>
      <x:c r="N36" s="381" t="str">
        <x:f>IF('Source Register'!AJ36="YES",COUNTIF('Source Register'!$AJ$3:'Source Register'!AJ36,"YES"),"")</x:f>
      </x:c>
    </x:row>
    <x:row r="37">
      <x:c r="A37" s="344" t="str">
        <x:v>PENDING</x:v>
      </x:c>
      <x:c r="B37" s="344" t="n">
        <x:f>COUNTIF('Source Register'!$Y$3:$Y$302,A37)</x:f>
        <x:v>43</x:v>
      </x:c>
      <x:c r="C37" s="133"/>
      <x:c r="D37" s="133"/>
      <x:c r="E37" s="133"/>
      <x:c r="F37" s="133"/>
      <x:c r="G37" s="133"/>
      <x:c r="H37" s="133"/>
      <x:c r="I37" s="133"/>
      <x:c r="J37" s="133"/>
      <x:c r="K37" s="133"/>
      <x:c r="N37" s="381" t="str">
        <x:f>IF('Source Register'!AJ37="YES",COUNTIF('Source Register'!$AJ$3:'Source Register'!AJ37,"YES"),"")</x:f>
      </x:c>
    </x:row>
    <x:row r="38">
      <x:c r="A38" s="344" t="str">
        <x:v>EXCLUDE</x:v>
      </x:c>
      <x:c r="B38" s="344" t="n">
        <x:f>COUNTIF('Source Register'!$Y$3:$Y$302,A38)</x:f>
        <x:v>0</x:v>
      </x:c>
      <x:c r="C38" s="133"/>
      <x:c r="D38" s="133"/>
      <x:c r="E38" s="133"/>
      <x:c r="F38" s="133"/>
      <x:c r="G38" s="133"/>
      <x:c r="H38" s="133"/>
      <x:c r="I38" s="133"/>
      <x:c r="J38" s="133"/>
      <x:c r="K38" s="133"/>
      <x:c r="N38" s="381" t="str">
        <x:f>IF('Source Register'!AJ38="YES",COUNTIF('Source Register'!$AJ$3:'Source Register'!AJ38,"YES"),"")</x:f>
      </x:c>
    </x:row>
    <x:row r="39">
      <x:c r="A39" s="133"/>
      <x:c r="B39" s="133"/>
      <x:c r="C39" s="133"/>
      <x:c r="D39" s="133"/>
      <x:c r="E39" s="133"/>
      <x:c r="F39" s="133"/>
      <x:c r="G39" s="133"/>
      <x:c r="H39" s="133"/>
      <x:c r="I39" s="133"/>
      <x:c r="J39" s="133"/>
      <x:c r="K39" s="133"/>
      <x:c r="N39" s="381" t="str">
        <x:f>IF('Source Register'!AJ39="YES",COUNTIF('Source Register'!$AJ$3:'Source Register'!AJ39,"YES"),"")</x:f>
      </x:c>
    </x:row>
    <x:row r="40">
      <x:c r="A40" s="133"/>
      <x:c r="B40" s="133"/>
      <x:c r="C40" s="133"/>
      <x:c r="D40" s="133"/>
      <x:c r="E40" s="133"/>
      <x:c r="F40" s="133"/>
      <x:c r="G40" s="133"/>
      <x:c r="H40" s="133"/>
      <x:c r="I40" s="133"/>
      <x:c r="J40" s="133"/>
      <x:c r="K40" s="133"/>
      <x:c r="N40" s="381" t="str">
        <x:f>IF('Source Register'!AJ40="YES",COUNTIF('Source Register'!$AJ$3:'Source Register'!AJ40,"YES"),"")</x:f>
      </x:c>
    </x:row>
    <x:row r="41">
      <x:c r="A41" s="133"/>
      <x:c r="B41" s="133"/>
      <x:c r="C41" s="133"/>
      <x:c r="D41" s="133"/>
      <x:c r="E41" s="133"/>
      <x:c r="F41" s="133"/>
      <x:c r="G41" s="133"/>
      <x:c r="H41" s="133"/>
      <x:c r="I41" s="133"/>
      <x:c r="J41" s="133"/>
      <x:c r="K41" s="133"/>
      <x:c r="N41" s="381" t="str">
        <x:f>IF('Source Register'!AJ41="YES",COUNTIF('Source Register'!$AJ$3:'Source Register'!AJ41,"YES"),"")</x:f>
      </x:c>
    </x:row>
    <x:row r="42">
      <x:c r="A42" s="133"/>
      <x:c r="B42" s="133"/>
      <x:c r="C42" s="133"/>
      <x:c r="D42" s="133"/>
      <x:c r="E42" s="133"/>
      <x:c r="F42" s="133"/>
      <x:c r="G42" s="133"/>
      <x:c r="H42" s="133"/>
      <x:c r="I42" s="133"/>
      <x:c r="J42" s="133"/>
      <x:c r="K42" s="133"/>
      <x:c r="N42" s="381" t="str">
        <x:f>IF('Source Register'!AJ42="YES",COUNTIF('Source Register'!$AJ$3:'Source Register'!AJ42,"YES"),"")</x:f>
      </x:c>
    </x:row>
    <x:row r="43" ht="28" customHeight="1">
      <x:c r="A43" s="352" t="str">
        <x:v>HUMAN REVIEW CONTROL</x:v>
      </x:c>
      <x:c r="B43" s="352" t="str">
        <x:v>HUMAN REVIEW CONTROL</x:v>
      </x:c>
      <x:c r="C43" s="352" t="str">
        <x:v>HUMAN REVIEW CONTROL</x:v>
      </x:c>
      <x:c r="D43" s="352" t="str">
        <x:v>HUMAN REVIEW CONTROL</x:v>
      </x:c>
      <x:c r="E43" s="352" t="str">
        <x:v>HUMAN REVIEW CONTROL</x:v>
      </x:c>
      <x:c r="F43" s="352" t="str">
        <x:v>HUMAN REVIEW CONTROL</x:v>
      </x:c>
      <x:c r="G43" s="352" t="str">
        <x:v>HUMAN REVIEW CONTROL</x:v>
      </x:c>
      <x:c r="H43" s="352" t="str">
        <x:v>HUMAN REVIEW CONTROL</x:v>
      </x:c>
      <x:c r="I43" s="352" t="str">
        <x:v>HUMAN REVIEW CONTROL</x:v>
      </x:c>
      <x:c r="J43" s="352" t="str">
        <x:v>HUMAN REVIEW CONTROL</x:v>
      </x:c>
      <x:c r="K43" s="352" t="str">
        <x:v>HUMAN REVIEW CONTROL</x:v>
      </x:c>
      <x:c r="N43" s="381" t="str">
        <x:f>IF('Source Register'!AJ43="YES",COUNTIF('Source Register'!$AJ$3:'Source Register'!AJ43,"YES"),"")</x:f>
      </x:c>
    </x:row>
    <x:row r="44">
      <x:c r="A44" s="133"/>
      <x:c r="B44" s="133"/>
      <x:c r="C44" s="133"/>
      <x:c r="D44" s="133"/>
      <x:c r="E44" s="133"/>
      <x:c r="F44" s="133"/>
      <x:c r="G44" s="133"/>
      <x:c r="H44" s="133"/>
      <x:c r="I44" s="133"/>
      <x:c r="J44" s="133"/>
      <x:c r="K44" s="133"/>
      <x:c r="N44" s="381" t="str">
        <x:f>IF('Source Register'!AJ44="YES",COUNTIF('Source Register'!$AJ$3:'Source Register'!AJ44,"YES"),"")</x:f>
      </x:c>
    </x:row>
    <x:row r="45">
      <x:c r="A45" s="214" t="str">
        <x:v>OPEN HUMAN REVIEWS</x:v>
      </x:c>
      <x:c r="B45" s="215" t="str">
        <x:v>OPEN HUMAN REVIEWS</x:v>
      </x:c>
      <x:c r="C45" s="216" t="str">
        <x:v>OPEN HUMAN REVIEWS</x:v>
      </x:c>
      <x:c r="D45" s="133"/>
      <x:c r="E45" s="310" t="str">
        <x:v>OLDEST OPEN REVIEW (DAYS)</x:v>
      </x:c>
      <x:c r="F45" s="311" t="str">
        <x:v>OLDEST OPEN REVIEW (DAYS)</x:v>
      </x:c>
      <x:c r="G45" s="312" t="str">
        <x:v>OLDEST OPEN REVIEW (DAYS)</x:v>
      </x:c>
      <x:c r="H45" s="133"/>
      <x:c r="I45" s="141" t="str">
        <x:v>REVIEW THRESHOLD (DAYS)</x:v>
      </x:c>
      <x:c r="J45" s="142" t="str">
        <x:v>REVIEW THRESHOLD (DAYS)</x:v>
      </x:c>
      <x:c r="K45" s="143" t="str">
        <x:v>REVIEW THRESHOLD (DAYS)</x:v>
      </x:c>
      <x:c r="N45" s="381" t="str">
        <x:f>IF('Source Register'!AJ45="YES",COUNTIF('Source Register'!$AJ$3:'Source Register'!AJ45,"YES"),"")</x:f>
      </x:c>
    </x:row>
    <x:row r="46">
      <x:c r="A46" s="236" t="n">
        <x:f>COUNTIF('Source Register'!AJ3:AJ302,"YES")</x:f>
        <x:v>2</x:v>
      </x:c>
      <x:c r="B46" s="237"/>
      <x:c r="C46" s="238"/>
      <x:c r="D46" s="133"/>
      <x:c r="E46" s="332" t="n">
        <x:f>IF(A46=0,0,MAX(E54:E153))</x:f>
        <x:v>0</x:v>
      </x:c>
      <x:c r="F46" s="333"/>
      <x:c r="G46" s="334"/>
      <x:c r="H46" s="133"/>
      <x:c r="I46" s="164" t="n">
        <x:f>60</x:f>
        <x:v>60</x:v>
      </x:c>
      <x:c r="J46" s="165"/>
      <x:c r="K46" s="166"/>
      <x:c r="N46" s="381" t="str">
        <x:f>IF('Source Register'!AJ46="YES",COUNTIF('Source Register'!$AJ$3:'Source Register'!AJ46,"YES"),"")</x:f>
      </x:c>
    </x:row>
    <x:row r="47">
      <x:c r="A47" s="239"/>
      <x:c r="B47" s="240"/>
      <x:c r="C47" s="241"/>
      <x:c r="D47" s="133"/>
      <x:c r="E47" s="335"/>
      <x:c r="F47" s="336"/>
      <x:c r="G47" s="337"/>
      <x:c r="H47" s="133"/>
      <x:c r="I47" s="167"/>
      <x:c r="J47" s="168"/>
      <x:c r="K47" s="169"/>
      <x:c r="N47" s="381" t="str">
        <x:f>IF('Source Register'!AJ47="YES",COUNTIF('Source Register'!$AJ$3:'Source Register'!AJ47,"YES"),"")</x:f>
      </x:c>
    </x:row>
    <x:row r="48">
      <x:c r="A48" s="133"/>
      <x:c r="B48" s="133"/>
      <x:c r="C48" s="133"/>
      <x:c r="D48" s="133"/>
      <x:c r="E48" s="133"/>
      <x:c r="F48" s="133"/>
      <x:c r="G48" s="133"/>
      <x:c r="H48" s="133"/>
      <x:c r="I48" s="133"/>
      <x:c r="J48" s="133"/>
      <x:c r="K48" s="133"/>
      <x:c r="N48" s="381" t="str">
        <x:f>IF('Source Register'!AJ48="YES",COUNTIF('Source Register'!$AJ$3:'Source Register'!AJ48,"YES"),"")</x:f>
      </x:c>
    </x:row>
    <x:row r="49">
      <x:c r="A49" s="372" t="str">
        <x:f>IF(A46=0,"No human review is currently required.",IF(E46&gt;I46,"REVIEW OVERDUE: the oldest open item has been waiting "&amp;E46&amp;" days. Start a human review now.","Open reviews exist. The oldest item has been waiting "&amp;E46&amp;" days; complete the review before it exceeds "&amp;I46&amp;" days."))</x:f>
        <x:v>Open reviews exist. The oldest item has been waiting 0 days; complete the review before it exceeds 60 days.</x:v>
      </x:c>
      <x:c r="B49" s="373"/>
      <x:c r="C49" s="373"/>
      <x:c r="D49" s="373"/>
      <x:c r="E49" s="373"/>
      <x:c r="F49" s="373"/>
      <x:c r="G49" s="373"/>
      <x:c r="H49" s="373"/>
      <x:c r="I49" s="373"/>
      <x:c r="J49" s="373"/>
      <x:c r="K49" s="374"/>
      <x:c r="N49" s="381" t="str">
        <x:f>IF('Source Register'!AJ49="YES",COUNTIF('Source Register'!$AJ$3:'Source Register'!AJ49,"YES"),"")</x:f>
      </x:c>
    </x:row>
    <x:row r="50">
      <x:c r="A50" s="375"/>
      <x:c r="B50" s="376"/>
      <x:c r="C50" s="376"/>
      <x:c r="D50" s="376"/>
      <x:c r="E50" s="376"/>
      <x:c r="F50" s="376"/>
      <x:c r="G50" s="376"/>
      <x:c r="H50" s="376"/>
      <x:c r="I50" s="376"/>
      <x:c r="J50" s="376"/>
      <x:c r="K50" s="377"/>
      <x:c r="N50" s="381" t="str">
        <x:f>IF('Source Register'!AJ50="YES",COUNTIF('Source Register'!$AJ$3:'Source Register'!AJ50,"YES"),"")</x:f>
      </x:c>
    </x:row>
    <x:row r="51">
      <x:c r="A51" s="133"/>
      <x:c r="B51" s="133"/>
      <x:c r="C51" s="133"/>
      <x:c r="D51" s="133"/>
      <x:c r="E51" s="133"/>
      <x:c r="F51" s="133"/>
      <x:c r="G51" s="133"/>
      <x:c r="H51" s="133"/>
      <x:c r="I51" s="133"/>
      <x:c r="J51" s="133"/>
      <x:c r="K51" s="133"/>
      <x:c r="N51" s="381" t="str">
        <x:f>IF('Source Register'!AJ51="YES",COUNTIF('Source Register'!$AJ$3:'Source Register'!AJ51,"YES"),"")</x:f>
      </x:c>
    </x:row>
    <x:row r="52">
      <x:c r="A52" s="380" t="str">
        <x:v>OPEN HUMAN REVIEW ITEMS | up to 100 active items</x:v>
      </x:c>
      <x:c r="B52" s="380" t="str">
        <x:v>OPEN HUMAN REVIEW ITEMS | up to 100 active items</x:v>
      </x:c>
      <x:c r="C52" s="380" t="str">
        <x:v>OPEN HUMAN REVIEW ITEMS | up to 100 active items</x:v>
      </x:c>
      <x:c r="D52" s="380" t="str">
        <x:v>OPEN HUMAN REVIEW ITEMS | up to 100 active items</x:v>
      </x:c>
      <x:c r="E52" s="380" t="str">
        <x:v>OPEN HUMAN REVIEW ITEMS | up to 100 active items</x:v>
      </x:c>
      <x:c r="F52" s="380" t="str">
        <x:v>OPEN HUMAN REVIEW ITEMS | up to 100 active items</x:v>
      </x:c>
      <x:c r="G52" s="380" t="str">
        <x:v>OPEN HUMAN REVIEW ITEMS | up to 100 active items</x:v>
      </x:c>
      <x:c r="H52" s="380" t="str">
        <x:v>OPEN HUMAN REVIEW ITEMS | up to 100 active items</x:v>
      </x:c>
      <x:c r="I52" s="380" t="str">
        <x:v>OPEN HUMAN REVIEW ITEMS | up to 100 active items</x:v>
      </x:c>
      <x:c r="J52" s="380" t="str">
        <x:v>OPEN HUMAN REVIEW ITEMS | up to 100 active items</x:v>
      </x:c>
      <x:c r="K52" s="380" t="str">
        <x:v>OPEN HUMAN REVIEW ITEMS | up to 100 active items</x:v>
      </x:c>
      <x:c r="N52" s="381" t="str">
        <x:f>IF('Source Register'!AJ52="YES",COUNTIF('Source Register'!$AJ$3:'Source Register'!AJ52,"YES"),"")</x:f>
      </x:c>
    </x:row>
    <x:row r="53" ht="32" customHeight="1">
      <x:c r="A53" s="29" t="str">
        <x:v>SOURCE ID</x:v>
      </x:c>
      <x:c r="B53" s="30" t="str">
        <x:v>SOURCE TITLE</x:v>
      </x:c>
      <x:c r="C53" s="30" t="str">
        <x:v>TRIGGER</x:v>
      </x:c>
      <x:c r="D53" s="30" t="str">
        <x:v>REVIEW SINCE</x:v>
      </x:c>
      <x:c r="E53" s="30" t="str">
        <x:v>DAYS OPEN</x:v>
      </x:c>
      <x:c r="F53" s="30" t="str">
        <x:v>FAILURE STAGE</x:v>
      </x:c>
      <x:c r="G53" s="30" t="str">
        <x:v>FILE STATE</x:v>
      </x:c>
      <x:c r="H53" s="30" t="str">
        <x:v>ORIGIN</x:v>
      </x:c>
      <x:c r="I53" s="30" t="str">
        <x:v>UPDATE MODEL</x:v>
      </x:c>
      <x:c r="J53" s="30" t="str">
        <x:v>STATUS</x:v>
      </x:c>
      <x:c r="K53" s="31" t="str">
        <x:v>REASON / REQUIRED ACTION</x:v>
      </x:c>
      <x:c r="N53" s="381" t="str">
        <x:f>IF('Source Register'!AJ53="YES",COUNTIF('Source Register'!$AJ$3:'Source Register'!AJ53,"YES"),"")</x:f>
      </x:c>
    </x:row>
    <x:row r="54" ht="34" customHeight="1">
      <x:c r="A54" s="385" t="str">
        <x:f>IFERROR(INDEX('Source Register'!$A$3:$A$302,MATCH(ROWS($A$54:A54),$N$3:$N$302,0)),"")</x:f>
        <x:v>PA010</x:v>
      </x:c>
      <x:c r="B54" s="385" t="str">
        <x:f>IF($A54="","",INDEX('Source Register'!$C$3:$C$302,MATCH($A54,'Source Register'!$A$3:$A$302,0)))</x:f>
        <x:v>Regulation (EU) 2016/429 on transmissible animal diseases (Animal Health Law)</x:v>
      </x:c>
      <x:c r="C54" s="385" t="str">
        <x:f>IF($A54="","",IF(INDEX('Source Register'!$Z$3:$Z$302,MATCH($A54,'Source Register'!$A$3:$A$302,0))="FAIL","DOWNLOAD FAILURE","ROLLING CONTENT CHANGED"))</x:f>
        <x:v>DOWNLOAD FAILURE</x:v>
      </x:c>
      <x:c r="D54" s="386" t="n">
        <x:f>IF($A54="","",IF(INDEX('Source Register'!$Z$3:$Z$302,MATCH($A54,'Source Register'!$A$3:$A$302,0))="FAIL",INDEX('Source Register'!$AA$3:$AA$302,MATCH($A54,'Source Register'!$A$3:$A$302,0)),INDEX('Source Register'!$AB$3:$AB$302,MATCH($A54,'Source Register'!$A$3:$A$302,0))))</x:f>
        <x:v>46262.53082175926</x:v>
      </x:c>
      <x:c r="E54" s="387" t="n">
        <x:f>IF($D54="","",MAX(0,TODAY()-INT($D54)))</x:f>
        <x:v>0</x:v>
      </x:c>
      <x:c r="F54" s="385" t="str">
        <x:f>IF($A54="","",IF(INDEX('Source Register'!$Z$3:$Z$302,MATCH($A54,'Source Register'!$A$3:$A$302,0))="FAIL",INDEX('Source Register'!$AH$3:$AH$302,MATCH($A54,'Source Register'!$A$3:$A$302,0)),"IMPACT REVIEW"))</x:f>
        <x:v>CONTENT</x:v>
      </x:c>
      <x:c r="G54" s="385" t="str">
        <x:f>IF($A54="","",INDEX('Source Register'!$I$3:$I$302,MATCH($A54,'Source Register'!$A$3:$A$302,0)))</x:f>
        <x:v>NOT_COLLECTED</x:v>
      </x:c>
      <x:c r="H54" s="385" t="str">
        <x:f>IF($A54="","",INDEX('Source Register'!$AD$3:$AD$302,MATCH($A54,'Source Register'!$A$3:$A$302,0)))</x:f>
        <x:v>NONE</x:v>
      </x:c>
      <x:c r="I54" s="385" t="str">
        <x:f>IF($A54="","",INDEX('Source Register'!$AQ$3:$AQ$302,MATCH($A54,'Source Register'!$A$3:$A$302,0)))</x:f>
        <x:v>ROLLING</x:v>
      </x:c>
      <x:c r="J54" s="385" t="str">
        <x:f>IF($A54="","",IF($E54&gt;$I$46,"OVERDUE","OPEN"))</x:f>
        <x:v>OPEN</x:v>
      </x:c>
      <x:c r="K54" s="385" t="str">
        <x:f>IF($A54="","",IF(INDEX('Source Register'!$Z$3:$Z$302,MATCH($A54,'Source Register'!$A$3:$A$302,0))="FAIL",INDEX('Source Register'!$AI$3:$AI$302,MATCH($A54,'Source Register'!$A$3:$A$302,0)),"Rolling source content changed; review downstream Requirement impact."))</x:f>
        <x:v>HTML content is too small: 0 bytes.</x:v>
      </x:c>
      <x:c r="N54" s="381" t="str">
        <x:f>IF('Source Register'!AJ54="YES",COUNTIF('Source Register'!$AJ$3:'Source Register'!AJ54,"YES"),"")</x:f>
      </x:c>
    </x:row>
    <x:row r="55" ht="34" customHeight="1">
      <x:c r="A55" s="385" t="str">
        <x:f>IFERROR(INDEX('Source Register'!$A$3:$A$302,MATCH(ROWS($A$54:A55),$N$3:$N$302,0)),"")</x:f>
        <x:v>PA029</x:v>
      </x:c>
      <x:c r="B55" s="385" t="str">
        <x:f>IF($A55="","",INDEX('Source Register'!$C$3:$C$302,MATCH($A55,'Source Register'!$A$3:$A$302,0)))</x:f>
        <x:v>Yggdrasil map of Norwegian aquaculture localities</x:v>
      </x:c>
      <x:c r="C55" s="385" t="str">
        <x:f>IF($A55="","",IF(INDEX('Source Register'!$Z$3:$Z$302,MATCH($A55,'Source Register'!$A$3:$A$302,0))="FAIL","DOWNLOAD FAILURE","ROLLING CONTENT CHANGED"))</x:f>
        <x:v>DOWNLOAD FAILURE</x:v>
      </x:c>
      <x:c r="D55" s="386" t="n">
        <x:f>IF($A55="","",IF(INDEX('Source Register'!$Z$3:$Z$302,MATCH($A55,'Source Register'!$A$3:$A$302,0))="FAIL",INDEX('Source Register'!$AA$3:$AA$302,MATCH($A55,'Source Register'!$A$3:$A$302,0)),INDEX('Source Register'!$AB$3:$AB$302,MATCH($A55,'Source Register'!$A$3:$A$302,0))))</x:f>
        <x:v>46262.53092592592</x:v>
      </x:c>
      <x:c r="E55" s="387" t="n">
        <x:f>IF($D55="","",MAX(0,TODAY()-INT($D55)))</x:f>
        <x:v>0</x:v>
      </x:c>
      <x:c r="F55" s="385" t="str">
        <x:f>IF($A55="","",IF(INDEX('Source Register'!$Z$3:$Z$302,MATCH($A55,'Source Register'!$A$3:$A$302,0))="FAIL",INDEX('Source Register'!$AH$3:$AH$302,MATCH($A55,'Source Register'!$A$3:$A$302,0)),"IMPACT REVIEW"))</x:f>
        <x:v>CONTENT</x:v>
      </x:c>
      <x:c r="G55" s="385" t="str">
        <x:f>IF($A55="","",INDEX('Source Register'!$I$3:$I$302,MATCH($A55,'Source Register'!$A$3:$A$302,0)))</x:f>
        <x:v>NOT_COLLECTED</x:v>
      </x:c>
      <x:c r="H55" s="385" t="str">
        <x:f>IF($A55="","",INDEX('Source Register'!$AD$3:$AD$302,MATCH($A55,'Source Register'!$A$3:$A$302,0)))</x:f>
        <x:v>NONE</x:v>
      </x:c>
      <x:c r="I55" s="385" t="str">
        <x:f>IF($A55="","",INDEX('Source Register'!$AQ$3:$AQ$302,MATCH($A55,'Source Register'!$A$3:$A$302,0)))</x:f>
        <x:v>ROLLING</x:v>
      </x:c>
      <x:c r="J55" s="385" t="str">
        <x:f>IF($A55="","",IF($E55&gt;$I$46,"OVERDUE","OPEN"))</x:f>
        <x:v>OPEN</x:v>
      </x:c>
      <x:c r="K55" s="385" t="str">
        <x:f>IF($A55="","",IF(INDEX('Source Register'!$Z$3:$Z$302,MATCH($A55,'Source Register'!$A$3:$A$302,0))="FAIL",INDEX('Source Register'!$AI$3:$AI$302,MATCH($A55,'Source Register'!$A$3:$A$302,0)),"Rolling source content changed; review downstream Requirement impact."))</x:f>
        <x:v>HTML readable body text is too short; the response may be a redirect or error page.</x:v>
      </x:c>
      <x:c r="N55" s="381" t="str">
        <x:f>IF('Source Register'!AJ55="YES",COUNTIF('Source Register'!$AJ$3:'Source Register'!AJ55,"YES"),"")</x:f>
      </x:c>
    </x:row>
    <x:row r="56" ht="34" customHeight="1">
      <x:c r="A56" s="385" t="str">
        <x:f>IFERROR(INDEX('Source Register'!$A$3:$A$302,MATCH(ROWS($A$54:A56),$N$3:$N$302,0)),"")</x:f>
      </x:c>
      <x:c r="B56" s="385" t="str">
        <x:f>IF($A56="","",INDEX('Source Register'!$C$3:$C$302,MATCH($A56,'Source Register'!$A$3:$A$302,0)))</x:f>
      </x:c>
      <x:c r="C56" s="385" t="str">
        <x:f>IF($A56="","",IF(INDEX('Source Register'!$Z$3:$Z$302,MATCH($A56,'Source Register'!$A$3:$A$302,0))="FAIL","DOWNLOAD FAILURE","ROLLING CONTENT CHANGED"))</x:f>
      </x:c>
      <x:c r="D56" s="386" t="str">
        <x:f>IF($A56="","",IF(INDEX('Source Register'!$Z$3:$Z$302,MATCH($A56,'Source Register'!$A$3:$A$302,0))="FAIL",INDEX('Source Register'!$AA$3:$AA$302,MATCH($A56,'Source Register'!$A$3:$A$302,0)),INDEX('Source Register'!$AB$3:$AB$302,MATCH($A56,'Source Register'!$A$3:$A$302,0))))</x:f>
      </x:c>
      <x:c r="E56" s="387" t="str">
        <x:f>IF($D56="","",MAX(0,TODAY()-INT($D56)))</x:f>
      </x:c>
      <x:c r="F56" s="385" t="str">
        <x:f>IF($A56="","",IF(INDEX('Source Register'!$Z$3:$Z$302,MATCH($A56,'Source Register'!$A$3:$A$302,0))="FAIL",INDEX('Source Register'!$AH$3:$AH$302,MATCH($A56,'Source Register'!$A$3:$A$302,0)),"IMPACT REVIEW"))</x:f>
      </x:c>
      <x:c r="G56" s="385" t="str">
        <x:f>IF($A56="","",INDEX('Source Register'!$I$3:$I$302,MATCH($A56,'Source Register'!$A$3:$A$302,0)))</x:f>
      </x:c>
      <x:c r="H56" s="385" t="str">
        <x:f>IF($A56="","",INDEX('Source Register'!$AD$3:$AD$302,MATCH($A56,'Source Register'!$A$3:$A$302,0)))</x:f>
      </x:c>
      <x:c r="I56" s="385" t="str">
        <x:f>IF($A56="","",INDEX('Source Register'!$AQ$3:$AQ$302,MATCH($A56,'Source Register'!$A$3:$A$302,0)))</x:f>
      </x:c>
      <x:c r="J56" s="385" t="str">
        <x:f>IF($A56="","",IF($E56&gt;$I$46,"OVERDUE","OPEN"))</x:f>
      </x:c>
      <x:c r="K56" s="385" t="str">
        <x:f>IF($A56="","",IF(INDEX('Source Register'!$Z$3:$Z$302,MATCH($A56,'Source Register'!$A$3:$A$302,0))="FAIL",INDEX('Source Register'!$AI$3:$AI$302,MATCH($A56,'Source Register'!$A$3:$A$302,0)),"Rolling source content changed; review downstream Requirement impact."))</x:f>
      </x:c>
      <x:c r="N56" s="381" t="str">
        <x:f>IF('Source Register'!AJ56="YES",COUNTIF('Source Register'!$AJ$3:'Source Register'!AJ56,"YES"),"")</x:f>
      </x:c>
    </x:row>
    <x:row r="57" ht="34" customHeight="1">
      <x:c r="A57" s="385" t="str">
        <x:f>IFERROR(INDEX('Source Register'!$A$3:$A$302,MATCH(ROWS($A$54:A57),$N$3:$N$302,0)),"")</x:f>
      </x:c>
      <x:c r="B57" s="385" t="str">
        <x:f>IF($A57="","",INDEX('Source Register'!$C$3:$C$302,MATCH($A57,'Source Register'!$A$3:$A$302,0)))</x:f>
      </x:c>
      <x:c r="C57" s="385" t="str">
        <x:f>IF($A57="","",IF(INDEX('Source Register'!$Z$3:$Z$302,MATCH($A57,'Source Register'!$A$3:$A$302,0))="FAIL","DOWNLOAD FAILURE","ROLLING CONTENT CHANGED"))</x:f>
      </x:c>
      <x:c r="D57" s="386" t="str">
        <x:f>IF($A57="","",IF(INDEX('Source Register'!$Z$3:$Z$302,MATCH($A57,'Source Register'!$A$3:$A$302,0))="FAIL",INDEX('Source Register'!$AA$3:$AA$302,MATCH($A57,'Source Register'!$A$3:$A$302,0)),INDEX('Source Register'!$AB$3:$AB$302,MATCH($A57,'Source Register'!$A$3:$A$302,0))))</x:f>
      </x:c>
      <x:c r="E57" s="387" t="str">
        <x:f>IF($D57="","",MAX(0,TODAY()-INT($D57)))</x:f>
      </x:c>
      <x:c r="F57" s="385" t="str">
        <x:f>IF($A57="","",IF(INDEX('Source Register'!$Z$3:$Z$302,MATCH($A57,'Source Register'!$A$3:$A$302,0))="FAIL",INDEX('Source Register'!$AH$3:$AH$302,MATCH($A57,'Source Register'!$A$3:$A$302,0)),"IMPACT REVIEW"))</x:f>
      </x:c>
      <x:c r="G57" s="385" t="str">
        <x:f>IF($A57="","",INDEX('Source Register'!$I$3:$I$302,MATCH($A57,'Source Register'!$A$3:$A$302,0)))</x:f>
      </x:c>
      <x:c r="H57" s="385" t="str">
        <x:f>IF($A57="","",INDEX('Source Register'!$AD$3:$AD$302,MATCH($A57,'Source Register'!$A$3:$A$302,0)))</x:f>
      </x:c>
      <x:c r="I57" s="385" t="str">
        <x:f>IF($A57="","",INDEX('Source Register'!$AQ$3:$AQ$302,MATCH($A57,'Source Register'!$A$3:$A$302,0)))</x:f>
      </x:c>
      <x:c r="J57" s="385" t="str">
        <x:f>IF($A57="","",IF($E57&gt;$I$46,"OVERDUE","OPEN"))</x:f>
      </x:c>
      <x:c r="K57" s="385" t="str">
        <x:f>IF($A57="","",IF(INDEX('Source Register'!$Z$3:$Z$302,MATCH($A57,'Source Register'!$A$3:$A$302,0))="FAIL",INDEX('Source Register'!$AI$3:$AI$302,MATCH($A57,'Source Register'!$A$3:$A$302,0)),"Rolling source content changed; review downstream Requirement impact."))</x:f>
      </x:c>
      <x:c r="N57" s="381" t="str">
        <x:f>IF('Source Register'!AJ57="YES",COUNTIF('Source Register'!$AJ$3:'Source Register'!AJ57,"YES"),"")</x:f>
      </x:c>
    </x:row>
    <x:row r="58" ht="34" customHeight="1">
      <x:c r="A58" s="385" t="str">
        <x:f>IFERROR(INDEX('Source Register'!$A$3:$A$302,MATCH(ROWS($A$54:A58),$N$3:$N$302,0)),"")</x:f>
      </x:c>
      <x:c r="B58" s="385" t="str">
        <x:f>IF($A58="","",INDEX('Source Register'!$C$3:$C$302,MATCH($A58,'Source Register'!$A$3:$A$302,0)))</x:f>
      </x:c>
      <x:c r="C58" s="385" t="str">
        <x:f>IF($A58="","",IF(INDEX('Source Register'!$Z$3:$Z$302,MATCH($A58,'Source Register'!$A$3:$A$302,0))="FAIL","DOWNLOAD FAILURE","ROLLING CONTENT CHANGED"))</x:f>
      </x:c>
      <x:c r="D58" s="386" t="str">
        <x:f>IF($A58="","",IF(INDEX('Source Register'!$Z$3:$Z$302,MATCH($A58,'Source Register'!$A$3:$A$302,0))="FAIL",INDEX('Source Register'!$AA$3:$AA$302,MATCH($A58,'Source Register'!$A$3:$A$302,0)),INDEX('Source Register'!$AB$3:$AB$302,MATCH($A58,'Source Register'!$A$3:$A$302,0))))</x:f>
      </x:c>
      <x:c r="E58" s="387" t="str">
        <x:f>IF($D58="","",MAX(0,TODAY()-INT($D58)))</x:f>
      </x:c>
      <x:c r="F58" s="385" t="str">
        <x:f>IF($A58="","",IF(INDEX('Source Register'!$Z$3:$Z$302,MATCH($A58,'Source Register'!$A$3:$A$302,0))="FAIL",INDEX('Source Register'!$AH$3:$AH$302,MATCH($A58,'Source Register'!$A$3:$A$302,0)),"IMPACT REVIEW"))</x:f>
      </x:c>
      <x:c r="G58" s="385" t="str">
        <x:f>IF($A58="","",INDEX('Source Register'!$I$3:$I$302,MATCH($A58,'Source Register'!$A$3:$A$302,0)))</x:f>
      </x:c>
      <x:c r="H58" s="385" t="str">
        <x:f>IF($A58="","",INDEX('Source Register'!$AD$3:$AD$302,MATCH($A58,'Source Register'!$A$3:$A$302,0)))</x:f>
      </x:c>
      <x:c r="I58" s="385" t="str">
        <x:f>IF($A58="","",INDEX('Source Register'!$AQ$3:$AQ$302,MATCH($A58,'Source Register'!$A$3:$A$302,0)))</x:f>
      </x:c>
      <x:c r="J58" s="385" t="str">
        <x:f>IF($A58="","",IF($E58&gt;$I$46,"OVERDUE","OPEN"))</x:f>
      </x:c>
      <x:c r="K58" s="385" t="str">
        <x:f>IF($A58="","",IF(INDEX('Source Register'!$Z$3:$Z$302,MATCH($A58,'Source Register'!$A$3:$A$302,0))="FAIL",INDEX('Source Register'!$AI$3:$AI$302,MATCH($A58,'Source Register'!$A$3:$A$302,0)),"Rolling source content changed; review downstream Requirement impact."))</x:f>
      </x:c>
      <x:c r="N58" s="381" t="str">
        <x:f>IF('Source Register'!AJ58="YES",COUNTIF('Source Register'!$AJ$3:'Source Register'!AJ58,"YES"),"")</x:f>
      </x:c>
    </x:row>
    <x:row r="59" ht="34" customHeight="1">
      <x:c r="A59" s="385" t="str">
        <x:f>IFERROR(INDEX('Source Register'!$A$3:$A$302,MATCH(ROWS($A$54:A59),$N$3:$N$302,0)),"")</x:f>
      </x:c>
      <x:c r="B59" s="385" t="str">
        <x:f>IF($A59="","",INDEX('Source Register'!$C$3:$C$302,MATCH($A59,'Source Register'!$A$3:$A$302,0)))</x:f>
      </x:c>
      <x:c r="C59" s="385" t="str">
        <x:f>IF($A59="","",IF(INDEX('Source Register'!$Z$3:$Z$302,MATCH($A59,'Source Register'!$A$3:$A$302,0))="FAIL","DOWNLOAD FAILURE","ROLLING CONTENT CHANGED"))</x:f>
      </x:c>
      <x:c r="D59" s="386" t="str">
        <x:f>IF($A59="","",IF(INDEX('Source Register'!$Z$3:$Z$302,MATCH($A59,'Source Register'!$A$3:$A$302,0))="FAIL",INDEX('Source Register'!$AA$3:$AA$302,MATCH($A59,'Source Register'!$A$3:$A$302,0)),INDEX('Source Register'!$AB$3:$AB$302,MATCH($A59,'Source Register'!$A$3:$A$302,0))))</x:f>
      </x:c>
      <x:c r="E59" s="387" t="str">
        <x:f>IF($D59="","",MAX(0,TODAY()-INT($D59)))</x:f>
      </x:c>
      <x:c r="F59" s="385" t="str">
        <x:f>IF($A59="","",IF(INDEX('Source Register'!$Z$3:$Z$302,MATCH($A59,'Source Register'!$A$3:$A$302,0))="FAIL",INDEX('Source Register'!$AH$3:$AH$302,MATCH($A59,'Source Register'!$A$3:$A$302,0)),"IMPACT REVIEW"))</x:f>
      </x:c>
      <x:c r="G59" s="385" t="str">
        <x:f>IF($A59="","",INDEX('Source Register'!$I$3:$I$302,MATCH($A59,'Source Register'!$A$3:$A$302,0)))</x:f>
      </x:c>
      <x:c r="H59" s="385" t="str">
        <x:f>IF($A59="","",INDEX('Source Register'!$AD$3:$AD$302,MATCH($A59,'Source Register'!$A$3:$A$302,0)))</x:f>
      </x:c>
      <x:c r="I59" s="385" t="str">
        <x:f>IF($A59="","",INDEX('Source Register'!$AQ$3:$AQ$302,MATCH($A59,'Source Register'!$A$3:$A$302,0)))</x:f>
      </x:c>
      <x:c r="J59" s="385" t="str">
        <x:f>IF($A59="","",IF($E59&gt;$I$46,"OVERDUE","OPEN"))</x:f>
      </x:c>
      <x:c r="K59" s="385" t="str">
        <x:f>IF($A59="","",IF(INDEX('Source Register'!$Z$3:$Z$302,MATCH($A59,'Source Register'!$A$3:$A$302,0))="FAIL",INDEX('Source Register'!$AI$3:$AI$302,MATCH($A59,'Source Register'!$A$3:$A$302,0)),"Rolling source content changed; review downstream Requirement impact."))</x:f>
      </x:c>
      <x:c r="N59" s="381" t="str">
        <x:f>IF('Source Register'!AJ59="YES",COUNTIF('Source Register'!$AJ$3:'Source Register'!AJ59,"YES"),"")</x:f>
      </x:c>
    </x:row>
    <x:row r="60" ht="34" customHeight="1">
      <x:c r="A60" s="385" t="str">
        <x:f>IFERROR(INDEX('Source Register'!$A$3:$A$302,MATCH(ROWS($A$54:A60),$N$3:$N$302,0)),"")</x:f>
      </x:c>
      <x:c r="B60" s="385" t="str">
        <x:f>IF($A60="","",INDEX('Source Register'!$C$3:$C$302,MATCH($A60,'Source Register'!$A$3:$A$302,0)))</x:f>
      </x:c>
      <x:c r="C60" s="385" t="str">
        <x:f>IF($A60="","",IF(INDEX('Source Register'!$Z$3:$Z$302,MATCH($A60,'Source Register'!$A$3:$A$302,0))="FAIL","DOWNLOAD FAILURE","ROLLING CONTENT CHANGED"))</x:f>
      </x:c>
      <x:c r="D60" s="386" t="str">
        <x:f>IF($A60="","",IF(INDEX('Source Register'!$Z$3:$Z$302,MATCH($A60,'Source Register'!$A$3:$A$302,0))="FAIL",INDEX('Source Register'!$AA$3:$AA$302,MATCH($A60,'Source Register'!$A$3:$A$302,0)),INDEX('Source Register'!$AB$3:$AB$302,MATCH($A60,'Source Register'!$A$3:$A$302,0))))</x:f>
      </x:c>
      <x:c r="E60" s="387" t="str">
        <x:f>IF($D60="","",MAX(0,TODAY()-INT($D60)))</x:f>
      </x:c>
      <x:c r="F60" s="385" t="str">
        <x:f>IF($A60="","",IF(INDEX('Source Register'!$Z$3:$Z$302,MATCH($A60,'Source Register'!$A$3:$A$302,0))="FAIL",INDEX('Source Register'!$AH$3:$AH$302,MATCH($A60,'Source Register'!$A$3:$A$302,0)),"IMPACT REVIEW"))</x:f>
      </x:c>
      <x:c r="G60" s="385" t="str">
        <x:f>IF($A60="","",INDEX('Source Register'!$I$3:$I$302,MATCH($A60,'Source Register'!$A$3:$A$302,0)))</x:f>
      </x:c>
      <x:c r="H60" s="385" t="str">
        <x:f>IF($A60="","",INDEX('Source Register'!$AD$3:$AD$302,MATCH($A60,'Source Register'!$A$3:$A$302,0)))</x:f>
      </x:c>
      <x:c r="I60" s="385" t="str">
        <x:f>IF($A60="","",INDEX('Source Register'!$AQ$3:$AQ$302,MATCH($A60,'Source Register'!$A$3:$A$302,0)))</x:f>
      </x:c>
      <x:c r="J60" s="385" t="str">
        <x:f>IF($A60="","",IF($E60&gt;$I$46,"OVERDUE","OPEN"))</x:f>
      </x:c>
      <x:c r="K60" s="385" t="str">
        <x:f>IF($A60="","",IF(INDEX('Source Register'!$Z$3:$Z$302,MATCH($A60,'Source Register'!$A$3:$A$302,0))="FAIL",INDEX('Source Register'!$AI$3:$AI$302,MATCH($A60,'Source Register'!$A$3:$A$302,0)),"Rolling source content changed; review downstream Requirement impact."))</x:f>
      </x:c>
      <x:c r="N60" s="381" t="str">
        <x:f>IF('Source Register'!AJ60="YES",COUNTIF('Source Register'!$AJ$3:'Source Register'!AJ60,"YES"),"")</x:f>
      </x:c>
    </x:row>
    <x:row r="61" ht="34" customHeight="1">
      <x:c r="A61" s="385" t="str">
        <x:f>IFERROR(INDEX('Source Register'!$A$3:$A$302,MATCH(ROWS($A$54:A61),$N$3:$N$302,0)),"")</x:f>
      </x:c>
      <x:c r="B61" s="385" t="str">
        <x:f>IF($A61="","",INDEX('Source Register'!$C$3:$C$302,MATCH($A61,'Source Register'!$A$3:$A$302,0)))</x:f>
      </x:c>
      <x:c r="C61" s="385" t="str">
        <x:f>IF($A61="","",IF(INDEX('Source Register'!$Z$3:$Z$302,MATCH($A61,'Source Register'!$A$3:$A$302,0))="FAIL","DOWNLOAD FAILURE","ROLLING CONTENT CHANGED"))</x:f>
      </x:c>
      <x:c r="D61" s="386" t="str">
        <x:f>IF($A61="","",IF(INDEX('Source Register'!$Z$3:$Z$302,MATCH($A61,'Source Register'!$A$3:$A$302,0))="FAIL",INDEX('Source Register'!$AA$3:$AA$302,MATCH($A61,'Source Register'!$A$3:$A$302,0)),INDEX('Source Register'!$AB$3:$AB$302,MATCH($A61,'Source Register'!$A$3:$A$302,0))))</x:f>
      </x:c>
      <x:c r="E61" s="387" t="str">
        <x:f>IF($D61="","",MAX(0,TODAY()-INT($D61)))</x:f>
      </x:c>
      <x:c r="F61" s="385" t="str">
        <x:f>IF($A61="","",IF(INDEX('Source Register'!$Z$3:$Z$302,MATCH($A61,'Source Register'!$A$3:$A$302,0))="FAIL",INDEX('Source Register'!$AH$3:$AH$302,MATCH($A61,'Source Register'!$A$3:$A$302,0)),"IMPACT REVIEW"))</x:f>
      </x:c>
      <x:c r="G61" s="385" t="str">
        <x:f>IF($A61="","",INDEX('Source Register'!$I$3:$I$302,MATCH($A61,'Source Register'!$A$3:$A$302,0)))</x:f>
      </x:c>
      <x:c r="H61" s="385" t="str">
        <x:f>IF($A61="","",INDEX('Source Register'!$AD$3:$AD$302,MATCH($A61,'Source Register'!$A$3:$A$302,0)))</x:f>
      </x:c>
      <x:c r="I61" s="385" t="str">
        <x:f>IF($A61="","",INDEX('Source Register'!$AQ$3:$AQ$302,MATCH($A61,'Source Register'!$A$3:$A$302,0)))</x:f>
      </x:c>
      <x:c r="J61" s="385" t="str">
        <x:f>IF($A61="","",IF($E61&gt;$I$46,"OVERDUE","OPEN"))</x:f>
      </x:c>
      <x:c r="K61" s="385" t="str">
        <x:f>IF($A61="","",IF(INDEX('Source Register'!$Z$3:$Z$302,MATCH($A61,'Source Register'!$A$3:$A$302,0))="FAIL",INDEX('Source Register'!$AI$3:$AI$302,MATCH($A61,'Source Register'!$A$3:$A$302,0)),"Rolling source content changed; review downstream Requirement impact."))</x:f>
      </x:c>
      <x:c r="N61" s="381" t="str">
        <x:f>IF('Source Register'!AJ61="YES",COUNTIF('Source Register'!$AJ$3:'Source Register'!AJ61,"YES"),"")</x:f>
      </x:c>
    </x:row>
    <x:row r="62" ht="34" customHeight="1">
      <x:c r="A62" s="385" t="str">
        <x:f>IFERROR(INDEX('Source Register'!$A$3:$A$302,MATCH(ROWS($A$54:A62),$N$3:$N$302,0)),"")</x:f>
      </x:c>
      <x:c r="B62" s="385" t="str">
        <x:f>IF($A62="","",INDEX('Source Register'!$C$3:$C$302,MATCH($A62,'Source Register'!$A$3:$A$302,0)))</x:f>
      </x:c>
      <x:c r="C62" s="385" t="str">
        <x:f>IF($A62="","",IF(INDEX('Source Register'!$Z$3:$Z$302,MATCH($A62,'Source Register'!$A$3:$A$302,0))="FAIL","DOWNLOAD FAILURE","ROLLING CONTENT CHANGED"))</x:f>
      </x:c>
      <x:c r="D62" s="386" t="str">
        <x:f>IF($A62="","",IF(INDEX('Source Register'!$Z$3:$Z$302,MATCH($A62,'Source Register'!$A$3:$A$302,0))="FAIL",INDEX('Source Register'!$AA$3:$AA$302,MATCH($A62,'Source Register'!$A$3:$A$302,0)),INDEX('Source Register'!$AB$3:$AB$302,MATCH($A62,'Source Register'!$A$3:$A$302,0))))</x:f>
      </x:c>
      <x:c r="E62" s="387" t="str">
        <x:f>IF($D62="","",MAX(0,TODAY()-INT($D62)))</x:f>
      </x:c>
      <x:c r="F62" s="385" t="str">
        <x:f>IF($A62="","",IF(INDEX('Source Register'!$Z$3:$Z$302,MATCH($A62,'Source Register'!$A$3:$A$302,0))="FAIL",INDEX('Source Register'!$AH$3:$AH$302,MATCH($A62,'Source Register'!$A$3:$A$302,0)),"IMPACT REVIEW"))</x:f>
      </x:c>
      <x:c r="G62" s="385" t="str">
        <x:f>IF($A62="","",INDEX('Source Register'!$I$3:$I$302,MATCH($A62,'Source Register'!$A$3:$A$302,0)))</x:f>
      </x:c>
      <x:c r="H62" s="385" t="str">
        <x:f>IF($A62="","",INDEX('Source Register'!$AD$3:$AD$302,MATCH($A62,'Source Register'!$A$3:$A$302,0)))</x:f>
      </x:c>
      <x:c r="I62" s="385" t="str">
        <x:f>IF($A62="","",INDEX('Source Register'!$AQ$3:$AQ$302,MATCH($A62,'Source Register'!$A$3:$A$302,0)))</x:f>
      </x:c>
      <x:c r="J62" s="385" t="str">
        <x:f>IF($A62="","",IF($E62&gt;$I$46,"OVERDUE","OPEN"))</x:f>
      </x:c>
      <x:c r="K62" s="385" t="str">
        <x:f>IF($A62="","",IF(INDEX('Source Register'!$Z$3:$Z$302,MATCH($A62,'Source Register'!$A$3:$A$302,0))="FAIL",INDEX('Source Register'!$AI$3:$AI$302,MATCH($A62,'Source Register'!$A$3:$A$302,0)),"Rolling source content changed; review downstream Requirement impact."))</x:f>
      </x:c>
      <x:c r="N62" s="381" t="str">
        <x:f>IF('Source Register'!AJ62="YES",COUNTIF('Source Register'!$AJ$3:'Source Register'!AJ62,"YES"),"")</x:f>
      </x:c>
    </x:row>
    <x:row r="63" ht="34" customHeight="1">
      <x:c r="A63" s="385" t="str">
        <x:f>IFERROR(INDEX('Source Register'!$A$3:$A$302,MATCH(ROWS($A$54:A63),$N$3:$N$302,0)),"")</x:f>
      </x:c>
      <x:c r="B63" s="385" t="str">
        <x:f>IF($A63="","",INDEX('Source Register'!$C$3:$C$302,MATCH($A63,'Source Register'!$A$3:$A$302,0)))</x:f>
      </x:c>
      <x:c r="C63" s="385" t="str">
        <x:f>IF($A63="","",IF(INDEX('Source Register'!$Z$3:$Z$302,MATCH($A63,'Source Register'!$A$3:$A$302,0))="FAIL","DOWNLOAD FAILURE","ROLLING CONTENT CHANGED"))</x:f>
      </x:c>
      <x:c r="D63" s="386" t="str">
        <x:f>IF($A63="","",IF(INDEX('Source Register'!$Z$3:$Z$302,MATCH($A63,'Source Register'!$A$3:$A$302,0))="FAIL",INDEX('Source Register'!$AA$3:$AA$302,MATCH($A63,'Source Register'!$A$3:$A$302,0)),INDEX('Source Register'!$AB$3:$AB$302,MATCH($A63,'Source Register'!$A$3:$A$302,0))))</x:f>
      </x:c>
      <x:c r="E63" s="387" t="str">
        <x:f>IF($D63="","",MAX(0,TODAY()-INT($D63)))</x:f>
      </x:c>
      <x:c r="F63" s="385" t="str">
        <x:f>IF($A63="","",IF(INDEX('Source Register'!$Z$3:$Z$302,MATCH($A63,'Source Register'!$A$3:$A$302,0))="FAIL",INDEX('Source Register'!$AH$3:$AH$302,MATCH($A63,'Source Register'!$A$3:$A$302,0)),"IMPACT REVIEW"))</x:f>
      </x:c>
      <x:c r="G63" s="385" t="str">
        <x:f>IF($A63="","",INDEX('Source Register'!$I$3:$I$302,MATCH($A63,'Source Register'!$A$3:$A$302,0)))</x:f>
      </x:c>
      <x:c r="H63" s="385" t="str">
        <x:f>IF($A63="","",INDEX('Source Register'!$AD$3:$AD$302,MATCH($A63,'Source Register'!$A$3:$A$302,0)))</x:f>
      </x:c>
      <x:c r="I63" s="385" t="str">
        <x:f>IF($A63="","",INDEX('Source Register'!$AQ$3:$AQ$302,MATCH($A63,'Source Register'!$A$3:$A$302,0)))</x:f>
      </x:c>
      <x:c r="J63" s="385" t="str">
        <x:f>IF($A63="","",IF($E63&gt;$I$46,"OVERDUE","OPEN"))</x:f>
      </x:c>
      <x:c r="K63" s="385" t="str">
        <x:f>IF($A63="","",IF(INDEX('Source Register'!$Z$3:$Z$302,MATCH($A63,'Source Register'!$A$3:$A$302,0))="FAIL",INDEX('Source Register'!$AI$3:$AI$302,MATCH($A63,'Source Register'!$A$3:$A$302,0)),"Rolling source content changed; review downstream Requirement impact."))</x:f>
      </x:c>
      <x:c r="N63" s="381" t="str">
        <x:f>IF('Source Register'!AJ63="YES",COUNTIF('Source Register'!$AJ$3:'Source Register'!AJ63,"YES"),"")</x:f>
      </x:c>
    </x:row>
    <x:row r="64" ht="34" customHeight="1">
      <x:c r="A64" s="385" t="str">
        <x:f>IFERROR(INDEX('Source Register'!$A$3:$A$302,MATCH(ROWS($A$54:A64),$N$3:$N$302,0)),"")</x:f>
      </x:c>
      <x:c r="B64" s="385" t="str">
        <x:f>IF($A64="","",INDEX('Source Register'!$C$3:$C$302,MATCH($A64,'Source Register'!$A$3:$A$302,0)))</x:f>
      </x:c>
      <x:c r="C64" s="385" t="str">
        <x:f>IF($A64="","",IF(INDEX('Source Register'!$Z$3:$Z$302,MATCH($A64,'Source Register'!$A$3:$A$302,0))="FAIL","DOWNLOAD FAILURE","ROLLING CONTENT CHANGED"))</x:f>
      </x:c>
      <x:c r="D64" s="386" t="str">
        <x:f>IF($A64="","",IF(INDEX('Source Register'!$Z$3:$Z$302,MATCH($A64,'Source Register'!$A$3:$A$302,0))="FAIL",INDEX('Source Register'!$AA$3:$AA$302,MATCH($A64,'Source Register'!$A$3:$A$302,0)),INDEX('Source Register'!$AB$3:$AB$302,MATCH($A64,'Source Register'!$A$3:$A$302,0))))</x:f>
      </x:c>
      <x:c r="E64" s="387" t="str">
        <x:f>IF($D64="","",MAX(0,TODAY()-INT($D64)))</x:f>
      </x:c>
      <x:c r="F64" s="385" t="str">
        <x:f>IF($A64="","",IF(INDEX('Source Register'!$Z$3:$Z$302,MATCH($A64,'Source Register'!$A$3:$A$302,0))="FAIL",INDEX('Source Register'!$AH$3:$AH$302,MATCH($A64,'Source Register'!$A$3:$A$302,0)),"IMPACT REVIEW"))</x:f>
      </x:c>
      <x:c r="G64" s="385" t="str">
        <x:f>IF($A64="","",INDEX('Source Register'!$I$3:$I$302,MATCH($A64,'Source Register'!$A$3:$A$302,0)))</x:f>
      </x:c>
      <x:c r="H64" s="385" t="str">
        <x:f>IF($A64="","",INDEX('Source Register'!$AD$3:$AD$302,MATCH($A64,'Source Register'!$A$3:$A$302,0)))</x:f>
      </x:c>
      <x:c r="I64" s="385" t="str">
        <x:f>IF($A64="","",INDEX('Source Register'!$AQ$3:$AQ$302,MATCH($A64,'Source Register'!$A$3:$A$302,0)))</x:f>
      </x:c>
      <x:c r="J64" s="385" t="str">
        <x:f>IF($A64="","",IF($E64&gt;$I$46,"OVERDUE","OPEN"))</x:f>
      </x:c>
      <x:c r="K64" s="385" t="str">
        <x:f>IF($A64="","",IF(INDEX('Source Register'!$Z$3:$Z$302,MATCH($A64,'Source Register'!$A$3:$A$302,0))="FAIL",INDEX('Source Register'!$AI$3:$AI$302,MATCH($A64,'Source Register'!$A$3:$A$302,0)),"Rolling source content changed; review downstream Requirement impact."))</x:f>
      </x:c>
      <x:c r="N64" s="381" t="str">
        <x:f>IF('Source Register'!AJ64="YES",COUNTIF('Source Register'!$AJ$3:'Source Register'!AJ64,"YES"),"")</x:f>
      </x:c>
    </x:row>
    <x:row r="65" ht="34" customHeight="1">
      <x:c r="A65" s="385" t="str">
        <x:f>IFERROR(INDEX('Source Register'!$A$3:$A$302,MATCH(ROWS($A$54:A65),$N$3:$N$302,0)),"")</x:f>
      </x:c>
      <x:c r="B65" s="385" t="str">
        <x:f>IF($A65="","",INDEX('Source Register'!$C$3:$C$302,MATCH($A65,'Source Register'!$A$3:$A$302,0)))</x:f>
      </x:c>
      <x:c r="C65" s="385" t="str">
        <x:f>IF($A65="","",IF(INDEX('Source Register'!$Z$3:$Z$302,MATCH($A65,'Source Register'!$A$3:$A$302,0))="FAIL","DOWNLOAD FAILURE","ROLLING CONTENT CHANGED"))</x:f>
      </x:c>
      <x:c r="D65" s="386" t="str">
        <x:f>IF($A65="","",IF(INDEX('Source Register'!$Z$3:$Z$302,MATCH($A65,'Source Register'!$A$3:$A$302,0))="FAIL",INDEX('Source Register'!$AA$3:$AA$302,MATCH($A65,'Source Register'!$A$3:$A$302,0)),INDEX('Source Register'!$AB$3:$AB$302,MATCH($A65,'Source Register'!$A$3:$A$302,0))))</x:f>
      </x:c>
      <x:c r="E65" s="387" t="str">
        <x:f>IF($D65="","",MAX(0,TODAY()-INT($D65)))</x:f>
      </x:c>
      <x:c r="F65" s="385" t="str">
        <x:f>IF($A65="","",IF(INDEX('Source Register'!$Z$3:$Z$302,MATCH($A65,'Source Register'!$A$3:$A$302,0))="FAIL",INDEX('Source Register'!$AH$3:$AH$302,MATCH($A65,'Source Register'!$A$3:$A$302,0)),"IMPACT REVIEW"))</x:f>
      </x:c>
      <x:c r="G65" s="385" t="str">
        <x:f>IF($A65="","",INDEX('Source Register'!$I$3:$I$302,MATCH($A65,'Source Register'!$A$3:$A$302,0)))</x:f>
      </x:c>
      <x:c r="H65" s="385" t="str">
        <x:f>IF($A65="","",INDEX('Source Register'!$AD$3:$AD$302,MATCH($A65,'Source Register'!$A$3:$A$302,0)))</x:f>
      </x:c>
      <x:c r="I65" s="385" t="str">
        <x:f>IF($A65="","",INDEX('Source Register'!$AQ$3:$AQ$302,MATCH($A65,'Source Register'!$A$3:$A$302,0)))</x:f>
      </x:c>
      <x:c r="J65" s="385" t="str">
        <x:f>IF($A65="","",IF($E65&gt;$I$46,"OVERDUE","OPEN"))</x:f>
      </x:c>
      <x:c r="K65" s="385" t="str">
        <x:f>IF($A65="","",IF(INDEX('Source Register'!$Z$3:$Z$302,MATCH($A65,'Source Register'!$A$3:$A$302,0))="FAIL",INDEX('Source Register'!$AI$3:$AI$302,MATCH($A65,'Source Register'!$A$3:$A$302,0)),"Rolling source content changed; review downstream Requirement impact."))</x:f>
      </x:c>
      <x:c r="N65" s="381" t="str">
        <x:f>IF('Source Register'!AJ65="YES",COUNTIF('Source Register'!$AJ$3:'Source Register'!AJ65,"YES"),"")</x:f>
      </x:c>
    </x:row>
    <x:row r="66" ht="34" customHeight="1">
      <x:c r="A66" s="385" t="str">
        <x:f>IFERROR(INDEX('Source Register'!$A$3:$A$302,MATCH(ROWS($A$54:A66),$N$3:$N$302,0)),"")</x:f>
      </x:c>
      <x:c r="B66" s="385" t="str">
        <x:f>IF($A66="","",INDEX('Source Register'!$C$3:$C$302,MATCH($A66,'Source Register'!$A$3:$A$302,0)))</x:f>
      </x:c>
      <x:c r="C66" s="385" t="str">
        <x:f>IF($A66="","",IF(INDEX('Source Register'!$Z$3:$Z$302,MATCH($A66,'Source Register'!$A$3:$A$302,0))="FAIL","DOWNLOAD FAILURE","ROLLING CONTENT CHANGED"))</x:f>
      </x:c>
      <x:c r="D66" s="386" t="str">
        <x:f>IF($A66="","",IF(INDEX('Source Register'!$Z$3:$Z$302,MATCH($A66,'Source Register'!$A$3:$A$302,0))="FAIL",INDEX('Source Register'!$AA$3:$AA$302,MATCH($A66,'Source Register'!$A$3:$A$302,0)),INDEX('Source Register'!$AB$3:$AB$302,MATCH($A66,'Source Register'!$A$3:$A$302,0))))</x:f>
      </x:c>
      <x:c r="E66" s="387" t="str">
        <x:f>IF($D66="","",MAX(0,TODAY()-INT($D66)))</x:f>
      </x:c>
      <x:c r="F66" s="385" t="str">
        <x:f>IF($A66="","",IF(INDEX('Source Register'!$Z$3:$Z$302,MATCH($A66,'Source Register'!$A$3:$A$302,0))="FAIL",INDEX('Source Register'!$AH$3:$AH$302,MATCH($A66,'Source Register'!$A$3:$A$302,0)),"IMPACT REVIEW"))</x:f>
      </x:c>
      <x:c r="G66" s="385" t="str">
        <x:f>IF($A66="","",INDEX('Source Register'!$I$3:$I$302,MATCH($A66,'Source Register'!$A$3:$A$302,0)))</x:f>
      </x:c>
      <x:c r="H66" s="385" t="str">
        <x:f>IF($A66="","",INDEX('Source Register'!$AD$3:$AD$302,MATCH($A66,'Source Register'!$A$3:$A$302,0)))</x:f>
      </x:c>
      <x:c r="I66" s="385" t="str">
        <x:f>IF($A66="","",INDEX('Source Register'!$AQ$3:$AQ$302,MATCH($A66,'Source Register'!$A$3:$A$302,0)))</x:f>
      </x:c>
      <x:c r="J66" s="385" t="str">
        <x:f>IF($A66="","",IF($E66&gt;$I$46,"OVERDUE","OPEN"))</x:f>
      </x:c>
      <x:c r="K66" s="385" t="str">
        <x:f>IF($A66="","",IF(INDEX('Source Register'!$Z$3:$Z$302,MATCH($A66,'Source Register'!$A$3:$A$302,0))="FAIL",INDEX('Source Register'!$AI$3:$AI$302,MATCH($A66,'Source Register'!$A$3:$A$302,0)),"Rolling source content changed; review downstream Requirement impact."))</x:f>
      </x:c>
      <x:c r="N66" s="381" t="str">
        <x:f>IF('Source Register'!AJ66="YES",COUNTIF('Source Register'!$AJ$3:'Source Register'!AJ66,"YES"),"")</x:f>
      </x:c>
    </x:row>
    <x:row r="67" ht="34" customHeight="1">
      <x:c r="A67" s="385" t="str">
        <x:f>IFERROR(INDEX('Source Register'!$A$3:$A$302,MATCH(ROWS($A$54:A67),$N$3:$N$302,0)),"")</x:f>
      </x:c>
      <x:c r="B67" s="385" t="str">
        <x:f>IF($A67="","",INDEX('Source Register'!$C$3:$C$302,MATCH($A67,'Source Register'!$A$3:$A$302,0)))</x:f>
      </x:c>
      <x:c r="C67" s="385" t="str">
        <x:f>IF($A67="","",IF(INDEX('Source Register'!$Z$3:$Z$302,MATCH($A67,'Source Register'!$A$3:$A$302,0))="FAIL","DOWNLOAD FAILURE","ROLLING CONTENT CHANGED"))</x:f>
      </x:c>
      <x:c r="D67" s="386" t="str">
        <x:f>IF($A67="","",IF(INDEX('Source Register'!$Z$3:$Z$302,MATCH($A67,'Source Register'!$A$3:$A$302,0))="FAIL",INDEX('Source Register'!$AA$3:$AA$302,MATCH($A67,'Source Register'!$A$3:$A$302,0)),INDEX('Source Register'!$AB$3:$AB$302,MATCH($A67,'Source Register'!$A$3:$A$302,0))))</x:f>
      </x:c>
      <x:c r="E67" s="387" t="str">
        <x:f>IF($D67="","",MAX(0,TODAY()-INT($D67)))</x:f>
      </x:c>
      <x:c r="F67" s="385" t="str">
        <x:f>IF($A67="","",IF(INDEX('Source Register'!$Z$3:$Z$302,MATCH($A67,'Source Register'!$A$3:$A$302,0))="FAIL",INDEX('Source Register'!$AH$3:$AH$302,MATCH($A67,'Source Register'!$A$3:$A$302,0)),"IMPACT REVIEW"))</x:f>
      </x:c>
      <x:c r="G67" s="385" t="str">
        <x:f>IF($A67="","",INDEX('Source Register'!$I$3:$I$302,MATCH($A67,'Source Register'!$A$3:$A$302,0)))</x:f>
      </x:c>
      <x:c r="H67" s="385" t="str">
        <x:f>IF($A67="","",INDEX('Source Register'!$AD$3:$AD$302,MATCH($A67,'Source Register'!$A$3:$A$302,0)))</x:f>
      </x:c>
      <x:c r="I67" s="385" t="str">
        <x:f>IF($A67="","",INDEX('Source Register'!$AQ$3:$AQ$302,MATCH($A67,'Source Register'!$A$3:$A$302,0)))</x:f>
      </x:c>
      <x:c r="J67" s="385" t="str">
        <x:f>IF($A67="","",IF($E67&gt;$I$46,"OVERDUE","OPEN"))</x:f>
      </x:c>
      <x:c r="K67" s="385" t="str">
        <x:f>IF($A67="","",IF(INDEX('Source Register'!$Z$3:$Z$302,MATCH($A67,'Source Register'!$A$3:$A$302,0))="FAIL",INDEX('Source Register'!$AI$3:$AI$302,MATCH($A67,'Source Register'!$A$3:$A$302,0)),"Rolling source content changed; review downstream Requirement impact."))</x:f>
      </x:c>
      <x:c r="N67" s="381" t="str">
        <x:f>IF('Source Register'!AJ67="YES",COUNTIF('Source Register'!$AJ$3:'Source Register'!AJ67,"YES"),"")</x:f>
      </x:c>
    </x:row>
    <x:row r="68" ht="34" customHeight="1">
      <x:c r="A68" s="385" t="str">
        <x:f>IFERROR(INDEX('Source Register'!$A$3:$A$302,MATCH(ROWS($A$54:A68),$N$3:$N$302,0)),"")</x:f>
      </x:c>
      <x:c r="B68" s="385" t="str">
        <x:f>IF($A68="","",INDEX('Source Register'!$C$3:$C$302,MATCH($A68,'Source Register'!$A$3:$A$302,0)))</x:f>
      </x:c>
      <x:c r="C68" s="385" t="str">
        <x:f>IF($A68="","",IF(INDEX('Source Register'!$Z$3:$Z$302,MATCH($A68,'Source Register'!$A$3:$A$302,0))="FAIL","DOWNLOAD FAILURE","ROLLING CONTENT CHANGED"))</x:f>
      </x:c>
      <x:c r="D68" s="386" t="str">
        <x:f>IF($A68="","",IF(INDEX('Source Register'!$Z$3:$Z$302,MATCH($A68,'Source Register'!$A$3:$A$302,0))="FAIL",INDEX('Source Register'!$AA$3:$AA$302,MATCH($A68,'Source Register'!$A$3:$A$302,0)),INDEX('Source Register'!$AB$3:$AB$302,MATCH($A68,'Source Register'!$A$3:$A$302,0))))</x:f>
      </x:c>
      <x:c r="E68" s="387" t="str">
        <x:f>IF($D68="","",MAX(0,TODAY()-INT($D68)))</x:f>
      </x:c>
      <x:c r="F68" s="385" t="str">
        <x:f>IF($A68="","",IF(INDEX('Source Register'!$Z$3:$Z$302,MATCH($A68,'Source Register'!$A$3:$A$302,0))="FAIL",INDEX('Source Register'!$AH$3:$AH$302,MATCH($A68,'Source Register'!$A$3:$A$302,0)),"IMPACT REVIEW"))</x:f>
      </x:c>
      <x:c r="G68" s="385" t="str">
        <x:f>IF($A68="","",INDEX('Source Register'!$I$3:$I$302,MATCH($A68,'Source Register'!$A$3:$A$302,0)))</x:f>
      </x:c>
      <x:c r="H68" s="385" t="str">
        <x:f>IF($A68="","",INDEX('Source Register'!$AD$3:$AD$302,MATCH($A68,'Source Register'!$A$3:$A$302,0)))</x:f>
      </x:c>
      <x:c r="I68" s="385" t="str">
        <x:f>IF($A68="","",INDEX('Source Register'!$AQ$3:$AQ$302,MATCH($A68,'Source Register'!$A$3:$A$302,0)))</x:f>
      </x:c>
      <x:c r="J68" s="385" t="str">
        <x:f>IF($A68="","",IF($E68&gt;$I$46,"OVERDUE","OPEN"))</x:f>
      </x:c>
      <x:c r="K68" s="385" t="str">
        <x:f>IF($A68="","",IF(INDEX('Source Register'!$Z$3:$Z$302,MATCH($A68,'Source Register'!$A$3:$A$302,0))="FAIL",INDEX('Source Register'!$AI$3:$AI$302,MATCH($A68,'Source Register'!$A$3:$A$302,0)),"Rolling source content changed; review downstream Requirement impact."))</x:f>
      </x:c>
      <x:c r="N68" s="381" t="str">
        <x:f>IF('Source Register'!AJ68="YES",COUNTIF('Source Register'!$AJ$3:'Source Register'!AJ68,"YES"),"")</x:f>
      </x:c>
    </x:row>
    <x:row r="69" ht="34" customHeight="1">
      <x:c r="A69" s="385" t="str">
        <x:f>IFERROR(INDEX('Source Register'!$A$3:$A$302,MATCH(ROWS($A$54:A69),$N$3:$N$302,0)),"")</x:f>
      </x:c>
      <x:c r="B69" s="385" t="str">
        <x:f>IF($A69="","",INDEX('Source Register'!$C$3:$C$302,MATCH($A69,'Source Register'!$A$3:$A$302,0)))</x:f>
      </x:c>
      <x:c r="C69" s="385" t="str">
        <x:f>IF($A69="","",IF(INDEX('Source Register'!$Z$3:$Z$302,MATCH($A69,'Source Register'!$A$3:$A$302,0))="FAIL","DOWNLOAD FAILURE","ROLLING CONTENT CHANGED"))</x:f>
      </x:c>
      <x:c r="D69" s="386" t="str">
        <x:f>IF($A69="","",IF(INDEX('Source Register'!$Z$3:$Z$302,MATCH($A69,'Source Register'!$A$3:$A$302,0))="FAIL",INDEX('Source Register'!$AA$3:$AA$302,MATCH($A69,'Source Register'!$A$3:$A$302,0)),INDEX('Source Register'!$AB$3:$AB$302,MATCH($A69,'Source Register'!$A$3:$A$302,0))))</x:f>
      </x:c>
      <x:c r="E69" s="387" t="str">
        <x:f>IF($D69="","",MAX(0,TODAY()-INT($D69)))</x:f>
      </x:c>
      <x:c r="F69" s="385" t="str">
        <x:f>IF($A69="","",IF(INDEX('Source Register'!$Z$3:$Z$302,MATCH($A69,'Source Register'!$A$3:$A$302,0))="FAIL",INDEX('Source Register'!$AH$3:$AH$302,MATCH($A69,'Source Register'!$A$3:$A$302,0)),"IMPACT REVIEW"))</x:f>
      </x:c>
      <x:c r="G69" s="385" t="str">
        <x:f>IF($A69="","",INDEX('Source Register'!$I$3:$I$302,MATCH($A69,'Source Register'!$A$3:$A$302,0)))</x:f>
      </x:c>
      <x:c r="H69" s="385" t="str">
        <x:f>IF($A69="","",INDEX('Source Register'!$AD$3:$AD$302,MATCH($A69,'Source Register'!$A$3:$A$302,0)))</x:f>
      </x:c>
      <x:c r="I69" s="385" t="str">
        <x:f>IF($A69="","",INDEX('Source Register'!$AQ$3:$AQ$302,MATCH($A69,'Source Register'!$A$3:$A$302,0)))</x:f>
      </x:c>
      <x:c r="J69" s="385" t="str">
        <x:f>IF($A69="","",IF($E69&gt;$I$46,"OVERDUE","OPEN"))</x:f>
      </x:c>
      <x:c r="K69" s="385" t="str">
        <x:f>IF($A69="","",IF(INDEX('Source Register'!$Z$3:$Z$302,MATCH($A69,'Source Register'!$A$3:$A$302,0))="FAIL",INDEX('Source Register'!$AI$3:$AI$302,MATCH($A69,'Source Register'!$A$3:$A$302,0)),"Rolling source content changed; review downstream Requirement impact."))</x:f>
      </x:c>
      <x:c r="N69" s="381" t="str">
        <x:f>IF('Source Register'!AJ69="YES",COUNTIF('Source Register'!$AJ$3:'Source Register'!AJ69,"YES"),"")</x:f>
      </x:c>
    </x:row>
    <x:row r="70" ht="34" customHeight="1">
      <x:c r="A70" s="385" t="str">
        <x:f>IFERROR(INDEX('Source Register'!$A$3:$A$302,MATCH(ROWS($A$54:A70),$N$3:$N$302,0)),"")</x:f>
      </x:c>
      <x:c r="B70" s="385" t="str">
        <x:f>IF($A70="","",INDEX('Source Register'!$C$3:$C$302,MATCH($A70,'Source Register'!$A$3:$A$302,0)))</x:f>
      </x:c>
      <x:c r="C70" s="385" t="str">
        <x:f>IF($A70="","",IF(INDEX('Source Register'!$Z$3:$Z$302,MATCH($A70,'Source Register'!$A$3:$A$302,0))="FAIL","DOWNLOAD FAILURE","ROLLING CONTENT CHANGED"))</x:f>
      </x:c>
      <x:c r="D70" s="386" t="str">
        <x:f>IF($A70="","",IF(INDEX('Source Register'!$Z$3:$Z$302,MATCH($A70,'Source Register'!$A$3:$A$302,0))="FAIL",INDEX('Source Register'!$AA$3:$AA$302,MATCH($A70,'Source Register'!$A$3:$A$302,0)),INDEX('Source Register'!$AB$3:$AB$302,MATCH($A70,'Source Register'!$A$3:$A$302,0))))</x:f>
      </x:c>
      <x:c r="E70" s="387" t="str">
        <x:f>IF($D70="","",MAX(0,TODAY()-INT($D70)))</x:f>
      </x:c>
      <x:c r="F70" s="385" t="str">
        <x:f>IF($A70="","",IF(INDEX('Source Register'!$Z$3:$Z$302,MATCH($A70,'Source Register'!$A$3:$A$302,0))="FAIL",INDEX('Source Register'!$AH$3:$AH$302,MATCH($A70,'Source Register'!$A$3:$A$302,0)),"IMPACT REVIEW"))</x:f>
      </x:c>
      <x:c r="G70" s="385" t="str">
        <x:f>IF($A70="","",INDEX('Source Register'!$I$3:$I$302,MATCH($A70,'Source Register'!$A$3:$A$302,0)))</x:f>
      </x:c>
      <x:c r="H70" s="385" t="str">
        <x:f>IF($A70="","",INDEX('Source Register'!$AD$3:$AD$302,MATCH($A70,'Source Register'!$A$3:$A$302,0)))</x:f>
      </x:c>
      <x:c r="I70" s="385" t="str">
        <x:f>IF($A70="","",INDEX('Source Register'!$AQ$3:$AQ$302,MATCH($A70,'Source Register'!$A$3:$A$302,0)))</x:f>
      </x:c>
      <x:c r="J70" s="385" t="str">
        <x:f>IF($A70="","",IF($E70&gt;$I$46,"OVERDUE","OPEN"))</x:f>
      </x:c>
      <x:c r="K70" s="385" t="str">
        <x:f>IF($A70="","",IF(INDEX('Source Register'!$Z$3:$Z$302,MATCH($A70,'Source Register'!$A$3:$A$302,0))="FAIL",INDEX('Source Register'!$AI$3:$AI$302,MATCH($A70,'Source Register'!$A$3:$A$302,0)),"Rolling source content changed; review downstream Requirement impact."))</x:f>
      </x:c>
      <x:c r="N70" s="381" t="str">
        <x:f>IF('Source Register'!AJ70="YES",COUNTIF('Source Register'!$AJ$3:'Source Register'!AJ70,"YES"),"")</x:f>
      </x:c>
    </x:row>
    <x:row r="71" ht="34" customHeight="1">
      <x:c r="A71" s="385" t="str">
        <x:f>IFERROR(INDEX('Source Register'!$A$3:$A$302,MATCH(ROWS($A$54:A71),$N$3:$N$302,0)),"")</x:f>
      </x:c>
      <x:c r="B71" s="385" t="str">
        <x:f>IF($A71="","",INDEX('Source Register'!$C$3:$C$302,MATCH($A71,'Source Register'!$A$3:$A$302,0)))</x:f>
      </x:c>
      <x:c r="C71" s="385" t="str">
        <x:f>IF($A71="","",IF(INDEX('Source Register'!$Z$3:$Z$302,MATCH($A71,'Source Register'!$A$3:$A$302,0))="FAIL","DOWNLOAD FAILURE","ROLLING CONTENT CHANGED"))</x:f>
      </x:c>
      <x:c r="D71" s="386" t="str">
        <x:f>IF($A71="","",IF(INDEX('Source Register'!$Z$3:$Z$302,MATCH($A71,'Source Register'!$A$3:$A$302,0))="FAIL",INDEX('Source Register'!$AA$3:$AA$302,MATCH($A71,'Source Register'!$A$3:$A$302,0)),INDEX('Source Register'!$AB$3:$AB$302,MATCH($A71,'Source Register'!$A$3:$A$302,0))))</x:f>
      </x:c>
      <x:c r="E71" s="387" t="str">
        <x:f>IF($D71="","",MAX(0,TODAY()-INT($D71)))</x:f>
      </x:c>
      <x:c r="F71" s="385" t="str">
        <x:f>IF($A71="","",IF(INDEX('Source Register'!$Z$3:$Z$302,MATCH($A71,'Source Register'!$A$3:$A$302,0))="FAIL",INDEX('Source Register'!$AH$3:$AH$302,MATCH($A71,'Source Register'!$A$3:$A$302,0)),"IMPACT REVIEW"))</x:f>
      </x:c>
      <x:c r="G71" s="385" t="str">
        <x:f>IF($A71="","",INDEX('Source Register'!$I$3:$I$302,MATCH($A71,'Source Register'!$A$3:$A$302,0)))</x:f>
      </x:c>
      <x:c r="H71" s="385" t="str">
        <x:f>IF($A71="","",INDEX('Source Register'!$AD$3:$AD$302,MATCH($A71,'Source Register'!$A$3:$A$302,0)))</x:f>
      </x:c>
      <x:c r="I71" s="385" t="str">
        <x:f>IF($A71="","",INDEX('Source Register'!$AQ$3:$AQ$302,MATCH($A71,'Source Register'!$A$3:$A$302,0)))</x:f>
      </x:c>
      <x:c r="J71" s="385" t="str">
        <x:f>IF($A71="","",IF($E71&gt;$I$46,"OVERDUE","OPEN"))</x:f>
      </x:c>
      <x:c r="K71" s="385" t="str">
        <x:f>IF($A71="","",IF(INDEX('Source Register'!$Z$3:$Z$302,MATCH($A71,'Source Register'!$A$3:$A$302,0))="FAIL",INDEX('Source Register'!$AI$3:$AI$302,MATCH($A71,'Source Register'!$A$3:$A$302,0)),"Rolling source content changed; review downstream Requirement impact."))</x:f>
      </x:c>
      <x:c r="N71" s="381" t="str">
        <x:f>IF('Source Register'!AJ71="YES",COUNTIF('Source Register'!$AJ$3:'Source Register'!AJ71,"YES"),"")</x:f>
      </x:c>
    </x:row>
    <x:row r="72" ht="34" customHeight="1">
      <x:c r="A72" s="385" t="str">
        <x:f>IFERROR(INDEX('Source Register'!$A$3:$A$302,MATCH(ROWS($A$54:A72),$N$3:$N$302,0)),"")</x:f>
      </x:c>
      <x:c r="B72" s="385" t="str">
        <x:f>IF($A72="","",INDEX('Source Register'!$C$3:$C$302,MATCH($A72,'Source Register'!$A$3:$A$302,0)))</x:f>
      </x:c>
      <x:c r="C72" s="385" t="str">
        <x:f>IF($A72="","",IF(INDEX('Source Register'!$Z$3:$Z$302,MATCH($A72,'Source Register'!$A$3:$A$302,0))="FAIL","DOWNLOAD FAILURE","ROLLING CONTENT CHANGED"))</x:f>
      </x:c>
      <x:c r="D72" s="386" t="str">
        <x:f>IF($A72="","",IF(INDEX('Source Register'!$Z$3:$Z$302,MATCH($A72,'Source Register'!$A$3:$A$302,0))="FAIL",INDEX('Source Register'!$AA$3:$AA$302,MATCH($A72,'Source Register'!$A$3:$A$302,0)),INDEX('Source Register'!$AB$3:$AB$302,MATCH($A72,'Source Register'!$A$3:$A$302,0))))</x:f>
      </x:c>
      <x:c r="E72" s="387" t="str">
        <x:f>IF($D72="","",MAX(0,TODAY()-INT($D72)))</x:f>
      </x:c>
      <x:c r="F72" s="385" t="str">
        <x:f>IF($A72="","",IF(INDEX('Source Register'!$Z$3:$Z$302,MATCH($A72,'Source Register'!$A$3:$A$302,0))="FAIL",INDEX('Source Register'!$AH$3:$AH$302,MATCH($A72,'Source Register'!$A$3:$A$302,0)),"IMPACT REVIEW"))</x:f>
      </x:c>
      <x:c r="G72" s="385" t="str">
        <x:f>IF($A72="","",INDEX('Source Register'!$I$3:$I$302,MATCH($A72,'Source Register'!$A$3:$A$302,0)))</x:f>
      </x:c>
      <x:c r="H72" s="385" t="str">
        <x:f>IF($A72="","",INDEX('Source Register'!$AD$3:$AD$302,MATCH($A72,'Source Register'!$A$3:$A$302,0)))</x:f>
      </x:c>
      <x:c r="I72" s="385" t="str">
        <x:f>IF($A72="","",INDEX('Source Register'!$AQ$3:$AQ$302,MATCH($A72,'Source Register'!$A$3:$A$302,0)))</x:f>
      </x:c>
      <x:c r="J72" s="385" t="str">
        <x:f>IF($A72="","",IF($E72&gt;$I$46,"OVERDUE","OPEN"))</x:f>
      </x:c>
      <x:c r="K72" s="385" t="str">
        <x:f>IF($A72="","",IF(INDEX('Source Register'!$Z$3:$Z$302,MATCH($A72,'Source Register'!$A$3:$A$302,0))="FAIL",INDEX('Source Register'!$AI$3:$AI$302,MATCH($A72,'Source Register'!$A$3:$A$302,0)),"Rolling source content changed; review downstream Requirement impact."))</x:f>
      </x:c>
      <x:c r="N72" s="381" t="str">
        <x:f>IF('Source Register'!AJ72="YES",COUNTIF('Source Register'!$AJ$3:'Source Register'!AJ72,"YES"),"")</x:f>
      </x:c>
    </x:row>
    <x:row r="73" ht="34" customHeight="1">
      <x:c r="A73" s="385" t="str">
        <x:f>IFERROR(INDEX('Source Register'!$A$3:$A$302,MATCH(ROWS($A$54:A73),$N$3:$N$302,0)),"")</x:f>
      </x:c>
      <x:c r="B73" s="385" t="str">
        <x:f>IF($A73="","",INDEX('Source Register'!$C$3:$C$302,MATCH($A73,'Source Register'!$A$3:$A$302,0)))</x:f>
      </x:c>
      <x:c r="C73" s="385" t="str">
        <x:f>IF($A73="","",IF(INDEX('Source Register'!$Z$3:$Z$302,MATCH($A73,'Source Register'!$A$3:$A$302,0))="FAIL","DOWNLOAD FAILURE","ROLLING CONTENT CHANGED"))</x:f>
      </x:c>
      <x:c r="D73" s="386" t="str">
        <x:f>IF($A73="","",IF(INDEX('Source Register'!$Z$3:$Z$302,MATCH($A73,'Source Register'!$A$3:$A$302,0))="FAIL",INDEX('Source Register'!$AA$3:$AA$302,MATCH($A73,'Source Register'!$A$3:$A$302,0)),INDEX('Source Register'!$AB$3:$AB$302,MATCH($A73,'Source Register'!$A$3:$A$302,0))))</x:f>
      </x:c>
      <x:c r="E73" s="387" t="str">
        <x:f>IF($D73="","",MAX(0,TODAY()-INT($D73)))</x:f>
      </x:c>
      <x:c r="F73" s="385" t="str">
        <x:f>IF($A73="","",IF(INDEX('Source Register'!$Z$3:$Z$302,MATCH($A73,'Source Register'!$A$3:$A$302,0))="FAIL",INDEX('Source Register'!$AH$3:$AH$302,MATCH($A73,'Source Register'!$A$3:$A$302,0)),"IMPACT REVIEW"))</x:f>
      </x:c>
      <x:c r="G73" s="385" t="str">
        <x:f>IF($A73="","",INDEX('Source Register'!$I$3:$I$302,MATCH($A73,'Source Register'!$A$3:$A$302,0)))</x:f>
      </x:c>
      <x:c r="H73" s="385" t="str">
        <x:f>IF($A73="","",INDEX('Source Register'!$AD$3:$AD$302,MATCH($A73,'Source Register'!$A$3:$A$302,0)))</x:f>
      </x:c>
      <x:c r="I73" s="385" t="str">
        <x:f>IF($A73="","",INDEX('Source Register'!$AQ$3:$AQ$302,MATCH($A73,'Source Register'!$A$3:$A$302,0)))</x:f>
      </x:c>
      <x:c r="J73" s="385" t="str">
        <x:f>IF($A73="","",IF($E73&gt;$I$46,"OVERDUE","OPEN"))</x:f>
      </x:c>
      <x:c r="K73" s="385" t="str">
        <x:f>IF($A73="","",IF(INDEX('Source Register'!$Z$3:$Z$302,MATCH($A73,'Source Register'!$A$3:$A$302,0))="FAIL",INDEX('Source Register'!$AI$3:$AI$302,MATCH($A73,'Source Register'!$A$3:$A$302,0)),"Rolling source content changed; review downstream Requirement impact."))</x:f>
      </x:c>
      <x:c r="N73" s="381" t="str">
        <x:f>IF('Source Register'!AJ73="YES",COUNTIF('Source Register'!$AJ$3:'Source Register'!AJ73,"YES"),"")</x:f>
      </x:c>
    </x:row>
    <x:row r="74" ht="34" customHeight="1">
      <x:c r="A74" s="385" t="str">
        <x:f>IFERROR(INDEX('Source Register'!$A$3:$A$302,MATCH(ROWS($A$54:A74),$N$3:$N$302,0)),"")</x:f>
      </x:c>
      <x:c r="B74" s="385" t="str">
        <x:f>IF($A74="","",INDEX('Source Register'!$C$3:$C$302,MATCH($A74,'Source Register'!$A$3:$A$302,0)))</x:f>
      </x:c>
      <x:c r="C74" s="385" t="str">
        <x:f>IF($A74="","",IF(INDEX('Source Register'!$Z$3:$Z$302,MATCH($A74,'Source Register'!$A$3:$A$302,0))="FAIL","DOWNLOAD FAILURE","ROLLING CONTENT CHANGED"))</x:f>
      </x:c>
      <x:c r="D74" s="386" t="str">
        <x:f>IF($A74="","",IF(INDEX('Source Register'!$Z$3:$Z$302,MATCH($A74,'Source Register'!$A$3:$A$302,0))="FAIL",INDEX('Source Register'!$AA$3:$AA$302,MATCH($A74,'Source Register'!$A$3:$A$302,0)),INDEX('Source Register'!$AB$3:$AB$302,MATCH($A74,'Source Register'!$A$3:$A$302,0))))</x:f>
      </x:c>
      <x:c r="E74" s="387" t="str">
        <x:f>IF($D74="","",MAX(0,TODAY()-INT($D74)))</x:f>
      </x:c>
      <x:c r="F74" s="385" t="str">
        <x:f>IF($A74="","",IF(INDEX('Source Register'!$Z$3:$Z$302,MATCH($A74,'Source Register'!$A$3:$A$302,0))="FAIL",INDEX('Source Register'!$AH$3:$AH$302,MATCH($A74,'Source Register'!$A$3:$A$302,0)),"IMPACT REVIEW"))</x:f>
      </x:c>
      <x:c r="G74" s="385" t="str">
        <x:f>IF($A74="","",INDEX('Source Register'!$I$3:$I$302,MATCH($A74,'Source Register'!$A$3:$A$302,0)))</x:f>
      </x:c>
      <x:c r="H74" s="385" t="str">
        <x:f>IF($A74="","",INDEX('Source Register'!$AD$3:$AD$302,MATCH($A74,'Source Register'!$A$3:$A$302,0)))</x:f>
      </x:c>
      <x:c r="I74" s="385" t="str">
        <x:f>IF($A74="","",INDEX('Source Register'!$AQ$3:$AQ$302,MATCH($A74,'Source Register'!$A$3:$A$302,0)))</x:f>
      </x:c>
      <x:c r="J74" s="385" t="str">
        <x:f>IF($A74="","",IF($E74&gt;$I$46,"OVERDUE","OPEN"))</x:f>
      </x:c>
      <x:c r="K74" s="385" t="str">
        <x:f>IF($A74="","",IF(INDEX('Source Register'!$Z$3:$Z$302,MATCH($A74,'Source Register'!$A$3:$A$302,0))="FAIL",INDEX('Source Register'!$AI$3:$AI$302,MATCH($A74,'Source Register'!$A$3:$A$302,0)),"Rolling source content changed; review downstream Requirement impact."))</x:f>
      </x:c>
      <x:c r="N74" s="381" t="str">
        <x:f>IF('Source Register'!AJ74="YES",COUNTIF('Source Register'!$AJ$3:'Source Register'!AJ74,"YES"),"")</x:f>
      </x:c>
    </x:row>
    <x:row r="75" ht="34" customHeight="1">
      <x:c r="A75" s="385" t="str">
        <x:f>IFERROR(INDEX('Source Register'!$A$3:$A$302,MATCH(ROWS($A$54:A75),$N$3:$N$302,0)),"")</x:f>
      </x:c>
      <x:c r="B75" s="385" t="str">
        <x:f>IF($A75="","",INDEX('Source Register'!$C$3:$C$302,MATCH($A75,'Source Register'!$A$3:$A$302,0)))</x:f>
      </x:c>
      <x:c r="C75" s="385" t="str">
        <x:f>IF($A75="","",IF(INDEX('Source Register'!$Z$3:$Z$302,MATCH($A75,'Source Register'!$A$3:$A$302,0))="FAIL","DOWNLOAD FAILURE","ROLLING CONTENT CHANGED"))</x:f>
      </x:c>
      <x:c r="D75" s="386" t="str">
        <x:f>IF($A75="","",IF(INDEX('Source Register'!$Z$3:$Z$302,MATCH($A75,'Source Register'!$A$3:$A$302,0))="FAIL",INDEX('Source Register'!$AA$3:$AA$302,MATCH($A75,'Source Register'!$A$3:$A$302,0)),INDEX('Source Register'!$AB$3:$AB$302,MATCH($A75,'Source Register'!$A$3:$A$302,0))))</x:f>
      </x:c>
      <x:c r="E75" s="387" t="str">
        <x:f>IF($D75="","",MAX(0,TODAY()-INT($D75)))</x:f>
      </x:c>
      <x:c r="F75" s="385" t="str">
        <x:f>IF($A75="","",IF(INDEX('Source Register'!$Z$3:$Z$302,MATCH($A75,'Source Register'!$A$3:$A$302,0))="FAIL",INDEX('Source Register'!$AH$3:$AH$302,MATCH($A75,'Source Register'!$A$3:$A$302,0)),"IMPACT REVIEW"))</x:f>
      </x:c>
      <x:c r="G75" s="385" t="str">
        <x:f>IF($A75="","",INDEX('Source Register'!$I$3:$I$302,MATCH($A75,'Source Register'!$A$3:$A$302,0)))</x:f>
      </x:c>
      <x:c r="H75" s="385" t="str">
        <x:f>IF($A75="","",INDEX('Source Register'!$AD$3:$AD$302,MATCH($A75,'Source Register'!$A$3:$A$302,0)))</x:f>
      </x:c>
      <x:c r="I75" s="385" t="str">
        <x:f>IF($A75="","",INDEX('Source Register'!$AQ$3:$AQ$302,MATCH($A75,'Source Register'!$A$3:$A$302,0)))</x:f>
      </x:c>
      <x:c r="J75" s="385" t="str">
        <x:f>IF($A75="","",IF($E75&gt;$I$46,"OVERDUE","OPEN"))</x:f>
      </x:c>
      <x:c r="K75" s="385" t="str">
        <x:f>IF($A75="","",IF(INDEX('Source Register'!$Z$3:$Z$302,MATCH($A75,'Source Register'!$A$3:$A$302,0))="FAIL",INDEX('Source Register'!$AI$3:$AI$302,MATCH($A75,'Source Register'!$A$3:$A$302,0)),"Rolling source content changed; review downstream Requirement impact."))</x:f>
      </x:c>
      <x:c r="N75" s="381" t="str">
        <x:f>IF('Source Register'!AJ75="YES",COUNTIF('Source Register'!$AJ$3:'Source Register'!AJ75,"YES"),"")</x:f>
      </x:c>
    </x:row>
    <x:row r="76" ht="34" customHeight="1">
      <x:c r="A76" s="385" t="str">
        <x:f>IFERROR(INDEX('Source Register'!$A$3:$A$302,MATCH(ROWS($A$54:A76),$N$3:$N$302,0)),"")</x:f>
      </x:c>
      <x:c r="B76" s="385" t="str">
        <x:f>IF($A76="","",INDEX('Source Register'!$C$3:$C$302,MATCH($A76,'Source Register'!$A$3:$A$302,0)))</x:f>
      </x:c>
      <x:c r="C76" s="385" t="str">
        <x:f>IF($A76="","",IF(INDEX('Source Register'!$Z$3:$Z$302,MATCH($A76,'Source Register'!$A$3:$A$302,0))="FAIL","DOWNLOAD FAILURE","ROLLING CONTENT CHANGED"))</x:f>
      </x:c>
      <x:c r="D76" s="386" t="str">
        <x:f>IF($A76="","",IF(INDEX('Source Register'!$Z$3:$Z$302,MATCH($A76,'Source Register'!$A$3:$A$302,0))="FAIL",INDEX('Source Register'!$AA$3:$AA$302,MATCH($A76,'Source Register'!$A$3:$A$302,0)),INDEX('Source Register'!$AB$3:$AB$302,MATCH($A76,'Source Register'!$A$3:$A$302,0))))</x:f>
      </x:c>
      <x:c r="E76" s="387" t="str">
        <x:f>IF($D76="","",MAX(0,TODAY()-INT($D76)))</x:f>
      </x:c>
      <x:c r="F76" s="385" t="str">
        <x:f>IF($A76="","",IF(INDEX('Source Register'!$Z$3:$Z$302,MATCH($A76,'Source Register'!$A$3:$A$302,0))="FAIL",INDEX('Source Register'!$AH$3:$AH$302,MATCH($A76,'Source Register'!$A$3:$A$302,0)),"IMPACT REVIEW"))</x:f>
      </x:c>
      <x:c r="G76" s="385" t="str">
        <x:f>IF($A76="","",INDEX('Source Register'!$I$3:$I$302,MATCH($A76,'Source Register'!$A$3:$A$302,0)))</x:f>
      </x:c>
      <x:c r="H76" s="385" t="str">
        <x:f>IF($A76="","",INDEX('Source Register'!$AD$3:$AD$302,MATCH($A76,'Source Register'!$A$3:$A$302,0)))</x:f>
      </x:c>
      <x:c r="I76" s="385" t="str">
        <x:f>IF($A76="","",INDEX('Source Register'!$AQ$3:$AQ$302,MATCH($A76,'Source Register'!$A$3:$A$302,0)))</x:f>
      </x:c>
      <x:c r="J76" s="385" t="str">
        <x:f>IF($A76="","",IF($E76&gt;$I$46,"OVERDUE","OPEN"))</x:f>
      </x:c>
      <x:c r="K76" s="385" t="str">
        <x:f>IF($A76="","",IF(INDEX('Source Register'!$Z$3:$Z$302,MATCH($A76,'Source Register'!$A$3:$A$302,0))="FAIL",INDEX('Source Register'!$AI$3:$AI$302,MATCH($A76,'Source Register'!$A$3:$A$302,0)),"Rolling source content changed; review downstream Requirement impact."))</x:f>
      </x:c>
      <x:c r="N76" s="381" t="str">
        <x:f>IF('Source Register'!AJ76="YES",COUNTIF('Source Register'!$AJ$3:'Source Register'!AJ76,"YES"),"")</x:f>
      </x:c>
    </x:row>
    <x:row r="77" ht="34" customHeight="1">
      <x:c r="A77" s="385" t="str">
        <x:f>IFERROR(INDEX('Source Register'!$A$3:$A$302,MATCH(ROWS($A$54:A77),$N$3:$N$302,0)),"")</x:f>
      </x:c>
      <x:c r="B77" s="385" t="str">
        <x:f>IF($A77="","",INDEX('Source Register'!$C$3:$C$302,MATCH($A77,'Source Register'!$A$3:$A$302,0)))</x:f>
      </x:c>
      <x:c r="C77" s="385" t="str">
        <x:f>IF($A77="","",IF(INDEX('Source Register'!$Z$3:$Z$302,MATCH($A77,'Source Register'!$A$3:$A$302,0))="FAIL","DOWNLOAD FAILURE","ROLLING CONTENT CHANGED"))</x:f>
      </x:c>
      <x:c r="D77" s="386" t="str">
        <x:f>IF($A77="","",IF(INDEX('Source Register'!$Z$3:$Z$302,MATCH($A77,'Source Register'!$A$3:$A$302,0))="FAIL",INDEX('Source Register'!$AA$3:$AA$302,MATCH($A77,'Source Register'!$A$3:$A$302,0)),INDEX('Source Register'!$AB$3:$AB$302,MATCH($A77,'Source Register'!$A$3:$A$302,0))))</x:f>
      </x:c>
      <x:c r="E77" s="387" t="str">
        <x:f>IF($D77="","",MAX(0,TODAY()-INT($D77)))</x:f>
      </x:c>
      <x:c r="F77" s="385" t="str">
        <x:f>IF($A77="","",IF(INDEX('Source Register'!$Z$3:$Z$302,MATCH($A77,'Source Register'!$A$3:$A$302,0))="FAIL",INDEX('Source Register'!$AH$3:$AH$302,MATCH($A77,'Source Register'!$A$3:$A$302,0)),"IMPACT REVIEW"))</x:f>
      </x:c>
      <x:c r="G77" s="385" t="str">
        <x:f>IF($A77="","",INDEX('Source Register'!$I$3:$I$302,MATCH($A77,'Source Register'!$A$3:$A$302,0)))</x:f>
      </x:c>
      <x:c r="H77" s="385" t="str">
        <x:f>IF($A77="","",INDEX('Source Register'!$AD$3:$AD$302,MATCH($A77,'Source Register'!$A$3:$A$302,0)))</x:f>
      </x:c>
      <x:c r="I77" s="385" t="str">
        <x:f>IF($A77="","",INDEX('Source Register'!$AQ$3:$AQ$302,MATCH($A77,'Source Register'!$A$3:$A$302,0)))</x:f>
      </x:c>
      <x:c r="J77" s="385" t="str">
        <x:f>IF($A77="","",IF($E77&gt;$I$46,"OVERDUE","OPEN"))</x:f>
      </x:c>
      <x:c r="K77" s="385" t="str">
        <x:f>IF($A77="","",IF(INDEX('Source Register'!$Z$3:$Z$302,MATCH($A77,'Source Register'!$A$3:$A$302,0))="FAIL",INDEX('Source Register'!$AI$3:$AI$302,MATCH($A77,'Source Register'!$A$3:$A$302,0)),"Rolling source content changed; review downstream Requirement impact."))</x:f>
      </x:c>
      <x:c r="N77" s="381" t="str">
        <x:f>IF('Source Register'!AJ77="YES",COUNTIF('Source Register'!$AJ$3:'Source Register'!AJ77,"YES"),"")</x:f>
      </x:c>
    </x:row>
    <x:row r="78" ht="34" customHeight="1">
      <x:c r="A78" s="385" t="str">
        <x:f>IFERROR(INDEX('Source Register'!$A$3:$A$302,MATCH(ROWS($A$54:A78),$N$3:$N$302,0)),"")</x:f>
      </x:c>
      <x:c r="B78" s="385" t="str">
        <x:f>IF($A78="","",INDEX('Source Register'!$C$3:$C$302,MATCH($A78,'Source Register'!$A$3:$A$302,0)))</x:f>
      </x:c>
      <x:c r="C78" s="385" t="str">
        <x:f>IF($A78="","",IF(INDEX('Source Register'!$Z$3:$Z$302,MATCH($A78,'Source Register'!$A$3:$A$302,0))="FAIL","DOWNLOAD FAILURE","ROLLING CONTENT CHANGED"))</x:f>
      </x:c>
      <x:c r="D78" s="386" t="str">
        <x:f>IF($A78="","",IF(INDEX('Source Register'!$Z$3:$Z$302,MATCH($A78,'Source Register'!$A$3:$A$302,0))="FAIL",INDEX('Source Register'!$AA$3:$AA$302,MATCH($A78,'Source Register'!$A$3:$A$302,0)),INDEX('Source Register'!$AB$3:$AB$302,MATCH($A78,'Source Register'!$A$3:$A$302,0))))</x:f>
      </x:c>
      <x:c r="E78" s="387" t="str">
        <x:f>IF($D78="","",MAX(0,TODAY()-INT($D78)))</x:f>
      </x:c>
      <x:c r="F78" s="385" t="str">
        <x:f>IF($A78="","",IF(INDEX('Source Register'!$Z$3:$Z$302,MATCH($A78,'Source Register'!$A$3:$A$302,0))="FAIL",INDEX('Source Register'!$AH$3:$AH$302,MATCH($A78,'Source Register'!$A$3:$A$302,0)),"IMPACT REVIEW"))</x:f>
      </x:c>
      <x:c r="G78" s="385" t="str">
        <x:f>IF($A78="","",INDEX('Source Register'!$I$3:$I$302,MATCH($A78,'Source Register'!$A$3:$A$302,0)))</x:f>
      </x:c>
      <x:c r="H78" s="385" t="str">
        <x:f>IF($A78="","",INDEX('Source Register'!$AD$3:$AD$302,MATCH($A78,'Source Register'!$A$3:$A$302,0)))</x:f>
      </x:c>
      <x:c r="I78" s="385" t="str">
        <x:f>IF($A78="","",INDEX('Source Register'!$AQ$3:$AQ$302,MATCH($A78,'Source Register'!$A$3:$A$302,0)))</x:f>
      </x:c>
      <x:c r="J78" s="385" t="str">
        <x:f>IF($A78="","",IF($E78&gt;$I$46,"OVERDUE","OPEN"))</x:f>
      </x:c>
      <x:c r="K78" s="385" t="str">
        <x:f>IF($A78="","",IF(INDEX('Source Register'!$Z$3:$Z$302,MATCH($A78,'Source Register'!$A$3:$A$302,0))="FAIL",INDEX('Source Register'!$AI$3:$AI$302,MATCH($A78,'Source Register'!$A$3:$A$302,0)),"Rolling source content changed; review downstream Requirement impact."))</x:f>
      </x:c>
      <x:c r="N78" s="381" t="str">
        <x:f>IF('Source Register'!AJ78="YES",COUNTIF('Source Register'!$AJ$3:'Source Register'!AJ78,"YES"),"")</x:f>
      </x:c>
    </x:row>
    <x:row r="79" ht="34" customHeight="1">
      <x:c r="A79" s="385" t="str">
        <x:f>IFERROR(INDEX('Source Register'!$A$3:$A$302,MATCH(ROWS($A$54:A79),$N$3:$N$302,0)),"")</x:f>
      </x:c>
      <x:c r="B79" s="385" t="str">
        <x:f>IF($A79="","",INDEX('Source Register'!$C$3:$C$302,MATCH($A79,'Source Register'!$A$3:$A$302,0)))</x:f>
      </x:c>
      <x:c r="C79" s="385" t="str">
        <x:f>IF($A79="","",IF(INDEX('Source Register'!$Z$3:$Z$302,MATCH($A79,'Source Register'!$A$3:$A$302,0))="FAIL","DOWNLOAD FAILURE","ROLLING CONTENT CHANGED"))</x:f>
      </x:c>
      <x:c r="D79" s="386" t="str">
        <x:f>IF($A79="","",IF(INDEX('Source Register'!$Z$3:$Z$302,MATCH($A79,'Source Register'!$A$3:$A$302,0))="FAIL",INDEX('Source Register'!$AA$3:$AA$302,MATCH($A79,'Source Register'!$A$3:$A$302,0)),INDEX('Source Register'!$AB$3:$AB$302,MATCH($A79,'Source Register'!$A$3:$A$302,0))))</x:f>
      </x:c>
      <x:c r="E79" s="387" t="str">
        <x:f>IF($D79="","",MAX(0,TODAY()-INT($D79)))</x:f>
      </x:c>
      <x:c r="F79" s="385" t="str">
        <x:f>IF($A79="","",IF(INDEX('Source Register'!$Z$3:$Z$302,MATCH($A79,'Source Register'!$A$3:$A$302,0))="FAIL",INDEX('Source Register'!$AH$3:$AH$302,MATCH($A79,'Source Register'!$A$3:$A$302,0)),"IMPACT REVIEW"))</x:f>
      </x:c>
      <x:c r="G79" s="385" t="str">
        <x:f>IF($A79="","",INDEX('Source Register'!$I$3:$I$302,MATCH($A79,'Source Register'!$A$3:$A$302,0)))</x:f>
      </x:c>
      <x:c r="H79" s="385" t="str">
        <x:f>IF($A79="","",INDEX('Source Register'!$AD$3:$AD$302,MATCH($A79,'Source Register'!$A$3:$A$302,0)))</x:f>
      </x:c>
      <x:c r="I79" s="385" t="str">
        <x:f>IF($A79="","",INDEX('Source Register'!$AQ$3:$AQ$302,MATCH($A79,'Source Register'!$A$3:$A$302,0)))</x:f>
      </x:c>
      <x:c r="J79" s="385" t="str">
        <x:f>IF($A79="","",IF($E79&gt;$I$46,"OVERDUE","OPEN"))</x:f>
      </x:c>
      <x:c r="K79" s="385" t="str">
        <x:f>IF($A79="","",IF(INDEX('Source Register'!$Z$3:$Z$302,MATCH($A79,'Source Register'!$A$3:$A$302,0))="FAIL",INDEX('Source Register'!$AI$3:$AI$302,MATCH($A79,'Source Register'!$A$3:$A$302,0)),"Rolling source content changed; review downstream Requirement impact."))</x:f>
      </x:c>
      <x:c r="N79" s="381" t="str">
        <x:f>IF('Source Register'!AJ79="YES",COUNTIF('Source Register'!$AJ$3:'Source Register'!AJ79,"YES"),"")</x:f>
      </x:c>
    </x:row>
    <x:row r="80" ht="34" customHeight="1">
      <x:c r="A80" s="385" t="str">
        <x:f>IFERROR(INDEX('Source Register'!$A$3:$A$302,MATCH(ROWS($A$54:A80),$N$3:$N$302,0)),"")</x:f>
      </x:c>
      <x:c r="B80" s="385" t="str">
        <x:f>IF($A80="","",INDEX('Source Register'!$C$3:$C$302,MATCH($A80,'Source Register'!$A$3:$A$302,0)))</x:f>
      </x:c>
      <x:c r="C80" s="385" t="str">
        <x:f>IF($A80="","",IF(INDEX('Source Register'!$Z$3:$Z$302,MATCH($A80,'Source Register'!$A$3:$A$302,0))="FAIL","DOWNLOAD FAILURE","ROLLING CONTENT CHANGED"))</x:f>
      </x:c>
      <x:c r="D80" s="386" t="str">
        <x:f>IF($A80="","",IF(INDEX('Source Register'!$Z$3:$Z$302,MATCH($A80,'Source Register'!$A$3:$A$302,0))="FAIL",INDEX('Source Register'!$AA$3:$AA$302,MATCH($A80,'Source Register'!$A$3:$A$302,0)),INDEX('Source Register'!$AB$3:$AB$302,MATCH($A80,'Source Register'!$A$3:$A$302,0))))</x:f>
      </x:c>
      <x:c r="E80" s="387" t="str">
        <x:f>IF($D80="","",MAX(0,TODAY()-INT($D80)))</x:f>
      </x:c>
      <x:c r="F80" s="385" t="str">
        <x:f>IF($A80="","",IF(INDEX('Source Register'!$Z$3:$Z$302,MATCH($A80,'Source Register'!$A$3:$A$302,0))="FAIL",INDEX('Source Register'!$AH$3:$AH$302,MATCH($A80,'Source Register'!$A$3:$A$302,0)),"IMPACT REVIEW"))</x:f>
      </x:c>
      <x:c r="G80" s="385" t="str">
        <x:f>IF($A80="","",INDEX('Source Register'!$I$3:$I$302,MATCH($A80,'Source Register'!$A$3:$A$302,0)))</x:f>
      </x:c>
      <x:c r="H80" s="385" t="str">
        <x:f>IF($A80="","",INDEX('Source Register'!$AD$3:$AD$302,MATCH($A80,'Source Register'!$A$3:$A$302,0)))</x:f>
      </x:c>
      <x:c r="I80" s="385" t="str">
        <x:f>IF($A80="","",INDEX('Source Register'!$AQ$3:$AQ$302,MATCH($A80,'Source Register'!$A$3:$A$302,0)))</x:f>
      </x:c>
      <x:c r="J80" s="385" t="str">
        <x:f>IF($A80="","",IF($E80&gt;$I$46,"OVERDUE","OPEN"))</x:f>
      </x:c>
      <x:c r="K80" s="385" t="str">
        <x:f>IF($A80="","",IF(INDEX('Source Register'!$Z$3:$Z$302,MATCH($A80,'Source Register'!$A$3:$A$302,0))="FAIL",INDEX('Source Register'!$AI$3:$AI$302,MATCH($A80,'Source Register'!$A$3:$A$302,0)),"Rolling source content changed; review downstream Requirement impact."))</x:f>
      </x:c>
      <x:c r="N80" s="381" t="str">
        <x:f>IF('Source Register'!AJ80="YES",COUNTIF('Source Register'!$AJ$3:'Source Register'!AJ80,"YES"),"")</x:f>
      </x:c>
    </x:row>
    <x:row r="81" ht="34" customHeight="1">
      <x:c r="A81" s="385" t="str">
        <x:f>IFERROR(INDEX('Source Register'!$A$3:$A$302,MATCH(ROWS($A$54:A81),$N$3:$N$302,0)),"")</x:f>
      </x:c>
      <x:c r="B81" s="385" t="str">
        <x:f>IF($A81="","",INDEX('Source Register'!$C$3:$C$302,MATCH($A81,'Source Register'!$A$3:$A$302,0)))</x:f>
      </x:c>
      <x:c r="C81" s="385" t="str">
        <x:f>IF($A81="","",IF(INDEX('Source Register'!$Z$3:$Z$302,MATCH($A81,'Source Register'!$A$3:$A$302,0))="FAIL","DOWNLOAD FAILURE","ROLLING CONTENT CHANGED"))</x:f>
      </x:c>
      <x:c r="D81" s="386" t="str">
        <x:f>IF($A81="","",IF(INDEX('Source Register'!$Z$3:$Z$302,MATCH($A81,'Source Register'!$A$3:$A$302,0))="FAIL",INDEX('Source Register'!$AA$3:$AA$302,MATCH($A81,'Source Register'!$A$3:$A$302,0)),INDEX('Source Register'!$AB$3:$AB$302,MATCH($A81,'Source Register'!$A$3:$A$302,0))))</x:f>
      </x:c>
      <x:c r="E81" s="387" t="str">
        <x:f>IF($D81="","",MAX(0,TODAY()-INT($D81)))</x:f>
      </x:c>
      <x:c r="F81" s="385" t="str">
        <x:f>IF($A81="","",IF(INDEX('Source Register'!$Z$3:$Z$302,MATCH($A81,'Source Register'!$A$3:$A$302,0))="FAIL",INDEX('Source Register'!$AH$3:$AH$302,MATCH($A81,'Source Register'!$A$3:$A$302,0)),"IMPACT REVIEW"))</x:f>
      </x:c>
      <x:c r="G81" s="385" t="str">
        <x:f>IF($A81="","",INDEX('Source Register'!$I$3:$I$302,MATCH($A81,'Source Register'!$A$3:$A$302,0)))</x:f>
      </x:c>
      <x:c r="H81" s="385" t="str">
        <x:f>IF($A81="","",INDEX('Source Register'!$AD$3:$AD$302,MATCH($A81,'Source Register'!$A$3:$A$302,0)))</x:f>
      </x:c>
      <x:c r="I81" s="385" t="str">
        <x:f>IF($A81="","",INDEX('Source Register'!$AQ$3:$AQ$302,MATCH($A81,'Source Register'!$A$3:$A$302,0)))</x:f>
      </x:c>
      <x:c r="J81" s="385" t="str">
        <x:f>IF($A81="","",IF($E81&gt;$I$46,"OVERDUE","OPEN"))</x:f>
      </x:c>
      <x:c r="K81" s="385" t="str">
        <x:f>IF($A81="","",IF(INDEX('Source Register'!$Z$3:$Z$302,MATCH($A81,'Source Register'!$A$3:$A$302,0))="FAIL",INDEX('Source Register'!$AI$3:$AI$302,MATCH($A81,'Source Register'!$A$3:$A$302,0)),"Rolling source content changed; review downstream Requirement impact."))</x:f>
      </x:c>
      <x:c r="N81" s="381" t="str">
        <x:f>IF('Source Register'!AJ81="YES",COUNTIF('Source Register'!$AJ$3:'Source Register'!AJ81,"YES"),"")</x:f>
      </x:c>
    </x:row>
    <x:row r="82" ht="34" customHeight="1">
      <x:c r="A82" s="385" t="str">
        <x:f>IFERROR(INDEX('Source Register'!$A$3:$A$302,MATCH(ROWS($A$54:A82),$N$3:$N$302,0)),"")</x:f>
      </x:c>
      <x:c r="B82" s="385" t="str">
        <x:f>IF($A82="","",INDEX('Source Register'!$C$3:$C$302,MATCH($A82,'Source Register'!$A$3:$A$302,0)))</x:f>
      </x:c>
      <x:c r="C82" s="385" t="str">
        <x:f>IF($A82="","",IF(INDEX('Source Register'!$Z$3:$Z$302,MATCH($A82,'Source Register'!$A$3:$A$302,0))="FAIL","DOWNLOAD FAILURE","ROLLING CONTENT CHANGED"))</x:f>
      </x:c>
      <x:c r="D82" s="386" t="str">
        <x:f>IF($A82="","",IF(INDEX('Source Register'!$Z$3:$Z$302,MATCH($A82,'Source Register'!$A$3:$A$302,0))="FAIL",INDEX('Source Register'!$AA$3:$AA$302,MATCH($A82,'Source Register'!$A$3:$A$302,0)),INDEX('Source Register'!$AB$3:$AB$302,MATCH($A82,'Source Register'!$A$3:$A$302,0))))</x:f>
      </x:c>
      <x:c r="E82" s="387" t="str">
        <x:f>IF($D82="","",MAX(0,TODAY()-INT($D82)))</x:f>
      </x:c>
      <x:c r="F82" s="385" t="str">
        <x:f>IF($A82="","",IF(INDEX('Source Register'!$Z$3:$Z$302,MATCH($A82,'Source Register'!$A$3:$A$302,0))="FAIL",INDEX('Source Register'!$AH$3:$AH$302,MATCH($A82,'Source Register'!$A$3:$A$302,0)),"IMPACT REVIEW"))</x:f>
      </x:c>
      <x:c r="G82" s="385" t="str">
        <x:f>IF($A82="","",INDEX('Source Register'!$I$3:$I$302,MATCH($A82,'Source Register'!$A$3:$A$302,0)))</x:f>
      </x:c>
      <x:c r="H82" s="385" t="str">
        <x:f>IF($A82="","",INDEX('Source Register'!$AD$3:$AD$302,MATCH($A82,'Source Register'!$A$3:$A$302,0)))</x:f>
      </x:c>
      <x:c r="I82" s="385" t="str">
        <x:f>IF($A82="","",INDEX('Source Register'!$AQ$3:$AQ$302,MATCH($A82,'Source Register'!$A$3:$A$302,0)))</x:f>
      </x:c>
      <x:c r="J82" s="385" t="str">
        <x:f>IF($A82="","",IF($E82&gt;$I$46,"OVERDUE","OPEN"))</x:f>
      </x:c>
      <x:c r="K82" s="385" t="str">
        <x:f>IF($A82="","",IF(INDEX('Source Register'!$Z$3:$Z$302,MATCH($A82,'Source Register'!$A$3:$A$302,0))="FAIL",INDEX('Source Register'!$AI$3:$AI$302,MATCH($A82,'Source Register'!$A$3:$A$302,0)),"Rolling source content changed; review downstream Requirement impact."))</x:f>
      </x:c>
      <x:c r="N82" s="381" t="str">
        <x:f>IF('Source Register'!AJ82="YES",COUNTIF('Source Register'!$AJ$3:'Source Register'!AJ82,"YES"),"")</x:f>
      </x:c>
    </x:row>
    <x:row r="83" ht="34" customHeight="1">
      <x:c r="A83" s="385" t="str">
        <x:f>IFERROR(INDEX('Source Register'!$A$3:$A$302,MATCH(ROWS($A$54:A83),$N$3:$N$302,0)),"")</x:f>
      </x:c>
      <x:c r="B83" s="385" t="str">
        <x:f>IF($A83="","",INDEX('Source Register'!$C$3:$C$302,MATCH($A83,'Source Register'!$A$3:$A$302,0)))</x:f>
      </x:c>
      <x:c r="C83" s="385" t="str">
        <x:f>IF($A83="","",IF(INDEX('Source Register'!$Z$3:$Z$302,MATCH($A83,'Source Register'!$A$3:$A$302,0))="FAIL","DOWNLOAD FAILURE","ROLLING CONTENT CHANGED"))</x:f>
      </x:c>
      <x:c r="D83" s="386" t="str">
        <x:f>IF($A83="","",IF(INDEX('Source Register'!$Z$3:$Z$302,MATCH($A83,'Source Register'!$A$3:$A$302,0))="FAIL",INDEX('Source Register'!$AA$3:$AA$302,MATCH($A83,'Source Register'!$A$3:$A$302,0)),INDEX('Source Register'!$AB$3:$AB$302,MATCH($A83,'Source Register'!$A$3:$A$302,0))))</x:f>
      </x:c>
      <x:c r="E83" s="387" t="str">
        <x:f>IF($D83="","",MAX(0,TODAY()-INT($D83)))</x:f>
      </x:c>
      <x:c r="F83" s="385" t="str">
        <x:f>IF($A83="","",IF(INDEX('Source Register'!$Z$3:$Z$302,MATCH($A83,'Source Register'!$A$3:$A$302,0))="FAIL",INDEX('Source Register'!$AH$3:$AH$302,MATCH($A83,'Source Register'!$A$3:$A$302,0)),"IMPACT REVIEW"))</x:f>
      </x:c>
      <x:c r="G83" s="385" t="str">
        <x:f>IF($A83="","",INDEX('Source Register'!$I$3:$I$302,MATCH($A83,'Source Register'!$A$3:$A$302,0)))</x:f>
      </x:c>
      <x:c r="H83" s="385" t="str">
        <x:f>IF($A83="","",INDEX('Source Register'!$AD$3:$AD$302,MATCH($A83,'Source Register'!$A$3:$A$302,0)))</x:f>
      </x:c>
      <x:c r="I83" s="385" t="str">
        <x:f>IF($A83="","",INDEX('Source Register'!$AQ$3:$AQ$302,MATCH($A83,'Source Register'!$A$3:$A$302,0)))</x:f>
      </x:c>
      <x:c r="J83" s="385" t="str">
        <x:f>IF($A83="","",IF($E83&gt;$I$46,"OVERDUE","OPEN"))</x:f>
      </x:c>
      <x:c r="K83" s="385" t="str">
        <x:f>IF($A83="","",IF(INDEX('Source Register'!$Z$3:$Z$302,MATCH($A83,'Source Register'!$A$3:$A$302,0))="FAIL",INDEX('Source Register'!$AI$3:$AI$302,MATCH($A83,'Source Register'!$A$3:$A$302,0)),"Rolling source content changed; review downstream Requirement impact."))</x:f>
      </x:c>
      <x:c r="N83" s="381" t="str">
        <x:f>IF('Source Register'!AJ83="YES",COUNTIF('Source Register'!$AJ$3:'Source Register'!AJ83,"YES"),"")</x:f>
      </x:c>
    </x:row>
    <x:row r="84" ht="34" customHeight="1">
      <x:c r="A84" s="385" t="str">
        <x:f>IFERROR(INDEX('Source Register'!$A$3:$A$302,MATCH(ROWS($A$54:A84),$N$3:$N$302,0)),"")</x:f>
      </x:c>
      <x:c r="B84" s="385" t="str">
        <x:f>IF($A84="","",INDEX('Source Register'!$C$3:$C$302,MATCH($A84,'Source Register'!$A$3:$A$302,0)))</x:f>
      </x:c>
      <x:c r="C84" s="385" t="str">
        <x:f>IF($A84="","",IF(INDEX('Source Register'!$Z$3:$Z$302,MATCH($A84,'Source Register'!$A$3:$A$302,0))="FAIL","DOWNLOAD FAILURE","ROLLING CONTENT CHANGED"))</x:f>
      </x:c>
      <x:c r="D84" s="386" t="str">
        <x:f>IF($A84="","",IF(INDEX('Source Register'!$Z$3:$Z$302,MATCH($A84,'Source Register'!$A$3:$A$302,0))="FAIL",INDEX('Source Register'!$AA$3:$AA$302,MATCH($A84,'Source Register'!$A$3:$A$302,0)),INDEX('Source Register'!$AB$3:$AB$302,MATCH($A84,'Source Register'!$A$3:$A$302,0))))</x:f>
      </x:c>
      <x:c r="E84" s="387" t="str">
        <x:f>IF($D84="","",MAX(0,TODAY()-INT($D84)))</x:f>
      </x:c>
      <x:c r="F84" s="385" t="str">
        <x:f>IF($A84="","",IF(INDEX('Source Register'!$Z$3:$Z$302,MATCH($A84,'Source Register'!$A$3:$A$302,0))="FAIL",INDEX('Source Register'!$AH$3:$AH$302,MATCH($A84,'Source Register'!$A$3:$A$302,0)),"IMPACT REVIEW"))</x:f>
      </x:c>
      <x:c r="G84" s="385" t="str">
        <x:f>IF($A84="","",INDEX('Source Register'!$I$3:$I$302,MATCH($A84,'Source Register'!$A$3:$A$302,0)))</x:f>
      </x:c>
      <x:c r="H84" s="385" t="str">
        <x:f>IF($A84="","",INDEX('Source Register'!$AD$3:$AD$302,MATCH($A84,'Source Register'!$A$3:$A$302,0)))</x:f>
      </x:c>
      <x:c r="I84" s="385" t="str">
        <x:f>IF($A84="","",INDEX('Source Register'!$AQ$3:$AQ$302,MATCH($A84,'Source Register'!$A$3:$A$302,0)))</x:f>
      </x:c>
      <x:c r="J84" s="385" t="str">
        <x:f>IF($A84="","",IF($E84&gt;$I$46,"OVERDUE","OPEN"))</x:f>
      </x:c>
      <x:c r="K84" s="385" t="str">
        <x:f>IF($A84="","",IF(INDEX('Source Register'!$Z$3:$Z$302,MATCH($A84,'Source Register'!$A$3:$A$302,0))="FAIL",INDEX('Source Register'!$AI$3:$AI$302,MATCH($A84,'Source Register'!$A$3:$A$302,0)),"Rolling source content changed; review downstream Requirement impact."))</x:f>
      </x:c>
      <x:c r="N84" s="381" t="str">
        <x:f>IF('Source Register'!AJ84="YES",COUNTIF('Source Register'!$AJ$3:'Source Register'!AJ84,"YES"),"")</x:f>
      </x:c>
    </x:row>
    <x:row r="85" ht="34" customHeight="1">
      <x:c r="A85" s="385" t="str">
        <x:f>IFERROR(INDEX('Source Register'!$A$3:$A$302,MATCH(ROWS($A$54:A85),$N$3:$N$302,0)),"")</x:f>
      </x:c>
      <x:c r="B85" s="385" t="str">
        <x:f>IF($A85="","",INDEX('Source Register'!$C$3:$C$302,MATCH($A85,'Source Register'!$A$3:$A$302,0)))</x:f>
      </x:c>
      <x:c r="C85" s="385" t="str">
        <x:f>IF($A85="","",IF(INDEX('Source Register'!$Z$3:$Z$302,MATCH($A85,'Source Register'!$A$3:$A$302,0))="FAIL","DOWNLOAD FAILURE","ROLLING CONTENT CHANGED"))</x:f>
      </x:c>
      <x:c r="D85" s="386" t="str">
        <x:f>IF($A85="","",IF(INDEX('Source Register'!$Z$3:$Z$302,MATCH($A85,'Source Register'!$A$3:$A$302,0))="FAIL",INDEX('Source Register'!$AA$3:$AA$302,MATCH($A85,'Source Register'!$A$3:$A$302,0)),INDEX('Source Register'!$AB$3:$AB$302,MATCH($A85,'Source Register'!$A$3:$A$302,0))))</x:f>
      </x:c>
      <x:c r="E85" s="387" t="str">
        <x:f>IF($D85="","",MAX(0,TODAY()-INT($D85)))</x:f>
      </x:c>
      <x:c r="F85" s="385" t="str">
        <x:f>IF($A85="","",IF(INDEX('Source Register'!$Z$3:$Z$302,MATCH($A85,'Source Register'!$A$3:$A$302,0))="FAIL",INDEX('Source Register'!$AH$3:$AH$302,MATCH($A85,'Source Register'!$A$3:$A$302,0)),"IMPACT REVIEW"))</x:f>
      </x:c>
      <x:c r="G85" s="385" t="str">
        <x:f>IF($A85="","",INDEX('Source Register'!$I$3:$I$302,MATCH($A85,'Source Register'!$A$3:$A$302,0)))</x:f>
      </x:c>
      <x:c r="H85" s="385" t="str">
        <x:f>IF($A85="","",INDEX('Source Register'!$AD$3:$AD$302,MATCH($A85,'Source Register'!$A$3:$A$302,0)))</x:f>
      </x:c>
      <x:c r="I85" s="385" t="str">
        <x:f>IF($A85="","",INDEX('Source Register'!$AQ$3:$AQ$302,MATCH($A85,'Source Register'!$A$3:$A$302,0)))</x:f>
      </x:c>
      <x:c r="J85" s="385" t="str">
        <x:f>IF($A85="","",IF($E85&gt;$I$46,"OVERDUE","OPEN"))</x:f>
      </x:c>
      <x:c r="K85" s="385" t="str">
        <x:f>IF($A85="","",IF(INDEX('Source Register'!$Z$3:$Z$302,MATCH($A85,'Source Register'!$A$3:$A$302,0))="FAIL",INDEX('Source Register'!$AI$3:$AI$302,MATCH($A85,'Source Register'!$A$3:$A$302,0)),"Rolling source content changed; review downstream Requirement impact."))</x:f>
      </x:c>
      <x:c r="N85" s="381" t="str">
        <x:f>IF('Source Register'!AJ85="YES",COUNTIF('Source Register'!$AJ$3:'Source Register'!AJ85,"YES"),"")</x:f>
      </x:c>
    </x:row>
    <x:row r="86" ht="34" customHeight="1">
      <x:c r="A86" s="385" t="str">
        <x:f>IFERROR(INDEX('Source Register'!$A$3:$A$302,MATCH(ROWS($A$54:A86),$N$3:$N$302,0)),"")</x:f>
      </x:c>
      <x:c r="B86" s="385" t="str">
        <x:f>IF($A86="","",INDEX('Source Register'!$C$3:$C$302,MATCH($A86,'Source Register'!$A$3:$A$302,0)))</x:f>
      </x:c>
      <x:c r="C86" s="385" t="str">
        <x:f>IF($A86="","",IF(INDEX('Source Register'!$Z$3:$Z$302,MATCH($A86,'Source Register'!$A$3:$A$302,0))="FAIL","DOWNLOAD FAILURE","ROLLING CONTENT CHANGED"))</x:f>
      </x:c>
      <x:c r="D86" s="386" t="str">
        <x:f>IF($A86="","",IF(INDEX('Source Register'!$Z$3:$Z$302,MATCH($A86,'Source Register'!$A$3:$A$302,0))="FAIL",INDEX('Source Register'!$AA$3:$AA$302,MATCH($A86,'Source Register'!$A$3:$A$302,0)),INDEX('Source Register'!$AB$3:$AB$302,MATCH($A86,'Source Register'!$A$3:$A$302,0))))</x:f>
      </x:c>
      <x:c r="E86" s="387" t="str">
        <x:f>IF($D86="","",MAX(0,TODAY()-INT($D86)))</x:f>
      </x:c>
      <x:c r="F86" s="385" t="str">
        <x:f>IF($A86="","",IF(INDEX('Source Register'!$Z$3:$Z$302,MATCH($A86,'Source Register'!$A$3:$A$302,0))="FAIL",INDEX('Source Register'!$AH$3:$AH$302,MATCH($A86,'Source Register'!$A$3:$A$302,0)),"IMPACT REVIEW"))</x:f>
      </x:c>
      <x:c r="G86" s="385" t="str">
        <x:f>IF($A86="","",INDEX('Source Register'!$I$3:$I$302,MATCH($A86,'Source Register'!$A$3:$A$302,0)))</x:f>
      </x:c>
      <x:c r="H86" s="385" t="str">
        <x:f>IF($A86="","",INDEX('Source Register'!$AD$3:$AD$302,MATCH($A86,'Source Register'!$A$3:$A$302,0)))</x:f>
      </x:c>
      <x:c r="I86" s="385" t="str">
        <x:f>IF($A86="","",INDEX('Source Register'!$AQ$3:$AQ$302,MATCH($A86,'Source Register'!$A$3:$A$302,0)))</x:f>
      </x:c>
      <x:c r="J86" s="385" t="str">
        <x:f>IF($A86="","",IF($E86&gt;$I$46,"OVERDUE","OPEN"))</x:f>
      </x:c>
      <x:c r="K86" s="385" t="str">
        <x:f>IF($A86="","",IF(INDEX('Source Register'!$Z$3:$Z$302,MATCH($A86,'Source Register'!$A$3:$A$302,0))="FAIL",INDEX('Source Register'!$AI$3:$AI$302,MATCH($A86,'Source Register'!$A$3:$A$302,0)),"Rolling source content changed; review downstream Requirement impact."))</x:f>
      </x:c>
      <x:c r="N86" s="381" t="str">
        <x:f>IF('Source Register'!AJ86="YES",COUNTIF('Source Register'!$AJ$3:'Source Register'!AJ86,"YES"),"")</x:f>
      </x:c>
    </x:row>
    <x:row r="87" ht="34" customHeight="1">
      <x:c r="A87" s="385" t="str">
        <x:f>IFERROR(INDEX('Source Register'!$A$3:$A$302,MATCH(ROWS($A$54:A87),$N$3:$N$302,0)),"")</x:f>
      </x:c>
      <x:c r="B87" s="385" t="str">
        <x:f>IF($A87="","",INDEX('Source Register'!$C$3:$C$302,MATCH($A87,'Source Register'!$A$3:$A$302,0)))</x:f>
      </x:c>
      <x:c r="C87" s="385" t="str">
        <x:f>IF($A87="","",IF(INDEX('Source Register'!$Z$3:$Z$302,MATCH($A87,'Source Register'!$A$3:$A$302,0))="FAIL","DOWNLOAD FAILURE","ROLLING CONTENT CHANGED"))</x:f>
      </x:c>
      <x:c r="D87" s="386" t="str">
        <x:f>IF($A87="","",IF(INDEX('Source Register'!$Z$3:$Z$302,MATCH($A87,'Source Register'!$A$3:$A$302,0))="FAIL",INDEX('Source Register'!$AA$3:$AA$302,MATCH($A87,'Source Register'!$A$3:$A$302,0)),INDEX('Source Register'!$AB$3:$AB$302,MATCH($A87,'Source Register'!$A$3:$A$302,0))))</x:f>
      </x:c>
      <x:c r="E87" s="387" t="str">
        <x:f>IF($D87="","",MAX(0,TODAY()-INT($D87)))</x:f>
      </x:c>
      <x:c r="F87" s="385" t="str">
        <x:f>IF($A87="","",IF(INDEX('Source Register'!$Z$3:$Z$302,MATCH($A87,'Source Register'!$A$3:$A$302,0))="FAIL",INDEX('Source Register'!$AH$3:$AH$302,MATCH($A87,'Source Register'!$A$3:$A$302,0)),"IMPACT REVIEW"))</x:f>
      </x:c>
      <x:c r="G87" s="385" t="str">
        <x:f>IF($A87="","",INDEX('Source Register'!$I$3:$I$302,MATCH($A87,'Source Register'!$A$3:$A$302,0)))</x:f>
      </x:c>
      <x:c r="H87" s="385" t="str">
        <x:f>IF($A87="","",INDEX('Source Register'!$AD$3:$AD$302,MATCH($A87,'Source Register'!$A$3:$A$302,0)))</x:f>
      </x:c>
      <x:c r="I87" s="385" t="str">
        <x:f>IF($A87="","",INDEX('Source Register'!$AQ$3:$AQ$302,MATCH($A87,'Source Register'!$A$3:$A$302,0)))</x:f>
      </x:c>
      <x:c r="J87" s="385" t="str">
        <x:f>IF($A87="","",IF($E87&gt;$I$46,"OVERDUE","OPEN"))</x:f>
      </x:c>
      <x:c r="K87" s="385" t="str">
        <x:f>IF($A87="","",IF(INDEX('Source Register'!$Z$3:$Z$302,MATCH($A87,'Source Register'!$A$3:$A$302,0))="FAIL",INDEX('Source Register'!$AI$3:$AI$302,MATCH($A87,'Source Register'!$A$3:$A$302,0)),"Rolling source content changed; review downstream Requirement impact."))</x:f>
      </x:c>
      <x:c r="N87" s="381" t="str">
        <x:f>IF('Source Register'!AJ87="YES",COUNTIF('Source Register'!$AJ$3:'Source Register'!AJ87,"YES"),"")</x:f>
      </x:c>
    </x:row>
    <x:row r="88" ht="34" customHeight="1">
      <x:c r="A88" s="385" t="str">
        <x:f>IFERROR(INDEX('Source Register'!$A$3:$A$302,MATCH(ROWS($A$54:A88),$N$3:$N$302,0)),"")</x:f>
      </x:c>
      <x:c r="B88" s="385" t="str">
        <x:f>IF($A88="","",INDEX('Source Register'!$C$3:$C$302,MATCH($A88,'Source Register'!$A$3:$A$302,0)))</x:f>
      </x:c>
      <x:c r="C88" s="385" t="str">
        <x:f>IF($A88="","",IF(INDEX('Source Register'!$Z$3:$Z$302,MATCH($A88,'Source Register'!$A$3:$A$302,0))="FAIL","DOWNLOAD FAILURE","ROLLING CONTENT CHANGED"))</x:f>
      </x:c>
      <x:c r="D88" s="386" t="str">
        <x:f>IF($A88="","",IF(INDEX('Source Register'!$Z$3:$Z$302,MATCH($A88,'Source Register'!$A$3:$A$302,0))="FAIL",INDEX('Source Register'!$AA$3:$AA$302,MATCH($A88,'Source Register'!$A$3:$A$302,0)),INDEX('Source Register'!$AB$3:$AB$302,MATCH($A88,'Source Register'!$A$3:$A$302,0))))</x:f>
      </x:c>
      <x:c r="E88" s="387" t="str">
        <x:f>IF($D88="","",MAX(0,TODAY()-INT($D88)))</x:f>
      </x:c>
      <x:c r="F88" s="385" t="str">
        <x:f>IF($A88="","",IF(INDEX('Source Register'!$Z$3:$Z$302,MATCH($A88,'Source Register'!$A$3:$A$302,0))="FAIL",INDEX('Source Register'!$AH$3:$AH$302,MATCH($A88,'Source Register'!$A$3:$A$302,0)),"IMPACT REVIEW"))</x:f>
      </x:c>
      <x:c r="G88" s="385" t="str">
        <x:f>IF($A88="","",INDEX('Source Register'!$I$3:$I$302,MATCH($A88,'Source Register'!$A$3:$A$302,0)))</x:f>
      </x:c>
      <x:c r="H88" s="385" t="str">
        <x:f>IF($A88="","",INDEX('Source Register'!$AD$3:$AD$302,MATCH($A88,'Source Register'!$A$3:$A$302,0)))</x:f>
      </x:c>
      <x:c r="I88" s="385" t="str">
        <x:f>IF($A88="","",INDEX('Source Register'!$AQ$3:$AQ$302,MATCH($A88,'Source Register'!$A$3:$A$302,0)))</x:f>
      </x:c>
      <x:c r="J88" s="385" t="str">
        <x:f>IF($A88="","",IF($E88&gt;$I$46,"OVERDUE","OPEN"))</x:f>
      </x:c>
      <x:c r="K88" s="385" t="str">
        <x:f>IF($A88="","",IF(INDEX('Source Register'!$Z$3:$Z$302,MATCH($A88,'Source Register'!$A$3:$A$302,0))="FAIL",INDEX('Source Register'!$AI$3:$AI$302,MATCH($A88,'Source Register'!$A$3:$A$302,0)),"Rolling source content changed; review downstream Requirement impact."))</x:f>
      </x:c>
      <x:c r="N88" s="381" t="str">
        <x:f>IF('Source Register'!AJ88="YES",COUNTIF('Source Register'!$AJ$3:'Source Register'!AJ88,"YES"),"")</x:f>
      </x:c>
    </x:row>
    <x:row r="89" ht="34" customHeight="1">
      <x:c r="A89" s="385" t="str">
        <x:f>IFERROR(INDEX('Source Register'!$A$3:$A$302,MATCH(ROWS($A$54:A89),$N$3:$N$302,0)),"")</x:f>
      </x:c>
      <x:c r="B89" s="385" t="str">
        <x:f>IF($A89="","",INDEX('Source Register'!$C$3:$C$302,MATCH($A89,'Source Register'!$A$3:$A$302,0)))</x:f>
      </x:c>
      <x:c r="C89" s="385" t="str">
        <x:f>IF($A89="","",IF(INDEX('Source Register'!$Z$3:$Z$302,MATCH($A89,'Source Register'!$A$3:$A$302,0))="FAIL","DOWNLOAD FAILURE","ROLLING CONTENT CHANGED"))</x:f>
      </x:c>
      <x:c r="D89" s="386" t="str">
        <x:f>IF($A89="","",IF(INDEX('Source Register'!$Z$3:$Z$302,MATCH($A89,'Source Register'!$A$3:$A$302,0))="FAIL",INDEX('Source Register'!$AA$3:$AA$302,MATCH($A89,'Source Register'!$A$3:$A$302,0)),INDEX('Source Register'!$AB$3:$AB$302,MATCH($A89,'Source Register'!$A$3:$A$302,0))))</x:f>
      </x:c>
      <x:c r="E89" s="387" t="str">
        <x:f>IF($D89="","",MAX(0,TODAY()-INT($D89)))</x:f>
      </x:c>
      <x:c r="F89" s="385" t="str">
        <x:f>IF($A89="","",IF(INDEX('Source Register'!$Z$3:$Z$302,MATCH($A89,'Source Register'!$A$3:$A$302,0))="FAIL",INDEX('Source Register'!$AH$3:$AH$302,MATCH($A89,'Source Register'!$A$3:$A$302,0)),"IMPACT REVIEW"))</x:f>
      </x:c>
      <x:c r="G89" s="385" t="str">
        <x:f>IF($A89="","",INDEX('Source Register'!$I$3:$I$302,MATCH($A89,'Source Register'!$A$3:$A$302,0)))</x:f>
      </x:c>
      <x:c r="H89" s="385" t="str">
        <x:f>IF($A89="","",INDEX('Source Register'!$AD$3:$AD$302,MATCH($A89,'Source Register'!$A$3:$A$302,0)))</x:f>
      </x:c>
      <x:c r="I89" s="385" t="str">
        <x:f>IF($A89="","",INDEX('Source Register'!$AQ$3:$AQ$302,MATCH($A89,'Source Register'!$A$3:$A$302,0)))</x:f>
      </x:c>
      <x:c r="J89" s="385" t="str">
        <x:f>IF($A89="","",IF($E89&gt;$I$46,"OVERDUE","OPEN"))</x:f>
      </x:c>
      <x:c r="K89" s="385" t="str">
        <x:f>IF($A89="","",IF(INDEX('Source Register'!$Z$3:$Z$302,MATCH($A89,'Source Register'!$A$3:$A$302,0))="FAIL",INDEX('Source Register'!$AI$3:$AI$302,MATCH($A89,'Source Register'!$A$3:$A$302,0)),"Rolling source content changed; review downstream Requirement impact."))</x:f>
      </x:c>
      <x:c r="N89" s="381" t="str">
        <x:f>IF('Source Register'!AJ89="YES",COUNTIF('Source Register'!$AJ$3:'Source Register'!AJ89,"YES"),"")</x:f>
      </x:c>
    </x:row>
    <x:row r="90" ht="34" customHeight="1">
      <x:c r="A90" s="385" t="str">
        <x:f>IFERROR(INDEX('Source Register'!$A$3:$A$302,MATCH(ROWS($A$54:A90),$N$3:$N$302,0)),"")</x:f>
      </x:c>
      <x:c r="B90" s="385" t="str">
        <x:f>IF($A90="","",INDEX('Source Register'!$C$3:$C$302,MATCH($A90,'Source Register'!$A$3:$A$302,0)))</x:f>
      </x:c>
      <x:c r="C90" s="385" t="str">
        <x:f>IF($A90="","",IF(INDEX('Source Register'!$Z$3:$Z$302,MATCH($A90,'Source Register'!$A$3:$A$302,0))="FAIL","DOWNLOAD FAILURE","ROLLING CONTENT CHANGED"))</x:f>
      </x:c>
      <x:c r="D90" s="386" t="str">
        <x:f>IF($A90="","",IF(INDEX('Source Register'!$Z$3:$Z$302,MATCH($A90,'Source Register'!$A$3:$A$302,0))="FAIL",INDEX('Source Register'!$AA$3:$AA$302,MATCH($A90,'Source Register'!$A$3:$A$302,0)),INDEX('Source Register'!$AB$3:$AB$302,MATCH($A90,'Source Register'!$A$3:$A$302,0))))</x:f>
      </x:c>
      <x:c r="E90" s="387" t="str">
        <x:f>IF($D90="","",MAX(0,TODAY()-INT($D90)))</x:f>
      </x:c>
      <x:c r="F90" s="385" t="str">
        <x:f>IF($A90="","",IF(INDEX('Source Register'!$Z$3:$Z$302,MATCH($A90,'Source Register'!$A$3:$A$302,0))="FAIL",INDEX('Source Register'!$AH$3:$AH$302,MATCH($A90,'Source Register'!$A$3:$A$302,0)),"IMPACT REVIEW"))</x:f>
      </x:c>
      <x:c r="G90" s="385" t="str">
        <x:f>IF($A90="","",INDEX('Source Register'!$I$3:$I$302,MATCH($A90,'Source Register'!$A$3:$A$302,0)))</x:f>
      </x:c>
      <x:c r="H90" s="385" t="str">
        <x:f>IF($A90="","",INDEX('Source Register'!$AD$3:$AD$302,MATCH($A90,'Source Register'!$A$3:$A$302,0)))</x:f>
      </x:c>
      <x:c r="I90" s="385" t="str">
        <x:f>IF($A90="","",INDEX('Source Register'!$AQ$3:$AQ$302,MATCH($A90,'Source Register'!$A$3:$A$302,0)))</x:f>
      </x:c>
      <x:c r="J90" s="385" t="str">
        <x:f>IF($A90="","",IF($E90&gt;$I$46,"OVERDUE","OPEN"))</x:f>
      </x:c>
      <x:c r="K90" s="385" t="str">
        <x:f>IF($A90="","",IF(INDEX('Source Register'!$Z$3:$Z$302,MATCH($A90,'Source Register'!$A$3:$A$302,0))="FAIL",INDEX('Source Register'!$AI$3:$AI$302,MATCH($A90,'Source Register'!$A$3:$A$302,0)),"Rolling source content changed; review downstream Requirement impact."))</x:f>
      </x:c>
      <x:c r="N90" s="381" t="str">
        <x:f>IF('Source Register'!AJ90="YES",COUNTIF('Source Register'!$AJ$3:'Source Register'!AJ90,"YES"),"")</x:f>
      </x:c>
    </x:row>
    <x:row r="91" ht="34" customHeight="1">
      <x:c r="A91" s="385" t="str">
        <x:f>IFERROR(INDEX('Source Register'!$A$3:$A$302,MATCH(ROWS($A$54:A91),$N$3:$N$302,0)),"")</x:f>
      </x:c>
      <x:c r="B91" s="385" t="str">
        <x:f>IF($A91="","",INDEX('Source Register'!$C$3:$C$302,MATCH($A91,'Source Register'!$A$3:$A$302,0)))</x:f>
      </x:c>
      <x:c r="C91" s="385" t="str">
        <x:f>IF($A91="","",IF(INDEX('Source Register'!$Z$3:$Z$302,MATCH($A91,'Source Register'!$A$3:$A$302,0))="FAIL","DOWNLOAD FAILURE","ROLLING CONTENT CHANGED"))</x:f>
      </x:c>
      <x:c r="D91" s="386" t="str">
        <x:f>IF($A91="","",IF(INDEX('Source Register'!$Z$3:$Z$302,MATCH($A91,'Source Register'!$A$3:$A$302,0))="FAIL",INDEX('Source Register'!$AA$3:$AA$302,MATCH($A91,'Source Register'!$A$3:$A$302,0)),INDEX('Source Register'!$AB$3:$AB$302,MATCH($A91,'Source Register'!$A$3:$A$302,0))))</x:f>
      </x:c>
      <x:c r="E91" s="387" t="str">
        <x:f>IF($D91="","",MAX(0,TODAY()-INT($D91)))</x:f>
      </x:c>
      <x:c r="F91" s="385" t="str">
        <x:f>IF($A91="","",IF(INDEX('Source Register'!$Z$3:$Z$302,MATCH($A91,'Source Register'!$A$3:$A$302,0))="FAIL",INDEX('Source Register'!$AH$3:$AH$302,MATCH($A91,'Source Register'!$A$3:$A$302,0)),"IMPACT REVIEW"))</x:f>
      </x:c>
      <x:c r="G91" s="385" t="str">
        <x:f>IF($A91="","",INDEX('Source Register'!$I$3:$I$302,MATCH($A91,'Source Register'!$A$3:$A$302,0)))</x:f>
      </x:c>
      <x:c r="H91" s="385" t="str">
        <x:f>IF($A91="","",INDEX('Source Register'!$AD$3:$AD$302,MATCH($A91,'Source Register'!$A$3:$A$302,0)))</x:f>
      </x:c>
      <x:c r="I91" s="385" t="str">
        <x:f>IF($A91="","",INDEX('Source Register'!$AQ$3:$AQ$302,MATCH($A91,'Source Register'!$A$3:$A$302,0)))</x:f>
      </x:c>
      <x:c r="J91" s="385" t="str">
        <x:f>IF($A91="","",IF($E91&gt;$I$46,"OVERDUE","OPEN"))</x:f>
      </x:c>
      <x:c r="K91" s="385" t="str">
        <x:f>IF($A91="","",IF(INDEX('Source Register'!$Z$3:$Z$302,MATCH($A91,'Source Register'!$A$3:$A$302,0))="FAIL",INDEX('Source Register'!$AI$3:$AI$302,MATCH($A91,'Source Register'!$A$3:$A$302,0)),"Rolling source content changed; review downstream Requirement impact."))</x:f>
      </x:c>
      <x:c r="N91" s="381" t="str">
        <x:f>IF('Source Register'!AJ91="YES",COUNTIF('Source Register'!$AJ$3:'Source Register'!AJ91,"YES"),"")</x:f>
      </x:c>
    </x:row>
    <x:row r="92" ht="34" customHeight="1">
      <x:c r="A92" s="385" t="str">
        <x:f>IFERROR(INDEX('Source Register'!$A$3:$A$302,MATCH(ROWS($A$54:A92),$N$3:$N$302,0)),"")</x:f>
      </x:c>
      <x:c r="B92" s="385" t="str">
        <x:f>IF($A92="","",INDEX('Source Register'!$C$3:$C$302,MATCH($A92,'Source Register'!$A$3:$A$302,0)))</x:f>
      </x:c>
      <x:c r="C92" s="385" t="str">
        <x:f>IF($A92="","",IF(INDEX('Source Register'!$Z$3:$Z$302,MATCH($A92,'Source Register'!$A$3:$A$302,0))="FAIL","DOWNLOAD FAILURE","ROLLING CONTENT CHANGED"))</x:f>
      </x:c>
      <x:c r="D92" s="386" t="str">
        <x:f>IF($A92="","",IF(INDEX('Source Register'!$Z$3:$Z$302,MATCH($A92,'Source Register'!$A$3:$A$302,0))="FAIL",INDEX('Source Register'!$AA$3:$AA$302,MATCH($A92,'Source Register'!$A$3:$A$302,0)),INDEX('Source Register'!$AB$3:$AB$302,MATCH($A92,'Source Register'!$A$3:$A$302,0))))</x:f>
      </x:c>
      <x:c r="E92" s="387" t="str">
        <x:f>IF($D92="","",MAX(0,TODAY()-INT($D92)))</x:f>
      </x:c>
      <x:c r="F92" s="385" t="str">
        <x:f>IF($A92="","",IF(INDEX('Source Register'!$Z$3:$Z$302,MATCH($A92,'Source Register'!$A$3:$A$302,0))="FAIL",INDEX('Source Register'!$AH$3:$AH$302,MATCH($A92,'Source Register'!$A$3:$A$302,0)),"IMPACT REVIEW"))</x:f>
      </x:c>
      <x:c r="G92" s="385" t="str">
        <x:f>IF($A92="","",INDEX('Source Register'!$I$3:$I$302,MATCH($A92,'Source Register'!$A$3:$A$302,0)))</x:f>
      </x:c>
      <x:c r="H92" s="385" t="str">
        <x:f>IF($A92="","",INDEX('Source Register'!$AD$3:$AD$302,MATCH($A92,'Source Register'!$A$3:$A$302,0)))</x:f>
      </x:c>
      <x:c r="I92" s="385" t="str">
        <x:f>IF($A92="","",INDEX('Source Register'!$AQ$3:$AQ$302,MATCH($A92,'Source Register'!$A$3:$A$302,0)))</x:f>
      </x:c>
      <x:c r="J92" s="385" t="str">
        <x:f>IF($A92="","",IF($E92&gt;$I$46,"OVERDUE","OPEN"))</x:f>
      </x:c>
      <x:c r="K92" s="385" t="str">
        <x:f>IF($A92="","",IF(INDEX('Source Register'!$Z$3:$Z$302,MATCH($A92,'Source Register'!$A$3:$A$302,0))="FAIL",INDEX('Source Register'!$AI$3:$AI$302,MATCH($A92,'Source Register'!$A$3:$A$302,0)),"Rolling source content changed; review downstream Requirement impact."))</x:f>
      </x:c>
      <x:c r="N92" s="381" t="str">
        <x:f>IF('Source Register'!AJ92="YES",COUNTIF('Source Register'!$AJ$3:'Source Register'!AJ92,"YES"),"")</x:f>
      </x:c>
    </x:row>
    <x:row r="93" ht="34" customHeight="1">
      <x:c r="A93" s="385" t="str">
        <x:f>IFERROR(INDEX('Source Register'!$A$3:$A$302,MATCH(ROWS($A$54:A93),$N$3:$N$302,0)),"")</x:f>
      </x:c>
      <x:c r="B93" s="385" t="str">
        <x:f>IF($A93="","",INDEX('Source Register'!$C$3:$C$302,MATCH($A93,'Source Register'!$A$3:$A$302,0)))</x:f>
      </x:c>
      <x:c r="C93" s="385" t="str">
        <x:f>IF($A93="","",IF(INDEX('Source Register'!$Z$3:$Z$302,MATCH($A93,'Source Register'!$A$3:$A$302,0))="FAIL","DOWNLOAD FAILURE","ROLLING CONTENT CHANGED"))</x:f>
      </x:c>
      <x:c r="D93" s="386" t="str">
        <x:f>IF($A93="","",IF(INDEX('Source Register'!$Z$3:$Z$302,MATCH($A93,'Source Register'!$A$3:$A$302,0))="FAIL",INDEX('Source Register'!$AA$3:$AA$302,MATCH($A93,'Source Register'!$A$3:$A$302,0)),INDEX('Source Register'!$AB$3:$AB$302,MATCH($A93,'Source Register'!$A$3:$A$302,0))))</x:f>
      </x:c>
      <x:c r="E93" s="387" t="str">
        <x:f>IF($D93="","",MAX(0,TODAY()-INT($D93)))</x:f>
      </x:c>
      <x:c r="F93" s="385" t="str">
        <x:f>IF($A93="","",IF(INDEX('Source Register'!$Z$3:$Z$302,MATCH($A93,'Source Register'!$A$3:$A$302,0))="FAIL",INDEX('Source Register'!$AH$3:$AH$302,MATCH($A93,'Source Register'!$A$3:$A$302,0)),"IMPACT REVIEW"))</x:f>
      </x:c>
      <x:c r="G93" s="385" t="str">
        <x:f>IF($A93="","",INDEX('Source Register'!$I$3:$I$302,MATCH($A93,'Source Register'!$A$3:$A$302,0)))</x:f>
      </x:c>
      <x:c r="H93" s="385" t="str">
        <x:f>IF($A93="","",INDEX('Source Register'!$AD$3:$AD$302,MATCH($A93,'Source Register'!$A$3:$A$302,0)))</x:f>
      </x:c>
      <x:c r="I93" s="385" t="str">
        <x:f>IF($A93="","",INDEX('Source Register'!$AQ$3:$AQ$302,MATCH($A93,'Source Register'!$A$3:$A$302,0)))</x:f>
      </x:c>
      <x:c r="J93" s="385" t="str">
        <x:f>IF($A93="","",IF($E93&gt;$I$46,"OVERDUE","OPEN"))</x:f>
      </x:c>
      <x:c r="K93" s="385" t="str">
        <x:f>IF($A93="","",IF(INDEX('Source Register'!$Z$3:$Z$302,MATCH($A93,'Source Register'!$A$3:$A$302,0))="FAIL",INDEX('Source Register'!$AI$3:$AI$302,MATCH($A93,'Source Register'!$A$3:$A$302,0)),"Rolling source content changed; review downstream Requirement impact."))</x:f>
      </x:c>
      <x:c r="N93" s="381" t="str">
        <x:f>IF('Source Register'!AJ93="YES",COUNTIF('Source Register'!$AJ$3:'Source Register'!AJ93,"YES"),"")</x:f>
      </x:c>
    </x:row>
    <x:row r="94" ht="34" customHeight="1">
      <x:c r="A94" s="385" t="str">
        <x:f>IFERROR(INDEX('Source Register'!$A$3:$A$302,MATCH(ROWS($A$54:A94),$N$3:$N$302,0)),"")</x:f>
      </x:c>
      <x:c r="B94" s="385" t="str">
        <x:f>IF($A94="","",INDEX('Source Register'!$C$3:$C$302,MATCH($A94,'Source Register'!$A$3:$A$302,0)))</x:f>
      </x:c>
      <x:c r="C94" s="385" t="str">
        <x:f>IF($A94="","",IF(INDEX('Source Register'!$Z$3:$Z$302,MATCH($A94,'Source Register'!$A$3:$A$302,0))="FAIL","DOWNLOAD FAILURE","ROLLING CONTENT CHANGED"))</x:f>
      </x:c>
      <x:c r="D94" s="386" t="str">
        <x:f>IF($A94="","",IF(INDEX('Source Register'!$Z$3:$Z$302,MATCH($A94,'Source Register'!$A$3:$A$302,0))="FAIL",INDEX('Source Register'!$AA$3:$AA$302,MATCH($A94,'Source Register'!$A$3:$A$302,0)),INDEX('Source Register'!$AB$3:$AB$302,MATCH($A94,'Source Register'!$A$3:$A$302,0))))</x:f>
      </x:c>
      <x:c r="E94" s="387" t="str">
        <x:f>IF($D94="","",MAX(0,TODAY()-INT($D94)))</x:f>
      </x:c>
      <x:c r="F94" s="385" t="str">
        <x:f>IF($A94="","",IF(INDEX('Source Register'!$Z$3:$Z$302,MATCH($A94,'Source Register'!$A$3:$A$302,0))="FAIL",INDEX('Source Register'!$AH$3:$AH$302,MATCH($A94,'Source Register'!$A$3:$A$302,0)),"IMPACT REVIEW"))</x:f>
      </x:c>
      <x:c r="G94" s="385" t="str">
        <x:f>IF($A94="","",INDEX('Source Register'!$I$3:$I$302,MATCH($A94,'Source Register'!$A$3:$A$302,0)))</x:f>
      </x:c>
      <x:c r="H94" s="385" t="str">
        <x:f>IF($A94="","",INDEX('Source Register'!$AD$3:$AD$302,MATCH($A94,'Source Register'!$A$3:$A$302,0)))</x:f>
      </x:c>
      <x:c r="I94" s="385" t="str">
        <x:f>IF($A94="","",INDEX('Source Register'!$AQ$3:$AQ$302,MATCH($A94,'Source Register'!$A$3:$A$302,0)))</x:f>
      </x:c>
      <x:c r="J94" s="385" t="str">
        <x:f>IF($A94="","",IF($E94&gt;$I$46,"OVERDUE","OPEN"))</x:f>
      </x:c>
      <x:c r="K94" s="385" t="str">
        <x:f>IF($A94="","",IF(INDEX('Source Register'!$Z$3:$Z$302,MATCH($A94,'Source Register'!$A$3:$A$302,0))="FAIL",INDEX('Source Register'!$AI$3:$AI$302,MATCH($A94,'Source Register'!$A$3:$A$302,0)),"Rolling source content changed; review downstream Requirement impact."))</x:f>
      </x:c>
      <x:c r="N94" s="381" t="str">
        <x:f>IF('Source Register'!AJ94="YES",COUNTIF('Source Register'!$AJ$3:'Source Register'!AJ94,"YES"),"")</x:f>
      </x:c>
    </x:row>
    <x:row r="95" ht="34" customHeight="1">
      <x:c r="A95" s="385" t="str">
        <x:f>IFERROR(INDEX('Source Register'!$A$3:$A$302,MATCH(ROWS($A$54:A95),$N$3:$N$302,0)),"")</x:f>
      </x:c>
      <x:c r="B95" s="385" t="str">
        <x:f>IF($A95="","",INDEX('Source Register'!$C$3:$C$302,MATCH($A95,'Source Register'!$A$3:$A$302,0)))</x:f>
      </x:c>
      <x:c r="C95" s="385" t="str">
        <x:f>IF($A95="","",IF(INDEX('Source Register'!$Z$3:$Z$302,MATCH($A95,'Source Register'!$A$3:$A$302,0))="FAIL","DOWNLOAD FAILURE","ROLLING CONTENT CHANGED"))</x:f>
      </x:c>
      <x:c r="D95" s="386" t="str">
        <x:f>IF($A95="","",IF(INDEX('Source Register'!$Z$3:$Z$302,MATCH($A95,'Source Register'!$A$3:$A$302,0))="FAIL",INDEX('Source Register'!$AA$3:$AA$302,MATCH($A95,'Source Register'!$A$3:$A$302,0)),INDEX('Source Register'!$AB$3:$AB$302,MATCH($A95,'Source Register'!$A$3:$A$302,0))))</x:f>
      </x:c>
      <x:c r="E95" s="387" t="str">
        <x:f>IF($D95="","",MAX(0,TODAY()-INT($D95)))</x:f>
      </x:c>
      <x:c r="F95" s="385" t="str">
        <x:f>IF($A95="","",IF(INDEX('Source Register'!$Z$3:$Z$302,MATCH($A95,'Source Register'!$A$3:$A$302,0))="FAIL",INDEX('Source Register'!$AH$3:$AH$302,MATCH($A95,'Source Register'!$A$3:$A$302,0)),"IMPACT REVIEW"))</x:f>
      </x:c>
      <x:c r="G95" s="385" t="str">
        <x:f>IF($A95="","",INDEX('Source Register'!$I$3:$I$302,MATCH($A95,'Source Register'!$A$3:$A$302,0)))</x:f>
      </x:c>
      <x:c r="H95" s="385" t="str">
        <x:f>IF($A95="","",INDEX('Source Register'!$AD$3:$AD$302,MATCH($A95,'Source Register'!$A$3:$A$302,0)))</x:f>
      </x:c>
      <x:c r="I95" s="385" t="str">
        <x:f>IF($A95="","",INDEX('Source Register'!$AQ$3:$AQ$302,MATCH($A95,'Source Register'!$A$3:$A$302,0)))</x:f>
      </x:c>
      <x:c r="J95" s="385" t="str">
        <x:f>IF($A95="","",IF($E95&gt;$I$46,"OVERDUE","OPEN"))</x:f>
      </x:c>
      <x:c r="K95" s="385" t="str">
        <x:f>IF($A95="","",IF(INDEX('Source Register'!$Z$3:$Z$302,MATCH($A95,'Source Register'!$A$3:$A$302,0))="FAIL",INDEX('Source Register'!$AI$3:$AI$302,MATCH($A95,'Source Register'!$A$3:$A$302,0)),"Rolling source content changed; review downstream Requirement impact."))</x:f>
      </x:c>
      <x:c r="N95" s="381" t="str">
        <x:f>IF('Source Register'!AJ95="YES",COUNTIF('Source Register'!$AJ$3:'Source Register'!AJ95,"YES"),"")</x:f>
      </x:c>
    </x:row>
    <x:row r="96" ht="34" customHeight="1">
      <x:c r="A96" s="385" t="str">
        <x:f>IFERROR(INDEX('Source Register'!$A$3:$A$302,MATCH(ROWS($A$54:A96),$N$3:$N$302,0)),"")</x:f>
      </x:c>
      <x:c r="B96" s="385" t="str">
        <x:f>IF($A96="","",INDEX('Source Register'!$C$3:$C$302,MATCH($A96,'Source Register'!$A$3:$A$302,0)))</x:f>
      </x:c>
      <x:c r="C96" s="385" t="str">
        <x:f>IF($A96="","",IF(INDEX('Source Register'!$Z$3:$Z$302,MATCH($A96,'Source Register'!$A$3:$A$302,0))="FAIL","DOWNLOAD FAILURE","ROLLING CONTENT CHANGED"))</x:f>
      </x:c>
      <x:c r="D96" s="386" t="str">
        <x:f>IF($A96="","",IF(INDEX('Source Register'!$Z$3:$Z$302,MATCH($A96,'Source Register'!$A$3:$A$302,0))="FAIL",INDEX('Source Register'!$AA$3:$AA$302,MATCH($A96,'Source Register'!$A$3:$A$302,0)),INDEX('Source Register'!$AB$3:$AB$302,MATCH($A96,'Source Register'!$A$3:$A$302,0))))</x:f>
      </x:c>
      <x:c r="E96" s="387" t="str">
        <x:f>IF($D96="","",MAX(0,TODAY()-INT($D96)))</x:f>
      </x:c>
      <x:c r="F96" s="385" t="str">
        <x:f>IF($A96="","",IF(INDEX('Source Register'!$Z$3:$Z$302,MATCH($A96,'Source Register'!$A$3:$A$302,0))="FAIL",INDEX('Source Register'!$AH$3:$AH$302,MATCH($A96,'Source Register'!$A$3:$A$302,0)),"IMPACT REVIEW"))</x:f>
      </x:c>
      <x:c r="G96" s="385" t="str">
        <x:f>IF($A96="","",INDEX('Source Register'!$I$3:$I$302,MATCH($A96,'Source Register'!$A$3:$A$302,0)))</x:f>
      </x:c>
      <x:c r="H96" s="385" t="str">
        <x:f>IF($A96="","",INDEX('Source Register'!$AD$3:$AD$302,MATCH($A96,'Source Register'!$A$3:$A$302,0)))</x:f>
      </x:c>
      <x:c r="I96" s="385" t="str">
        <x:f>IF($A96="","",INDEX('Source Register'!$AQ$3:$AQ$302,MATCH($A96,'Source Register'!$A$3:$A$302,0)))</x:f>
      </x:c>
      <x:c r="J96" s="385" t="str">
        <x:f>IF($A96="","",IF($E96&gt;$I$46,"OVERDUE","OPEN"))</x:f>
      </x:c>
      <x:c r="K96" s="385" t="str">
        <x:f>IF($A96="","",IF(INDEX('Source Register'!$Z$3:$Z$302,MATCH($A96,'Source Register'!$A$3:$A$302,0))="FAIL",INDEX('Source Register'!$AI$3:$AI$302,MATCH($A96,'Source Register'!$A$3:$A$302,0)),"Rolling source content changed; review downstream Requirement impact."))</x:f>
      </x:c>
      <x:c r="N96" s="381" t="str">
        <x:f>IF('Source Register'!AJ96="YES",COUNTIF('Source Register'!$AJ$3:'Source Register'!AJ96,"YES"),"")</x:f>
      </x:c>
    </x:row>
    <x:row r="97" ht="34" customHeight="1">
      <x:c r="A97" s="385" t="str">
        <x:f>IFERROR(INDEX('Source Register'!$A$3:$A$302,MATCH(ROWS($A$54:A97),$N$3:$N$302,0)),"")</x:f>
      </x:c>
      <x:c r="B97" s="385" t="str">
        <x:f>IF($A97="","",INDEX('Source Register'!$C$3:$C$302,MATCH($A97,'Source Register'!$A$3:$A$302,0)))</x:f>
      </x:c>
      <x:c r="C97" s="385" t="str">
        <x:f>IF($A97="","",IF(INDEX('Source Register'!$Z$3:$Z$302,MATCH($A97,'Source Register'!$A$3:$A$302,0))="FAIL","DOWNLOAD FAILURE","ROLLING CONTENT CHANGED"))</x:f>
      </x:c>
      <x:c r="D97" s="386" t="str">
        <x:f>IF($A97="","",IF(INDEX('Source Register'!$Z$3:$Z$302,MATCH($A97,'Source Register'!$A$3:$A$302,0))="FAIL",INDEX('Source Register'!$AA$3:$AA$302,MATCH($A97,'Source Register'!$A$3:$A$302,0)),INDEX('Source Register'!$AB$3:$AB$302,MATCH($A97,'Source Register'!$A$3:$A$302,0))))</x:f>
      </x:c>
      <x:c r="E97" s="387" t="str">
        <x:f>IF($D97="","",MAX(0,TODAY()-INT($D97)))</x:f>
      </x:c>
      <x:c r="F97" s="385" t="str">
        <x:f>IF($A97="","",IF(INDEX('Source Register'!$Z$3:$Z$302,MATCH($A97,'Source Register'!$A$3:$A$302,0))="FAIL",INDEX('Source Register'!$AH$3:$AH$302,MATCH($A97,'Source Register'!$A$3:$A$302,0)),"IMPACT REVIEW"))</x:f>
      </x:c>
      <x:c r="G97" s="385" t="str">
        <x:f>IF($A97="","",INDEX('Source Register'!$I$3:$I$302,MATCH($A97,'Source Register'!$A$3:$A$302,0)))</x:f>
      </x:c>
      <x:c r="H97" s="385" t="str">
        <x:f>IF($A97="","",INDEX('Source Register'!$AD$3:$AD$302,MATCH($A97,'Source Register'!$A$3:$A$302,0)))</x:f>
      </x:c>
      <x:c r="I97" s="385" t="str">
        <x:f>IF($A97="","",INDEX('Source Register'!$AQ$3:$AQ$302,MATCH($A97,'Source Register'!$A$3:$A$302,0)))</x:f>
      </x:c>
      <x:c r="J97" s="385" t="str">
        <x:f>IF($A97="","",IF($E97&gt;$I$46,"OVERDUE","OPEN"))</x:f>
      </x:c>
      <x:c r="K97" s="385" t="str">
        <x:f>IF($A97="","",IF(INDEX('Source Register'!$Z$3:$Z$302,MATCH($A97,'Source Register'!$A$3:$A$302,0))="FAIL",INDEX('Source Register'!$AI$3:$AI$302,MATCH($A97,'Source Register'!$A$3:$A$302,0)),"Rolling source content changed; review downstream Requirement impact."))</x:f>
      </x:c>
      <x:c r="N97" s="381" t="str">
        <x:f>IF('Source Register'!AJ97="YES",COUNTIF('Source Register'!$AJ$3:'Source Register'!AJ97,"YES"),"")</x:f>
      </x:c>
    </x:row>
    <x:row r="98" ht="34" customHeight="1">
      <x:c r="A98" s="385" t="str">
        <x:f>IFERROR(INDEX('Source Register'!$A$3:$A$302,MATCH(ROWS($A$54:A98),$N$3:$N$302,0)),"")</x:f>
      </x:c>
      <x:c r="B98" s="385" t="str">
        <x:f>IF($A98="","",INDEX('Source Register'!$C$3:$C$302,MATCH($A98,'Source Register'!$A$3:$A$302,0)))</x:f>
      </x:c>
      <x:c r="C98" s="385" t="str">
        <x:f>IF($A98="","",IF(INDEX('Source Register'!$Z$3:$Z$302,MATCH($A98,'Source Register'!$A$3:$A$302,0))="FAIL","DOWNLOAD FAILURE","ROLLING CONTENT CHANGED"))</x:f>
      </x:c>
      <x:c r="D98" s="386" t="str">
        <x:f>IF($A98="","",IF(INDEX('Source Register'!$Z$3:$Z$302,MATCH($A98,'Source Register'!$A$3:$A$302,0))="FAIL",INDEX('Source Register'!$AA$3:$AA$302,MATCH($A98,'Source Register'!$A$3:$A$302,0)),INDEX('Source Register'!$AB$3:$AB$302,MATCH($A98,'Source Register'!$A$3:$A$302,0))))</x:f>
      </x:c>
      <x:c r="E98" s="387" t="str">
        <x:f>IF($D98="","",MAX(0,TODAY()-INT($D98)))</x:f>
      </x:c>
      <x:c r="F98" s="385" t="str">
        <x:f>IF($A98="","",IF(INDEX('Source Register'!$Z$3:$Z$302,MATCH($A98,'Source Register'!$A$3:$A$302,0))="FAIL",INDEX('Source Register'!$AH$3:$AH$302,MATCH($A98,'Source Register'!$A$3:$A$302,0)),"IMPACT REVIEW"))</x:f>
      </x:c>
      <x:c r="G98" s="385" t="str">
        <x:f>IF($A98="","",INDEX('Source Register'!$I$3:$I$302,MATCH($A98,'Source Register'!$A$3:$A$302,0)))</x:f>
      </x:c>
      <x:c r="H98" s="385" t="str">
        <x:f>IF($A98="","",INDEX('Source Register'!$AD$3:$AD$302,MATCH($A98,'Source Register'!$A$3:$A$302,0)))</x:f>
      </x:c>
      <x:c r="I98" s="385" t="str">
        <x:f>IF($A98="","",INDEX('Source Register'!$AQ$3:$AQ$302,MATCH($A98,'Source Register'!$A$3:$A$302,0)))</x:f>
      </x:c>
      <x:c r="J98" s="385" t="str">
        <x:f>IF($A98="","",IF($E98&gt;$I$46,"OVERDUE","OPEN"))</x:f>
      </x:c>
      <x:c r="K98" s="385" t="str">
        <x:f>IF($A98="","",IF(INDEX('Source Register'!$Z$3:$Z$302,MATCH($A98,'Source Register'!$A$3:$A$302,0))="FAIL",INDEX('Source Register'!$AI$3:$AI$302,MATCH($A98,'Source Register'!$A$3:$A$302,0)),"Rolling source content changed; review downstream Requirement impact."))</x:f>
      </x:c>
      <x:c r="N98" s="381" t="str">
        <x:f>IF('Source Register'!AJ98="YES",COUNTIF('Source Register'!$AJ$3:'Source Register'!AJ98,"YES"),"")</x:f>
      </x:c>
    </x:row>
    <x:row r="99" ht="34" customHeight="1">
      <x:c r="A99" s="385" t="str">
        <x:f>IFERROR(INDEX('Source Register'!$A$3:$A$302,MATCH(ROWS($A$54:A99),$N$3:$N$302,0)),"")</x:f>
      </x:c>
      <x:c r="B99" s="385" t="str">
        <x:f>IF($A99="","",INDEX('Source Register'!$C$3:$C$302,MATCH($A99,'Source Register'!$A$3:$A$302,0)))</x:f>
      </x:c>
      <x:c r="C99" s="385" t="str">
        <x:f>IF($A99="","",IF(INDEX('Source Register'!$Z$3:$Z$302,MATCH($A99,'Source Register'!$A$3:$A$302,0))="FAIL","DOWNLOAD FAILURE","ROLLING CONTENT CHANGED"))</x:f>
      </x:c>
      <x:c r="D99" s="386" t="str">
        <x:f>IF($A99="","",IF(INDEX('Source Register'!$Z$3:$Z$302,MATCH($A99,'Source Register'!$A$3:$A$302,0))="FAIL",INDEX('Source Register'!$AA$3:$AA$302,MATCH($A99,'Source Register'!$A$3:$A$302,0)),INDEX('Source Register'!$AB$3:$AB$302,MATCH($A99,'Source Register'!$A$3:$A$302,0))))</x:f>
      </x:c>
      <x:c r="E99" s="387" t="str">
        <x:f>IF($D99="","",MAX(0,TODAY()-INT($D99)))</x:f>
      </x:c>
      <x:c r="F99" s="385" t="str">
        <x:f>IF($A99="","",IF(INDEX('Source Register'!$Z$3:$Z$302,MATCH($A99,'Source Register'!$A$3:$A$302,0))="FAIL",INDEX('Source Register'!$AH$3:$AH$302,MATCH($A99,'Source Register'!$A$3:$A$302,0)),"IMPACT REVIEW"))</x:f>
      </x:c>
      <x:c r="G99" s="385" t="str">
        <x:f>IF($A99="","",INDEX('Source Register'!$I$3:$I$302,MATCH($A99,'Source Register'!$A$3:$A$302,0)))</x:f>
      </x:c>
      <x:c r="H99" s="385" t="str">
        <x:f>IF($A99="","",INDEX('Source Register'!$AD$3:$AD$302,MATCH($A99,'Source Register'!$A$3:$A$302,0)))</x:f>
      </x:c>
      <x:c r="I99" s="385" t="str">
        <x:f>IF($A99="","",INDEX('Source Register'!$AQ$3:$AQ$302,MATCH($A99,'Source Register'!$A$3:$A$302,0)))</x:f>
      </x:c>
      <x:c r="J99" s="385" t="str">
        <x:f>IF($A99="","",IF($E99&gt;$I$46,"OVERDUE","OPEN"))</x:f>
      </x:c>
      <x:c r="K99" s="385" t="str">
        <x:f>IF($A99="","",IF(INDEX('Source Register'!$Z$3:$Z$302,MATCH($A99,'Source Register'!$A$3:$A$302,0))="FAIL",INDEX('Source Register'!$AI$3:$AI$302,MATCH($A99,'Source Register'!$A$3:$A$302,0)),"Rolling source content changed; review downstream Requirement impact."))</x:f>
      </x:c>
      <x:c r="N99" s="381" t="str">
        <x:f>IF('Source Register'!AJ99="YES",COUNTIF('Source Register'!$AJ$3:'Source Register'!AJ99,"YES"),"")</x:f>
      </x:c>
    </x:row>
    <x:row r="100" ht="34" customHeight="1">
      <x:c r="A100" s="385" t="str">
        <x:f>IFERROR(INDEX('Source Register'!$A$3:$A$302,MATCH(ROWS($A$54:A100),$N$3:$N$302,0)),"")</x:f>
      </x:c>
      <x:c r="B100" s="385" t="str">
        <x:f>IF($A100="","",INDEX('Source Register'!$C$3:$C$302,MATCH($A100,'Source Register'!$A$3:$A$302,0)))</x:f>
      </x:c>
      <x:c r="C100" s="385" t="str">
        <x:f>IF($A100="","",IF(INDEX('Source Register'!$Z$3:$Z$302,MATCH($A100,'Source Register'!$A$3:$A$302,0))="FAIL","DOWNLOAD FAILURE","ROLLING CONTENT CHANGED"))</x:f>
      </x:c>
      <x:c r="D100" s="386" t="str">
        <x:f>IF($A100="","",IF(INDEX('Source Register'!$Z$3:$Z$302,MATCH($A100,'Source Register'!$A$3:$A$302,0))="FAIL",INDEX('Source Register'!$AA$3:$AA$302,MATCH($A100,'Source Register'!$A$3:$A$302,0)),INDEX('Source Register'!$AB$3:$AB$302,MATCH($A100,'Source Register'!$A$3:$A$302,0))))</x:f>
      </x:c>
      <x:c r="E100" s="387" t="str">
        <x:f>IF($D100="","",MAX(0,TODAY()-INT($D100)))</x:f>
      </x:c>
      <x:c r="F100" s="385" t="str">
        <x:f>IF($A100="","",IF(INDEX('Source Register'!$Z$3:$Z$302,MATCH($A100,'Source Register'!$A$3:$A$302,0))="FAIL",INDEX('Source Register'!$AH$3:$AH$302,MATCH($A100,'Source Register'!$A$3:$A$302,0)),"IMPACT REVIEW"))</x:f>
      </x:c>
      <x:c r="G100" s="385" t="str">
        <x:f>IF($A100="","",INDEX('Source Register'!$I$3:$I$302,MATCH($A100,'Source Register'!$A$3:$A$302,0)))</x:f>
      </x:c>
      <x:c r="H100" s="385" t="str">
        <x:f>IF($A100="","",INDEX('Source Register'!$AD$3:$AD$302,MATCH($A100,'Source Register'!$A$3:$A$302,0)))</x:f>
      </x:c>
      <x:c r="I100" s="385" t="str">
        <x:f>IF($A100="","",INDEX('Source Register'!$AQ$3:$AQ$302,MATCH($A100,'Source Register'!$A$3:$A$302,0)))</x:f>
      </x:c>
      <x:c r="J100" s="385" t="str">
        <x:f>IF($A100="","",IF($E100&gt;$I$46,"OVERDUE","OPEN"))</x:f>
      </x:c>
      <x:c r="K100" s="385" t="str">
        <x:f>IF($A100="","",IF(INDEX('Source Register'!$Z$3:$Z$302,MATCH($A100,'Source Register'!$A$3:$A$302,0))="FAIL",INDEX('Source Register'!$AI$3:$AI$302,MATCH($A100,'Source Register'!$A$3:$A$302,0)),"Rolling source content changed; review downstream Requirement impact."))</x:f>
      </x:c>
      <x:c r="N100" s="381" t="str">
        <x:f>IF('Source Register'!AJ100="YES",COUNTIF('Source Register'!$AJ$3:'Source Register'!AJ100,"YES"),"")</x:f>
      </x:c>
    </x:row>
    <x:row r="101" ht="34" customHeight="1">
      <x:c r="A101" s="385" t="str">
        <x:f>IFERROR(INDEX('Source Register'!$A$3:$A$302,MATCH(ROWS($A$54:A101),$N$3:$N$302,0)),"")</x:f>
      </x:c>
      <x:c r="B101" s="385" t="str">
        <x:f>IF($A101="","",INDEX('Source Register'!$C$3:$C$302,MATCH($A101,'Source Register'!$A$3:$A$302,0)))</x:f>
      </x:c>
      <x:c r="C101" s="385" t="str">
        <x:f>IF($A101="","",IF(INDEX('Source Register'!$Z$3:$Z$302,MATCH($A101,'Source Register'!$A$3:$A$302,0))="FAIL","DOWNLOAD FAILURE","ROLLING CONTENT CHANGED"))</x:f>
      </x:c>
      <x:c r="D101" s="386" t="str">
        <x:f>IF($A101="","",IF(INDEX('Source Register'!$Z$3:$Z$302,MATCH($A101,'Source Register'!$A$3:$A$302,0))="FAIL",INDEX('Source Register'!$AA$3:$AA$302,MATCH($A101,'Source Register'!$A$3:$A$302,0)),INDEX('Source Register'!$AB$3:$AB$302,MATCH($A101,'Source Register'!$A$3:$A$302,0))))</x:f>
      </x:c>
      <x:c r="E101" s="387" t="str">
        <x:f>IF($D101="","",MAX(0,TODAY()-INT($D101)))</x:f>
      </x:c>
      <x:c r="F101" s="385" t="str">
        <x:f>IF($A101="","",IF(INDEX('Source Register'!$Z$3:$Z$302,MATCH($A101,'Source Register'!$A$3:$A$302,0))="FAIL",INDEX('Source Register'!$AH$3:$AH$302,MATCH($A101,'Source Register'!$A$3:$A$302,0)),"IMPACT REVIEW"))</x:f>
      </x:c>
      <x:c r="G101" s="385" t="str">
        <x:f>IF($A101="","",INDEX('Source Register'!$I$3:$I$302,MATCH($A101,'Source Register'!$A$3:$A$302,0)))</x:f>
      </x:c>
      <x:c r="H101" s="385" t="str">
        <x:f>IF($A101="","",INDEX('Source Register'!$AD$3:$AD$302,MATCH($A101,'Source Register'!$A$3:$A$302,0)))</x:f>
      </x:c>
      <x:c r="I101" s="385" t="str">
        <x:f>IF($A101="","",INDEX('Source Register'!$AQ$3:$AQ$302,MATCH($A101,'Source Register'!$A$3:$A$302,0)))</x:f>
      </x:c>
      <x:c r="J101" s="385" t="str">
        <x:f>IF($A101="","",IF($E101&gt;$I$46,"OVERDUE","OPEN"))</x:f>
      </x:c>
      <x:c r="K101" s="385" t="str">
        <x:f>IF($A101="","",IF(INDEX('Source Register'!$Z$3:$Z$302,MATCH($A101,'Source Register'!$A$3:$A$302,0))="FAIL",INDEX('Source Register'!$AI$3:$AI$302,MATCH($A101,'Source Register'!$A$3:$A$302,0)),"Rolling source content changed; review downstream Requirement impact."))</x:f>
      </x:c>
      <x:c r="N101" s="381" t="str">
        <x:f>IF('Source Register'!AJ101="YES",COUNTIF('Source Register'!$AJ$3:'Source Register'!AJ101,"YES"),"")</x:f>
      </x:c>
    </x:row>
    <x:row r="102" ht="34" customHeight="1">
      <x:c r="A102" s="385" t="str">
        <x:f>IFERROR(INDEX('Source Register'!$A$3:$A$302,MATCH(ROWS($A$54:A102),$N$3:$N$302,0)),"")</x:f>
      </x:c>
      <x:c r="B102" s="385" t="str">
        <x:f>IF($A102="","",INDEX('Source Register'!$C$3:$C$302,MATCH($A102,'Source Register'!$A$3:$A$302,0)))</x:f>
      </x:c>
      <x:c r="C102" s="385" t="str">
        <x:f>IF($A102="","",IF(INDEX('Source Register'!$Z$3:$Z$302,MATCH($A102,'Source Register'!$A$3:$A$302,0))="FAIL","DOWNLOAD FAILURE","ROLLING CONTENT CHANGED"))</x:f>
      </x:c>
      <x:c r="D102" s="386" t="str">
        <x:f>IF($A102="","",IF(INDEX('Source Register'!$Z$3:$Z$302,MATCH($A102,'Source Register'!$A$3:$A$302,0))="FAIL",INDEX('Source Register'!$AA$3:$AA$302,MATCH($A102,'Source Register'!$A$3:$A$302,0)),INDEX('Source Register'!$AB$3:$AB$302,MATCH($A102,'Source Register'!$A$3:$A$302,0))))</x:f>
      </x:c>
      <x:c r="E102" s="387" t="str">
        <x:f>IF($D102="","",MAX(0,TODAY()-INT($D102)))</x:f>
      </x:c>
      <x:c r="F102" s="385" t="str">
        <x:f>IF($A102="","",IF(INDEX('Source Register'!$Z$3:$Z$302,MATCH($A102,'Source Register'!$A$3:$A$302,0))="FAIL",INDEX('Source Register'!$AH$3:$AH$302,MATCH($A102,'Source Register'!$A$3:$A$302,0)),"IMPACT REVIEW"))</x:f>
      </x:c>
      <x:c r="G102" s="385" t="str">
        <x:f>IF($A102="","",INDEX('Source Register'!$I$3:$I$302,MATCH($A102,'Source Register'!$A$3:$A$302,0)))</x:f>
      </x:c>
      <x:c r="H102" s="385" t="str">
        <x:f>IF($A102="","",INDEX('Source Register'!$AD$3:$AD$302,MATCH($A102,'Source Register'!$A$3:$A$302,0)))</x:f>
      </x:c>
      <x:c r="I102" s="385" t="str">
        <x:f>IF($A102="","",INDEX('Source Register'!$AQ$3:$AQ$302,MATCH($A102,'Source Register'!$A$3:$A$302,0)))</x:f>
      </x:c>
      <x:c r="J102" s="385" t="str">
        <x:f>IF($A102="","",IF($E102&gt;$I$46,"OVERDUE","OPEN"))</x:f>
      </x:c>
      <x:c r="K102" s="385" t="str">
        <x:f>IF($A102="","",IF(INDEX('Source Register'!$Z$3:$Z$302,MATCH($A102,'Source Register'!$A$3:$A$302,0))="FAIL",INDEX('Source Register'!$AI$3:$AI$302,MATCH($A102,'Source Register'!$A$3:$A$302,0)),"Rolling source content changed; review downstream Requirement impact."))</x:f>
      </x:c>
      <x:c r="N102" s="381" t="str">
        <x:f>IF('Source Register'!AJ102="YES",COUNTIF('Source Register'!$AJ$3:'Source Register'!AJ102,"YES"),"")</x:f>
      </x:c>
    </x:row>
    <x:row r="103" ht="34" customHeight="1">
      <x:c r="A103" s="385" t="str">
        <x:f>IFERROR(INDEX('Source Register'!$A$3:$A$302,MATCH(ROWS($A$54:A103),$N$3:$N$302,0)),"")</x:f>
      </x:c>
      <x:c r="B103" s="385" t="str">
        <x:f>IF($A103="","",INDEX('Source Register'!$C$3:$C$302,MATCH($A103,'Source Register'!$A$3:$A$302,0)))</x:f>
      </x:c>
      <x:c r="C103" s="385" t="str">
        <x:f>IF($A103="","",IF(INDEX('Source Register'!$Z$3:$Z$302,MATCH($A103,'Source Register'!$A$3:$A$302,0))="FAIL","DOWNLOAD FAILURE","ROLLING CONTENT CHANGED"))</x:f>
      </x:c>
      <x:c r="D103" s="386" t="str">
        <x:f>IF($A103="","",IF(INDEX('Source Register'!$Z$3:$Z$302,MATCH($A103,'Source Register'!$A$3:$A$302,0))="FAIL",INDEX('Source Register'!$AA$3:$AA$302,MATCH($A103,'Source Register'!$A$3:$A$302,0)),INDEX('Source Register'!$AB$3:$AB$302,MATCH($A103,'Source Register'!$A$3:$A$302,0))))</x:f>
      </x:c>
      <x:c r="E103" s="387" t="str">
        <x:f>IF($D103="","",MAX(0,TODAY()-INT($D103)))</x:f>
      </x:c>
      <x:c r="F103" s="385" t="str">
        <x:f>IF($A103="","",IF(INDEX('Source Register'!$Z$3:$Z$302,MATCH($A103,'Source Register'!$A$3:$A$302,0))="FAIL",INDEX('Source Register'!$AH$3:$AH$302,MATCH($A103,'Source Register'!$A$3:$A$302,0)),"IMPACT REVIEW"))</x:f>
      </x:c>
      <x:c r="G103" s="385" t="str">
        <x:f>IF($A103="","",INDEX('Source Register'!$I$3:$I$302,MATCH($A103,'Source Register'!$A$3:$A$302,0)))</x:f>
      </x:c>
      <x:c r="H103" s="385" t="str">
        <x:f>IF($A103="","",INDEX('Source Register'!$AD$3:$AD$302,MATCH($A103,'Source Register'!$A$3:$A$302,0)))</x:f>
      </x:c>
      <x:c r="I103" s="385" t="str">
        <x:f>IF($A103="","",INDEX('Source Register'!$AQ$3:$AQ$302,MATCH($A103,'Source Register'!$A$3:$A$302,0)))</x:f>
      </x:c>
      <x:c r="J103" s="385" t="str">
        <x:f>IF($A103="","",IF($E103&gt;$I$46,"OVERDUE","OPEN"))</x:f>
      </x:c>
      <x:c r="K103" s="385" t="str">
        <x:f>IF($A103="","",IF(INDEX('Source Register'!$Z$3:$Z$302,MATCH($A103,'Source Register'!$A$3:$A$302,0))="FAIL",INDEX('Source Register'!$AI$3:$AI$302,MATCH($A103,'Source Register'!$A$3:$A$302,0)),"Rolling source content changed; review downstream Requirement impact."))</x:f>
      </x:c>
      <x:c r="N103" s="381" t="str">
        <x:f>IF('Source Register'!AJ103="YES",COUNTIF('Source Register'!$AJ$3:'Source Register'!AJ103,"YES"),"")</x:f>
      </x:c>
    </x:row>
    <x:row r="104" ht="34" customHeight="1">
      <x:c r="A104" s="385" t="str">
        <x:f>IFERROR(INDEX('Source Register'!$A$3:$A$302,MATCH(ROWS($A$54:A104),$N$3:$N$302,0)),"")</x:f>
      </x:c>
      <x:c r="B104" s="385" t="str">
        <x:f>IF($A104="","",INDEX('Source Register'!$C$3:$C$302,MATCH($A104,'Source Register'!$A$3:$A$302,0)))</x:f>
      </x:c>
      <x:c r="C104" s="385" t="str">
        <x:f>IF($A104="","",IF(INDEX('Source Register'!$Z$3:$Z$302,MATCH($A104,'Source Register'!$A$3:$A$302,0))="FAIL","DOWNLOAD FAILURE","ROLLING CONTENT CHANGED"))</x:f>
      </x:c>
      <x:c r="D104" s="386" t="str">
        <x:f>IF($A104="","",IF(INDEX('Source Register'!$Z$3:$Z$302,MATCH($A104,'Source Register'!$A$3:$A$302,0))="FAIL",INDEX('Source Register'!$AA$3:$AA$302,MATCH($A104,'Source Register'!$A$3:$A$302,0)),INDEX('Source Register'!$AB$3:$AB$302,MATCH($A104,'Source Register'!$A$3:$A$302,0))))</x:f>
      </x:c>
      <x:c r="E104" s="387" t="str">
        <x:f>IF($D104="","",MAX(0,TODAY()-INT($D104)))</x:f>
      </x:c>
      <x:c r="F104" s="385" t="str">
        <x:f>IF($A104="","",IF(INDEX('Source Register'!$Z$3:$Z$302,MATCH($A104,'Source Register'!$A$3:$A$302,0))="FAIL",INDEX('Source Register'!$AH$3:$AH$302,MATCH($A104,'Source Register'!$A$3:$A$302,0)),"IMPACT REVIEW"))</x:f>
      </x:c>
      <x:c r="G104" s="385" t="str">
        <x:f>IF($A104="","",INDEX('Source Register'!$I$3:$I$302,MATCH($A104,'Source Register'!$A$3:$A$302,0)))</x:f>
      </x:c>
      <x:c r="H104" s="385" t="str">
        <x:f>IF($A104="","",INDEX('Source Register'!$AD$3:$AD$302,MATCH($A104,'Source Register'!$A$3:$A$302,0)))</x:f>
      </x:c>
      <x:c r="I104" s="385" t="str">
        <x:f>IF($A104="","",INDEX('Source Register'!$AQ$3:$AQ$302,MATCH($A104,'Source Register'!$A$3:$A$302,0)))</x:f>
      </x:c>
      <x:c r="J104" s="385" t="str">
        <x:f>IF($A104="","",IF($E104&gt;$I$46,"OVERDUE","OPEN"))</x:f>
      </x:c>
      <x:c r="K104" s="385" t="str">
        <x:f>IF($A104="","",IF(INDEX('Source Register'!$Z$3:$Z$302,MATCH($A104,'Source Register'!$A$3:$A$302,0))="FAIL",INDEX('Source Register'!$AI$3:$AI$302,MATCH($A104,'Source Register'!$A$3:$A$302,0)),"Rolling source content changed; review downstream Requirement impact."))</x:f>
      </x:c>
      <x:c r="N104" s="381" t="str">
        <x:f>IF('Source Register'!AJ104="YES",COUNTIF('Source Register'!$AJ$3:'Source Register'!AJ104,"YES"),"")</x:f>
      </x:c>
    </x:row>
    <x:row r="105" ht="34" customHeight="1">
      <x:c r="A105" s="385" t="str">
        <x:f>IFERROR(INDEX('Source Register'!$A$3:$A$302,MATCH(ROWS($A$54:A105),$N$3:$N$302,0)),"")</x:f>
      </x:c>
      <x:c r="B105" s="385" t="str">
        <x:f>IF($A105="","",INDEX('Source Register'!$C$3:$C$302,MATCH($A105,'Source Register'!$A$3:$A$302,0)))</x:f>
      </x:c>
      <x:c r="C105" s="385" t="str">
        <x:f>IF($A105="","",IF(INDEX('Source Register'!$Z$3:$Z$302,MATCH($A105,'Source Register'!$A$3:$A$302,0))="FAIL","DOWNLOAD FAILURE","ROLLING CONTENT CHANGED"))</x:f>
      </x:c>
      <x:c r="D105" s="386" t="str">
        <x:f>IF($A105="","",IF(INDEX('Source Register'!$Z$3:$Z$302,MATCH($A105,'Source Register'!$A$3:$A$302,0))="FAIL",INDEX('Source Register'!$AA$3:$AA$302,MATCH($A105,'Source Register'!$A$3:$A$302,0)),INDEX('Source Register'!$AB$3:$AB$302,MATCH($A105,'Source Register'!$A$3:$A$302,0))))</x:f>
      </x:c>
      <x:c r="E105" s="387" t="str">
        <x:f>IF($D105="","",MAX(0,TODAY()-INT($D105)))</x:f>
      </x:c>
      <x:c r="F105" s="385" t="str">
        <x:f>IF($A105="","",IF(INDEX('Source Register'!$Z$3:$Z$302,MATCH($A105,'Source Register'!$A$3:$A$302,0))="FAIL",INDEX('Source Register'!$AH$3:$AH$302,MATCH($A105,'Source Register'!$A$3:$A$302,0)),"IMPACT REVIEW"))</x:f>
      </x:c>
      <x:c r="G105" s="385" t="str">
        <x:f>IF($A105="","",INDEX('Source Register'!$I$3:$I$302,MATCH($A105,'Source Register'!$A$3:$A$302,0)))</x:f>
      </x:c>
      <x:c r="H105" s="385" t="str">
        <x:f>IF($A105="","",INDEX('Source Register'!$AD$3:$AD$302,MATCH($A105,'Source Register'!$A$3:$A$302,0)))</x:f>
      </x:c>
      <x:c r="I105" s="385" t="str">
        <x:f>IF($A105="","",INDEX('Source Register'!$AQ$3:$AQ$302,MATCH($A105,'Source Register'!$A$3:$A$302,0)))</x:f>
      </x:c>
      <x:c r="J105" s="385" t="str">
        <x:f>IF($A105="","",IF($E105&gt;$I$46,"OVERDUE","OPEN"))</x:f>
      </x:c>
      <x:c r="K105" s="385" t="str">
        <x:f>IF($A105="","",IF(INDEX('Source Register'!$Z$3:$Z$302,MATCH($A105,'Source Register'!$A$3:$A$302,0))="FAIL",INDEX('Source Register'!$AI$3:$AI$302,MATCH($A105,'Source Register'!$A$3:$A$302,0)),"Rolling source content changed; review downstream Requirement impact."))</x:f>
      </x:c>
      <x:c r="N105" s="381" t="str">
        <x:f>IF('Source Register'!AJ105="YES",COUNTIF('Source Register'!$AJ$3:'Source Register'!AJ105,"YES"),"")</x:f>
      </x:c>
    </x:row>
    <x:row r="106" ht="34" customHeight="1">
      <x:c r="A106" s="385" t="str">
        <x:f>IFERROR(INDEX('Source Register'!$A$3:$A$302,MATCH(ROWS($A$54:A106),$N$3:$N$302,0)),"")</x:f>
      </x:c>
      <x:c r="B106" s="385" t="str">
        <x:f>IF($A106="","",INDEX('Source Register'!$C$3:$C$302,MATCH($A106,'Source Register'!$A$3:$A$302,0)))</x:f>
      </x:c>
      <x:c r="C106" s="385" t="str">
        <x:f>IF($A106="","",IF(INDEX('Source Register'!$Z$3:$Z$302,MATCH($A106,'Source Register'!$A$3:$A$302,0))="FAIL","DOWNLOAD FAILURE","ROLLING CONTENT CHANGED"))</x:f>
      </x:c>
      <x:c r="D106" s="386" t="str">
        <x:f>IF($A106="","",IF(INDEX('Source Register'!$Z$3:$Z$302,MATCH($A106,'Source Register'!$A$3:$A$302,0))="FAIL",INDEX('Source Register'!$AA$3:$AA$302,MATCH($A106,'Source Register'!$A$3:$A$302,0)),INDEX('Source Register'!$AB$3:$AB$302,MATCH($A106,'Source Register'!$A$3:$A$302,0))))</x:f>
      </x:c>
      <x:c r="E106" s="387" t="str">
        <x:f>IF($D106="","",MAX(0,TODAY()-INT($D106)))</x:f>
      </x:c>
      <x:c r="F106" s="385" t="str">
        <x:f>IF($A106="","",IF(INDEX('Source Register'!$Z$3:$Z$302,MATCH($A106,'Source Register'!$A$3:$A$302,0))="FAIL",INDEX('Source Register'!$AH$3:$AH$302,MATCH($A106,'Source Register'!$A$3:$A$302,0)),"IMPACT REVIEW"))</x:f>
      </x:c>
      <x:c r="G106" s="385" t="str">
        <x:f>IF($A106="","",INDEX('Source Register'!$I$3:$I$302,MATCH($A106,'Source Register'!$A$3:$A$302,0)))</x:f>
      </x:c>
      <x:c r="H106" s="385" t="str">
        <x:f>IF($A106="","",INDEX('Source Register'!$AD$3:$AD$302,MATCH($A106,'Source Register'!$A$3:$A$302,0)))</x:f>
      </x:c>
      <x:c r="I106" s="385" t="str">
        <x:f>IF($A106="","",INDEX('Source Register'!$AQ$3:$AQ$302,MATCH($A106,'Source Register'!$A$3:$A$302,0)))</x:f>
      </x:c>
      <x:c r="J106" s="385" t="str">
        <x:f>IF($A106="","",IF($E106&gt;$I$46,"OVERDUE","OPEN"))</x:f>
      </x:c>
      <x:c r="K106" s="385" t="str">
        <x:f>IF($A106="","",IF(INDEX('Source Register'!$Z$3:$Z$302,MATCH($A106,'Source Register'!$A$3:$A$302,0))="FAIL",INDEX('Source Register'!$AI$3:$AI$302,MATCH($A106,'Source Register'!$A$3:$A$302,0)),"Rolling source content changed; review downstream Requirement impact."))</x:f>
      </x:c>
      <x:c r="N106" s="381" t="str">
        <x:f>IF('Source Register'!AJ106="YES",COUNTIF('Source Register'!$AJ$3:'Source Register'!AJ106,"YES"),"")</x:f>
      </x:c>
    </x:row>
    <x:row r="107" ht="34" customHeight="1">
      <x:c r="A107" s="385" t="str">
        <x:f>IFERROR(INDEX('Source Register'!$A$3:$A$302,MATCH(ROWS($A$54:A107),$N$3:$N$302,0)),"")</x:f>
      </x:c>
      <x:c r="B107" s="385" t="str">
        <x:f>IF($A107="","",INDEX('Source Register'!$C$3:$C$302,MATCH($A107,'Source Register'!$A$3:$A$302,0)))</x:f>
      </x:c>
      <x:c r="C107" s="385" t="str">
        <x:f>IF($A107="","",IF(INDEX('Source Register'!$Z$3:$Z$302,MATCH($A107,'Source Register'!$A$3:$A$302,0))="FAIL","DOWNLOAD FAILURE","ROLLING CONTENT CHANGED"))</x:f>
      </x:c>
      <x:c r="D107" s="386" t="str">
        <x:f>IF($A107="","",IF(INDEX('Source Register'!$Z$3:$Z$302,MATCH($A107,'Source Register'!$A$3:$A$302,0))="FAIL",INDEX('Source Register'!$AA$3:$AA$302,MATCH($A107,'Source Register'!$A$3:$A$302,0)),INDEX('Source Register'!$AB$3:$AB$302,MATCH($A107,'Source Register'!$A$3:$A$302,0))))</x:f>
      </x:c>
      <x:c r="E107" s="387" t="str">
        <x:f>IF($D107="","",MAX(0,TODAY()-INT($D107)))</x:f>
      </x:c>
      <x:c r="F107" s="385" t="str">
        <x:f>IF($A107="","",IF(INDEX('Source Register'!$Z$3:$Z$302,MATCH($A107,'Source Register'!$A$3:$A$302,0))="FAIL",INDEX('Source Register'!$AH$3:$AH$302,MATCH($A107,'Source Register'!$A$3:$A$302,0)),"IMPACT REVIEW"))</x:f>
      </x:c>
      <x:c r="G107" s="385" t="str">
        <x:f>IF($A107="","",INDEX('Source Register'!$I$3:$I$302,MATCH($A107,'Source Register'!$A$3:$A$302,0)))</x:f>
      </x:c>
      <x:c r="H107" s="385" t="str">
        <x:f>IF($A107="","",INDEX('Source Register'!$AD$3:$AD$302,MATCH($A107,'Source Register'!$A$3:$A$302,0)))</x:f>
      </x:c>
      <x:c r="I107" s="385" t="str">
        <x:f>IF($A107="","",INDEX('Source Register'!$AQ$3:$AQ$302,MATCH($A107,'Source Register'!$A$3:$A$302,0)))</x:f>
      </x:c>
      <x:c r="J107" s="385" t="str">
        <x:f>IF($A107="","",IF($E107&gt;$I$46,"OVERDUE","OPEN"))</x:f>
      </x:c>
      <x:c r="K107" s="385" t="str">
        <x:f>IF($A107="","",IF(INDEX('Source Register'!$Z$3:$Z$302,MATCH($A107,'Source Register'!$A$3:$A$302,0))="FAIL",INDEX('Source Register'!$AI$3:$AI$302,MATCH($A107,'Source Register'!$A$3:$A$302,0)),"Rolling source content changed; review downstream Requirement impact."))</x:f>
      </x:c>
      <x:c r="N107" s="381" t="str">
        <x:f>IF('Source Register'!AJ107="YES",COUNTIF('Source Register'!$AJ$3:'Source Register'!AJ107,"YES"),"")</x:f>
      </x:c>
    </x:row>
    <x:row r="108" ht="34" customHeight="1">
      <x:c r="A108" s="385" t="str">
        <x:f>IFERROR(INDEX('Source Register'!$A$3:$A$302,MATCH(ROWS($A$54:A108),$N$3:$N$302,0)),"")</x:f>
      </x:c>
      <x:c r="B108" s="385" t="str">
        <x:f>IF($A108="","",INDEX('Source Register'!$C$3:$C$302,MATCH($A108,'Source Register'!$A$3:$A$302,0)))</x:f>
      </x:c>
      <x:c r="C108" s="385" t="str">
        <x:f>IF($A108="","",IF(INDEX('Source Register'!$Z$3:$Z$302,MATCH($A108,'Source Register'!$A$3:$A$302,0))="FAIL","DOWNLOAD FAILURE","ROLLING CONTENT CHANGED"))</x:f>
      </x:c>
      <x:c r="D108" s="386" t="str">
        <x:f>IF($A108="","",IF(INDEX('Source Register'!$Z$3:$Z$302,MATCH($A108,'Source Register'!$A$3:$A$302,0))="FAIL",INDEX('Source Register'!$AA$3:$AA$302,MATCH($A108,'Source Register'!$A$3:$A$302,0)),INDEX('Source Register'!$AB$3:$AB$302,MATCH($A108,'Source Register'!$A$3:$A$302,0))))</x:f>
      </x:c>
      <x:c r="E108" s="387" t="str">
        <x:f>IF($D108="","",MAX(0,TODAY()-INT($D108)))</x:f>
      </x:c>
      <x:c r="F108" s="385" t="str">
        <x:f>IF($A108="","",IF(INDEX('Source Register'!$Z$3:$Z$302,MATCH($A108,'Source Register'!$A$3:$A$302,0))="FAIL",INDEX('Source Register'!$AH$3:$AH$302,MATCH($A108,'Source Register'!$A$3:$A$302,0)),"IMPACT REVIEW"))</x:f>
      </x:c>
      <x:c r="G108" s="385" t="str">
        <x:f>IF($A108="","",INDEX('Source Register'!$I$3:$I$302,MATCH($A108,'Source Register'!$A$3:$A$302,0)))</x:f>
      </x:c>
      <x:c r="H108" s="385" t="str">
        <x:f>IF($A108="","",INDEX('Source Register'!$AD$3:$AD$302,MATCH($A108,'Source Register'!$A$3:$A$302,0)))</x:f>
      </x:c>
      <x:c r="I108" s="385" t="str">
        <x:f>IF($A108="","",INDEX('Source Register'!$AQ$3:$AQ$302,MATCH($A108,'Source Register'!$A$3:$A$302,0)))</x:f>
      </x:c>
      <x:c r="J108" s="385" t="str">
        <x:f>IF($A108="","",IF($E108&gt;$I$46,"OVERDUE","OPEN"))</x:f>
      </x:c>
      <x:c r="K108" s="385" t="str">
        <x:f>IF($A108="","",IF(INDEX('Source Register'!$Z$3:$Z$302,MATCH($A108,'Source Register'!$A$3:$A$302,0))="FAIL",INDEX('Source Register'!$AI$3:$AI$302,MATCH($A108,'Source Register'!$A$3:$A$302,0)),"Rolling source content changed; review downstream Requirement impact."))</x:f>
      </x:c>
      <x:c r="N108" s="381" t="str">
        <x:f>IF('Source Register'!AJ108="YES",COUNTIF('Source Register'!$AJ$3:'Source Register'!AJ108,"YES"),"")</x:f>
      </x:c>
    </x:row>
    <x:row r="109" ht="34" customHeight="1">
      <x:c r="A109" s="385" t="str">
        <x:f>IFERROR(INDEX('Source Register'!$A$3:$A$302,MATCH(ROWS($A$54:A109),$N$3:$N$302,0)),"")</x:f>
      </x:c>
      <x:c r="B109" s="385" t="str">
        <x:f>IF($A109="","",INDEX('Source Register'!$C$3:$C$302,MATCH($A109,'Source Register'!$A$3:$A$302,0)))</x:f>
      </x:c>
      <x:c r="C109" s="385" t="str">
        <x:f>IF($A109="","",IF(INDEX('Source Register'!$Z$3:$Z$302,MATCH($A109,'Source Register'!$A$3:$A$302,0))="FAIL","DOWNLOAD FAILURE","ROLLING CONTENT CHANGED"))</x:f>
      </x:c>
      <x:c r="D109" s="386" t="str">
        <x:f>IF($A109="","",IF(INDEX('Source Register'!$Z$3:$Z$302,MATCH($A109,'Source Register'!$A$3:$A$302,0))="FAIL",INDEX('Source Register'!$AA$3:$AA$302,MATCH($A109,'Source Register'!$A$3:$A$302,0)),INDEX('Source Register'!$AB$3:$AB$302,MATCH($A109,'Source Register'!$A$3:$A$302,0))))</x:f>
      </x:c>
      <x:c r="E109" s="387" t="str">
        <x:f>IF($D109="","",MAX(0,TODAY()-INT($D109)))</x:f>
      </x:c>
      <x:c r="F109" s="385" t="str">
        <x:f>IF($A109="","",IF(INDEX('Source Register'!$Z$3:$Z$302,MATCH($A109,'Source Register'!$A$3:$A$302,0))="FAIL",INDEX('Source Register'!$AH$3:$AH$302,MATCH($A109,'Source Register'!$A$3:$A$302,0)),"IMPACT REVIEW"))</x:f>
      </x:c>
      <x:c r="G109" s="385" t="str">
        <x:f>IF($A109="","",INDEX('Source Register'!$I$3:$I$302,MATCH($A109,'Source Register'!$A$3:$A$302,0)))</x:f>
      </x:c>
      <x:c r="H109" s="385" t="str">
        <x:f>IF($A109="","",INDEX('Source Register'!$AD$3:$AD$302,MATCH($A109,'Source Register'!$A$3:$A$302,0)))</x:f>
      </x:c>
      <x:c r="I109" s="385" t="str">
        <x:f>IF($A109="","",INDEX('Source Register'!$AQ$3:$AQ$302,MATCH($A109,'Source Register'!$A$3:$A$302,0)))</x:f>
      </x:c>
      <x:c r="J109" s="385" t="str">
        <x:f>IF($A109="","",IF($E109&gt;$I$46,"OVERDUE","OPEN"))</x:f>
      </x:c>
      <x:c r="K109" s="385" t="str">
        <x:f>IF($A109="","",IF(INDEX('Source Register'!$Z$3:$Z$302,MATCH($A109,'Source Register'!$A$3:$A$302,0))="FAIL",INDEX('Source Register'!$AI$3:$AI$302,MATCH($A109,'Source Register'!$A$3:$A$302,0)),"Rolling source content changed; review downstream Requirement impact."))</x:f>
      </x:c>
      <x:c r="N109" s="381" t="str">
        <x:f>IF('Source Register'!AJ109="YES",COUNTIF('Source Register'!$AJ$3:'Source Register'!AJ109,"YES"),"")</x:f>
      </x:c>
    </x:row>
    <x:row r="110" ht="34" customHeight="1">
      <x:c r="A110" s="385" t="str">
        <x:f>IFERROR(INDEX('Source Register'!$A$3:$A$302,MATCH(ROWS($A$54:A110),$N$3:$N$302,0)),"")</x:f>
      </x:c>
      <x:c r="B110" s="385" t="str">
        <x:f>IF($A110="","",INDEX('Source Register'!$C$3:$C$302,MATCH($A110,'Source Register'!$A$3:$A$302,0)))</x:f>
      </x:c>
      <x:c r="C110" s="385" t="str">
        <x:f>IF($A110="","",IF(INDEX('Source Register'!$Z$3:$Z$302,MATCH($A110,'Source Register'!$A$3:$A$302,0))="FAIL","DOWNLOAD FAILURE","ROLLING CONTENT CHANGED"))</x:f>
      </x:c>
      <x:c r="D110" s="386" t="str">
        <x:f>IF($A110="","",IF(INDEX('Source Register'!$Z$3:$Z$302,MATCH($A110,'Source Register'!$A$3:$A$302,0))="FAIL",INDEX('Source Register'!$AA$3:$AA$302,MATCH($A110,'Source Register'!$A$3:$A$302,0)),INDEX('Source Register'!$AB$3:$AB$302,MATCH($A110,'Source Register'!$A$3:$A$302,0))))</x:f>
      </x:c>
      <x:c r="E110" s="387" t="str">
        <x:f>IF($D110="","",MAX(0,TODAY()-INT($D110)))</x:f>
      </x:c>
      <x:c r="F110" s="385" t="str">
        <x:f>IF($A110="","",IF(INDEX('Source Register'!$Z$3:$Z$302,MATCH($A110,'Source Register'!$A$3:$A$302,0))="FAIL",INDEX('Source Register'!$AH$3:$AH$302,MATCH($A110,'Source Register'!$A$3:$A$302,0)),"IMPACT REVIEW"))</x:f>
      </x:c>
      <x:c r="G110" s="385" t="str">
        <x:f>IF($A110="","",INDEX('Source Register'!$I$3:$I$302,MATCH($A110,'Source Register'!$A$3:$A$302,0)))</x:f>
      </x:c>
      <x:c r="H110" s="385" t="str">
        <x:f>IF($A110="","",INDEX('Source Register'!$AD$3:$AD$302,MATCH($A110,'Source Register'!$A$3:$A$302,0)))</x:f>
      </x:c>
      <x:c r="I110" s="385" t="str">
        <x:f>IF($A110="","",INDEX('Source Register'!$AQ$3:$AQ$302,MATCH($A110,'Source Register'!$A$3:$A$302,0)))</x:f>
      </x:c>
      <x:c r="J110" s="385" t="str">
        <x:f>IF($A110="","",IF($E110&gt;$I$46,"OVERDUE","OPEN"))</x:f>
      </x:c>
      <x:c r="K110" s="385" t="str">
        <x:f>IF($A110="","",IF(INDEX('Source Register'!$Z$3:$Z$302,MATCH($A110,'Source Register'!$A$3:$A$302,0))="FAIL",INDEX('Source Register'!$AI$3:$AI$302,MATCH($A110,'Source Register'!$A$3:$A$302,0)),"Rolling source content changed; review downstream Requirement impact."))</x:f>
      </x:c>
      <x:c r="N110" s="381" t="str">
        <x:f>IF('Source Register'!AJ110="YES",COUNTIF('Source Register'!$AJ$3:'Source Register'!AJ110,"YES"),"")</x:f>
      </x:c>
    </x:row>
    <x:row r="111" ht="34" customHeight="1">
      <x:c r="A111" s="385" t="str">
        <x:f>IFERROR(INDEX('Source Register'!$A$3:$A$302,MATCH(ROWS($A$54:A111),$N$3:$N$302,0)),"")</x:f>
      </x:c>
      <x:c r="B111" s="385" t="str">
        <x:f>IF($A111="","",INDEX('Source Register'!$C$3:$C$302,MATCH($A111,'Source Register'!$A$3:$A$302,0)))</x:f>
      </x:c>
      <x:c r="C111" s="385" t="str">
        <x:f>IF($A111="","",IF(INDEX('Source Register'!$Z$3:$Z$302,MATCH($A111,'Source Register'!$A$3:$A$302,0))="FAIL","DOWNLOAD FAILURE","ROLLING CONTENT CHANGED"))</x:f>
      </x:c>
      <x:c r="D111" s="386" t="str">
        <x:f>IF($A111="","",IF(INDEX('Source Register'!$Z$3:$Z$302,MATCH($A111,'Source Register'!$A$3:$A$302,0))="FAIL",INDEX('Source Register'!$AA$3:$AA$302,MATCH($A111,'Source Register'!$A$3:$A$302,0)),INDEX('Source Register'!$AB$3:$AB$302,MATCH($A111,'Source Register'!$A$3:$A$302,0))))</x:f>
      </x:c>
      <x:c r="E111" s="387" t="str">
        <x:f>IF($D111="","",MAX(0,TODAY()-INT($D111)))</x:f>
      </x:c>
      <x:c r="F111" s="385" t="str">
        <x:f>IF($A111="","",IF(INDEX('Source Register'!$Z$3:$Z$302,MATCH($A111,'Source Register'!$A$3:$A$302,0))="FAIL",INDEX('Source Register'!$AH$3:$AH$302,MATCH($A111,'Source Register'!$A$3:$A$302,0)),"IMPACT REVIEW"))</x:f>
      </x:c>
      <x:c r="G111" s="385" t="str">
        <x:f>IF($A111="","",INDEX('Source Register'!$I$3:$I$302,MATCH($A111,'Source Register'!$A$3:$A$302,0)))</x:f>
      </x:c>
      <x:c r="H111" s="385" t="str">
        <x:f>IF($A111="","",INDEX('Source Register'!$AD$3:$AD$302,MATCH($A111,'Source Register'!$A$3:$A$302,0)))</x:f>
      </x:c>
      <x:c r="I111" s="385" t="str">
        <x:f>IF($A111="","",INDEX('Source Register'!$AQ$3:$AQ$302,MATCH($A111,'Source Register'!$A$3:$A$302,0)))</x:f>
      </x:c>
      <x:c r="J111" s="385" t="str">
        <x:f>IF($A111="","",IF($E111&gt;$I$46,"OVERDUE","OPEN"))</x:f>
      </x:c>
      <x:c r="K111" s="385" t="str">
        <x:f>IF($A111="","",IF(INDEX('Source Register'!$Z$3:$Z$302,MATCH($A111,'Source Register'!$A$3:$A$302,0))="FAIL",INDEX('Source Register'!$AI$3:$AI$302,MATCH($A111,'Source Register'!$A$3:$A$302,0)),"Rolling source content changed; review downstream Requirement impact."))</x:f>
      </x:c>
      <x:c r="N111" s="381" t="str">
        <x:f>IF('Source Register'!AJ111="YES",COUNTIF('Source Register'!$AJ$3:'Source Register'!AJ111,"YES"),"")</x:f>
      </x:c>
    </x:row>
    <x:row r="112" ht="34" customHeight="1">
      <x:c r="A112" s="385" t="str">
        <x:f>IFERROR(INDEX('Source Register'!$A$3:$A$302,MATCH(ROWS($A$54:A112),$N$3:$N$302,0)),"")</x:f>
      </x:c>
      <x:c r="B112" s="385" t="str">
        <x:f>IF($A112="","",INDEX('Source Register'!$C$3:$C$302,MATCH($A112,'Source Register'!$A$3:$A$302,0)))</x:f>
      </x:c>
      <x:c r="C112" s="385" t="str">
        <x:f>IF($A112="","",IF(INDEX('Source Register'!$Z$3:$Z$302,MATCH($A112,'Source Register'!$A$3:$A$302,0))="FAIL","DOWNLOAD FAILURE","ROLLING CONTENT CHANGED"))</x:f>
      </x:c>
      <x:c r="D112" s="386" t="str">
        <x:f>IF($A112="","",IF(INDEX('Source Register'!$Z$3:$Z$302,MATCH($A112,'Source Register'!$A$3:$A$302,0))="FAIL",INDEX('Source Register'!$AA$3:$AA$302,MATCH($A112,'Source Register'!$A$3:$A$302,0)),INDEX('Source Register'!$AB$3:$AB$302,MATCH($A112,'Source Register'!$A$3:$A$302,0))))</x:f>
      </x:c>
      <x:c r="E112" s="387" t="str">
        <x:f>IF($D112="","",MAX(0,TODAY()-INT($D112)))</x:f>
      </x:c>
      <x:c r="F112" s="385" t="str">
        <x:f>IF($A112="","",IF(INDEX('Source Register'!$Z$3:$Z$302,MATCH($A112,'Source Register'!$A$3:$A$302,0))="FAIL",INDEX('Source Register'!$AH$3:$AH$302,MATCH($A112,'Source Register'!$A$3:$A$302,0)),"IMPACT REVIEW"))</x:f>
      </x:c>
      <x:c r="G112" s="385" t="str">
        <x:f>IF($A112="","",INDEX('Source Register'!$I$3:$I$302,MATCH($A112,'Source Register'!$A$3:$A$302,0)))</x:f>
      </x:c>
      <x:c r="H112" s="385" t="str">
        <x:f>IF($A112="","",INDEX('Source Register'!$AD$3:$AD$302,MATCH($A112,'Source Register'!$A$3:$A$302,0)))</x:f>
      </x:c>
      <x:c r="I112" s="385" t="str">
        <x:f>IF($A112="","",INDEX('Source Register'!$AQ$3:$AQ$302,MATCH($A112,'Source Register'!$A$3:$A$302,0)))</x:f>
      </x:c>
      <x:c r="J112" s="385" t="str">
        <x:f>IF($A112="","",IF($E112&gt;$I$46,"OVERDUE","OPEN"))</x:f>
      </x:c>
      <x:c r="K112" s="385" t="str">
        <x:f>IF($A112="","",IF(INDEX('Source Register'!$Z$3:$Z$302,MATCH($A112,'Source Register'!$A$3:$A$302,0))="FAIL",INDEX('Source Register'!$AI$3:$AI$302,MATCH($A112,'Source Register'!$A$3:$A$302,0)),"Rolling source content changed; review downstream Requirement impact."))</x:f>
      </x:c>
      <x:c r="N112" s="381" t="str">
        <x:f>IF('Source Register'!AJ112="YES",COUNTIF('Source Register'!$AJ$3:'Source Register'!AJ112,"YES"),"")</x:f>
      </x:c>
    </x:row>
    <x:row r="113" ht="34" customHeight="1">
      <x:c r="A113" s="385" t="str">
        <x:f>IFERROR(INDEX('Source Register'!$A$3:$A$302,MATCH(ROWS($A$54:A113),$N$3:$N$302,0)),"")</x:f>
      </x:c>
      <x:c r="B113" s="385" t="str">
        <x:f>IF($A113="","",INDEX('Source Register'!$C$3:$C$302,MATCH($A113,'Source Register'!$A$3:$A$302,0)))</x:f>
      </x:c>
      <x:c r="C113" s="385" t="str">
        <x:f>IF($A113="","",IF(INDEX('Source Register'!$Z$3:$Z$302,MATCH($A113,'Source Register'!$A$3:$A$302,0))="FAIL","DOWNLOAD FAILURE","ROLLING CONTENT CHANGED"))</x:f>
      </x:c>
      <x:c r="D113" s="386" t="str">
        <x:f>IF($A113="","",IF(INDEX('Source Register'!$Z$3:$Z$302,MATCH($A113,'Source Register'!$A$3:$A$302,0))="FAIL",INDEX('Source Register'!$AA$3:$AA$302,MATCH($A113,'Source Register'!$A$3:$A$302,0)),INDEX('Source Register'!$AB$3:$AB$302,MATCH($A113,'Source Register'!$A$3:$A$302,0))))</x:f>
      </x:c>
      <x:c r="E113" s="387" t="str">
        <x:f>IF($D113="","",MAX(0,TODAY()-INT($D113)))</x:f>
      </x:c>
      <x:c r="F113" s="385" t="str">
        <x:f>IF($A113="","",IF(INDEX('Source Register'!$Z$3:$Z$302,MATCH($A113,'Source Register'!$A$3:$A$302,0))="FAIL",INDEX('Source Register'!$AH$3:$AH$302,MATCH($A113,'Source Register'!$A$3:$A$302,0)),"IMPACT REVIEW"))</x:f>
      </x:c>
      <x:c r="G113" s="385" t="str">
        <x:f>IF($A113="","",INDEX('Source Register'!$I$3:$I$302,MATCH($A113,'Source Register'!$A$3:$A$302,0)))</x:f>
      </x:c>
      <x:c r="H113" s="385" t="str">
        <x:f>IF($A113="","",INDEX('Source Register'!$AD$3:$AD$302,MATCH($A113,'Source Register'!$A$3:$A$302,0)))</x:f>
      </x:c>
      <x:c r="I113" s="385" t="str">
        <x:f>IF($A113="","",INDEX('Source Register'!$AQ$3:$AQ$302,MATCH($A113,'Source Register'!$A$3:$A$302,0)))</x:f>
      </x:c>
      <x:c r="J113" s="385" t="str">
        <x:f>IF($A113="","",IF($E113&gt;$I$46,"OVERDUE","OPEN"))</x:f>
      </x:c>
      <x:c r="K113" s="385" t="str">
        <x:f>IF($A113="","",IF(INDEX('Source Register'!$Z$3:$Z$302,MATCH($A113,'Source Register'!$A$3:$A$302,0))="FAIL",INDEX('Source Register'!$AI$3:$AI$302,MATCH($A113,'Source Register'!$A$3:$A$302,0)),"Rolling source content changed; review downstream Requirement impact."))</x:f>
      </x:c>
      <x:c r="N113" s="381" t="str">
        <x:f>IF('Source Register'!AJ113="YES",COUNTIF('Source Register'!$AJ$3:'Source Register'!AJ113,"YES"),"")</x:f>
      </x:c>
    </x:row>
    <x:row r="114" ht="34" customHeight="1">
      <x:c r="A114" s="385" t="str">
        <x:f>IFERROR(INDEX('Source Register'!$A$3:$A$302,MATCH(ROWS($A$54:A114),$N$3:$N$302,0)),"")</x:f>
      </x:c>
      <x:c r="B114" s="385" t="str">
        <x:f>IF($A114="","",INDEX('Source Register'!$C$3:$C$302,MATCH($A114,'Source Register'!$A$3:$A$302,0)))</x:f>
      </x:c>
      <x:c r="C114" s="385" t="str">
        <x:f>IF($A114="","",IF(INDEX('Source Register'!$Z$3:$Z$302,MATCH($A114,'Source Register'!$A$3:$A$302,0))="FAIL","DOWNLOAD FAILURE","ROLLING CONTENT CHANGED"))</x:f>
      </x:c>
      <x:c r="D114" s="386" t="str">
        <x:f>IF($A114="","",IF(INDEX('Source Register'!$Z$3:$Z$302,MATCH($A114,'Source Register'!$A$3:$A$302,0))="FAIL",INDEX('Source Register'!$AA$3:$AA$302,MATCH($A114,'Source Register'!$A$3:$A$302,0)),INDEX('Source Register'!$AB$3:$AB$302,MATCH($A114,'Source Register'!$A$3:$A$302,0))))</x:f>
      </x:c>
      <x:c r="E114" s="387" t="str">
        <x:f>IF($D114="","",MAX(0,TODAY()-INT($D114)))</x:f>
      </x:c>
      <x:c r="F114" s="385" t="str">
        <x:f>IF($A114="","",IF(INDEX('Source Register'!$Z$3:$Z$302,MATCH($A114,'Source Register'!$A$3:$A$302,0))="FAIL",INDEX('Source Register'!$AH$3:$AH$302,MATCH($A114,'Source Register'!$A$3:$A$302,0)),"IMPACT REVIEW"))</x:f>
      </x:c>
      <x:c r="G114" s="385" t="str">
        <x:f>IF($A114="","",INDEX('Source Register'!$I$3:$I$302,MATCH($A114,'Source Register'!$A$3:$A$302,0)))</x:f>
      </x:c>
      <x:c r="H114" s="385" t="str">
        <x:f>IF($A114="","",INDEX('Source Register'!$AD$3:$AD$302,MATCH($A114,'Source Register'!$A$3:$A$302,0)))</x:f>
      </x:c>
      <x:c r="I114" s="385" t="str">
        <x:f>IF($A114="","",INDEX('Source Register'!$AQ$3:$AQ$302,MATCH($A114,'Source Register'!$A$3:$A$302,0)))</x:f>
      </x:c>
      <x:c r="J114" s="385" t="str">
        <x:f>IF($A114="","",IF($E114&gt;$I$46,"OVERDUE","OPEN"))</x:f>
      </x:c>
      <x:c r="K114" s="385" t="str">
        <x:f>IF($A114="","",IF(INDEX('Source Register'!$Z$3:$Z$302,MATCH($A114,'Source Register'!$A$3:$A$302,0))="FAIL",INDEX('Source Register'!$AI$3:$AI$302,MATCH($A114,'Source Register'!$A$3:$A$302,0)),"Rolling source content changed; review downstream Requirement impact."))</x:f>
      </x:c>
      <x:c r="N114" s="381" t="str">
        <x:f>IF('Source Register'!AJ114="YES",COUNTIF('Source Register'!$AJ$3:'Source Register'!AJ114,"YES"),"")</x:f>
      </x:c>
    </x:row>
    <x:row r="115" ht="34" customHeight="1">
      <x:c r="A115" s="385" t="str">
        <x:f>IFERROR(INDEX('Source Register'!$A$3:$A$302,MATCH(ROWS($A$54:A115),$N$3:$N$302,0)),"")</x:f>
      </x:c>
      <x:c r="B115" s="385" t="str">
        <x:f>IF($A115="","",INDEX('Source Register'!$C$3:$C$302,MATCH($A115,'Source Register'!$A$3:$A$302,0)))</x:f>
      </x:c>
      <x:c r="C115" s="385" t="str">
        <x:f>IF($A115="","",IF(INDEX('Source Register'!$Z$3:$Z$302,MATCH($A115,'Source Register'!$A$3:$A$302,0))="FAIL","DOWNLOAD FAILURE","ROLLING CONTENT CHANGED"))</x:f>
      </x:c>
      <x:c r="D115" s="386" t="str">
        <x:f>IF($A115="","",IF(INDEX('Source Register'!$Z$3:$Z$302,MATCH($A115,'Source Register'!$A$3:$A$302,0))="FAIL",INDEX('Source Register'!$AA$3:$AA$302,MATCH($A115,'Source Register'!$A$3:$A$302,0)),INDEX('Source Register'!$AB$3:$AB$302,MATCH($A115,'Source Register'!$A$3:$A$302,0))))</x:f>
      </x:c>
      <x:c r="E115" s="387" t="str">
        <x:f>IF($D115="","",MAX(0,TODAY()-INT($D115)))</x:f>
      </x:c>
      <x:c r="F115" s="385" t="str">
        <x:f>IF($A115="","",IF(INDEX('Source Register'!$Z$3:$Z$302,MATCH($A115,'Source Register'!$A$3:$A$302,0))="FAIL",INDEX('Source Register'!$AH$3:$AH$302,MATCH($A115,'Source Register'!$A$3:$A$302,0)),"IMPACT REVIEW"))</x:f>
      </x:c>
      <x:c r="G115" s="385" t="str">
        <x:f>IF($A115="","",INDEX('Source Register'!$I$3:$I$302,MATCH($A115,'Source Register'!$A$3:$A$302,0)))</x:f>
      </x:c>
      <x:c r="H115" s="385" t="str">
        <x:f>IF($A115="","",INDEX('Source Register'!$AD$3:$AD$302,MATCH($A115,'Source Register'!$A$3:$A$302,0)))</x:f>
      </x:c>
      <x:c r="I115" s="385" t="str">
        <x:f>IF($A115="","",INDEX('Source Register'!$AQ$3:$AQ$302,MATCH($A115,'Source Register'!$A$3:$A$302,0)))</x:f>
      </x:c>
      <x:c r="J115" s="385" t="str">
        <x:f>IF($A115="","",IF($E115&gt;$I$46,"OVERDUE","OPEN"))</x:f>
      </x:c>
      <x:c r="K115" s="385" t="str">
        <x:f>IF($A115="","",IF(INDEX('Source Register'!$Z$3:$Z$302,MATCH($A115,'Source Register'!$A$3:$A$302,0))="FAIL",INDEX('Source Register'!$AI$3:$AI$302,MATCH($A115,'Source Register'!$A$3:$A$302,0)),"Rolling source content changed; review downstream Requirement impact."))</x:f>
      </x:c>
      <x:c r="N115" s="381" t="str">
        <x:f>IF('Source Register'!AJ115="YES",COUNTIF('Source Register'!$AJ$3:'Source Register'!AJ115,"YES"),"")</x:f>
      </x:c>
    </x:row>
    <x:row r="116" ht="34" customHeight="1">
      <x:c r="A116" s="385" t="str">
        <x:f>IFERROR(INDEX('Source Register'!$A$3:$A$302,MATCH(ROWS($A$54:A116),$N$3:$N$302,0)),"")</x:f>
      </x:c>
      <x:c r="B116" s="385" t="str">
        <x:f>IF($A116="","",INDEX('Source Register'!$C$3:$C$302,MATCH($A116,'Source Register'!$A$3:$A$302,0)))</x:f>
      </x:c>
      <x:c r="C116" s="385" t="str">
        <x:f>IF($A116="","",IF(INDEX('Source Register'!$Z$3:$Z$302,MATCH($A116,'Source Register'!$A$3:$A$302,0))="FAIL","DOWNLOAD FAILURE","ROLLING CONTENT CHANGED"))</x:f>
      </x:c>
      <x:c r="D116" s="386" t="str">
        <x:f>IF($A116="","",IF(INDEX('Source Register'!$Z$3:$Z$302,MATCH($A116,'Source Register'!$A$3:$A$302,0))="FAIL",INDEX('Source Register'!$AA$3:$AA$302,MATCH($A116,'Source Register'!$A$3:$A$302,0)),INDEX('Source Register'!$AB$3:$AB$302,MATCH($A116,'Source Register'!$A$3:$A$302,0))))</x:f>
      </x:c>
      <x:c r="E116" s="387" t="str">
        <x:f>IF($D116="","",MAX(0,TODAY()-INT($D116)))</x:f>
      </x:c>
      <x:c r="F116" s="385" t="str">
        <x:f>IF($A116="","",IF(INDEX('Source Register'!$Z$3:$Z$302,MATCH($A116,'Source Register'!$A$3:$A$302,0))="FAIL",INDEX('Source Register'!$AH$3:$AH$302,MATCH($A116,'Source Register'!$A$3:$A$302,0)),"IMPACT REVIEW"))</x:f>
      </x:c>
      <x:c r="G116" s="385" t="str">
        <x:f>IF($A116="","",INDEX('Source Register'!$I$3:$I$302,MATCH($A116,'Source Register'!$A$3:$A$302,0)))</x:f>
      </x:c>
      <x:c r="H116" s="385" t="str">
        <x:f>IF($A116="","",INDEX('Source Register'!$AD$3:$AD$302,MATCH($A116,'Source Register'!$A$3:$A$302,0)))</x:f>
      </x:c>
      <x:c r="I116" s="385" t="str">
        <x:f>IF($A116="","",INDEX('Source Register'!$AQ$3:$AQ$302,MATCH($A116,'Source Register'!$A$3:$A$302,0)))</x:f>
      </x:c>
      <x:c r="J116" s="385" t="str">
        <x:f>IF($A116="","",IF($E116&gt;$I$46,"OVERDUE","OPEN"))</x:f>
      </x:c>
      <x:c r="K116" s="385" t="str">
        <x:f>IF($A116="","",IF(INDEX('Source Register'!$Z$3:$Z$302,MATCH($A116,'Source Register'!$A$3:$A$302,0))="FAIL",INDEX('Source Register'!$AI$3:$AI$302,MATCH($A116,'Source Register'!$A$3:$A$302,0)),"Rolling source content changed; review downstream Requirement impact."))</x:f>
      </x:c>
      <x:c r="N116" s="381" t="str">
        <x:f>IF('Source Register'!AJ116="YES",COUNTIF('Source Register'!$AJ$3:'Source Register'!AJ116,"YES"),"")</x:f>
      </x:c>
    </x:row>
    <x:row r="117" ht="34" customHeight="1">
      <x:c r="A117" s="385" t="str">
        <x:f>IFERROR(INDEX('Source Register'!$A$3:$A$302,MATCH(ROWS($A$54:A117),$N$3:$N$302,0)),"")</x:f>
      </x:c>
      <x:c r="B117" s="385" t="str">
        <x:f>IF($A117="","",INDEX('Source Register'!$C$3:$C$302,MATCH($A117,'Source Register'!$A$3:$A$302,0)))</x:f>
      </x:c>
      <x:c r="C117" s="385" t="str">
        <x:f>IF($A117="","",IF(INDEX('Source Register'!$Z$3:$Z$302,MATCH($A117,'Source Register'!$A$3:$A$302,0))="FAIL","DOWNLOAD FAILURE","ROLLING CONTENT CHANGED"))</x:f>
      </x:c>
      <x:c r="D117" s="386" t="str">
        <x:f>IF($A117="","",IF(INDEX('Source Register'!$Z$3:$Z$302,MATCH($A117,'Source Register'!$A$3:$A$302,0))="FAIL",INDEX('Source Register'!$AA$3:$AA$302,MATCH($A117,'Source Register'!$A$3:$A$302,0)),INDEX('Source Register'!$AB$3:$AB$302,MATCH($A117,'Source Register'!$A$3:$A$302,0))))</x:f>
      </x:c>
      <x:c r="E117" s="387" t="str">
        <x:f>IF($D117="","",MAX(0,TODAY()-INT($D117)))</x:f>
      </x:c>
      <x:c r="F117" s="385" t="str">
        <x:f>IF($A117="","",IF(INDEX('Source Register'!$Z$3:$Z$302,MATCH($A117,'Source Register'!$A$3:$A$302,0))="FAIL",INDEX('Source Register'!$AH$3:$AH$302,MATCH($A117,'Source Register'!$A$3:$A$302,0)),"IMPACT REVIEW"))</x:f>
      </x:c>
      <x:c r="G117" s="385" t="str">
        <x:f>IF($A117="","",INDEX('Source Register'!$I$3:$I$302,MATCH($A117,'Source Register'!$A$3:$A$302,0)))</x:f>
      </x:c>
      <x:c r="H117" s="385" t="str">
        <x:f>IF($A117="","",INDEX('Source Register'!$AD$3:$AD$302,MATCH($A117,'Source Register'!$A$3:$A$302,0)))</x:f>
      </x:c>
      <x:c r="I117" s="385" t="str">
        <x:f>IF($A117="","",INDEX('Source Register'!$AQ$3:$AQ$302,MATCH($A117,'Source Register'!$A$3:$A$302,0)))</x:f>
      </x:c>
      <x:c r="J117" s="385" t="str">
        <x:f>IF($A117="","",IF($E117&gt;$I$46,"OVERDUE","OPEN"))</x:f>
      </x:c>
      <x:c r="K117" s="385" t="str">
        <x:f>IF($A117="","",IF(INDEX('Source Register'!$Z$3:$Z$302,MATCH($A117,'Source Register'!$A$3:$A$302,0))="FAIL",INDEX('Source Register'!$AI$3:$AI$302,MATCH($A117,'Source Register'!$A$3:$A$302,0)),"Rolling source content changed; review downstream Requirement impact."))</x:f>
      </x:c>
      <x:c r="N117" s="381" t="str">
        <x:f>IF('Source Register'!AJ117="YES",COUNTIF('Source Register'!$AJ$3:'Source Register'!AJ117,"YES"),"")</x:f>
      </x:c>
    </x:row>
    <x:row r="118" ht="34" customHeight="1">
      <x:c r="A118" s="385" t="str">
        <x:f>IFERROR(INDEX('Source Register'!$A$3:$A$302,MATCH(ROWS($A$54:A118),$N$3:$N$302,0)),"")</x:f>
      </x:c>
      <x:c r="B118" s="385" t="str">
        <x:f>IF($A118="","",INDEX('Source Register'!$C$3:$C$302,MATCH($A118,'Source Register'!$A$3:$A$302,0)))</x:f>
      </x:c>
      <x:c r="C118" s="385" t="str">
        <x:f>IF($A118="","",IF(INDEX('Source Register'!$Z$3:$Z$302,MATCH($A118,'Source Register'!$A$3:$A$302,0))="FAIL","DOWNLOAD FAILURE","ROLLING CONTENT CHANGED"))</x:f>
      </x:c>
      <x:c r="D118" s="386" t="str">
        <x:f>IF($A118="","",IF(INDEX('Source Register'!$Z$3:$Z$302,MATCH($A118,'Source Register'!$A$3:$A$302,0))="FAIL",INDEX('Source Register'!$AA$3:$AA$302,MATCH($A118,'Source Register'!$A$3:$A$302,0)),INDEX('Source Register'!$AB$3:$AB$302,MATCH($A118,'Source Register'!$A$3:$A$302,0))))</x:f>
      </x:c>
      <x:c r="E118" s="387" t="str">
        <x:f>IF($D118="","",MAX(0,TODAY()-INT($D118)))</x:f>
      </x:c>
      <x:c r="F118" s="385" t="str">
        <x:f>IF($A118="","",IF(INDEX('Source Register'!$Z$3:$Z$302,MATCH($A118,'Source Register'!$A$3:$A$302,0))="FAIL",INDEX('Source Register'!$AH$3:$AH$302,MATCH($A118,'Source Register'!$A$3:$A$302,0)),"IMPACT REVIEW"))</x:f>
      </x:c>
      <x:c r="G118" s="385" t="str">
        <x:f>IF($A118="","",INDEX('Source Register'!$I$3:$I$302,MATCH($A118,'Source Register'!$A$3:$A$302,0)))</x:f>
      </x:c>
      <x:c r="H118" s="385" t="str">
        <x:f>IF($A118="","",INDEX('Source Register'!$AD$3:$AD$302,MATCH($A118,'Source Register'!$A$3:$A$302,0)))</x:f>
      </x:c>
      <x:c r="I118" s="385" t="str">
        <x:f>IF($A118="","",INDEX('Source Register'!$AQ$3:$AQ$302,MATCH($A118,'Source Register'!$A$3:$A$302,0)))</x:f>
      </x:c>
      <x:c r="J118" s="385" t="str">
        <x:f>IF($A118="","",IF($E118&gt;$I$46,"OVERDUE","OPEN"))</x:f>
      </x:c>
      <x:c r="K118" s="385" t="str">
        <x:f>IF($A118="","",IF(INDEX('Source Register'!$Z$3:$Z$302,MATCH($A118,'Source Register'!$A$3:$A$302,0))="FAIL",INDEX('Source Register'!$AI$3:$AI$302,MATCH($A118,'Source Register'!$A$3:$A$302,0)),"Rolling source content changed; review downstream Requirement impact."))</x:f>
      </x:c>
      <x:c r="N118" s="381" t="str">
        <x:f>IF('Source Register'!AJ118="YES",COUNTIF('Source Register'!$AJ$3:'Source Register'!AJ118,"YES"),"")</x:f>
      </x:c>
    </x:row>
    <x:row r="119" ht="34" customHeight="1">
      <x:c r="A119" s="385" t="str">
        <x:f>IFERROR(INDEX('Source Register'!$A$3:$A$302,MATCH(ROWS($A$54:A119),$N$3:$N$302,0)),"")</x:f>
      </x:c>
      <x:c r="B119" s="385" t="str">
        <x:f>IF($A119="","",INDEX('Source Register'!$C$3:$C$302,MATCH($A119,'Source Register'!$A$3:$A$302,0)))</x:f>
      </x:c>
      <x:c r="C119" s="385" t="str">
        <x:f>IF($A119="","",IF(INDEX('Source Register'!$Z$3:$Z$302,MATCH($A119,'Source Register'!$A$3:$A$302,0))="FAIL","DOWNLOAD FAILURE","ROLLING CONTENT CHANGED"))</x:f>
      </x:c>
      <x:c r="D119" s="386" t="str">
        <x:f>IF($A119="","",IF(INDEX('Source Register'!$Z$3:$Z$302,MATCH($A119,'Source Register'!$A$3:$A$302,0))="FAIL",INDEX('Source Register'!$AA$3:$AA$302,MATCH($A119,'Source Register'!$A$3:$A$302,0)),INDEX('Source Register'!$AB$3:$AB$302,MATCH($A119,'Source Register'!$A$3:$A$302,0))))</x:f>
      </x:c>
      <x:c r="E119" s="387" t="str">
        <x:f>IF($D119="","",MAX(0,TODAY()-INT($D119)))</x:f>
      </x:c>
      <x:c r="F119" s="385" t="str">
        <x:f>IF($A119="","",IF(INDEX('Source Register'!$Z$3:$Z$302,MATCH($A119,'Source Register'!$A$3:$A$302,0))="FAIL",INDEX('Source Register'!$AH$3:$AH$302,MATCH($A119,'Source Register'!$A$3:$A$302,0)),"IMPACT REVIEW"))</x:f>
      </x:c>
      <x:c r="G119" s="385" t="str">
        <x:f>IF($A119="","",INDEX('Source Register'!$I$3:$I$302,MATCH($A119,'Source Register'!$A$3:$A$302,0)))</x:f>
      </x:c>
      <x:c r="H119" s="385" t="str">
        <x:f>IF($A119="","",INDEX('Source Register'!$AD$3:$AD$302,MATCH($A119,'Source Register'!$A$3:$A$302,0)))</x:f>
      </x:c>
      <x:c r="I119" s="385" t="str">
        <x:f>IF($A119="","",INDEX('Source Register'!$AQ$3:$AQ$302,MATCH($A119,'Source Register'!$A$3:$A$302,0)))</x:f>
      </x:c>
      <x:c r="J119" s="385" t="str">
        <x:f>IF($A119="","",IF($E119&gt;$I$46,"OVERDUE","OPEN"))</x:f>
      </x:c>
      <x:c r="K119" s="385" t="str">
        <x:f>IF($A119="","",IF(INDEX('Source Register'!$Z$3:$Z$302,MATCH($A119,'Source Register'!$A$3:$A$302,0))="FAIL",INDEX('Source Register'!$AI$3:$AI$302,MATCH($A119,'Source Register'!$A$3:$A$302,0)),"Rolling source content changed; review downstream Requirement impact."))</x:f>
      </x:c>
      <x:c r="N119" s="381" t="str">
        <x:f>IF('Source Register'!AJ119="YES",COUNTIF('Source Register'!$AJ$3:'Source Register'!AJ119,"YES"),"")</x:f>
      </x:c>
    </x:row>
    <x:row r="120" ht="34" customHeight="1">
      <x:c r="A120" s="385" t="str">
        <x:f>IFERROR(INDEX('Source Register'!$A$3:$A$302,MATCH(ROWS($A$54:A120),$N$3:$N$302,0)),"")</x:f>
      </x:c>
      <x:c r="B120" s="385" t="str">
        <x:f>IF($A120="","",INDEX('Source Register'!$C$3:$C$302,MATCH($A120,'Source Register'!$A$3:$A$302,0)))</x:f>
      </x:c>
      <x:c r="C120" s="385" t="str">
        <x:f>IF($A120="","",IF(INDEX('Source Register'!$Z$3:$Z$302,MATCH($A120,'Source Register'!$A$3:$A$302,0))="FAIL","DOWNLOAD FAILURE","ROLLING CONTENT CHANGED"))</x:f>
      </x:c>
      <x:c r="D120" s="386" t="str">
        <x:f>IF($A120="","",IF(INDEX('Source Register'!$Z$3:$Z$302,MATCH($A120,'Source Register'!$A$3:$A$302,0))="FAIL",INDEX('Source Register'!$AA$3:$AA$302,MATCH($A120,'Source Register'!$A$3:$A$302,0)),INDEX('Source Register'!$AB$3:$AB$302,MATCH($A120,'Source Register'!$A$3:$A$302,0))))</x:f>
      </x:c>
      <x:c r="E120" s="387" t="str">
        <x:f>IF($D120="","",MAX(0,TODAY()-INT($D120)))</x:f>
      </x:c>
      <x:c r="F120" s="385" t="str">
        <x:f>IF($A120="","",IF(INDEX('Source Register'!$Z$3:$Z$302,MATCH($A120,'Source Register'!$A$3:$A$302,0))="FAIL",INDEX('Source Register'!$AH$3:$AH$302,MATCH($A120,'Source Register'!$A$3:$A$302,0)),"IMPACT REVIEW"))</x:f>
      </x:c>
      <x:c r="G120" s="385" t="str">
        <x:f>IF($A120="","",INDEX('Source Register'!$I$3:$I$302,MATCH($A120,'Source Register'!$A$3:$A$302,0)))</x:f>
      </x:c>
      <x:c r="H120" s="385" t="str">
        <x:f>IF($A120="","",INDEX('Source Register'!$AD$3:$AD$302,MATCH($A120,'Source Register'!$A$3:$A$302,0)))</x:f>
      </x:c>
      <x:c r="I120" s="385" t="str">
        <x:f>IF($A120="","",INDEX('Source Register'!$AQ$3:$AQ$302,MATCH($A120,'Source Register'!$A$3:$A$302,0)))</x:f>
      </x:c>
      <x:c r="J120" s="385" t="str">
        <x:f>IF($A120="","",IF($E120&gt;$I$46,"OVERDUE","OPEN"))</x:f>
      </x:c>
      <x:c r="K120" s="385" t="str">
        <x:f>IF($A120="","",IF(INDEX('Source Register'!$Z$3:$Z$302,MATCH($A120,'Source Register'!$A$3:$A$302,0))="FAIL",INDEX('Source Register'!$AI$3:$AI$302,MATCH($A120,'Source Register'!$A$3:$A$302,0)),"Rolling source content changed; review downstream Requirement impact."))</x:f>
      </x:c>
      <x:c r="N120" s="381" t="str">
        <x:f>IF('Source Register'!AJ120="YES",COUNTIF('Source Register'!$AJ$3:'Source Register'!AJ120,"YES"),"")</x:f>
      </x:c>
    </x:row>
    <x:row r="121" ht="34" customHeight="1">
      <x:c r="A121" s="385" t="str">
        <x:f>IFERROR(INDEX('Source Register'!$A$3:$A$302,MATCH(ROWS($A$54:A121),$N$3:$N$302,0)),"")</x:f>
      </x:c>
      <x:c r="B121" s="385" t="str">
        <x:f>IF($A121="","",INDEX('Source Register'!$C$3:$C$302,MATCH($A121,'Source Register'!$A$3:$A$302,0)))</x:f>
      </x:c>
      <x:c r="C121" s="385" t="str">
        <x:f>IF($A121="","",IF(INDEX('Source Register'!$Z$3:$Z$302,MATCH($A121,'Source Register'!$A$3:$A$302,0))="FAIL","DOWNLOAD FAILURE","ROLLING CONTENT CHANGED"))</x:f>
      </x:c>
      <x:c r="D121" s="386" t="str">
        <x:f>IF($A121="","",IF(INDEX('Source Register'!$Z$3:$Z$302,MATCH($A121,'Source Register'!$A$3:$A$302,0))="FAIL",INDEX('Source Register'!$AA$3:$AA$302,MATCH($A121,'Source Register'!$A$3:$A$302,0)),INDEX('Source Register'!$AB$3:$AB$302,MATCH($A121,'Source Register'!$A$3:$A$302,0))))</x:f>
      </x:c>
      <x:c r="E121" s="387" t="str">
        <x:f>IF($D121="","",MAX(0,TODAY()-INT($D121)))</x:f>
      </x:c>
      <x:c r="F121" s="385" t="str">
        <x:f>IF($A121="","",IF(INDEX('Source Register'!$Z$3:$Z$302,MATCH($A121,'Source Register'!$A$3:$A$302,0))="FAIL",INDEX('Source Register'!$AH$3:$AH$302,MATCH($A121,'Source Register'!$A$3:$A$302,0)),"IMPACT REVIEW"))</x:f>
      </x:c>
      <x:c r="G121" s="385" t="str">
        <x:f>IF($A121="","",INDEX('Source Register'!$I$3:$I$302,MATCH($A121,'Source Register'!$A$3:$A$302,0)))</x:f>
      </x:c>
      <x:c r="H121" s="385" t="str">
        <x:f>IF($A121="","",INDEX('Source Register'!$AD$3:$AD$302,MATCH($A121,'Source Register'!$A$3:$A$302,0)))</x:f>
      </x:c>
      <x:c r="I121" s="385" t="str">
        <x:f>IF($A121="","",INDEX('Source Register'!$AQ$3:$AQ$302,MATCH($A121,'Source Register'!$A$3:$A$302,0)))</x:f>
      </x:c>
      <x:c r="J121" s="385" t="str">
        <x:f>IF($A121="","",IF($E121&gt;$I$46,"OVERDUE","OPEN"))</x:f>
      </x:c>
      <x:c r="K121" s="385" t="str">
        <x:f>IF($A121="","",IF(INDEX('Source Register'!$Z$3:$Z$302,MATCH($A121,'Source Register'!$A$3:$A$302,0))="FAIL",INDEX('Source Register'!$AI$3:$AI$302,MATCH($A121,'Source Register'!$A$3:$A$302,0)),"Rolling source content changed; review downstream Requirement impact."))</x:f>
      </x:c>
      <x:c r="N121" s="381" t="str">
        <x:f>IF('Source Register'!AJ121="YES",COUNTIF('Source Register'!$AJ$3:'Source Register'!AJ121,"YES"),"")</x:f>
      </x:c>
    </x:row>
    <x:row r="122" ht="34" customHeight="1">
      <x:c r="A122" s="385" t="str">
        <x:f>IFERROR(INDEX('Source Register'!$A$3:$A$302,MATCH(ROWS($A$54:A122),$N$3:$N$302,0)),"")</x:f>
      </x:c>
      <x:c r="B122" s="385" t="str">
        <x:f>IF($A122="","",INDEX('Source Register'!$C$3:$C$302,MATCH($A122,'Source Register'!$A$3:$A$302,0)))</x:f>
      </x:c>
      <x:c r="C122" s="385" t="str">
        <x:f>IF($A122="","",IF(INDEX('Source Register'!$Z$3:$Z$302,MATCH($A122,'Source Register'!$A$3:$A$302,0))="FAIL","DOWNLOAD FAILURE","ROLLING CONTENT CHANGED"))</x:f>
      </x:c>
      <x:c r="D122" s="386" t="str">
        <x:f>IF($A122="","",IF(INDEX('Source Register'!$Z$3:$Z$302,MATCH($A122,'Source Register'!$A$3:$A$302,0))="FAIL",INDEX('Source Register'!$AA$3:$AA$302,MATCH($A122,'Source Register'!$A$3:$A$302,0)),INDEX('Source Register'!$AB$3:$AB$302,MATCH($A122,'Source Register'!$A$3:$A$302,0))))</x:f>
      </x:c>
      <x:c r="E122" s="387" t="str">
        <x:f>IF($D122="","",MAX(0,TODAY()-INT($D122)))</x:f>
      </x:c>
      <x:c r="F122" s="385" t="str">
        <x:f>IF($A122="","",IF(INDEX('Source Register'!$Z$3:$Z$302,MATCH($A122,'Source Register'!$A$3:$A$302,0))="FAIL",INDEX('Source Register'!$AH$3:$AH$302,MATCH($A122,'Source Register'!$A$3:$A$302,0)),"IMPACT REVIEW"))</x:f>
      </x:c>
      <x:c r="G122" s="385" t="str">
        <x:f>IF($A122="","",INDEX('Source Register'!$I$3:$I$302,MATCH($A122,'Source Register'!$A$3:$A$302,0)))</x:f>
      </x:c>
      <x:c r="H122" s="385" t="str">
        <x:f>IF($A122="","",INDEX('Source Register'!$AD$3:$AD$302,MATCH($A122,'Source Register'!$A$3:$A$302,0)))</x:f>
      </x:c>
      <x:c r="I122" s="385" t="str">
        <x:f>IF($A122="","",INDEX('Source Register'!$AQ$3:$AQ$302,MATCH($A122,'Source Register'!$A$3:$A$302,0)))</x:f>
      </x:c>
      <x:c r="J122" s="385" t="str">
        <x:f>IF($A122="","",IF($E122&gt;$I$46,"OVERDUE","OPEN"))</x:f>
      </x:c>
      <x:c r="K122" s="385" t="str">
        <x:f>IF($A122="","",IF(INDEX('Source Register'!$Z$3:$Z$302,MATCH($A122,'Source Register'!$A$3:$A$302,0))="FAIL",INDEX('Source Register'!$AI$3:$AI$302,MATCH($A122,'Source Register'!$A$3:$A$302,0)),"Rolling source content changed; review downstream Requirement impact."))</x:f>
      </x:c>
      <x:c r="N122" s="381" t="str">
        <x:f>IF('Source Register'!AJ122="YES",COUNTIF('Source Register'!$AJ$3:'Source Register'!AJ122,"YES"),"")</x:f>
      </x:c>
    </x:row>
    <x:row r="123" ht="34" customHeight="1">
      <x:c r="A123" s="385" t="str">
        <x:f>IFERROR(INDEX('Source Register'!$A$3:$A$302,MATCH(ROWS($A$54:A123),$N$3:$N$302,0)),"")</x:f>
      </x:c>
      <x:c r="B123" s="385" t="str">
        <x:f>IF($A123="","",INDEX('Source Register'!$C$3:$C$302,MATCH($A123,'Source Register'!$A$3:$A$302,0)))</x:f>
      </x:c>
      <x:c r="C123" s="385" t="str">
        <x:f>IF($A123="","",IF(INDEX('Source Register'!$Z$3:$Z$302,MATCH($A123,'Source Register'!$A$3:$A$302,0))="FAIL","DOWNLOAD FAILURE","ROLLING CONTENT CHANGED"))</x:f>
      </x:c>
      <x:c r="D123" s="386" t="str">
        <x:f>IF($A123="","",IF(INDEX('Source Register'!$Z$3:$Z$302,MATCH($A123,'Source Register'!$A$3:$A$302,0))="FAIL",INDEX('Source Register'!$AA$3:$AA$302,MATCH($A123,'Source Register'!$A$3:$A$302,0)),INDEX('Source Register'!$AB$3:$AB$302,MATCH($A123,'Source Register'!$A$3:$A$302,0))))</x:f>
      </x:c>
      <x:c r="E123" s="387" t="str">
        <x:f>IF($D123="","",MAX(0,TODAY()-INT($D123)))</x:f>
      </x:c>
      <x:c r="F123" s="385" t="str">
        <x:f>IF($A123="","",IF(INDEX('Source Register'!$Z$3:$Z$302,MATCH($A123,'Source Register'!$A$3:$A$302,0))="FAIL",INDEX('Source Register'!$AH$3:$AH$302,MATCH($A123,'Source Register'!$A$3:$A$302,0)),"IMPACT REVIEW"))</x:f>
      </x:c>
      <x:c r="G123" s="385" t="str">
        <x:f>IF($A123="","",INDEX('Source Register'!$I$3:$I$302,MATCH($A123,'Source Register'!$A$3:$A$302,0)))</x:f>
      </x:c>
      <x:c r="H123" s="385" t="str">
        <x:f>IF($A123="","",INDEX('Source Register'!$AD$3:$AD$302,MATCH($A123,'Source Register'!$A$3:$A$302,0)))</x:f>
      </x:c>
      <x:c r="I123" s="385" t="str">
        <x:f>IF($A123="","",INDEX('Source Register'!$AQ$3:$AQ$302,MATCH($A123,'Source Register'!$A$3:$A$302,0)))</x:f>
      </x:c>
      <x:c r="J123" s="385" t="str">
        <x:f>IF($A123="","",IF($E123&gt;$I$46,"OVERDUE","OPEN"))</x:f>
      </x:c>
      <x:c r="K123" s="385" t="str">
        <x:f>IF($A123="","",IF(INDEX('Source Register'!$Z$3:$Z$302,MATCH($A123,'Source Register'!$A$3:$A$302,0))="FAIL",INDEX('Source Register'!$AI$3:$AI$302,MATCH($A123,'Source Register'!$A$3:$A$302,0)),"Rolling source content changed; review downstream Requirement impact."))</x:f>
      </x:c>
      <x:c r="N123" s="381" t="str">
        <x:f>IF('Source Register'!AJ123="YES",COUNTIF('Source Register'!$AJ$3:'Source Register'!AJ123,"YES"),"")</x:f>
      </x:c>
    </x:row>
    <x:row r="124" ht="34" customHeight="1">
      <x:c r="A124" s="385" t="str">
        <x:f>IFERROR(INDEX('Source Register'!$A$3:$A$302,MATCH(ROWS($A$54:A124),$N$3:$N$302,0)),"")</x:f>
      </x:c>
      <x:c r="B124" s="385" t="str">
        <x:f>IF($A124="","",INDEX('Source Register'!$C$3:$C$302,MATCH($A124,'Source Register'!$A$3:$A$302,0)))</x:f>
      </x:c>
      <x:c r="C124" s="385" t="str">
        <x:f>IF($A124="","",IF(INDEX('Source Register'!$Z$3:$Z$302,MATCH($A124,'Source Register'!$A$3:$A$302,0))="FAIL","DOWNLOAD FAILURE","ROLLING CONTENT CHANGED"))</x:f>
      </x:c>
      <x:c r="D124" s="386" t="str">
        <x:f>IF($A124="","",IF(INDEX('Source Register'!$Z$3:$Z$302,MATCH($A124,'Source Register'!$A$3:$A$302,0))="FAIL",INDEX('Source Register'!$AA$3:$AA$302,MATCH($A124,'Source Register'!$A$3:$A$302,0)),INDEX('Source Register'!$AB$3:$AB$302,MATCH($A124,'Source Register'!$A$3:$A$302,0))))</x:f>
      </x:c>
      <x:c r="E124" s="387" t="str">
        <x:f>IF($D124="","",MAX(0,TODAY()-INT($D124)))</x:f>
      </x:c>
      <x:c r="F124" s="385" t="str">
        <x:f>IF($A124="","",IF(INDEX('Source Register'!$Z$3:$Z$302,MATCH($A124,'Source Register'!$A$3:$A$302,0))="FAIL",INDEX('Source Register'!$AH$3:$AH$302,MATCH($A124,'Source Register'!$A$3:$A$302,0)),"IMPACT REVIEW"))</x:f>
      </x:c>
      <x:c r="G124" s="385" t="str">
        <x:f>IF($A124="","",INDEX('Source Register'!$I$3:$I$302,MATCH($A124,'Source Register'!$A$3:$A$302,0)))</x:f>
      </x:c>
      <x:c r="H124" s="385" t="str">
        <x:f>IF($A124="","",INDEX('Source Register'!$AD$3:$AD$302,MATCH($A124,'Source Register'!$A$3:$A$302,0)))</x:f>
      </x:c>
      <x:c r="I124" s="385" t="str">
        <x:f>IF($A124="","",INDEX('Source Register'!$AQ$3:$AQ$302,MATCH($A124,'Source Register'!$A$3:$A$302,0)))</x:f>
      </x:c>
      <x:c r="J124" s="385" t="str">
        <x:f>IF($A124="","",IF($E124&gt;$I$46,"OVERDUE","OPEN"))</x:f>
      </x:c>
      <x:c r="K124" s="385" t="str">
        <x:f>IF($A124="","",IF(INDEX('Source Register'!$Z$3:$Z$302,MATCH($A124,'Source Register'!$A$3:$A$302,0))="FAIL",INDEX('Source Register'!$AI$3:$AI$302,MATCH($A124,'Source Register'!$A$3:$A$302,0)),"Rolling source content changed; review downstream Requirement impact."))</x:f>
      </x:c>
      <x:c r="N124" s="381" t="str">
        <x:f>IF('Source Register'!AJ124="YES",COUNTIF('Source Register'!$AJ$3:'Source Register'!AJ124,"YES"),"")</x:f>
      </x:c>
    </x:row>
    <x:row r="125" ht="34" customHeight="1">
      <x:c r="A125" s="385" t="str">
        <x:f>IFERROR(INDEX('Source Register'!$A$3:$A$302,MATCH(ROWS($A$54:A125),$N$3:$N$302,0)),"")</x:f>
      </x:c>
      <x:c r="B125" s="385" t="str">
        <x:f>IF($A125="","",INDEX('Source Register'!$C$3:$C$302,MATCH($A125,'Source Register'!$A$3:$A$302,0)))</x:f>
      </x:c>
      <x:c r="C125" s="385" t="str">
        <x:f>IF($A125="","",IF(INDEX('Source Register'!$Z$3:$Z$302,MATCH($A125,'Source Register'!$A$3:$A$302,0))="FAIL","DOWNLOAD FAILURE","ROLLING CONTENT CHANGED"))</x:f>
      </x:c>
      <x:c r="D125" s="386" t="str">
        <x:f>IF($A125="","",IF(INDEX('Source Register'!$Z$3:$Z$302,MATCH($A125,'Source Register'!$A$3:$A$302,0))="FAIL",INDEX('Source Register'!$AA$3:$AA$302,MATCH($A125,'Source Register'!$A$3:$A$302,0)),INDEX('Source Register'!$AB$3:$AB$302,MATCH($A125,'Source Register'!$A$3:$A$302,0))))</x:f>
      </x:c>
      <x:c r="E125" s="387" t="str">
        <x:f>IF($D125="","",MAX(0,TODAY()-INT($D125)))</x:f>
      </x:c>
      <x:c r="F125" s="385" t="str">
        <x:f>IF($A125="","",IF(INDEX('Source Register'!$Z$3:$Z$302,MATCH($A125,'Source Register'!$A$3:$A$302,0))="FAIL",INDEX('Source Register'!$AH$3:$AH$302,MATCH($A125,'Source Register'!$A$3:$A$302,0)),"IMPACT REVIEW"))</x:f>
      </x:c>
      <x:c r="G125" s="385" t="str">
        <x:f>IF($A125="","",INDEX('Source Register'!$I$3:$I$302,MATCH($A125,'Source Register'!$A$3:$A$302,0)))</x:f>
      </x:c>
      <x:c r="H125" s="385" t="str">
        <x:f>IF($A125="","",INDEX('Source Register'!$AD$3:$AD$302,MATCH($A125,'Source Register'!$A$3:$A$302,0)))</x:f>
      </x:c>
      <x:c r="I125" s="385" t="str">
        <x:f>IF($A125="","",INDEX('Source Register'!$AQ$3:$AQ$302,MATCH($A125,'Source Register'!$A$3:$A$302,0)))</x:f>
      </x:c>
      <x:c r="J125" s="385" t="str">
        <x:f>IF($A125="","",IF($E125&gt;$I$46,"OVERDUE","OPEN"))</x:f>
      </x:c>
      <x:c r="K125" s="385" t="str">
        <x:f>IF($A125="","",IF(INDEX('Source Register'!$Z$3:$Z$302,MATCH($A125,'Source Register'!$A$3:$A$302,0))="FAIL",INDEX('Source Register'!$AI$3:$AI$302,MATCH($A125,'Source Register'!$A$3:$A$302,0)),"Rolling source content changed; review downstream Requirement impact."))</x:f>
      </x:c>
      <x:c r="N125" s="381" t="str">
        <x:f>IF('Source Register'!AJ125="YES",COUNTIF('Source Register'!$AJ$3:'Source Register'!AJ125,"YES"),"")</x:f>
      </x:c>
    </x:row>
    <x:row r="126" ht="34" customHeight="1">
      <x:c r="A126" s="385" t="str">
        <x:f>IFERROR(INDEX('Source Register'!$A$3:$A$302,MATCH(ROWS($A$54:A126),$N$3:$N$302,0)),"")</x:f>
      </x:c>
      <x:c r="B126" s="385" t="str">
        <x:f>IF($A126="","",INDEX('Source Register'!$C$3:$C$302,MATCH($A126,'Source Register'!$A$3:$A$302,0)))</x:f>
      </x:c>
      <x:c r="C126" s="385" t="str">
        <x:f>IF($A126="","",IF(INDEX('Source Register'!$Z$3:$Z$302,MATCH($A126,'Source Register'!$A$3:$A$302,0))="FAIL","DOWNLOAD FAILURE","ROLLING CONTENT CHANGED"))</x:f>
      </x:c>
      <x:c r="D126" s="386" t="str">
        <x:f>IF($A126="","",IF(INDEX('Source Register'!$Z$3:$Z$302,MATCH($A126,'Source Register'!$A$3:$A$302,0))="FAIL",INDEX('Source Register'!$AA$3:$AA$302,MATCH($A126,'Source Register'!$A$3:$A$302,0)),INDEX('Source Register'!$AB$3:$AB$302,MATCH($A126,'Source Register'!$A$3:$A$302,0))))</x:f>
      </x:c>
      <x:c r="E126" s="387" t="str">
        <x:f>IF($D126="","",MAX(0,TODAY()-INT($D126)))</x:f>
      </x:c>
      <x:c r="F126" s="385" t="str">
        <x:f>IF($A126="","",IF(INDEX('Source Register'!$Z$3:$Z$302,MATCH($A126,'Source Register'!$A$3:$A$302,0))="FAIL",INDEX('Source Register'!$AH$3:$AH$302,MATCH($A126,'Source Register'!$A$3:$A$302,0)),"IMPACT REVIEW"))</x:f>
      </x:c>
      <x:c r="G126" s="385" t="str">
        <x:f>IF($A126="","",INDEX('Source Register'!$I$3:$I$302,MATCH($A126,'Source Register'!$A$3:$A$302,0)))</x:f>
      </x:c>
      <x:c r="H126" s="385" t="str">
        <x:f>IF($A126="","",INDEX('Source Register'!$AD$3:$AD$302,MATCH($A126,'Source Register'!$A$3:$A$302,0)))</x:f>
      </x:c>
      <x:c r="I126" s="385" t="str">
        <x:f>IF($A126="","",INDEX('Source Register'!$AQ$3:$AQ$302,MATCH($A126,'Source Register'!$A$3:$A$302,0)))</x:f>
      </x:c>
      <x:c r="J126" s="385" t="str">
        <x:f>IF($A126="","",IF($E126&gt;$I$46,"OVERDUE","OPEN"))</x:f>
      </x:c>
      <x:c r="K126" s="385" t="str">
        <x:f>IF($A126="","",IF(INDEX('Source Register'!$Z$3:$Z$302,MATCH($A126,'Source Register'!$A$3:$A$302,0))="FAIL",INDEX('Source Register'!$AI$3:$AI$302,MATCH($A126,'Source Register'!$A$3:$A$302,0)),"Rolling source content changed; review downstream Requirement impact."))</x:f>
      </x:c>
      <x:c r="N126" s="381" t="str">
        <x:f>IF('Source Register'!AJ126="YES",COUNTIF('Source Register'!$AJ$3:'Source Register'!AJ126,"YES"),"")</x:f>
      </x:c>
    </x:row>
    <x:row r="127" ht="34" customHeight="1">
      <x:c r="A127" s="385" t="str">
        <x:f>IFERROR(INDEX('Source Register'!$A$3:$A$302,MATCH(ROWS($A$54:A127),$N$3:$N$302,0)),"")</x:f>
      </x:c>
      <x:c r="B127" s="385" t="str">
        <x:f>IF($A127="","",INDEX('Source Register'!$C$3:$C$302,MATCH($A127,'Source Register'!$A$3:$A$302,0)))</x:f>
      </x:c>
      <x:c r="C127" s="385" t="str">
        <x:f>IF($A127="","",IF(INDEX('Source Register'!$Z$3:$Z$302,MATCH($A127,'Source Register'!$A$3:$A$302,0))="FAIL","DOWNLOAD FAILURE","ROLLING CONTENT CHANGED"))</x:f>
      </x:c>
      <x:c r="D127" s="386" t="str">
        <x:f>IF($A127="","",IF(INDEX('Source Register'!$Z$3:$Z$302,MATCH($A127,'Source Register'!$A$3:$A$302,0))="FAIL",INDEX('Source Register'!$AA$3:$AA$302,MATCH($A127,'Source Register'!$A$3:$A$302,0)),INDEX('Source Register'!$AB$3:$AB$302,MATCH($A127,'Source Register'!$A$3:$A$302,0))))</x:f>
      </x:c>
      <x:c r="E127" s="387" t="str">
        <x:f>IF($D127="","",MAX(0,TODAY()-INT($D127)))</x:f>
      </x:c>
      <x:c r="F127" s="385" t="str">
        <x:f>IF($A127="","",IF(INDEX('Source Register'!$Z$3:$Z$302,MATCH($A127,'Source Register'!$A$3:$A$302,0))="FAIL",INDEX('Source Register'!$AH$3:$AH$302,MATCH($A127,'Source Register'!$A$3:$A$302,0)),"IMPACT REVIEW"))</x:f>
      </x:c>
      <x:c r="G127" s="385" t="str">
        <x:f>IF($A127="","",INDEX('Source Register'!$I$3:$I$302,MATCH($A127,'Source Register'!$A$3:$A$302,0)))</x:f>
      </x:c>
      <x:c r="H127" s="385" t="str">
        <x:f>IF($A127="","",INDEX('Source Register'!$AD$3:$AD$302,MATCH($A127,'Source Register'!$A$3:$A$302,0)))</x:f>
      </x:c>
      <x:c r="I127" s="385" t="str">
        <x:f>IF($A127="","",INDEX('Source Register'!$AQ$3:$AQ$302,MATCH($A127,'Source Register'!$A$3:$A$302,0)))</x:f>
      </x:c>
      <x:c r="J127" s="385" t="str">
        <x:f>IF($A127="","",IF($E127&gt;$I$46,"OVERDUE","OPEN"))</x:f>
      </x:c>
      <x:c r="K127" s="385" t="str">
        <x:f>IF($A127="","",IF(INDEX('Source Register'!$Z$3:$Z$302,MATCH($A127,'Source Register'!$A$3:$A$302,0))="FAIL",INDEX('Source Register'!$AI$3:$AI$302,MATCH($A127,'Source Register'!$A$3:$A$302,0)),"Rolling source content changed; review downstream Requirement impact."))</x:f>
      </x:c>
      <x:c r="N127" s="381" t="str">
        <x:f>IF('Source Register'!AJ127="YES",COUNTIF('Source Register'!$AJ$3:'Source Register'!AJ127,"YES"),"")</x:f>
      </x:c>
    </x:row>
    <x:row r="128" ht="34" customHeight="1">
      <x:c r="A128" s="385" t="str">
        <x:f>IFERROR(INDEX('Source Register'!$A$3:$A$302,MATCH(ROWS($A$54:A128),$N$3:$N$302,0)),"")</x:f>
      </x:c>
      <x:c r="B128" s="385" t="str">
        <x:f>IF($A128="","",INDEX('Source Register'!$C$3:$C$302,MATCH($A128,'Source Register'!$A$3:$A$302,0)))</x:f>
      </x:c>
      <x:c r="C128" s="385" t="str">
        <x:f>IF($A128="","",IF(INDEX('Source Register'!$Z$3:$Z$302,MATCH($A128,'Source Register'!$A$3:$A$302,0))="FAIL","DOWNLOAD FAILURE","ROLLING CONTENT CHANGED"))</x:f>
      </x:c>
      <x:c r="D128" s="386" t="str">
        <x:f>IF($A128="","",IF(INDEX('Source Register'!$Z$3:$Z$302,MATCH($A128,'Source Register'!$A$3:$A$302,0))="FAIL",INDEX('Source Register'!$AA$3:$AA$302,MATCH($A128,'Source Register'!$A$3:$A$302,0)),INDEX('Source Register'!$AB$3:$AB$302,MATCH($A128,'Source Register'!$A$3:$A$302,0))))</x:f>
      </x:c>
      <x:c r="E128" s="387" t="str">
        <x:f>IF($D128="","",MAX(0,TODAY()-INT($D128)))</x:f>
      </x:c>
      <x:c r="F128" s="385" t="str">
        <x:f>IF($A128="","",IF(INDEX('Source Register'!$Z$3:$Z$302,MATCH($A128,'Source Register'!$A$3:$A$302,0))="FAIL",INDEX('Source Register'!$AH$3:$AH$302,MATCH($A128,'Source Register'!$A$3:$A$302,0)),"IMPACT REVIEW"))</x:f>
      </x:c>
      <x:c r="G128" s="385" t="str">
        <x:f>IF($A128="","",INDEX('Source Register'!$I$3:$I$302,MATCH($A128,'Source Register'!$A$3:$A$302,0)))</x:f>
      </x:c>
      <x:c r="H128" s="385" t="str">
        <x:f>IF($A128="","",INDEX('Source Register'!$AD$3:$AD$302,MATCH($A128,'Source Register'!$A$3:$A$302,0)))</x:f>
      </x:c>
      <x:c r="I128" s="385" t="str">
        <x:f>IF($A128="","",INDEX('Source Register'!$AQ$3:$AQ$302,MATCH($A128,'Source Register'!$A$3:$A$302,0)))</x:f>
      </x:c>
      <x:c r="J128" s="385" t="str">
        <x:f>IF($A128="","",IF($E128&gt;$I$46,"OVERDUE","OPEN"))</x:f>
      </x:c>
      <x:c r="K128" s="385" t="str">
        <x:f>IF($A128="","",IF(INDEX('Source Register'!$Z$3:$Z$302,MATCH($A128,'Source Register'!$A$3:$A$302,0))="FAIL",INDEX('Source Register'!$AI$3:$AI$302,MATCH($A128,'Source Register'!$A$3:$A$302,0)),"Rolling source content changed; review downstream Requirement impact."))</x:f>
      </x:c>
      <x:c r="N128" s="381" t="str">
        <x:f>IF('Source Register'!AJ128="YES",COUNTIF('Source Register'!$AJ$3:'Source Register'!AJ128,"YES"),"")</x:f>
      </x:c>
    </x:row>
    <x:row r="129" ht="34" customHeight="1">
      <x:c r="A129" s="385" t="str">
        <x:f>IFERROR(INDEX('Source Register'!$A$3:$A$302,MATCH(ROWS($A$54:A129),$N$3:$N$302,0)),"")</x:f>
      </x:c>
      <x:c r="B129" s="385" t="str">
        <x:f>IF($A129="","",INDEX('Source Register'!$C$3:$C$302,MATCH($A129,'Source Register'!$A$3:$A$302,0)))</x:f>
      </x:c>
      <x:c r="C129" s="385" t="str">
        <x:f>IF($A129="","",IF(INDEX('Source Register'!$Z$3:$Z$302,MATCH($A129,'Source Register'!$A$3:$A$302,0))="FAIL","DOWNLOAD FAILURE","ROLLING CONTENT CHANGED"))</x:f>
      </x:c>
      <x:c r="D129" s="386" t="str">
        <x:f>IF($A129="","",IF(INDEX('Source Register'!$Z$3:$Z$302,MATCH($A129,'Source Register'!$A$3:$A$302,0))="FAIL",INDEX('Source Register'!$AA$3:$AA$302,MATCH($A129,'Source Register'!$A$3:$A$302,0)),INDEX('Source Register'!$AB$3:$AB$302,MATCH($A129,'Source Register'!$A$3:$A$302,0))))</x:f>
      </x:c>
      <x:c r="E129" s="387" t="str">
        <x:f>IF($D129="","",MAX(0,TODAY()-INT($D129)))</x:f>
      </x:c>
      <x:c r="F129" s="385" t="str">
        <x:f>IF($A129="","",IF(INDEX('Source Register'!$Z$3:$Z$302,MATCH($A129,'Source Register'!$A$3:$A$302,0))="FAIL",INDEX('Source Register'!$AH$3:$AH$302,MATCH($A129,'Source Register'!$A$3:$A$302,0)),"IMPACT REVIEW"))</x:f>
      </x:c>
      <x:c r="G129" s="385" t="str">
        <x:f>IF($A129="","",INDEX('Source Register'!$I$3:$I$302,MATCH($A129,'Source Register'!$A$3:$A$302,0)))</x:f>
      </x:c>
      <x:c r="H129" s="385" t="str">
        <x:f>IF($A129="","",INDEX('Source Register'!$AD$3:$AD$302,MATCH($A129,'Source Register'!$A$3:$A$302,0)))</x:f>
      </x:c>
      <x:c r="I129" s="385" t="str">
        <x:f>IF($A129="","",INDEX('Source Register'!$AQ$3:$AQ$302,MATCH($A129,'Source Register'!$A$3:$A$302,0)))</x:f>
      </x:c>
      <x:c r="J129" s="385" t="str">
        <x:f>IF($A129="","",IF($E129&gt;$I$46,"OVERDUE","OPEN"))</x:f>
      </x:c>
      <x:c r="K129" s="385" t="str">
        <x:f>IF($A129="","",IF(INDEX('Source Register'!$Z$3:$Z$302,MATCH($A129,'Source Register'!$A$3:$A$302,0))="FAIL",INDEX('Source Register'!$AI$3:$AI$302,MATCH($A129,'Source Register'!$A$3:$A$302,0)),"Rolling source content changed; review downstream Requirement impact."))</x:f>
      </x:c>
      <x:c r="N129" s="381" t="str">
        <x:f>IF('Source Register'!AJ129="YES",COUNTIF('Source Register'!$AJ$3:'Source Register'!AJ129,"YES"),"")</x:f>
      </x:c>
    </x:row>
    <x:row r="130" ht="34" customHeight="1">
      <x:c r="A130" s="385" t="str">
        <x:f>IFERROR(INDEX('Source Register'!$A$3:$A$302,MATCH(ROWS($A$54:A130),$N$3:$N$302,0)),"")</x:f>
      </x:c>
      <x:c r="B130" s="385" t="str">
        <x:f>IF($A130="","",INDEX('Source Register'!$C$3:$C$302,MATCH($A130,'Source Register'!$A$3:$A$302,0)))</x:f>
      </x:c>
      <x:c r="C130" s="385" t="str">
        <x:f>IF($A130="","",IF(INDEX('Source Register'!$Z$3:$Z$302,MATCH($A130,'Source Register'!$A$3:$A$302,0))="FAIL","DOWNLOAD FAILURE","ROLLING CONTENT CHANGED"))</x:f>
      </x:c>
      <x:c r="D130" s="386" t="str">
        <x:f>IF($A130="","",IF(INDEX('Source Register'!$Z$3:$Z$302,MATCH($A130,'Source Register'!$A$3:$A$302,0))="FAIL",INDEX('Source Register'!$AA$3:$AA$302,MATCH($A130,'Source Register'!$A$3:$A$302,0)),INDEX('Source Register'!$AB$3:$AB$302,MATCH($A130,'Source Register'!$A$3:$A$302,0))))</x:f>
      </x:c>
      <x:c r="E130" s="387" t="str">
        <x:f>IF($D130="","",MAX(0,TODAY()-INT($D130)))</x:f>
      </x:c>
      <x:c r="F130" s="385" t="str">
        <x:f>IF($A130="","",IF(INDEX('Source Register'!$Z$3:$Z$302,MATCH($A130,'Source Register'!$A$3:$A$302,0))="FAIL",INDEX('Source Register'!$AH$3:$AH$302,MATCH($A130,'Source Register'!$A$3:$A$302,0)),"IMPACT REVIEW"))</x:f>
      </x:c>
      <x:c r="G130" s="385" t="str">
        <x:f>IF($A130="","",INDEX('Source Register'!$I$3:$I$302,MATCH($A130,'Source Register'!$A$3:$A$302,0)))</x:f>
      </x:c>
      <x:c r="H130" s="385" t="str">
        <x:f>IF($A130="","",INDEX('Source Register'!$AD$3:$AD$302,MATCH($A130,'Source Register'!$A$3:$A$302,0)))</x:f>
      </x:c>
      <x:c r="I130" s="385" t="str">
        <x:f>IF($A130="","",INDEX('Source Register'!$AQ$3:$AQ$302,MATCH($A130,'Source Register'!$A$3:$A$302,0)))</x:f>
      </x:c>
      <x:c r="J130" s="385" t="str">
        <x:f>IF($A130="","",IF($E130&gt;$I$46,"OVERDUE","OPEN"))</x:f>
      </x:c>
      <x:c r="K130" s="385" t="str">
        <x:f>IF($A130="","",IF(INDEX('Source Register'!$Z$3:$Z$302,MATCH($A130,'Source Register'!$A$3:$A$302,0))="FAIL",INDEX('Source Register'!$AI$3:$AI$302,MATCH($A130,'Source Register'!$A$3:$A$302,0)),"Rolling source content changed; review downstream Requirement impact."))</x:f>
      </x:c>
      <x:c r="N130" s="381" t="str">
        <x:f>IF('Source Register'!AJ130="YES",COUNTIF('Source Register'!$AJ$3:'Source Register'!AJ130,"YES"),"")</x:f>
      </x:c>
    </x:row>
    <x:row r="131" ht="34" customHeight="1">
      <x:c r="A131" s="385" t="str">
        <x:f>IFERROR(INDEX('Source Register'!$A$3:$A$302,MATCH(ROWS($A$54:A131),$N$3:$N$302,0)),"")</x:f>
      </x:c>
      <x:c r="B131" s="385" t="str">
        <x:f>IF($A131="","",INDEX('Source Register'!$C$3:$C$302,MATCH($A131,'Source Register'!$A$3:$A$302,0)))</x:f>
      </x:c>
      <x:c r="C131" s="385" t="str">
        <x:f>IF($A131="","",IF(INDEX('Source Register'!$Z$3:$Z$302,MATCH($A131,'Source Register'!$A$3:$A$302,0))="FAIL","DOWNLOAD FAILURE","ROLLING CONTENT CHANGED"))</x:f>
      </x:c>
      <x:c r="D131" s="386" t="str">
        <x:f>IF($A131="","",IF(INDEX('Source Register'!$Z$3:$Z$302,MATCH($A131,'Source Register'!$A$3:$A$302,0))="FAIL",INDEX('Source Register'!$AA$3:$AA$302,MATCH($A131,'Source Register'!$A$3:$A$302,0)),INDEX('Source Register'!$AB$3:$AB$302,MATCH($A131,'Source Register'!$A$3:$A$302,0))))</x:f>
      </x:c>
      <x:c r="E131" s="387" t="str">
        <x:f>IF($D131="","",MAX(0,TODAY()-INT($D131)))</x:f>
      </x:c>
      <x:c r="F131" s="385" t="str">
        <x:f>IF($A131="","",IF(INDEX('Source Register'!$Z$3:$Z$302,MATCH($A131,'Source Register'!$A$3:$A$302,0))="FAIL",INDEX('Source Register'!$AH$3:$AH$302,MATCH($A131,'Source Register'!$A$3:$A$302,0)),"IMPACT REVIEW"))</x:f>
      </x:c>
      <x:c r="G131" s="385" t="str">
        <x:f>IF($A131="","",INDEX('Source Register'!$I$3:$I$302,MATCH($A131,'Source Register'!$A$3:$A$302,0)))</x:f>
      </x:c>
      <x:c r="H131" s="385" t="str">
        <x:f>IF($A131="","",INDEX('Source Register'!$AD$3:$AD$302,MATCH($A131,'Source Register'!$A$3:$A$302,0)))</x:f>
      </x:c>
      <x:c r="I131" s="385" t="str">
        <x:f>IF($A131="","",INDEX('Source Register'!$AQ$3:$AQ$302,MATCH($A131,'Source Register'!$A$3:$A$302,0)))</x:f>
      </x:c>
      <x:c r="J131" s="385" t="str">
        <x:f>IF($A131="","",IF($E131&gt;$I$46,"OVERDUE","OPEN"))</x:f>
      </x:c>
      <x:c r="K131" s="385" t="str">
        <x:f>IF($A131="","",IF(INDEX('Source Register'!$Z$3:$Z$302,MATCH($A131,'Source Register'!$A$3:$A$302,0))="FAIL",INDEX('Source Register'!$AI$3:$AI$302,MATCH($A131,'Source Register'!$A$3:$A$302,0)),"Rolling source content changed; review downstream Requirement impact."))</x:f>
      </x:c>
      <x:c r="N131" s="381" t="str">
        <x:f>IF('Source Register'!AJ131="YES",COUNTIF('Source Register'!$AJ$3:'Source Register'!AJ131,"YES"),"")</x:f>
      </x:c>
    </x:row>
    <x:row r="132" ht="34" customHeight="1">
      <x:c r="A132" s="385" t="str">
        <x:f>IFERROR(INDEX('Source Register'!$A$3:$A$302,MATCH(ROWS($A$54:A132),$N$3:$N$302,0)),"")</x:f>
      </x:c>
      <x:c r="B132" s="385" t="str">
        <x:f>IF($A132="","",INDEX('Source Register'!$C$3:$C$302,MATCH($A132,'Source Register'!$A$3:$A$302,0)))</x:f>
      </x:c>
      <x:c r="C132" s="385" t="str">
        <x:f>IF($A132="","",IF(INDEX('Source Register'!$Z$3:$Z$302,MATCH($A132,'Source Register'!$A$3:$A$302,0))="FAIL","DOWNLOAD FAILURE","ROLLING CONTENT CHANGED"))</x:f>
      </x:c>
      <x:c r="D132" s="386" t="str">
        <x:f>IF($A132="","",IF(INDEX('Source Register'!$Z$3:$Z$302,MATCH($A132,'Source Register'!$A$3:$A$302,0))="FAIL",INDEX('Source Register'!$AA$3:$AA$302,MATCH($A132,'Source Register'!$A$3:$A$302,0)),INDEX('Source Register'!$AB$3:$AB$302,MATCH($A132,'Source Register'!$A$3:$A$302,0))))</x:f>
      </x:c>
      <x:c r="E132" s="387" t="str">
        <x:f>IF($D132="","",MAX(0,TODAY()-INT($D132)))</x:f>
      </x:c>
      <x:c r="F132" s="385" t="str">
        <x:f>IF($A132="","",IF(INDEX('Source Register'!$Z$3:$Z$302,MATCH($A132,'Source Register'!$A$3:$A$302,0))="FAIL",INDEX('Source Register'!$AH$3:$AH$302,MATCH($A132,'Source Register'!$A$3:$A$302,0)),"IMPACT REVIEW"))</x:f>
      </x:c>
      <x:c r="G132" s="385" t="str">
        <x:f>IF($A132="","",INDEX('Source Register'!$I$3:$I$302,MATCH($A132,'Source Register'!$A$3:$A$302,0)))</x:f>
      </x:c>
      <x:c r="H132" s="385" t="str">
        <x:f>IF($A132="","",INDEX('Source Register'!$AD$3:$AD$302,MATCH($A132,'Source Register'!$A$3:$A$302,0)))</x:f>
      </x:c>
      <x:c r="I132" s="385" t="str">
        <x:f>IF($A132="","",INDEX('Source Register'!$AQ$3:$AQ$302,MATCH($A132,'Source Register'!$A$3:$A$302,0)))</x:f>
      </x:c>
      <x:c r="J132" s="385" t="str">
        <x:f>IF($A132="","",IF($E132&gt;$I$46,"OVERDUE","OPEN"))</x:f>
      </x:c>
      <x:c r="K132" s="385" t="str">
        <x:f>IF($A132="","",IF(INDEX('Source Register'!$Z$3:$Z$302,MATCH($A132,'Source Register'!$A$3:$A$302,0))="FAIL",INDEX('Source Register'!$AI$3:$AI$302,MATCH($A132,'Source Register'!$A$3:$A$302,0)),"Rolling source content changed; review downstream Requirement impact."))</x:f>
      </x:c>
      <x:c r="N132" s="381" t="str">
        <x:f>IF('Source Register'!AJ132="YES",COUNTIF('Source Register'!$AJ$3:'Source Register'!AJ132,"YES"),"")</x:f>
      </x:c>
    </x:row>
    <x:row r="133" ht="34" customHeight="1">
      <x:c r="A133" s="385" t="str">
        <x:f>IFERROR(INDEX('Source Register'!$A$3:$A$302,MATCH(ROWS($A$54:A133),$N$3:$N$302,0)),"")</x:f>
      </x:c>
      <x:c r="B133" s="385" t="str">
        <x:f>IF($A133="","",INDEX('Source Register'!$C$3:$C$302,MATCH($A133,'Source Register'!$A$3:$A$302,0)))</x:f>
      </x:c>
      <x:c r="C133" s="385" t="str">
        <x:f>IF($A133="","",IF(INDEX('Source Register'!$Z$3:$Z$302,MATCH($A133,'Source Register'!$A$3:$A$302,0))="FAIL","DOWNLOAD FAILURE","ROLLING CONTENT CHANGED"))</x:f>
      </x:c>
      <x:c r="D133" s="386" t="str">
        <x:f>IF($A133="","",IF(INDEX('Source Register'!$Z$3:$Z$302,MATCH($A133,'Source Register'!$A$3:$A$302,0))="FAIL",INDEX('Source Register'!$AA$3:$AA$302,MATCH($A133,'Source Register'!$A$3:$A$302,0)),INDEX('Source Register'!$AB$3:$AB$302,MATCH($A133,'Source Register'!$A$3:$A$302,0))))</x:f>
      </x:c>
      <x:c r="E133" s="387" t="str">
        <x:f>IF($D133="","",MAX(0,TODAY()-INT($D133)))</x:f>
      </x:c>
      <x:c r="F133" s="385" t="str">
        <x:f>IF($A133="","",IF(INDEX('Source Register'!$Z$3:$Z$302,MATCH($A133,'Source Register'!$A$3:$A$302,0))="FAIL",INDEX('Source Register'!$AH$3:$AH$302,MATCH($A133,'Source Register'!$A$3:$A$302,0)),"IMPACT REVIEW"))</x:f>
      </x:c>
      <x:c r="G133" s="385" t="str">
        <x:f>IF($A133="","",INDEX('Source Register'!$I$3:$I$302,MATCH($A133,'Source Register'!$A$3:$A$302,0)))</x:f>
      </x:c>
      <x:c r="H133" s="385" t="str">
        <x:f>IF($A133="","",INDEX('Source Register'!$AD$3:$AD$302,MATCH($A133,'Source Register'!$A$3:$A$302,0)))</x:f>
      </x:c>
      <x:c r="I133" s="385" t="str">
        <x:f>IF($A133="","",INDEX('Source Register'!$AQ$3:$AQ$302,MATCH($A133,'Source Register'!$A$3:$A$302,0)))</x:f>
      </x:c>
      <x:c r="J133" s="385" t="str">
        <x:f>IF($A133="","",IF($E133&gt;$I$46,"OVERDUE","OPEN"))</x:f>
      </x:c>
      <x:c r="K133" s="385" t="str">
        <x:f>IF($A133="","",IF(INDEX('Source Register'!$Z$3:$Z$302,MATCH($A133,'Source Register'!$A$3:$A$302,0))="FAIL",INDEX('Source Register'!$AI$3:$AI$302,MATCH($A133,'Source Register'!$A$3:$A$302,0)),"Rolling source content changed; review downstream Requirement impact."))</x:f>
      </x:c>
      <x:c r="N133" s="381" t="str">
        <x:f>IF('Source Register'!AJ133="YES",COUNTIF('Source Register'!$AJ$3:'Source Register'!AJ133,"YES"),"")</x:f>
      </x:c>
    </x:row>
    <x:row r="134" ht="34" customHeight="1">
      <x:c r="A134" s="385" t="str">
        <x:f>IFERROR(INDEX('Source Register'!$A$3:$A$302,MATCH(ROWS($A$54:A134),$N$3:$N$302,0)),"")</x:f>
      </x:c>
      <x:c r="B134" s="385" t="str">
        <x:f>IF($A134="","",INDEX('Source Register'!$C$3:$C$302,MATCH($A134,'Source Register'!$A$3:$A$302,0)))</x:f>
      </x:c>
      <x:c r="C134" s="385" t="str">
        <x:f>IF($A134="","",IF(INDEX('Source Register'!$Z$3:$Z$302,MATCH($A134,'Source Register'!$A$3:$A$302,0))="FAIL","DOWNLOAD FAILURE","ROLLING CONTENT CHANGED"))</x:f>
      </x:c>
      <x:c r="D134" s="386" t="str">
        <x:f>IF($A134="","",IF(INDEX('Source Register'!$Z$3:$Z$302,MATCH($A134,'Source Register'!$A$3:$A$302,0))="FAIL",INDEX('Source Register'!$AA$3:$AA$302,MATCH($A134,'Source Register'!$A$3:$A$302,0)),INDEX('Source Register'!$AB$3:$AB$302,MATCH($A134,'Source Register'!$A$3:$A$302,0))))</x:f>
      </x:c>
      <x:c r="E134" s="387" t="str">
        <x:f>IF($D134="","",MAX(0,TODAY()-INT($D134)))</x:f>
      </x:c>
      <x:c r="F134" s="385" t="str">
        <x:f>IF($A134="","",IF(INDEX('Source Register'!$Z$3:$Z$302,MATCH($A134,'Source Register'!$A$3:$A$302,0))="FAIL",INDEX('Source Register'!$AH$3:$AH$302,MATCH($A134,'Source Register'!$A$3:$A$302,0)),"IMPACT REVIEW"))</x:f>
      </x:c>
      <x:c r="G134" s="385" t="str">
        <x:f>IF($A134="","",INDEX('Source Register'!$I$3:$I$302,MATCH($A134,'Source Register'!$A$3:$A$302,0)))</x:f>
      </x:c>
      <x:c r="H134" s="385" t="str">
        <x:f>IF($A134="","",INDEX('Source Register'!$AD$3:$AD$302,MATCH($A134,'Source Register'!$A$3:$A$302,0)))</x:f>
      </x:c>
      <x:c r="I134" s="385" t="str">
        <x:f>IF($A134="","",INDEX('Source Register'!$AQ$3:$AQ$302,MATCH($A134,'Source Register'!$A$3:$A$302,0)))</x:f>
      </x:c>
      <x:c r="J134" s="385" t="str">
        <x:f>IF($A134="","",IF($E134&gt;$I$46,"OVERDUE","OPEN"))</x:f>
      </x:c>
      <x:c r="K134" s="385" t="str">
        <x:f>IF($A134="","",IF(INDEX('Source Register'!$Z$3:$Z$302,MATCH($A134,'Source Register'!$A$3:$A$302,0))="FAIL",INDEX('Source Register'!$AI$3:$AI$302,MATCH($A134,'Source Register'!$A$3:$A$302,0)),"Rolling source content changed; review downstream Requirement impact."))</x:f>
      </x:c>
      <x:c r="N134" s="381" t="str">
        <x:f>IF('Source Register'!AJ134="YES",COUNTIF('Source Register'!$AJ$3:'Source Register'!AJ134,"YES"),"")</x:f>
      </x:c>
    </x:row>
    <x:row r="135" ht="34" customHeight="1">
      <x:c r="A135" s="385" t="str">
        <x:f>IFERROR(INDEX('Source Register'!$A$3:$A$302,MATCH(ROWS($A$54:A135),$N$3:$N$302,0)),"")</x:f>
      </x:c>
      <x:c r="B135" s="385" t="str">
        <x:f>IF($A135="","",INDEX('Source Register'!$C$3:$C$302,MATCH($A135,'Source Register'!$A$3:$A$302,0)))</x:f>
      </x:c>
      <x:c r="C135" s="385" t="str">
        <x:f>IF($A135="","",IF(INDEX('Source Register'!$Z$3:$Z$302,MATCH($A135,'Source Register'!$A$3:$A$302,0))="FAIL","DOWNLOAD FAILURE","ROLLING CONTENT CHANGED"))</x:f>
      </x:c>
      <x:c r="D135" s="386" t="str">
        <x:f>IF($A135="","",IF(INDEX('Source Register'!$Z$3:$Z$302,MATCH($A135,'Source Register'!$A$3:$A$302,0))="FAIL",INDEX('Source Register'!$AA$3:$AA$302,MATCH($A135,'Source Register'!$A$3:$A$302,0)),INDEX('Source Register'!$AB$3:$AB$302,MATCH($A135,'Source Register'!$A$3:$A$302,0))))</x:f>
      </x:c>
      <x:c r="E135" s="387" t="str">
        <x:f>IF($D135="","",MAX(0,TODAY()-INT($D135)))</x:f>
      </x:c>
      <x:c r="F135" s="385" t="str">
        <x:f>IF($A135="","",IF(INDEX('Source Register'!$Z$3:$Z$302,MATCH($A135,'Source Register'!$A$3:$A$302,0))="FAIL",INDEX('Source Register'!$AH$3:$AH$302,MATCH($A135,'Source Register'!$A$3:$A$302,0)),"IMPACT REVIEW"))</x:f>
      </x:c>
      <x:c r="G135" s="385" t="str">
        <x:f>IF($A135="","",INDEX('Source Register'!$I$3:$I$302,MATCH($A135,'Source Register'!$A$3:$A$302,0)))</x:f>
      </x:c>
      <x:c r="H135" s="385" t="str">
        <x:f>IF($A135="","",INDEX('Source Register'!$AD$3:$AD$302,MATCH($A135,'Source Register'!$A$3:$A$302,0)))</x:f>
      </x:c>
      <x:c r="I135" s="385" t="str">
        <x:f>IF($A135="","",INDEX('Source Register'!$AQ$3:$AQ$302,MATCH($A135,'Source Register'!$A$3:$A$302,0)))</x:f>
      </x:c>
      <x:c r="J135" s="385" t="str">
        <x:f>IF($A135="","",IF($E135&gt;$I$46,"OVERDUE","OPEN"))</x:f>
      </x:c>
      <x:c r="K135" s="385" t="str">
        <x:f>IF($A135="","",IF(INDEX('Source Register'!$Z$3:$Z$302,MATCH($A135,'Source Register'!$A$3:$A$302,0))="FAIL",INDEX('Source Register'!$AI$3:$AI$302,MATCH($A135,'Source Register'!$A$3:$A$302,0)),"Rolling source content changed; review downstream Requirement impact."))</x:f>
      </x:c>
      <x:c r="N135" s="381" t="str">
        <x:f>IF('Source Register'!AJ135="YES",COUNTIF('Source Register'!$AJ$3:'Source Register'!AJ135,"YES"),"")</x:f>
      </x:c>
    </x:row>
    <x:row r="136" ht="34" customHeight="1">
      <x:c r="A136" s="385" t="str">
        <x:f>IFERROR(INDEX('Source Register'!$A$3:$A$302,MATCH(ROWS($A$54:A136),$N$3:$N$302,0)),"")</x:f>
      </x:c>
      <x:c r="B136" s="385" t="str">
        <x:f>IF($A136="","",INDEX('Source Register'!$C$3:$C$302,MATCH($A136,'Source Register'!$A$3:$A$302,0)))</x:f>
      </x:c>
      <x:c r="C136" s="385" t="str">
        <x:f>IF($A136="","",IF(INDEX('Source Register'!$Z$3:$Z$302,MATCH($A136,'Source Register'!$A$3:$A$302,0))="FAIL","DOWNLOAD FAILURE","ROLLING CONTENT CHANGED"))</x:f>
      </x:c>
      <x:c r="D136" s="386" t="str">
        <x:f>IF($A136="","",IF(INDEX('Source Register'!$Z$3:$Z$302,MATCH($A136,'Source Register'!$A$3:$A$302,0))="FAIL",INDEX('Source Register'!$AA$3:$AA$302,MATCH($A136,'Source Register'!$A$3:$A$302,0)),INDEX('Source Register'!$AB$3:$AB$302,MATCH($A136,'Source Register'!$A$3:$A$302,0))))</x:f>
      </x:c>
      <x:c r="E136" s="387" t="str">
        <x:f>IF($D136="","",MAX(0,TODAY()-INT($D136)))</x:f>
      </x:c>
      <x:c r="F136" s="385" t="str">
        <x:f>IF($A136="","",IF(INDEX('Source Register'!$Z$3:$Z$302,MATCH($A136,'Source Register'!$A$3:$A$302,0))="FAIL",INDEX('Source Register'!$AH$3:$AH$302,MATCH($A136,'Source Register'!$A$3:$A$302,0)),"IMPACT REVIEW"))</x:f>
      </x:c>
      <x:c r="G136" s="385" t="str">
        <x:f>IF($A136="","",INDEX('Source Register'!$I$3:$I$302,MATCH($A136,'Source Register'!$A$3:$A$302,0)))</x:f>
      </x:c>
      <x:c r="H136" s="385" t="str">
        <x:f>IF($A136="","",INDEX('Source Register'!$AD$3:$AD$302,MATCH($A136,'Source Register'!$A$3:$A$302,0)))</x:f>
      </x:c>
      <x:c r="I136" s="385" t="str">
        <x:f>IF($A136="","",INDEX('Source Register'!$AQ$3:$AQ$302,MATCH($A136,'Source Register'!$A$3:$A$302,0)))</x:f>
      </x:c>
      <x:c r="J136" s="385" t="str">
        <x:f>IF($A136="","",IF($E136&gt;$I$46,"OVERDUE","OPEN"))</x:f>
      </x:c>
      <x:c r="K136" s="385" t="str">
        <x:f>IF($A136="","",IF(INDEX('Source Register'!$Z$3:$Z$302,MATCH($A136,'Source Register'!$A$3:$A$302,0))="FAIL",INDEX('Source Register'!$AI$3:$AI$302,MATCH($A136,'Source Register'!$A$3:$A$302,0)),"Rolling source content changed; review downstream Requirement impact."))</x:f>
      </x:c>
      <x:c r="N136" s="381" t="str">
        <x:f>IF('Source Register'!AJ136="YES",COUNTIF('Source Register'!$AJ$3:'Source Register'!AJ136,"YES"),"")</x:f>
      </x:c>
    </x:row>
    <x:row r="137" ht="34" customHeight="1">
      <x:c r="A137" s="385" t="str">
        <x:f>IFERROR(INDEX('Source Register'!$A$3:$A$302,MATCH(ROWS($A$54:A137),$N$3:$N$302,0)),"")</x:f>
      </x:c>
      <x:c r="B137" s="385" t="str">
        <x:f>IF($A137="","",INDEX('Source Register'!$C$3:$C$302,MATCH($A137,'Source Register'!$A$3:$A$302,0)))</x:f>
      </x:c>
      <x:c r="C137" s="385" t="str">
        <x:f>IF($A137="","",IF(INDEX('Source Register'!$Z$3:$Z$302,MATCH($A137,'Source Register'!$A$3:$A$302,0))="FAIL","DOWNLOAD FAILURE","ROLLING CONTENT CHANGED"))</x:f>
      </x:c>
      <x:c r="D137" s="386" t="str">
        <x:f>IF($A137="","",IF(INDEX('Source Register'!$Z$3:$Z$302,MATCH($A137,'Source Register'!$A$3:$A$302,0))="FAIL",INDEX('Source Register'!$AA$3:$AA$302,MATCH($A137,'Source Register'!$A$3:$A$302,0)),INDEX('Source Register'!$AB$3:$AB$302,MATCH($A137,'Source Register'!$A$3:$A$302,0))))</x:f>
      </x:c>
      <x:c r="E137" s="387" t="str">
        <x:f>IF($D137="","",MAX(0,TODAY()-INT($D137)))</x:f>
      </x:c>
      <x:c r="F137" s="385" t="str">
        <x:f>IF($A137="","",IF(INDEX('Source Register'!$Z$3:$Z$302,MATCH($A137,'Source Register'!$A$3:$A$302,0))="FAIL",INDEX('Source Register'!$AH$3:$AH$302,MATCH($A137,'Source Register'!$A$3:$A$302,0)),"IMPACT REVIEW"))</x:f>
      </x:c>
      <x:c r="G137" s="385" t="str">
        <x:f>IF($A137="","",INDEX('Source Register'!$I$3:$I$302,MATCH($A137,'Source Register'!$A$3:$A$302,0)))</x:f>
      </x:c>
      <x:c r="H137" s="385" t="str">
        <x:f>IF($A137="","",INDEX('Source Register'!$AD$3:$AD$302,MATCH($A137,'Source Register'!$A$3:$A$302,0)))</x:f>
      </x:c>
      <x:c r="I137" s="385" t="str">
        <x:f>IF($A137="","",INDEX('Source Register'!$AQ$3:$AQ$302,MATCH($A137,'Source Register'!$A$3:$A$302,0)))</x:f>
      </x:c>
      <x:c r="J137" s="385" t="str">
        <x:f>IF($A137="","",IF($E137&gt;$I$46,"OVERDUE","OPEN"))</x:f>
      </x:c>
      <x:c r="K137" s="385" t="str">
        <x:f>IF($A137="","",IF(INDEX('Source Register'!$Z$3:$Z$302,MATCH($A137,'Source Register'!$A$3:$A$302,0))="FAIL",INDEX('Source Register'!$AI$3:$AI$302,MATCH($A137,'Source Register'!$A$3:$A$302,0)),"Rolling source content changed; review downstream Requirement impact."))</x:f>
      </x:c>
      <x:c r="N137" s="381" t="str">
        <x:f>IF('Source Register'!AJ137="YES",COUNTIF('Source Register'!$AJ$3:'Source Register'!AJ137,"YES"),"")</x:f>
      </x:c>
    </x:row>
    <x:row r="138" ht="34" customHeight="1">
      <x:c r="A138" s="385" t="str">
        <x:f>IFERROR(INDEX('Source Register'!$A$3:$A$302,MATCH(ROWS($A$54:A138),$N$3:$N$302,0)),"")</x:f>
      </x:c>
      <x:c r="B138" s="385" t="str">
        <x:f>IF($A138="","",INDEX('Source Register'!$C$3:$C$302,MATCH($A138,'Source Register'!$A$3:$A$302,0)))</x:f>
      </x:c>
      <x:c r="C138" s="385" t="str">
        <x:f>IF($A138="","",IF(INDEX('Source Register'!$Z$3:$Z$302,MATCH($A138,'Source Register'!$A$3:$A$302,0))="FAIL","DOWNLOAD FAILURE","ROLLING CONTENT CHANGED"))</x:f>
      </x:c>
      <x:c r="D138" s="386" t="str">
        <x:f>IF($A138="","",IF(INDEX('Source Register'!$Z$3:$Z$302,MATCH($A138,'Source Register'!$A$3:$A$302,0))="FAIL",INDEX('Source Register'!$AA$3:$AA$302,MATCH($A138,'Source Register'!$A$3:$A$302,0)),INDEX('Source Register'!$AB$3:$AB$302,MATCH($A138,'Source Register'!$A$3:$A$302,0))))</x:f>
      </x:c>
      <x:c r="E138" s="387" t="str">
        <x:f>IF($D138="","",MAX(0,TODAY()-INT($D138)))</x:f>
      </x:c>
      <x:c r="F138" s="385" t="str">
        <x:f>IF($A138="","",IF(INDEX('Source Register'!$Z$3:$Z$302,MATCH($A138,'Source Register'!$A$3:$A$302,0))="FAIL",INDEX('Source Register'!$AH$3:$AH$302,MATCH($A138,'Source Register'!$A$3:$A$302,0)),"IMPACT REVIEW"))</x:f>
      </x:c>
      <x:c r="G138" s="385" t="str">
        <x:f>IF($A138="","",INDEX('Source Register'!$I$3:$I$302,MATCH($A138,'Source Register'!$A$3:$A$302,0)))</x:f>
      </x:c>
      <x:c r="H138" s="385" t="str">
        <x:f>IF($A138="","",INDEX('Source Register'!$AD$3:$AD$302,MATCH($A138,'Source Register'!$A$3:$A$302,0)))</x:f>
      </x:c>
      <x:c r="I138" s="385" t="str">
        <x:f>IF($A138="","",INDEX('Source Register'!$AQ$3:$AQ$302,MATCH($A138,'Source Register'!$A$3:$A$302,0)))</x:f>
      </x:c>
      <x:c r="J138" s="385" t="str">
        <x:f>IF($A138="","",IF($E138&gt;$I$46,"OVERDUE","OPEN"))</x:f>
      </x:c>
      <x:c r="K138" s="385" t="str">
        <x:f>IF($A138="","",IF(INDEX('Source Register'!$Z$3:$Z$302,MATCH($A138,'Source Register'!$A$3:$A$302,0))="FAIL",INDEX('Source Register'!$AI$3:$AI$302,MATCH($A138,'Source Register'!$A$3:$A$302,0)),"Rolling source content changed; review downstream Requirement impact."))</x:f>
      </x:c>
      <x:c r="N138" s="381" t="str">
        <x:f>IF('Source Register'!AJ138="YES",COUNTIF('Source Register'!$AJ$3:'Source Register'!AJ138,"YES"),"")</x:f>
      </x:c>
    </x:row>
    <x:row r="139" ht="34" customHeight="1">
      <x:c r="A139" s="385" t="str">
        <x:f>IFERROR(INDEX('Source Register'!$A$3:$A$302,MATCH(ROWS($A$54:A139),$N$3:$N$302,0)),"")</x:f>
      </x:c>
      <x:c r="B139" s="385" t="str">
        <x:f>IF($A139="","",INDEX('Source Register'!$C$3:$C$302,MATCH($A139,'Source Register'!$A$3:$A$302,0)))</x:f>
      </x:c>
      <x:c r="C139" s="385" t="str">
        <x:f>IF($A139="","",IF(INDEX('Source Register'!$Z$3:$Z$302,MATCH($A139,'Source Register'!$A$3:$A$302,0))="FAIL","DOWNLOAD FAILURE","ROLLING CONTENT CHANGED"))</x:f>
      </x:c>
      <x:c r="D139" s="386" t="str">
        <x:f>IF($A139="","",IF(INDEX('Source Register'!$Z$3:$Z$302,MATCH($A139,'Source Register'!$A$3:$A$302,0))="FAIL",INDEX('Source Register'!$AA$3:$AA$302,MATCH($A139,'Source Register'!$A$3:$A$302,0)),INDEX('Source Register'!$AB$3:$AB$302,MATCH($A139,'Source Register'!$A$3:$A$302,0))))</x:f>
      </x:c>
      <x:c r="E139" s="387" t="str">
        <x:f>IF($D139="","",MAX(0,TODAY()-INT($D139)))</x:f>
      </x:c>
      <x:c r="F139" s="385" t="str">
        <x:f>IF($A139="","",IF(INDEX('Source Register'!$Z$3:$Z$302,MATCH($A139,'Source Register'!$A$3:$A$302,0))="FAIL",INDEX('Source Register'!$AH$3:$AH$302,MATCH($A139,'Source Register'!$A$3:$A$302,0)),"IMPACT REVIEW"))</x:f>
      </x:c>
      <x:c r="G139" s="385" t="str">
        <x:f>IF($A139="","",INDEX('Source Register'!$I$3:$I$302,MATCH($A139,'Source Register'!$A$3:$A$302,0)))</x:f>
      </x:c>
      <x:c r="H139" s="385" t="str">
        <x:f>IF($A139="","",INDEX('Source Register'!$AD$3:$AD$302,MATCH($A139,'Source Register'!$A$3:$A$302,0)))</x:f>
      </x:c>
      <x:c r="I139" s="385" t="str">
        <x:f>IF($A139="","",INDEX('Source Register'!$AQ$3:$AQ$302,MATCH($A139,'Source Register'!$A$3:$A$302,0)))</x:f>
      </x:c>
      <x:c r="J139" s="385" t="str">
        <x:f>IF($A139="","",IF($E139&gt;$I$46,"OVERDUE","OPEN"))</x:f>
      </x:c>
      <x:c r="K139" s="385" t="str">
        <x:f>IF($A139="","",IF(INDEX('Source Register'!$Z$3:$Z$302,MATCH($A139,'Source Register'!$A$3:$A$302,0))="FAIL",INDEX('Source Register'!$AI$3:$AI$302,MATCH($A139,'Source Register'!$A$3:$A$302,0)),"Rolling source content changed; review downstream Requirement impact."))</x:f>
      </x:c>
      <x:c r="N139" s="381" t="str">
        <x:f>IF('Source Register'!AJ139="YES",COUNTIF('Source Register'!$AJ$3:'Source Register'!AJ139,"YES"),"")</x:f>
      </x:c>
    </x:row>
    <x:row r="140" ht="34" customHeight="1">
      <x:c r="A140" s="385" t="str">
        <x:f>IFERROR(INDEX('Source Register'!$A$3:$A$302,MATCH(ROWS($A$54:A140),$N$3:$N$302,0)),"")</x:f>
      </x:c>
      <x:c r="B140" s="385" t="str">
        <x:f>IF($A140="","",INDEX('Source Register'!$C$3:$C$302,MATCH($A140,'Source Register'!$A$3:$A$302,0)))</x:f>
      </x:c>
      <x:c r="C140" s="385" t="str">
        <x:f>IF($A140="","",IF(INDEX('Source Register'!$Z$3:$Z$302,MATCH($A140,'Source Register'!$A$3:$A$302,0))="FAIL","DOWNLOAD FAILURE","ROLLING CONTENT CHANGED"))</x:f>
      </x:c>
      <x:c r="D140" s="386" t="str">
        <x:f>IF($A140="","",IF(INDEX('Source Register'!$Z$3:$Z$302,MATCH($A140,'Source Register'!$A$3:$A$302,0))="FAIL",INDEX('Source Register'!$AA$3:$AA$302,MATCH($A140,'Source Register'!$A$3:$A$302,0)),INDEX('Source Register'!$AB$3:$AB$302,MATCH($A140,'Source Register'!$A$3:$A$302,0))))</x:f>
      </x:c>
      <x:c r="E140" s="387" t="str">
        <x:f>IF($D140="","",MAX(0,TODAY()-INT($D140)))</x:f>
      </x:c>
      <x:c r="F140" s="385" t="str">
        <x:f>IF($A140="","",IF(INDEX('Source Register'!$Z$3:$Z$302,MATCH($A140,'Source Register'!$A$3:$A$302,0))="FAIL",INDEX('Source Register'!$AH$3:$AH$302,MATCH($A140,'Source Register'!$A$3:$A$302,0)),"IMPACT REVIEW"))</x:f>
      </x:c>
      <x:c r="G140" s="385" t="str">
        <x:f>IF($A140="","",INDEX('Source Register'!$I$3:$I$302,MATCH($A140,'Source Register'!$A$3:$A$302,0)))</x:f>
      </x:c>
      <x:c r="H140" s="385" t="str">
        <x:f>IF($A140="","",INDEX('Source Register'!$AD$3:$AD$302,MATCH($A140,'Source Register'!$A$3:$A$302,0)))</x:f>
      </x:c>
      <x:c r="I140" s="385" t="str">
        <x:f>IF($A140="","",INDEX('Source Register'!$AQ$3:$AQ$302,MATCH($A140,'Source Register'!$A$3:$A$302,0)))</x:f>
      </x:c>
      <x:c r="J140" s="385" t="str">
        <x:f>IF($A140="","",IF($E140&gt;$I$46,"OVERDUE","OPEN"))</x:f>
      </x:c>
      <x:c r="K140" s="385" t="str">
        <x:f>IF($A140="","",IF(INDEX('Source Register'!$Z$3:$Z$302,MATCH($A140,'Source Register'!$A$3:$A$302,0))="FAIL",INDEX('Source Register'!$AI$3:$AI$302,MATCH($A140,'Source Register'!$A$3:$A$302,0)),"Rolling source content changed; review downstream Requirement impact."))</x:f>
      </x:c>
      <x:c r="N140" s="381" t="str">
        <x:f>IF('Source Register'!AJ140="YES",COUNTIF('Source Register'!$AJ$3:'Source Register'!AJ140,"YES"),"")</x:f>
      </x:c>
    </x:row>
    <x:row r="141" ht="34" customHeight="1">
      <x:c r="A141" s="385" t="str">
        <x:f>IFERROR(INDEX('Source Register'!$A$3:$A$302,MATCH(ROWS($A$54:A141),$N$3:$N$302,0)),"")</x:f>
      </x:c>
      <x:c r="B141" s="385" t="str">
        <x:f>IF($A141="","",INDEX('Source Register'!$C$3:$C$302,MATCH($A141,'Source Register'!$A$3:$A$302,0)))</x:f>
      </x:c>
      <x:c r="C141" s="385" t="str">
        <x:f>IF($A141="","",IF(INDEX('Source Register'!$Z$3:$Z$302,MATCH($A141,'Source Register'!$A$3:$A$302,0))="FAIL","DOWNLOAD FAILURE","ROLLING CONTENT CHANGED"))</x:f>
      </x:c>
      <x:c r="D141" s="386" t="str">
        <x:f>IF($A141="","",IF(INDEX('Source Register'!$Z$3:$Z$302,MATCH($A141,'Source Register'!$A$3:$A$302,0))="FAIL",INDEX('Source Register'!$AA$3:$AA$302,MATCH($A141,'Source Register'!$A$3:$A$302,0)),INDEX('Source Register'!$AB$3:$AB$302,MATCH($A141,'Source Register'!$A$3:$A$302,0))))</x:f>
      </x:c>
      <x:c r="E141" s="387" t="str">
        <x:f>IF($D141="","",MAX(0,TODAY()-INT($D141)))</x:f>
      </x:c>
      <x:c r="F141" s="385" t="str">
        <x:f>IF($A141="","",IF(INDEX('Source Register'!$Z$3:$Z$302,MATCH($A141,'Source Register'!$A$3:$A$302,0))="FAIL",INDEX('Source Register'!$AH$3:$AH$302,MATCH($A141,'Source Register'!$A$3:$A$302,0)),"IMPACT REVIEW"))</x:f>
      </x:c>
      <x:c r="G141" s="385" t="str">
        <x:f>IF($A141="","",INDEX('Source Register'!$I$3:$I$302,MATCH($A141,'Source Register'!$A$3:$A$302,0)))</x:f>
      </x:c>
      <x:c r="H141" s="385" t="str">
        <x:f>IF($A141="","",INDEX('Source Register'!$AD$3:$AD$302,MATCH($A141,'Source Register'!$A$3:$A$302,0)))</x:f>
      </x:c>
      <x:c r="I141" s="385" t="str">
        <x:f>IF($A141="","",INDEX('Source Register'!$AQ$3:$AQ$302,MATCH($A141,'Source Register'!$A$3:$A$302,0)))</x:f>
      </x:c>
      <x:c r="J141" s="385" t="str">
        <x:f>IF($A141="","",IF($E141&gt;$I$46,"OVERDUE","OPEN"))</x:f>
      </x:c>
      <x:c r="K141" s="385" t="str">
        <x:f>IF($A141="","",IF(INDEX('Source Register'!$Z$3:$Z$302,MATCH($A141,'Source Register'!$A$3:$A$302,0))="FAIL",INDEX('Source Register'!$AI$3:$AI$302,MATCH($A141,'Source Register'!$A$3:$A$302,0)),"Rolling source content changed; review downstream Requirement impact."))</x:f>
      </x:c>
      <x:c r="N141" s="381" t="str">
        <x:f>IF('Source Register'!AJ141="YES",COUNTIF('Source Register'!$AJ$3:'Source Register'!AJ141,"YES"),"")</x:f>
      </x:c>
    </x:row>
    <x:row r="142" ht="34" customHeight="1">
      <x:c r="A142" s="385" t="str">
        <x:f>IFERROR(INDEX('Source Register'!$A$3:$A$302,MATCH(ROWS($A$54:A142),$N$3:$N$302,0)),"")</x:f>
      </x:c>
      <x:c r="B142" s="385" t="str">
        <x:f>IF($A142="","",INDEX('Source Register'!$C$3:$C$302,MATCH($A142,'Source Register'!$A$3:$A$302,0)))</x:f>
      </x:c>
      <x:c r="C142" s="385" t="str">
        <x:f>IF($A142="","",IF(INDEX('Source Register'!$Z$3:$Z$302,MATCH($A142,'Source Register'!$A$3:$A$302,0))="FAIL","DOWNLOAD FAILURE","ROLLING CONTENT CHANGED"))</x:f>
      </x:c>
      <x:c r="D142" s="386" t="str">
        <x:f>IF($A142="","",IF(INDEX('Source Register'!$Z$3:$Z$302,MATCH($A142,'Source Register'!$A$3:$A$302,0))="FAIL",INDEX('Source Register'!$AA$3:$AA$302,MATCH($A142,'Source Register'!$A$3:$A$302,0)),INDEX('Source Register'!$AB$3:$AB$302,MATCH($A142,'Source Register'!$A$3:$A$302,0))))</x:f>
      </x:c>
      <x:c r="E142" s="387" t="str">
        <x:f>IF($D142="","",MAX(0,TODAY()-INT($D142)))</x:f>
      </x:c>
      <x:c r="F142" s="385" t="str">
        <x:f>IF($A142="","",IF(INDEX('Source Register'!$Z$3:$Z$302,MATCH($A142,'Source Register'!$A$3:$A$302,0))="FAIL",INDEX('Source Register'!$AH$3:$AH$302,MATCH($A142,'Source Register'!$A$3:$A$302,0)),"IMPACT REVIEW"))</x:f>
      </x:c>
      <x:c r="G142" s="385" t="str">
        <x:f>IF($A142="","",INDEX('Source Register'!$I$3:$I$302,MATCH($A142,'Source Register'!$A$3:$A$302,0)))</x:f>
      </x:c>
      <x:c r="H142" s="385" t="str">
        <x:f>IF($A142="","",INDEX('Source Register'!$AD$3:$AD$302,MATCH($A142,'Source Register'!$A$3:$A$302,0)))</x:f>
      </x:c>
      <x:c r="I142" s="385" t="str">
        <x:f>IF($A142="","",INDEX('Source Register'!$AQ$3:$AQ$302,MATCH($A142,'Source Register'!$A$3:$A$302,0)))</x:f>
      </x:c>
      <x:c r="J142" s="385" t="str">
        <x:f>IF($A142="","",IF($E142&gt;$I$46,"OVERDUE","OPEN"))</x:f>
      </x:c>
      <x:c r="K142" s="385" t="str">
        <x:f>IF($A142="","",IF(INDEX('Source Register'!$Z$3:$Z$302,MATCH($A142,'Source Register'!$A$3:$A$302,0))="FAIL",INDEX('Source Register'!$AI$3:$AI$302,MATCH($A142,'Source Register'!$A$3:$A$302,0)),"Rolling source content changed; review downstream Requirement impact."))</x:f>
      </x:c>
      <x:c r="N142" s="381" t="str">
        <x:f>IF('Source Register'!AJ142="YES",COUNTIF('Source Register'!$AJ$3:'Source Register'!AJ142,"YES"),"")</x:f>
      </x:c>
    </x:row>
    <x:row r="143" ht="34" customHeight="1">
      <x:c r="A143" s="385" t="str">
        <x:f>IFERROR(INDEX('Source Register'!$A$3:$A$302,MATCH(ROWS($A$54:A143),$N$3:$N$302,0)),"")</x:f>
      </x:c>
      <x:c r="B143" s="385" t="str">
        <x:f>IF($A143="","",INDEX('Source Register'!$C$3:$C$302,MATCH($A143,'Source Register'!$A$3:$A$302,0)))</x:f>
      </x:c>
      <x:c r="C143" s="385" t="str">
        <x:f>IF($A143="","",IF(INDEX('Source Register'!$Z$3:$Z$302,MATCH($A143,'Source Register'!$A$3:$A$302,0))="FAIL","DOWNLOAD FAILURE","ROLLING CONTENT CHANGED"))</x:f>
      </x:c>
      <x:c r="D143" s="386" t="str">
        <x:f>IF($A143="","",IF(INDEX('Source Register'!$Z$3:$Z$302,MATCH($A143,'Source Register'!$A$3:$A$302,0))="FAIL",INDEX('Source Register'!$AA$3:$AA$302,MATCH($A143,'Source Register'!$A$3:$A$302,0)),INDEX('Source Register'!$AB$3:$AB$302,MATCH($A143,'Source Register'!$A$3:$A$302,0))))</x:f>
      </x:c>
      <x:c r="E143" s="387" t="str">
        <x:f>IF($D143="","",MAX(0,TODAY()-INT($D143)))</x:f>
      </x:c>
      <x:c r="F143" s="385" t="str">
        <x:f>IF($A143="","",IF(INDEX('Source Register'!$Z$3:$Z$302,MATCH($A143,'Source Register'!$A$3:$A$302,0))="FAIL",INDEX('Source Register'!$AH$3:$AH$302,MATCH($A143,'Source Register'!$A$3:$A$302,0)),"IMPACT REVIEW"))</x:f>
      </x:c>
      <x:c r="G143" s="385" t="str">
        <x:f>IF($A143="","",INDEX('Source Register'!$I$3:$I$302,MATCH($A143,'Source Register'!$A$3:$A$302,0)))</x:f>
      </x:c>
      <x:c r="H143" s="385" t="str">
        <x:f>IF($A143="","",INDEX('Source Register'!$AD$3:$AD$302,MATCH($A143,'Source Register'!$A$3:$A$302,0)))</x:f>
      </x:c>
      <x:c r="I143" s="385" t="str">
        <x:f>IF($A143="","",INDEX('Source Register'!$AQ$3:$AQ$302,MATCH($A143,'Source Register'!$A$3:$A$302,0)))</x:f>
      </x:c>
      <x:c r="J143" s="385" t="str">
        <x:f>IF($A143="","",IF($E143&gt;$I$46,"OVERDUE","OPEN"))</x:f>
      </x:c>
      <x:c r="K143" s="385" t="str">
        <x:f>IF($A143="","",IF(INDEX('Source Register'!$Z$3:$Z$302,MATCH($A143,'Source Register'!$A$3:$A$302,0))="FAIL",INDEX('Source Register'!$AI$3:$AI$302,MATCH($A143,'Source Register'!$A$3:$A$302,0)),"Rolling source content changed; review downstream Requirement impact."))</x:f>
      </x:c>
      <x:c r="N143" s="381" t="str">
        <x:f>IF('Source Register'!AJ143="YES",COUNTIF('Source Register'!$AJ$3:'Source Register'!AJ143,"YES"),"")</x:f>
      </x:c>
    </x:row>
    <x:row r="144" ht="34" customHeight="1">
      <x:c r="A144" s="385" t="str">
        <x:f>IFERROR(INDEX('Source Register'!$A$3:$A$302,MATCH(ROWS($A$54:A144),$N$3:$N$302,0)),"")</x:f>
      </x:c>
      <x:c r="B144" s="385" t="str">
        <x:f>IF($A144="","",INDEX('Source Register'!$C$3:$C$302,MATCH($A144,'Source Register'!$A$3:$A$302,0)))</x:f>
      </x:c>
      <x:c r="C144" s="385" t="str">
        <x:f>IF($A144="","",IF(INDEX('Source Register'!$Z$3:$Z$302,MATCH($A144,'Source Register'!$A$3:$A$302,0))="FAIL","DOWNLOAD FAILURE","ROLLING CONTENT CHANGED"))</x:f>
      </x:c>
      <x:c r="D144" s="386" t="str">
        <x:f>IF($A144="","",IF(INDEX('Source Register'!$Z$3:$Z$302,MATCH($A144,'Source Register'!$A$3:$A$302,0))="FAIL",INDEX('Source Register'!$AA$3:$AA$302,MATCH($A144,'Source Register'!$A$3:$A$302,0)),INDEX('Source Register'!$AB$3:$AB$302,MATCH($A144,'Source Register'!$A$3:$A$302,0))))</x:f>
      </x:c>
      <x:c r="E144" s="387" t="str">
        <x:f>IF($D144="","",MAX(0,TODAY()-INT($D144)))</x:f>
      </x:c>
      <x:c r="F144" s="385" t="str">
        <x:f>IF($A144="","",IF(INDEX('Source Register'!$Z$3:$Z$302,MATCH($A144,'Source Register'!$A$3:$A$302,0))="FAIL",INDEX('Source Register'!$AH$3:$AH$302,MATCH($A144,'Source Register'!$A$3:$A$302,0)),"IMPACT REVIEW"))</x:f>
      </x:c>
      <x:c r="G144" s="385" t="str">
        <x:f>IF($A144="","",INDEX('Source Register'!$I$3:$I$302,MATCH($A144,'Source Register'!$A$3:$A$302,0)))</x:f>
      </x:c>
      <x:c r="H144" s="385" t="str">
        <x:f>IF($A144="","",INDEX('Source Register'!$AD$3:$AD$302,MATCH($A144,'Source Register'!$A$3:$A$302,0)))</x:f>
      </x:c>
      <x:c r="I144" s="385" t="str">
        <x:f>IF($A144="","",INDEX('Source Register'!$AQ$3:$AQ$302,MATCH($A144,'Source Register'!$A$3:$A$302,0)))</x:f>
      </x:c>
      <x:c r="J144" s="385" t="str">
        <x:f>IF($A144="","",IF($E144&gt;$I$46,"OVERDUE","OPEN"))</x:f>
      </x:c>
      <x:c r="K144" s="385" t="str">
        <x:f>IF($A144="","",IF(INDEX('Source Register'!$Z$3:$Z$302,MATCH($A144,'Source Register'!$A$3:$A$302,0))="FAIL",INDEX('Source Register'!$AI$3:$AI$302,MATCH($A144,'Source Register'!$A$3:$A$302,0)),"Rolling source content changed; review downstream Requirement impact."))</x:f>
      </x:c>
      <x:c r="N144" s="381" t="str">
        <x:f>IF('Source Register'!AJ144="YES",COUNTIF('Source Register'!$AJ$3:'Source Register'!AJ144,"YES"),"")</x:f>
      </x:c>
    </x:row>
    <x:row r="145" ht="34" customHeight="1">
      <x:c r="A145" s="385" t="str">
        <x:f>IFERROR(INDEX('Source Register'!$A$3:$A$302,MATCH(ROWS($A$54:A145),$N$3:$N$302,0)),"")</x:f>
      </x:c>
      <x:c r="B145" s="385" t="str">
        <x:f>IF($A145="","",INDEX('Source Register'!$C$3:$C$302,MATCH($A145,'Source Register'!$A$3:$A$302,0)))</x:f>
      </x:c>
      <x:c r="C145" s="385" t="str">
        <x:f>IF($A145="","",IF(INDEX('Source Register'!$Z$3:$Z$302,MATCH($A145,'Source Register'!$A$3:$A$302,0))="FAIL","DOWNLOAD FAILURE","ROLLING CONTENT CHANGED"))</x:f>
      </x:c>
      <x:c r="D145" s="386" t="str">
        <x:f>IF($A145="","",IF(INDEX('Source Register'!$Z$3:$Z$302,MATCH($A145,'Source Register'!$A$3:$A$302,0))="FAIL",INDEX('Source Register'!$AA$3:$AA$302,MATCH($A145,'Source Register'!$A$3:$A$302,0)),INDEX('Source Register'!$AB$3:$AB$302,MATCH($A145,'Source Register'!$A$3:$A$302,0))))</x:f>
      </x:c>
      <x:c r="E145" s="387" t="str">
        <x:f>IF($D145="","",MAX(0,TODAY()-INT($D145)))</x:f>
      </x:c>
      <x:c r="F145" s="385" t="str">
        <x:f>IF($A145="","",IF(INDEX('Source Register'!$Z$3:$Z$302,MATCH($A145,'Source Register'!$A$3:$A$302,0))="FAIL",INDEX('Source Register'!$AH$3:$AH$302,MATCH($A145,'Source Register'!$A$3:$A$302,0)),"IMPACT REVIEW"))</x:f>
      </x:c>
      <x:c r="G145" s="385" t="str">
        <x:f>IF($A145="","",INDEX('Source Register'!$I$3:$I$302,MATCH($A145,'Source Register'!$A$3:$A$302,0)))</x:f>
      </x:c>
      <x:c r="H145" s="385" t="str">
        <x:f>IF($A145="","",INDEX('Source Register'!$AD$3:$AD$302,MATCH($A145,'Source Register'!$A$3:$A$302,0)))</x:f>
      </x:c>
      <x:c r="I145" s="385" t="str">
        <x:f>IF($A145="","",INDEX('Source Register'!$AQ$3:$AQ$302,MATCH($A145,'Source Register'!$A$3:$A$302,0)))</x:f>
      </x:c>
      <x:c r="J145" s="385" t="str">
        <x:f>IF($A145="","",IF($E145&gt;$I$46,"OVERDUE","OPEN"))</x:f>
      </x:c>
      <x:c r="K145" s="385" t="str">
        <x:f>IF($A145="","",IF(INDEX('Source Register'!$Z$3:$Z$302,MATCH($A145,'Source Register'!$A$3:$A$302,0))="FAIL",INDEX('Source Register'!$AI$3:$AI$302,MATCH($A145,'Source Register'!$A$3:$A$302,0)),"Rolling source content changed; review downstream Requirement impact."))</x:f>
      </x:c>
      <x:c r="N145" s="381" t="str">
        <x:f>IF('Source Register'!AJ145="YES",COUNTIF('Source Register'!$AJ$3:'Source Register'!AJ145,"YES"),"")</x:f>
      </x:c>
    </x:row>
    <x:row r="146" ht="34" customHeight="1">
      <x:c r="A146" s="385" t="str">
        <x:f>IFERROR(INDEX('Source Register'!$A$3:$A$302,MATCH(ROWS($A$54:A146),$N$3:$N$302,0)),"")</x:f>
      </x:c>
      <x:c r="B146" s="385" t="str">
        <x:f>IF($A146="","",INDEX('Source Register'!$C$3:$C$302,MATCH($A146,'Source Register'!$A$3:$A$302,0)))</x:f>
      </x:c>
      <x:c r="C146" s="385" t="str">
        <x:f>IF($A146="","",IF(INDEX('Source Register'!$Z$3:$Z$302,MATCH($A146,'Source Register'!$A$3:$A$302,0))="FAIL","DOWNLOAD FAILURE","ROLLING CONTENT CHANGED"))</x:f>
      </x:c>
      <x:c r="D146" s="386" t="str">
        <x:f>IF($A146="","",IF(INDEX('Source Register'!$Z$3:$Z$302,MATCH($A146,'Source Register'!$A$3:$A$302,0))="FAIL",INDEX('Source Register'!$AA$3:$AA$302,MATCH($A146,'Source Register'!$A$3:$A$302,0)),INDEX('Source Register'!$AB$3:$AB$302,MATCH($A146,'Source Register'!$A$3:$A$302,0))))</x:f>
      </x:c>
      <x:c r="E146" s="387" t="str">
        <x:f>IF($D146="","",MAX(0,TODAY()-INT($D146)))</x:f>
      </x:c>
      <x:c r="F146" s="385" t="str">
        <x:f>IF($A146="","",IF(INDEX('Source Register'!$Z$3:$Z$302,MATCH($A146,'Source Register'!$A$3:$A$302,0))="FAIL",INDEX('Source Register'!$AH$3:$AH$302,MATCH($A146,'Source Register'!$A$3:$A$302,0)),"IMPACT REVIEW"))</x:f>
      </x:c>
      <x:c r="G146" s="385" t="str">
        <x:f>IF($A146="","",INDEX('Source Register'!$I$3:$I$302,MATCH($A146,'Source Register'!$A$3:$A$302,0)))</x:f>
      </x:c>
      <x:c r="H146" s="385" t="str">
        <x:f>IF($A146="","",INDEX('Source Register'!$AD$3:$AD$302,MATCH($A146,'Source Register'!$A$3:$A$302,0)))</x:f>
      </x:c>
      <x:c r="I146" s="385" t="str">
        <x:f>IF($A146="","",INDEX('Source Register'!$AQ$3:$AQ$302,MATCH($A146,'Source Register'!$A$3:$A$302,0)))</x:f>
      </x:c>
      <x:c r="J146" s="385" t="str">
        <x:f>IF($A146="","",IF($E146&gt;$I$46,"OVERDUE","OPEN"))</x:f>
      </x:c>
      <x:c r="K146" s="385" t="str">
        <x:f>IF($A146="","",IF(INDEX('Source Register'!$Z$3:$Z$302,MATCH($A146,'Source Register'!$A$3:$A$302,0))="FAIL",INDEX('Source Register'!$AI$3:$AI$302,MATCH($A146,'Source Register'!$A$3:$A$302,0)),"Rolling source content changed; review downstream Requirement impact."))</x:f>
      </x:c>
      <x:c r="N146" s="381" t="str">
        <x:f>IF('Source Register'!AJ146="YES",COUNTIF('Source Register'!$AJ$3:'Source Register'!AJ146,"YES"),"")</x:f>
      </x:c>
    </x:row>
    <x:row r="147" ht="34" customHeight="1">
      <x:c r="A147" s="385" t="str">
        <x:f>IFERROR(INDEX('Source Register'!$A$3:$A$302,MATCH(ROWS($A$54:A147),$N$3:$N$302,0)),"")</x:f>
      </x:c>
      <x:c r="B147" s="385" t="str">
        <x:f>IF($A147="","",INDEX('Source Register'!$C$3:$C$302,MATCH($A147,'Source Register'!$A$3:$A$302,0)))</x:f>
      </x:c>
      <x:c r="C147" s="385" t="str">
        <x:f>IF($A147="","",IF(INDEX('Source Register'!$Z$3:$Z$302,MATCH($A147,'Source Register'!$A$3:$A$302,0))="FAIL","DOWNLOAD FAILURE","ROLLING CONTENT CHANGED"))</x:f>
      </x:c>
      <x:c r="D147" s="386" t="str">
        <x:f>IF($A147="","",IF(INDEX('Source Register'!$Z$3:$Z$302,MATCH($A147,'Source Register'!$A$3:$A$302,0))="FAIL",INDEX('Source Register'!$AA$3:$AA$302,MATCH($A147,'Source Register'!$A$3:$A$302,0)),INDEX('Source Register'!$AB$3:$AB$302,MATCH($A147,'Source Register'!$A$3:$A$302,0))))</x:f>
      </x:c>
      <x:c r="E147" s="387" t="str">
        <x:f>IF($D147="","",MAX(0,TODAY()-INT($D147)))</x:f>
      </x:c>
      <x:c r="F147" s="385" t="str">
        <x:f>IF($A147="","",IF(INDEX('Source Register'!$Z$3:$Z$302,MATCH($A147,'Source Register'!$A$3:$A$302,0))="FAIL",INDEX('Source Register'!$AH$3:$AH$302,MATCH($A147,'Source Register'!$A$3:$A$302,0)),"IMPACT REVIEW"))</x:f>
      </x:c>
      <x:c r="G147" s="385" t="str">
        <x:f>IF($A147="","",INDEX('Source Register'!$I$3:$I$302,MATCH($A147,'Source Register'!$A$3:$A$302,0)))</x:f>
      </x:c>
      <x:c r="H147" s="385" t="str">
        <x:f>IF($A147="","",INDEX('Source Register'!$AD$3:$AD$302,MATCH($A147,'Source Register'!$A$3:$A$302,0)))</x:f>
      </x:c>
      <x:c r="I147" s="385" t="str">
        <x:f>IF($A147="","",INDEX('Source Register'!$AQ$3:$AQ$302,MATCH($A147,'Source Register'!$A$3:$A$302,0)))</x:f>
      </x:c>
      <x:c r="J147" s="385" t="str">
        <x:f>IF($A147="","",IF($E147&gt;$I$46,"OVERDUE","OPEN"))</x:f>
      </x:c>
      <x:c r="K147" s="385" t="str">
        <x:f>IF($A147="","",IF(INDEX('Source Register'!$Z$3:$Z$302,MATCH($A147,'Source Register'!$A$3:$A$302,0))="FAIL",INDEX('Source Register'!$AI$3:$AI$302,MATCH($A147,'Source Register'!$A$3:$A$302,0)),"Rolling source content changed; review downstream Requirement impact."))</x:f>
      </x:c>
      <x:c r="N147" s="381" t="str">
        <x:f>IF('Source Register'!AJ147="YES",COUNTIF('Source Register'!$AJ$3:'Source Register'!AJ147,"YES"),"")</x:f>
      </x:c>
    </x:row>
    <x:row r="148" ht="34" customHeight="1">
      <x:c r="A148" s="385" t="str">
        <x:f>IFERROR(INDEX('Source Register'!$A$3:$A$302,MATCH(ROWS($A$54:A148),$N$3:$N$302,0)),"")</x:f>
      </x:c>
      <x:c r="B148" s="385" t="str">
        <x:f>IF($A148="","",INDEX('Source Register'!$C$3:$C$302,MATCH($A148,'Source Register'!$A$3:$A$302,0)))</x:f>
      </x:c>
      <x:c r="C148" s="385" t="str">
        <x:f>IF($A148="","",IF(INDEX('Source Register'!$Z$3:$Z$302,MATCH($A148,'Source Register'!$A$3:$A$302,0))="FAIL","DOWNLOAD FAILURE","ROLLING CONTENT CHANGED"))</x:f>
      </x:c>
      <x:c r="D148" s="386" t="str">
        <x:f>IF($A148="","",IF(INDEX('Source Register'!$Z$3:$Z$302,MATCH($A148,'Source Register'!$A$3:$A$302,0))="FAIL",INDEX('Source Register'!$AA$3:$AA$302,MATCH($A148,'Source Register'!$A$3:$A$302,0)),INDEX('Source Register'!$AB$3:$AB$302,MATCH($A148,'Source Register'!$A$3:$A$302,0))))</x:f>
      </x:c>
      <x:c r="E148" s="387" t="str">
        <x:f>IF($D148="","",MAX(0,TODAY()-INT($D148)))</x:f>
      </x:c>
      <x:c r="F148" s="385" t="str">
        <x:f>IF($A148="","",IF(INDEX('Source Register'!$Z$3:$Z$302,MATCH($A148,'Source Register'!$A$3:$A$302,0))="FAIL",INDEX('Source Register'!$AH$3:$AH$302,MATCH($A148,'Source Register'!$A$3:$A$302,0)),"IMPACT REVIEW"))</x:f>
      </x:c>
      <x:c r="G148" s="385" t="str">
        <x:f>IF($A148="","",INDEX('Source Register'!$I$3:$I$302,MATCH($A148,'Source Register'!$A$3:$A$302,0)))</x:f>
      </x:c>
      <x:c r="H148" s="385" t="str">
        <x:f>IF($A148="","",INDEX('Source Register'!$AD$3:$AD$302,MATCH($A148,'Source Register'!$A$3:$A$302,0)))</x:f>
      </x:c>
      <x:c r="I148" s="385" t="str">
        <x:f>IF($A148="","",INDEX('Source Register'!$AQ$3:$AQ$302,MATCH($A148,'Source Register'!$A$3:$A$302,0)))</x:f>
      </x:c>
      <x:c r="J148" s="385" t="str">
        <x:f>IF($A148="","",IF($E148&gt;$I$46,"OVERDUE","OPEN"))</x:f>
      </x:c>
      <x:c r="K148" s="385" t="str">
        <x:f>IF($A148="","",IF(INDEX('Source Register'!$Z$3:$Z$302,MATCH($A148,'Source Register'!$A$3:$A$302,0))="FAIL",INDEX('Source Register'!$AI$3:$AI$302,MATCH($A148,'Source Register'!$A$3:$A$302,0)),"Rolling source content changed; review downstream Requirement impact."))</x:f>
      </x:c>
      <x:c r="N148" s="381" t="str">
        <x:f>IF('Source Register'!AJ148="YES",COUNTIF('Source Register'!$AJ$3:'Source Register'!AJ148,"YES"),"")</x:f>
      </x:c>
    </x:row>
    <x:row r="149" ht="34" customHeight="1">
      <x:c r="A149" s="385" t="str">
        <x:f>IFERROR(INDEX('Source Register'!$A$3:$A$302,MATCH(ROWS($A$54:A149),$N$3:$N$302,0)),"")</x:f>
      </x:c>
      <x:c r="B149" s="385" t="str">
        <x:f>IF($A149="","",INDEX('Source Register'!$C$3:$C$302,MATCH($A149,'Source Register'!$A$3:$A$302,0)))</x:f>
      </x:c>
      <x:c r="C149" s="385" t="str">
        <x:f>IF($A149="","",IF(INDEX('Source Register'!$Z$3:$Z$302,MATCH($A149,'Source Register'!$A$3:$A$302,0))="FAIL","DOWNLOAD FAILURE","ROLLING CONTENT CHANGED"))</x:f>
      </x:c>
      <x:c r="D149" s="386" t="str">
        <x:f>IF($A149="","",IF(INDEX('Source Register'!$Z$3:$Z$302,MATCH($A149,'Source Register'!$A$3:$A$302,0))="FAIL",INDEX('Source Register'!$AA$3:$AA$302,MATCH($A149,'Source Register'!$A$3:$A$302,0)),INDEX('Source Register'!$AB$3:$AB$302,MATCH($A149,'Source Register'!$A$3:$A$302,0))))</x:f>
      </x:c>
      <x:c r="E149" s="387" t="str">
        <x:f>IF($D149="","",MAX(0,TODAY()-INT($D149)))</x:f>
      </x:c>
      <x:c r="F149" s="385" t="str">
        <x:f>IF($A149="","",IF(INDEX('Source Register'!$Z$3:$Z$302,MATCH($A149,'Source Register'!$A$3:$A$302,0))="FAIL",INDEX('Source Register'!$AH$3:$AH$302,MATCH($A149,'Source Register'!$A$3:$A$302,0)),"IMPACT REVIEW"))</x:f>
      </x:c>
      <x:c r="G149" s="385" t="str">
        <x:f>IF($A149="","",INDEX('Source Register'!$I$3:$I$302,MATCH($A149,'Source Register'!$A$3:$A$302,0)))</x:f>
      </x:c>
      <x:c r="H149" s="385" t="str">
        <x:f>IF($A149="","",INDEX('Source Register'!$AD$3:$AD$302,MATCH($A149,'Source Register'!$A$3:$A$302,0)))</x:f>
      </x:c>
      <x:c r="I149" s="385" t="str">
        <x:f>IF($A149="","",INDEX('Source Register'!$AQ$3:$AQ$302,MATCH($A149,'Source Register'!$A$3:$A$302,0)))</x:f>
      </x:c>
      <x:c r="J149" s="385" t="str">
        <x:f>IF($A149="","",IF($E149&gt;$I$46,"OVERDUE","OPEN"))</x:f>
      </x:c>
      <x:c r="K149" s="385" t="str">
        <x:f>IF($A149="","",IF(INDEX('Source Register'!$Z$3:$Z$302,MATCH($A149,'Source Register'!$A$3:$A$302,0))="FAIL",INDEX('Source Register'!$AI$3:$AI$302,MATCH($A149,'Source Register'!$A$3:$A$302,0)),"Rolling source content changed; review downstream Requirement impact."))</x:f>
      </x:c>
      <x:c r="N149" s="381" t="str">
        <x:f>IF('Source Register'!AJ149="YES",COUNTIF('Source Register'!$AJ$3:'Source Register'!AJ149,"YES"),"")</x:f>
      </x:c>
    </x:row>
    <x:row r="150" ht="34" customHeight="1">
      <x:c r="A150" s="385" t="str">
        <x:f>IFERROR(INDEX('Source Register'!$A$3:$A$302,MATCH(ROWS($A$54:A150),$N$3:$N$302,0)),"")</x:f>
      </x:c>
      <x:c r="B150" s="385" t="str">
        <x:f>IF($A150="","",INDEX('Source Register'!$C$3:$C$302,MATCH($A150,'Source Register'!$A$3:$A$302,0)))</x:f>
      </x:c>
      <x:c r="C150" s="385" t="str">
        <x:f>IF($A150="","",IF(INDEX('Source Register'!$Z$3:$Z$302,MATCH($A150,'Source Register'!$A$3:$A$302,0))="FAIL","DOWNLOAD FAILURE","ROLLING CONTENT CHANGED"))</x:f>
      </x:c>
      <x:c r="D150" s="386" t="str">
        <x:f>IF($A150="","",IF(INDEX('Source Register'!$Z$3:$Z$302,MATCH($A150,'Source Register'!$A$3:$A$302,0))="FAIL",INDEX('Source Register'!$AA$3:$AA$302,MATCH($A150,'Source Register'!$A$3:$A$302,0)),INDEX('Source Register'!$AB$3:$AB$302,MATCH($A150,'Source Register'!$A$3:$A$302,0))))</x:f>
      </x:c>
      <x:c r="E150" s="387" t="str">
        <x:f>IF($D150="","",MAX(0,TODAY()-INT($D150)))</x:f>
      </x:c>
      <x:c r="F150" s="385" t="str">
        <x:f>IF($A150="","",IF(INDEX('Source Register'!$Z$3:$Z$302,MATCH($A150,'Source Register'!$A$3:$A$302,0))="FAIL",INDEX('Source Register'!$AH$3:$AH$302,MATCH($A150,'Source Register'!$A$3:$A$302,0)),"IMPACT REVIEW"))</x:f>
      </x:c>
      <x:c r="G150" s="385" t="str">
        <x:f>IF($A150="","",INDEX('Source Register'!$I$3:$I$302,MATCH($A150,'Source Register'!$A$3:$A$302,0)))</x:f>
      </x:c>
      <x:c r="H150" s="385" t="str">
        <x:f>IF($A150="","",INDEX('Source Register'!$AD$3:$AD$302,MATCH($A150,'Source Register'!$A$3:$A$302,0)))</x:f>
      </x:c>
      <x:c r="I150" s="385" t="str">
        <x:f>IF($A150="","",INDEX('Source Register'!$AQ$3:$AQ$302,MATCH($A150,'Source Register'!$A$3:$A$302,0)))</x:f>
      </x:c>
      <x:c r="J150" s="385" t="str">
        <x:f>IF($A150="","",IF($E150&gt;$I$46,"OVERDUE","OPEN"))</x:f>
      </x:c>
      <x:c r="K150" s="385" t="str">
        <x:f>IF($A150="","",IF(INDEX('Source Register'!$Z$3:$Z$302,MATCH($A150,'Source Register'!$A$3:$A$302,0))="FAIL",INDEX('Source Register'!$AI$3:$AI$302,MATCH($A150,'Source Register'!$A$3:$A$302,0)),"Rolling source content changed; review downstream Requirement impact."))</x:f>
      </x:c>
      <x:c r="N150" s="381" t="str">
        <x:f>IF('Source Register'!AJ150="YES",COUNTIF('Source Register'!$AJ$3:'Source Register'!AJ150,"YES"),"")</x:f>
      </x:c>
    </x:row>
    <x:row r="151" ht="34" customHeight="1">
      <x:c r="A151" s="385" t="str">
        <x:f>IFERROR(INDEX('Source Register'!$A$3:$A$302,MATCH(ROWS($A$54:A151),$N$3:$N$302,0)),"")</x:f>
      </x:c>
      <x:c r="B151" s="385" t="str">
        <x:f>IF($A151="","",INDEX('Source Register'!$C$3:$C$302,MATCH($A151,'Source Register'!$A$3:$A$302,0)))</x:f>
      </x:c>
      <x:c r="C151" s="385" t="str">
        <x:f>IF($A151="","",IF(INDEX('Source Register'!$Z$3:$Z$302,MATCH($A151,'Source Register'!$A$3:$A$302,0))="FAIL","DOWNLOAD FAILURE","ROLLING CONTENT CHANGED"))</x:f>
      </x:c>
      <x:c r="D151" s="386" t="str">
        <x:f>IF($A151="","",IF(INDEX('Source Register'!$Z$3:$Z$302,MATCH($A151,'Source Register'!$A$3:$A$302,0))="FAIL",INDEX('Source Register'!$AA$3:$AA$302,MATCH($A151,'Source Register'!$A$3:$A$302,0)),INDEX('Source Register'!$AB$3:$AB$302,MATCH($A151,'Source Register'!$A$3:$A$302,0))))</x:f>
      </x:c>
      <x:c r="E151" s="387" t="str">
        <x:f>IF($D151="","",MAX(0,TODAY()-INT($D151)))</x:f>
      </x:c>
      <x:c r="F151" s="385" t="str">
        <x:f>IF($A151="","",IF(INDEX('Source Register'!$Z$3:$Z$302,MATCH($A151,'Source Register'!$A$3:$A$302,0))="FAIL",INDEX('Source Register'!$AH$3:$AH$302,MATCH($A151,'Source Register'!$A$3:$A$302,0)),"IMPACT REVIEW"))</x:f>
      </x:c>
      <x:c r="G151" s="385" t="str">
        <x:f>IF($A151="","",INDEX('Source Register'!$I$3:$I$302,MATCH($A151,'Source Register'!$A$3:$A$302,0)))</x:f>
      </x:c>
      <x:c r="H151" s="385" t="str">
        <x:f>IF($A151="","",INDEX('Source Register'!$AD$3:$AD$302,MATCH($A151,'Source Register'!$A$3:$A$302,0)))</x:f>
      </x:c>
      <x:c r="I151" s="385" t="str">
        <x:f>IF($A151="","",INDEX('Source Register'!$AQ$3:$AQ$302,MATCH($A151,'Source Register'!$A$3:$A$302,0)))</x:f>
      </x:c>
      <x:c r="J151" s="385" t="str">
        <x:f>IF($A151="","",IF($E151&gt;$I$46,"OVERDUE","OPEN"))</x:f>
      </x:c>
      <x:c r="K151" s="385" t="str">
        <x:f>IF($A151="","",IF(INDEX('Source Register'!$Z$3:$Z$302,MATCH($A151,'Source Register'!$A$3:$A$302,0))="FAIL",INDEX('Source Register'!$AI$3:$AI$302,MATCH($A151,'Source Register'!$A$3:$A$302,0)),"Rolling source content changed; review downstream Requirement impact."))</x:f>
      </x:c>
      <x:c r="N151" s="381" t="str">
        <x:f>IF('Source Register'!AJ151="YES",COUNTIF('Source Register'!$AJ$3:'Source Register'!AJ151,"YES"),"")</x:f>
      </x:c>
    </x:row>
    <x:row r="152" ht="34" customHeight="1">
      <x:c r="A152" s="385" t="str">
        <x:f>IFERROR(INDEX('Source Register'!$A$3:$A$302,MATCH(ROWS($A$54:A152),$N$3:$N$302,0)),"")</x:f>
      </x:c>
      <x:c r="B152" s="385" t="str">
        <x:f>IF($A152="","",INDEX('Source Register'!$C$3:$C$302,MATCH($A152,'Source Register'!$A$3:$A$302,0)))</x:f>
      </x:c>
      <x:c r="C152" s="385" t="str">
        <x:f>IF($A152="","",IF(INDEX('Source Register'!$Z$3:$Z$302,MATCH($A152,'Source Register'!$A$3:$A$302,0))="FAIL","DOWNLOAD FAILURE","ROLLING CONTENT CHANGED"))</x:f>
      </x:c>
      <x:c r="D152" s="386" t="str">
        <x:f>IF($A152="","",IF(INDEX('Source Register'!$Z$3:$Z$302,MATCH($A152,'Source Register'!$A$3:$A$302,0))="FAIL",INDEX('Source Register'!$AA$3:$AA$302,MATCH($A152,'Source Register'!$A$3:$A$302,0)),INDEX('Source Register'!$AB$3:$AB$302,MATCH($A152,'Source Register'!$A$3:$A$302,0))))</x:f>
      </x:c>
      <x:c r="E152" s="387" t="str">
        <x:f>IF($D152="","",MAX(0,TODAY()-INT($D152)))</x:f>
      </x:c>
      <x:c r="F152" s="385" t="str">
        <x:f>IF($A152="","",IF(INDEX('Source Register'!$Z$3:$Z$302,MATCH($A152,'Source Register'!$A$3:$A$302,0))="FAIL",INDEX('Source Register'!$AH$3:$AH$302,MATCH($A152,'Source Register'!$A$3:$A$302,0)),"IMPACT REVIEW"))</x:f>
      </x:c>
      <x:c r="G152" s="385" t="str">
        <x:f>IF($A152="","",INDEX('Source Register'!$I$3:$I$302,MATCH($A152,'Source Register'!$A$3:$A$302,0)))</x:f>
      </x:c>
      <x:c r="H152" s="385" t="str">
        <x:f>IF($A152="","",INDEX('Source Register'!$AD$3:$AD$302,MATCH($A152,'Source Register'!$A$3:$A$302,0)))</x:f>
      </x:c>
      <x:c r="I152" s="385" t="str">
        <x:f>IF($A152="","",INDEX('Source Register'!$AQ$3:$AQ$302,MATCH($A152,'Source Register'!$A$3:$A$302,0)))</x:f>
      </x:c>
      <x:c r="J152" s="385" t="str">
        <x:f>IF($A152="","",IF($E152&gt;$I$46,"OVERDUE","OPEN"))</x:f>
      </x:c>
      <x:c r="K152" s="385" t="str">
        <x:f>IF($A152="","",IF(INDEX('Source Register'!$Z$3:$Z$302,MATCH($A152,'Source Register'!$A$3:$A$302,0))="FAIL",INDEX('Source Register'!$AI$3:$AI$302,MATCH($A152,'Source Register'!$A$3:$A$302,0)),"Rolling source content changed; review downstream Requirement impact."))</x:f>
      </x:c>
      <x:c r="N152" s="381" t="str">
        <x:f>IF('Source Register'!AJ152="YES",COUNTIF('Source Register'!$AJ$3:'Source Register'!AJ152,"YES"),"")</x:f>
      </x:c>
    </x:row>
    <x:row r="153" ht="34" customHeight="1">
      <x:c r="A153" s="385" t="str">
        <x:f>IFERROR(INDEX('Source Register'!$A$3:$A$302,MATCH(ROWS($A$54:A153),$N$3:$N$302,0)),"")</x:f>
      </x:c>
      <x:c r="B153" s="385" t="str">
        <x:f>IF($A153="","",INDEX('Source Register'!$C$3:$C$302,MATCH($A153,'Source Register'!$A$3:$A$302,0)))</x:f>
      </x:c>
      <x:c r="C153" s="385" t="str">
        <x:f>IF($A153="","",IF(INDEX('Source Register'!$Z$3:$Z$302,MATCH($A153,'Source Register'!$A$3:$A$302,0))="FAIL","DOWNLOAD FAILURE","ROLLING CONTENT CHANGED"))</x:f>
      </x:c>
      <x:c r="D153" s="386" t="str">
        <x:f>IF($A153="","",IF(INDEX('Source Register'!$Z$3:$Z$302,MATCH($A153,'Source Register'!$A$3:$A$302,0))="FAIL",INDEX('Source Register'!$AA$3:$AA$302,MATCH($A153,'Source Register'!$A$3:$A$302,0)),INDEX('Source Register'!$AB$3:$AB$302,MATCH($A153,'Source Register'!$A$3:$A$302,0))))</x:f>
      </x:c>
      <x:c r="E153" s="387" t="str">
        <x:f>IF($D153="","",MAX(0,TODAY()-INT($D153)))</x:f>
      </x:c>
      <x:c r="F153" s="385" t="str">
        <x:f>IF($A153="","",IF(INDEX('Source Register'!$Z$3:$Z$302,MATCH($A153,'Source Register'!$A$3:$A$302,0))="FAIL",INDEX('Source Register'!$AH$3:$AH$302,MATCH($A153,'Source Register'!$A$3:$A$302,0)),"IMPACT REVIEW"))</x:f>
      </x:c>
      <x:c r="G153" s="385" t="str">
        <x:f>IF($A153="","",INDEX('Source Register'!$I$3:$I$302,MATCH($A153,'Source Register'!$A$3:$A$302,0)))</x:f>
      </x:c>
      <x:c r="H153" s="385" t="str">
        <x:f>IF($A153="","",INDEX('Source Register'!$AD$3:$AD$302,MATCH($A153,'Source Register'!$A$3:$A$302,0)))</x:f>
      </x:c>
      <x:c r="I153" s="385" t="str">
        <x:f>IF($A153="","",INDEX('Source Register'!$AQ$3:$AQ$302,MATCH($A153,'Source Register'!$A$3:$A$302,0)))</x:f>
      </x:c>
      <x:c r="J153" s="385" t="str">
        <x:f>IF($A153="","",IF($E153&gt;$I$46,"OVERDUE","OPEN"))</x:f>
      </x:c>
      <x:c r="K153" s="385" t="str">
        <x:f>IF($A153="","",IF(INDEX('Source Register'!$Z$3:$Z$302,MATCH($A153,'Source Register'!$A$3:$A$302,0))="FAIL",INDEX('Source Register'!$AI$3:$AI$302,MATCH($A153,'Source Register'!$A$3:$A$302,0)),"Rolling source content changed; review downstream Requirement impact."))</x:f>
      </x:c>
      <x:c r="N153" s="381" t="str">
        <x:f>IF('Source Register'!AJ153="YES",COUNTIF('Source Register'!$AJ$3:'Source Register'!AJ153,"YES"),"")</x:f>
      </x:c>
    </x:row>
    <x:row r="154">
      <x:c r="A154" s="133"/>
      <x:c r="B154" s="133"/>
      <x:c r="C154" s="133"/>
      <x:c r="D154" s="133"/>
      <x:c r="E154" s="133"/>
      <x:c r="F154" s="133"/>
      <x:c r="G154" s="133"/>
      <x:c r="H154" s="133"/>
      <x:c r="I154" s="133"/>
      <x:c r="J154" s="133"/>
      <x:c r="K154" s="133"/>
      <x:c r="N154" s="381" t="str">
        <x:f>IF('Source Register'!AJ154="YES",COUNTIF('Source Register'!$AJ$3:'Source Register'!AJ154,"YES"),"")</x:f>
      </x:c>
    </x:row>
    <x:row r="155">
      <x:c r="N155" s="381" t="str">
        <x:f>IF('Source Register'!AJ155="YES",COUNTIF('Source Register'!$AJ$3:'Source Register'!AJ155,"YES"),"")</x:f>
      </x:c>
    </x:row>
    <x:row r="156">
      <x:c r="N156" s="381" t="str">
        <x:f>IF('Source Register'!AJ156="YES",COUNTIF('Source Register'!$AJ$3:'Source Register'!AJ156,"YES"),"")</x:f>
      </x:c>
    </x:row>
    <x:row r="157">
      <x:c r="N157" s="381" t="str">
        <x:f>IF('Source Register'!AJ157="YES",COUNTIF('Source Register'!$AJ$3:'Source Register'!AJ157,"YES"),"")</x:f>
      </x:c>
    </x:row>
    <x:row r="158">
      <x:c r="N158" s="381" t="str">
        <x:f>IF('Source Register'!AJ158="YES",COUNTIF('Source Register'!$AJ$3:'Source Register'!AJ158,"YES"),"")</x:f>
      </x:c>
    </x:row>
    <x:row r="159">
      <x:c r="N159" s="381" t="str">
        <x:f>IF('Source Register'!AJ159="YES",COUNTIF('Source Register'!$AJ$3:'Source Register'!AJ159,"YES"),"")</x:f>
      </x:c>
    </x:row>
    <x:row r="160">
      <x:c r="N160" s="381" t="str">
        <x:f>IF('Source Register'!AJ160="YES",COUNTIF('Source Register'!$AJ$3:'Source Register'!AJ160,"YES"),"")</x:f>
      </x:c>
    </x:row>
    <x:row r="161">
      <x:c r="N161" s="381" t="str">
        <x:f>IF('Source Register'!AJ161="YES",COUNTIF('Source Register'!$AJ$3:'Source Register'!AJ161,"YES"),"")</x:f>
      </x:c>
    </x:row>
    <x:row r="162">
      <x:c r="N162" s="381" t="str">
        <x:f>IF('Source Register'!AJ162="YES",COUNTIF('Source Register'!$AJ$3:'Source Register'!AJ162,"YES"),"")</x:f>
      </x:c>
    </x:row>
    <x:row r="163">
      <x:c r="N163" s="381" t="str">
        <x:f>IF('Source Register'!AJ163="YES",COUNTIF('Source Register'!$AJ$3:'Source Register'!AJ163,"YES"),"")</x:f>
      </x:c>
    </x:row>
    <x:row r="164">
      <x:c r="N164" s="381" t="str">
        <x:f>IF('Source Register'!AJ164="YES",COUNTIF('Source Register'!$AJ$3:'Source Register'!AJ164,"YES"),"")</x:f>
      </x:c>
    </x:row>
    <x:row r="165">
      <x:c r="N165" s="381" t="str">
        <x:f>IF('Source Register'!AJ165="YES",COUNTIF('Source Register'!$AJ$3:'Source Register'!AJ165,"YES"),"")</x:f>
      </x:c>
    </x:row>
    <x:row r="166">
      <x:c r="N166" s="381" t="str">
        <x:f>IF('Source Register'!AJ166="YES",COUNTIF('Source Register'!$AJ$3:'Source Register'!AJ166,"YES"),"")</x:f>
      </x:c>
    </x:row>
    <x:row r="167">
      <x:c r="N167" s="381" t="str">
        <x:f>IF('Source Register'!AJ167="YES",COUNTIF('Source Register'!$AJ$3:'Source Register'!AJ167,"YES"),"")</x:f>
      </x:c>
    </x:row>
    <x:row r="168">
      <x:c r="N168" s="381" t="str">
        <x:f>IF('Source Register'!AJ168="YES",COUNTIF('Source Register'!$AJ$3:'Source Register'!AJ168,"YES"),"")</x:f>
      </x:c>
    </x:row>
    <x:row r="169">
      <x:c r="N169" s="381" t="str">
        <x:f>IF('Source Register'!AJ169="YES",COUNTIF('Source Register'!$AJ$3:'Source Register'!AJ169,"YES"),"")</x:f>
      </x:c>
    </x:row>
    <x:row r="170">
      <x:c r="N170" s="381" t="str">
        <x:f>IF('Source Register'!AJ170="YES",COUNTIF('Source Register'!$AJ$3:'Source Register'!AJ170,"YES"),"")</x:f>
      </x:c>
    </x:row>
    <x:row r="171">
      <x:c r="N171" s="381" t="str">
        <x:f>IF('Source Register'!AJ171="YES",COUNTIF('Source Register'!$AJ$3:'Source Register'!AJ171,"YES"),"")</x:f>
      </x:c>
    </x:row>
    <x:row r="172">
      <x:c r="N172" s="381" t="str">
        <x:f>IF('Source Register'!AJ172="YES",COUNTIF('Source Register'!$AJ$3:'Source Register'!AJ172,"YES"),"")</x:f>
      </x:c>
    </x:row>
    <x:row r="173">
      <x:c r="N173" s="381" t="str">
        <x:f>IF('Source Register'!AJ173="YES",COUNTIF('Source Register'!$AJ$3:'Source Register'!AJ173,"YES"),"")</x:f>
      </x:c>
    </x:row>
    <x:row r="174">
      <x:c r="N174" s="381" t="str">
        <x:f>IF('Source Register'!AJ174="YES",COUNTIF('Source Register'!$AJ$3:'Source Register'!AJ174,"YES"),"")</x:f>
      </x:c>
    </x:row>
    <x:row r="175">
      <x:c r="N175" s="381" t="str">
        <x:f>IF('Source Register'!AJ175="YES",COUNTIF('Source Register'!$AJ$3:'Source Register'!AJ175,"YES"),"")</x:f>
      </x:c>
    </x:row>
    <x:row r="176">
      <x:c r="N176" s="381" t="str">
        <x:f>IF('Source Register'!AJ176="YES",COUNTIF('Source Register'!$AJ$3:'Source Register'!AJ176,"YES"),"")</x:f>
      </x:c>
    </x:row>
    <x:row r="177">
      <x:c r="N177" s="381" t="str">
        <x:f>IF('Source Register'!AJ177="YES",COUNTIF('Source Register'!$AJ$3:'Source Register'!AJ177,"YES"),"")</x:f>
      </x:c>
    </x:row>
    <x:row r="178">
      <x:c r="N178" s="381" t="str">
        <x:f>IF('Source Register'!AJ178="YES",COUNTIF('Source Register'!$AJ$3:'Source Register'!AJ178,"YES"),"")</x:f>
      </x:c>
    </x:row>
    <x:row r="179">
      <x:c r="N179" s="381" t="str">
        <x:f>IF('Source Register'!AJ179="YES",COUNTIF('Source Register'!$AJ$3:'Source Register'!AJ179,"YES"),"")</x:f>
      </x:c>
    </x:row>
    <x:row r="180">
      <x:c r="N180" s="381" t="str">
        <x:f>IF('Source Register'!AJ180="YES",COUNTIF('Source Register'!$AJ$3:'Source Register'!AJ180,"YES"),"")</x:f>
      </x:c>
    </x:row>
    <x:row r="181">
      <x:c r="N181" s="381" t="str">
        <x:f>IF('Source Register'!AJ181="YES",COUNTIF('Source Register'!$AJ$3:'Source Register'!AJ181,"YES"),"")</x:f>
      </x:c>
    </x:row>
    <x:row r="182">
      <x:c r="N182" s="381" t="str">
        <x:f>IF('Source Register'!AJ182="YES",COUNTIF('Source Register'!$AJ$3:'Source Register'!AJ182,"YES"),"")</x:f>
      </x:c>
    </x:row>
    <x:row r="183">
      <x:c r="N183" s="381" t="str">
        <x:f>IF('Source Register'!AJ183="YES",COUNTIF('Source Register'!$AJ$3:'Source Register'!AJ183,"YES"),"")</x:f>
      </x:c>
    </x:row>
    <x:row r="184">
      <x:c r="N184" s="381" t="str">
        <x:f>IF('Source Register'!AJ184="YES",COUNTIF('Source Register'!$AJ$3:'Source Register'!AJ184,"YES"),"")</x:f>
      </x:c>
    </x:row>
    <x:row r="185">
      <x:c r="N185" s="381" t="str">
        <x:f>IF('Source Register'!AJ185="YES",COUNTIF('Source Register'!$AJ$3:'Source Register'!AJ185,"YES"),"")</x:f>
      </x:c>
    </x:row>
    <x:row r="186">
      <x:c r="N186" s="381" t="str">
        <x:f>IF('Source Register'!AJ186="YES",COUNTIF('Source Register'!$AJ$3:'Source Register'!AJ186,"YES"),"")</x:f>
      </x:c>
    </x:row>
    <x:row r="187">
      <x:c r="N187" s="381" t="str">
        <x:f>IF('Source Register'!AJ187="YES",COUNTIF('Source Register'!$AJ$3:'Source Register'!AJ187,"YES"),"")</x:f>
      </x:c>
    </x:row>
    <x:row r="188">
      <x:c r="N188" s="381" t="str">
        <x:f>IF('Source Register'!AJ188="YES",COUNTIF('Source Register'!$AJ$3:'Source Register'!AJ188,"YES"),"")</x:f>
      </x:c>
    </x:row>
    <x:row r="189">
      <x:c r="N189" s="381" t="str">
        <x:f>IF('Source Register'!AJ189="YES",COUNTIF('Source Register'!$AJ$3:'Source Register'!AJ189,"YES"),"")</x:f>
      </x:c>
    </x:row>
    <x:row r="190">
      <x:c r="N190" s="381" t="str">
        <x:f>IF('Source Register'!AJ190="YES",COUNTIF('Source Register'!$AJ$3:'Source Register'!AJ190,"YES"),"")</x:f>
      </x:c>
    </x:row>
    <x:row r="191">
      <x:c r="N191" s="381" t="str">
        <x:f>IF('Source Register'!AJ191="YES",COUNTIF('Source Register'!$AJ$3:'Source Register'!AJ191,"YES"),"")</x:f>
      </x:c>
    </x:row>
    <x:row r="192">
      <x:c r="N192" s="381" t="str">
        <x:f>IF('Source Register'!AJ192="YES",COUNTIF('Source Register'!$AJ$3:'Source Register'!AJ192,"YES"),"")</x:f>
      </x:c>
    </x:row>
    <x:row r="193">
      <x:c r="N193" s="381" t="str">
        <x:f>IF('Source Register'!AJ193="YES",COUNTIF('Source Register'!$AJ$3:'Source Register'!AJ193,"YES"),"")</x:f>
      </x:c>
    </x:row>
    <x:row r="194">
      <x:c r="N194" s="381" t="str">
        <x:f>IF('Source Register'!AJ194="YES",COUNTIF('Source Register'!$AJ$3:'Source Register'!AJ194,"YES"),"")</x:f>
      </x:c>
    </x:row>
    <x:row r="195">
      <x:c r="N195" s="381" t="str">
        <x:f>IF('Source Register'!AJ195="YES",COUNTIF('Source Register'!$AJ$3:'Source Register'!AJ195,"YES"),"")</x:f>
      </x:c>
    </x:row>
    <x:row r="196">
      <x:c r="N196" s="381" t="str">
        <x:f>IF('Source Register'!AJ196="YES",COUNTIF('Source Register'!$AJ$3:'Source Register'!AJ196,"YES"),"")</x:f>
      </x:c>
    </x:row>
    <x:row r="197">
      <x:c r="N197" s="381" t="str">
        <x:f>IF('Source Register'!AJ197="YES",COUNTIF('Source Register'!$AJ$3:'Source Register'!AJ197,"YES"),"")</x:f>
      </x:c>
    </x:row>
    <x:row r="198">
      <x:c r="N198" s="381" t="str">
        <x:f>IF('Source Register'!AJ198="YES",COUNTIF('Source Register'!$AJ$3:'Source Register'!AJ198,"YES"),"")</x:f>
      </x:c>
    </x:row>
    <x:row r="199">
      <x:c r="N199" s="381" t="str">
        <x:f>IF('Source Register'!AJ199="YES",COUNTIF('Source Register'!$AJ$3:'Source Register'!AJ199,"YES"),"")</x:f>
      </x:c>
    </x:row>
    <x:row r="200">
      <x:c r="N200" s="381" t="str">
        <x:f>IF('Source Register'!AJ200="YES",COUNTIF('Source Register'!$AJ$3:'Source Register'!AJ200,"YES"),"")</x:f>
      </x:c>
    </x:row>
    <x:row r="201">
      <x:c r="N201" s="381" t="str">
        <x:f>IF('Source Register'!AJ201="YES",COUNTIF('Source Register'!$AJ$3:'Source Register'!AJ201,"YES"),"")</x:f>
      </x:c>
    </x:row>
    <x:row r="202">
      <x:c r="N202" s="381" t="str">
        <x:f>IF('Source Register'!AJ202="YES",COUNTIF('Source Register'!$AJ$3:'Source Register'!AJ202,"YES"),"")</x:f>
      </x:c>
    </x:row>
    <x:row r="203">
      <x:c r="N203" s="381" t="str">
        <x:f>IF('Source Register'!AJ203="YES",COUNTIF('Source Register'!$AJ$3:'Source Register'!AJ203,"YES"),"")</x:f>
      </x:c>
    </x:row>
    <x:row r="204">
      <x:c r="N204" s="381" t="str">
        <x:f>IF('Source Register'!AJ204="YES",COUNTIF('Source Register'!$AJ$3:'Source Register'!AJ204,"YES"),"")</x:f>
      </x:c>
    </x:row>
    <x:row r="205">
      <x:c r="N205" s="381" t="str">
        <x:f>IF('Source Register'!AJ205="YES",COUNTIF('Source Register'!$AJ$3:'Source Register'!AJ205,"YES"),"")</x:f>
      </x:c>
    </x:row>
    <x:row r="206">
      <x:c r="N206" s="381" t="str">
        <x:f>IF('Source Register'!AJ206="YES",COUNTIF('Source Register'!$AJ$3:'Source Register'!AJ206,"YES"),"")</x:f>
      </x:c>
    </x:row>
    <x:row r="207">
      <x:c r="N207" s="381" t="str">
        <x:f>IF('Source Register'!AJ207="YES",COUNTIF('Source Register'!$AJ$3:'Source Register'!AJ207,"YES"),"")</x:f>
      </x:c>
    </x:row>
    <x:row r="208">
      <x:c r="N208" s="381" t="str">
        <x:f>IF('Source Register'!AJ208="YES",COUNTIF('Source Register'!$AJ$3:'Source Register'!AJ208,"YES"),"")</x:f>
      </x:c>
    </x:row>
    <x:row r="209">
      <x:c r="N209" s="381" t="str">
        <x:f>IF('Source Register'!AJ209="YES",COUNTIF('Source Register'!$AJ$3:'Source Register'!AJ209,"YES"),"")</x:f>
      </x:c>
    </x:row>
    <x:row r="210">
      <x:c r="N210" s="381" t="str">
        <x:f>IF('Source Register'!AJ210="YES",COUNTIF('Source Register'!$AJ$3:'Source Register'!AJ210,"YES"),"")</x:f>
      </x:c>
    </x:row>
    <x:row r="211">
      <x:c r="N211" s="381" t="str">
        <x:f>IF('Source Register'!AJ211="YES",COUNTIF('Source Register'!$AJ$3:'Source Register'!AJ211,"YES"),"")</x:f>
      </x:c>
    </x:row>
    <x:row r="212">
      <x:c r="N212" s="381" t="str">
        <x:f>IF('Source Register'!AJ212="YES",COUNTIF('Source Register'!$AJ$3:'Source Register'!AJ212,"YES"),"")</x:f>
      </x:c>
    </x:row>
    <x:row r="213">
      <x:c r="N213" s="381" t="str">
        <x:f>IF('Source Register'!AJ213="YES",COUNTIF('Source Register'!$AJ$3:'Source Register'!AJ213,"YES"),"")</x:f>
      </x:c>
    </x:row>
    <x:row r="214">
      <x:c r="N214" s="381" t="str">
        <x:f>IF('Source Register'!AJ214="YES",COUNTIF('Source Register'!$AJ$3:'Source Register'!AJ214,"YES"),"")</x:f>
      </x:c>
    </x:row>
    <x:row r="215">
      <x:c r="N215" s="381" t="str">
        <x:f>IF('Source Register'!AJ215="YES",COUNTIF('Source Register'!$AJ$3:'Source Register'!AJ215,"YES"),"")</x:f>
      </x:c>
    </x:row>
    <x:row r="216">
      <x:c r="N216" s="381" t="str">
        <x:f>IF('Source Register'!AJ216="YES",COUNTIF('Source Register'!$AJ$3:'Source Register'!AJ216,"YES"),"")</x:f>
      </x:c>
    </x:row>
    <x:row r="217">
      <x:c r="N217" s="381" t="str">
        <x:f>IF('Source Register'!AJ217="YES",COUNTIF('Source Register'!$AJ$3:'Source Register'!AJ217,"YES"),"")</x:f>
      </x:c>
    </x:row>
    <x:row r="218">
      <x:c r="N218" s="381" t="str">
        <x:f>IF('Source Register'!AJ218="YES",COUNTIF('Source Register'!$AJ$3:'Source Register'!AJ218,"YES"),"")</x:f>
      </x:c>
    </x:row>
    <x:row r="219">
      <x:c r="N219" s="381" t="str">
        <x:f>IF('Source Register'!AJ219="YES",COUNTIF('Source Register'!$AJ$3:'Source Register'!AJ219,"YES"),"")</x:f>
      </x:c>
    </x:row>
    <x:row r="220">
      <x:c r="N220" s="381" t="str">
        <x:f>IF('Source Register'!AJ220="YES",COUNTIF('Source Register'!$AJ$3:'Source Register'!AJ220,"YES"),"")</x:f>
      </x:c>
    </x:row>
    <x:row r="221">
      <x:c r="N221" s="381" t="str">
        <x:f>IF('Source Register'!AJ221="YES",COUNTIF('Source Register'!$AJ$3:'Source Register'!AJ221,"YES"),"")</x:f>
      </x:c>
    </x:row>
    <x:row r="222">
      <x:c r="N222" s="381" t="str">
        <x:f>IF('Source Register'!AJ222="YES",COUNTIF('Source Register'!$AJ$3:'Source Register'!AJ222,"YES"),"")</x:f>
      </x:c>
    </x:row>
    <x:row r="223">
      <x:c r="N223" s="381" t="str">
        <x:f>IF('Source Register'!AJ223="YES",COUNTIF('Source Register'!$AJ$3:'Source Register'!AJ223,"YES"),"")</x:f>
      </x:c>
    </x:row>
    <x:row r="224">
      <x:c r="N224" s="381" t="str">
        <x:f>IF('Source Register'!AJ224="YES",COUNTIF('Source Register'!$AJ$3:'Source Register'!AJ224,"YES"),"")</x:f>
      </x:c>
    </x:row>
    <x:row r="225">
      <x:c r="N225" s="381" t="str">
        <x:f>IF('Source Register'!AJ225="YES",COUNTIF('Source Register'!$AJ$3:'Source Register'!AJ225,"YES"),"")</x:f>
      </x:c>
    </x:row>
    <x:row r="226">
      <x:c r="N226" s="381" t="str">
        <x:f>IF('Source Register'!AJ226="YES",COUNTIF('Source Register'!$AJ$3:'Source Register'!AJ226,"YES"),"")</x:f>
      </x:c>
    </x:row>
    <x:row r="227">
      <x:c r="N227" s="381" t="str">
        <x:f>IF('Source Register'!AJ227="YES",COUNTIF('Source Register'!$AJ$3:'Source Register'!AJ227,"YES"),"")</x:f>
      </x:c>
    </x:row>
    <x:row r="228">
      <x:c r="N228" s="381" t="str">
        <x:f>IF('Source Register'!AJ228="YES",COUNTIF('Source Register'!$AJ$3:'Source Register'!AJ228,"YES"),"")</x:f>
      </x:c>
    </x:row>
    <x:row r="229">
      <x:c r="N229" s="381" t="str">
        <x:f>IF('Source Register'!AJ229="YES",COUNTIF('Source Register'!$AJ$3:'Source Register'!AJ229,"YES"),"")</x:f>
      </x:c>
    </x:row>
    <x:row r="230">
      <x:c r="N230" s="381" t="str">
        <x:f>IF('Source Register'!AJ230="YES",COUNTIF('Source Register'!$AJ$3:'Source Register'!AJ230,"YES"),"")</x:f>
      </x:c>
    </x:row>
    <x:row r="231">
      <x:c r="N231" s="381" t="str">
        <x:f>IF('Source Register'!AJ231="YES",COUNTIF('Source Register'!$AJ$3:'Source Register'!AJ231,"YES"),"")</x:f>
      </x:c>
    </x:row>
    <x:row r="232">
      <x:c r="N232" s="381" t="str">
        <x:f>IF('Source Register'!AJ232="YES",COUNTIF('Source Register'!$AJ$3:'Source Register'!AJ232,"YES"),"")</x:f>
      </x:c>
    </x:row>
    <x:row r="233">
      <x:c r="N233" s="381" t="str">
        <x:f>IF('Source Register'!AJ233="YES",COUNTIF('Source Register'!$AJ$3:'Source Register'!AJ233,"YES"),"")</x:f>
      </x:c>
    </x:row>
    <x:row r="234">
      <x:c r="N234" s="381" t="str">
        <x:f>IF('Source Register'!AJ234="YES",COUNTIF('Source Register'!$AJ$3:'Source Register'!AJ234,"YES"),"")</x:f>
      </x:c>
    </x:row>
    <x:row r="235">
      <x:c r="N235" s="381" t="str">
        <x:f>IF('Source Register'!AJ235="YES",COUNTIF('Source Register'!$AJ$3:'Source Register'!AJ235,"YES"),"")</x:f>
      </x:c>
    </x:row>
    <x:row r="236">
      <x:c r="N236" s="381" t="str">
        <x:f>IF('Source Register'!AJ236="YES",COUNTIF('Source Register'!$AJ$3:'Source Register'!AJ236,"YES"),"")</x:f>
      </x:c>
    </x:row>
    <x:row r="237">
      <x:c r="N237" s="381" t="str">
        <x:f>IF('Source Register'!AJ237="YES",COUNTIF('Source Register'!$AJ$3:'Source Register'!AJ237,"YES"),"")</x:f>
      </x:c>
    </x:row>
    <x:row r="238">
      <x:c r="N238" s="381" t="str">
        <x:f>IF('Source Register'!AJ238="YES",COUNTIF('Source Register'!$AJ$3:'Source Register'!AJ238,"YES"),"")</x:f>
      </x:c>
    </x:row>
    <x:row r="239">
      <x:c r="N239" s="381" t="str">
        <x:f>IF('Source Register'!AJ239="YES",COUNTIF('Source Register'!$AJ$3:'Source Register'!AJ239,"YES"),"")</x:f>
      </x:c>
    </x:row>
    <x:row r="240">
      <x:c r="N240" s="381" t="str">
        <x:f>IF('Source Register'!AJ240="YES",COUNTIF('Source Register'!$AJ$3:'Source Register'!AJ240,"YES"),"")</x:f>
      </x:c>
    </x:row>
    <x:row r="241">
      <x:c r="N241" s="381" t="str">
        <x:f>IF('Source Register'!AJ241="YES",COUNTIF('Source Register'!$AJ$3:'Source Register'!AJ241,"YES"),"")</x:f>
      </x:c>
    </x:row>
    <x:row r="242">
      <x:c r="N242" s="381" t="str">
        <x:f>IF('Source Register'!AJ242="YES",COUNTIF('Source Register'!$AJ$3:'Source Register'!AJ242,"YES"),"")</x:f>
      </x:c>
    </x:row>
    <x:row r="243">
      <x:c r="N243" s="381" t="str">
        <x:f>IF('Source Register'!AJ243="YES",COUNTIF('Source Register'!$AJ$3:'Source Register'!AJ243,"YES"),"")</x:f>
      </x:c>
    </x:row>
    <x:row r="244">
      <x:c r="N244" s="381" t="str">
        <x:f>IF('Source Register'!AJ244="YES",COUNTIF('Source Register'!$AJ$3:'Source Register'!AJ244,"YES"),"")</x:f>
      </x:c>
    </x:row>
    <x:row r="245">
      <x:c r="N245" s="381" t="str">
        <x:f>IF('Source Register'!AJ245="YES",COUNTIF('Source Register'!$AJ$3:'Source Register'!AJ245,"YES"),"")</x:f>
      </x:c>
    </x:row>
    <x:row r="246">
      <x:c r="N246" s="381" t="str">
        <x:f>IF('Source Register'!AJ246="YES",COUNTIF('Source Register'!$AJ$3:'Source Register'!AJ246,"YES"),"")</x:f>
      </x:c>
    </x:row>
    <x:row r="247">
      <x:c r="N247" s="381" t="str">
        <x:f>IF('Source Register'!AJ247="YES",COUNTIF('Source Register'!$AJ$3:'Source Register'!AJ247,"YES"),"")</x:f>
      </x:c>
    </x:row>
    <x:row r="248">
      <x:c r="N248" s="381" t="str">
        <x:f>IF('Source Register'!AJ248="YES",COUNTIF('Source Register'!$AJ$3:'Source Register'!AJ248,"YES"),"")</x:f>
      </x:c>
    </x:row>
    <x:row r="249">
      <x:c r="N249" s="381" t="str">
        <x:f>IF('Source Register'!AJ249="YES",COUNTIF('Source Register'!$AJ$3:'Source Register'!AJ249,"YES"),"")</x:f>
      </x:c>
    </x:row>
    <x:row r="250">
      <x:c r="N250" s="381" t="str">
        <x:f>IF('Source Register'!AJ250="YES",COUNTIF('Source Register'!$AJ$3:'Source Register'!AJ250,"YES"),"")</x:f>
      </x:c>
    </x:row>
    <x:row r="251">
      <x:c r="N251" s="381" t="str">
        <x:f>IF('Source Register'!AJ251="YES",COUNTIF('Source Register'!$AJ$3:'Source Register'!AJ251,"YES"),"")</x:f>
      </x:c>
    </x:row>
    <x:row r="252">
      <x:c r="N252" s="381" t="str">
        <x:f>IF('Source Register'!AJ252="YES",COUNTIF('Source Register'!$AJ$3:'Source Register'!AJ252,"YES"),"")</x:f>
      </x:c>
    </x:row>
    <x:row r="253">
      <x:c r="N253" s="381" t="str">
        <x:f>IF('Source Register'!AJ253="YES",COUNTIF('Source Register'!$AJ$3:'Source Register'!AJ253,"YES"),"")</x:f>
      </x:c>
    </x:row>
    <x:row r="254">
      <x:c r="N254" s="381" t="str">
        <x:f>IF('Source Register'!AJ254="YES",COUNTIF('Source Register'!$AJ$3:'Source Register'!AJ254,"YES"),"")</x:f>
      </x:c>
    </x:row>
    <x:row r="255">
      <x:c r="N255" s="381" t="str">
        <x:f>IF('Source Register'!AJ255="YES",COUNTIF('Source Register'!$AJ$3:'Source Register'!AJ255,"YES"),"")</x:f>
      </x:c>
    </x:row>
    <x:row r="256">
      <x:c r="N256" s="381" t="str">
        <x:f>IF('Source Register'!AJ256="YES",COUNTIF('Source Register'!$AJ$3:'Source Register'!AJ256,"YES"),"")</x:f>
      </x:c>
    </x:row>
    <x:row r="257">
      <x:c r="N257" s="381" t="str">
        <x:f>IF('Source Register'!AJ257="YES",COUNTIF('Source Register'!$AJ$3:'Source Register'!AJ257,"YES"),"")</x:f>
      </x:c>
    </x:row>
    <x:row r="258">
      <x:c r="N258" s="381" t="str">
        <x:f>IF('Source Register'!AJ258="YES",COUNTIF('Source Register'!$AJ$3:'Source Register'!AJ258,"YES"),"")</x:f>
      </x:c>
    </x:row>
    <x:row r="259">
      <x:c r="N259" s="381" t="str">
        <x:f>IF('Source Register'!AJ259="YES",COUNTIF('Source Register'!$AJ$3:'Source Register'!AJ259,"YES"),"")</x:f>
      </x:c>
    </x:row>
    <x:row r="260">
      <x:c r="N260" s="381" t="str">
        <x:f>IF('Source Register'!AJ260="YES",COUNTIF('Source Register'!$AJ$3:'Source Register'!AJ260,"YES"),"")</x:f>
      </x:c>
    </x:row>
    <x:row r="261">
      <x:c r="N261" s="381" t="str">
        <x:f>IF('Source Register'!AJ261="YES",COUNTIF('Source Register'!$AJ$3:'Source Register'!AJ261,"YES"),"")</x:f>
      </x:c>
    </x:row>
    <x:row r="262">
      <x:c r="N262" s="381" t="str">
        <x:f>IF('Source Register'!AJ262="YES",COUNTIF('Source Register'!$AJ$3:'Source Register'!AJ262,"YES"),"")</x:f>
      </x:c>
    </x:row>
    <x:row r="263">
      <x:c r="N263" s="381" t="str">
        <x:f>IF('Source Register'!AJ263="YES",COUNTIF('Source Register'!$AJ$3:'Source Register'!AJ263,"YES"),"")</x:f>
      </x:c>
    </x:row>
    <x:row r="264">
      <x:c r="N264" s="381" t="str">
        <x:f>IF('Source Register'!AJ264="YES",COUNTIF('Source Register'!$AJ$3:'Source Register'!AJ264,"YES"),"")</x:f>
      </x:c>
    </x:row>
    <x:row r="265">
      <x:c r="N265" s="381" t="str">
        <x:f>IF('Source Register'!AJ265="YES",COUNTIF('Source Register'!$AJ$3:'Source Register'!AJ265,"YES"),"")</x:f>
      </x:c>
    </x:row>
    <x:row r="266">
      <x:c r="N266" s="381" t="str">
        <x:f>IF('Source Register'!AJ266="YES",COUNTIF('Source Register'!$AJ$3:'Source Register'!AJ266,"YES"),"")</x:f>
      </x:c>
    </x:row>
    <x:row r="267">
      <x:c r="N267" s="381" t="str">
        <x:f>IF('Source Register'!AJ267="YES",COUNTIF('Source Register'!$AJ$3:'Source Register'!AJ267,"YES"),"")</x:f>
      </x:c>
    </x:row>
    <x:row r="268">
      <x:c r="N268" s="381" t="str">
        <x:f>IF('Source Register'!AJ268="YES",COUNTIF('Source Register'!$AJ$3:'Source Register'!AJ268,"YES"),"")</x:f>
      </x:c>
    </x:row>
    <x:row r="269">
      <x:c r="N269" s="381" t="str">
        <x:f>IF('Source Register'!AJ269="YES",COUNTIF('Source Register'!$AJ$3:'Source Register'!AJ269,"YES"),"")</x:f>
      </x:c>
    </x:row>
    <x:row r="270">
      <x:c r="N270" s="381" t="str">
        <x:f>IF('Source Register'!AJ270="YES",COUNTIF('Source Register'!$AJ$3:'Source Register'!AJ270,"YES"),"")</x:f>
      </x:c>
    </x:row>
    <x:row r="271">
      <x:c r="N271" s="381" t="str">
        <x:f>IF('Source Register'!AJ271="YES",COUNTIF('Source Register'!$AJ$3:'Source Register'!AJ271,"YES"),"")</x:f>
      </x:c>
    </x:row>
    <x:row r="272">
      <x:c r="N272" s="381" t="str">
        <x:f>IF('Source Register'!AJ272="YES",COUNTIF('Source Register'!$AJ$3:'Source Register'!AJ272,"YES"),"")</x:f>
      </x:c>
    </x:row>
    <x:row r="273">
      <x:c r="N273" s="381" t="str">
        <x:f>IF('Source Register'!AJ273="YES",COUNTIF('Source Register'!$AJ$3:'Source Register'!AJ273,"YES"),"")</x:f>
      </x:c>
    </x:row>
    <x:row r="274">
      <x:c r="N274" s="381" t="str">
        <x:f>IF('Source Register'!AJ274="YES",COUNTIF('Source Register'!$AJ$3:'Source Register'!AJ274,"YES"),"")</x:f>
      </x:c>
    </x:row>
    <x:row r="275">
      <x:c r="N275" s="381" t="str">
        <x:f>IF('Source Register'!AJ275="YES",COUNTIF('Source Register'!$AJ$3:'Source Register'!AJ275,"YES"),"")</x:f>
      </x:c>
    </x:row>
    <x:row r="276">
      <x:c r="N276" s="381" t="str">
        <x:f>IF('Source Register'!AJ276="YES",COUNTIF('Source Register'!$AJ$3:'Source Register'!AJ276,"YES"),"")</x:f>
      </x:c>
    </x:row>
    <x:row r="277">
      <x:c r="N277" s="381" t="str">
        <x:f>IF('Source Register'!AJ277="YES",COUNTIF('Source Register'!$AJ$3:'Source Register'!AJ277,"YES"),"")</x:f>
      </x:c>
    </x:row>
    <x:row r="278">
      <x:c r="N278" s="381" t="str">
        <x:f>IF('Source Register'!AJ278="YES",COUNTIF('Source Register'!$AJ$3:'Source Register'!AJ278,"YES"),"")</x:f>
      </x:c>
    </x:row>
    <x:row r="279">
      <x:c r="N279" s="381" t="str">
        <x:f>IF('Source Register'!AJ279="YES",COUNTIF('Source Register'!$AJ$3:'Source Register'!AJ279,"YES"),"")</x:f>
      </x:c>
    </x:row>
    <x:row r="280">
      <x:c r="N280" s="381" t="str">
        <x:f>IF('Source Register'!AJ280="YES",COUNTIF('Source Register'!$AJ$3:'Source Register'!AJ280,"YES"),"")</x:f>
      </x:c>
    </x:row>
    <x:row r="281">
      <x:c r="N281" s="381" t="str">
        <x:f>IF('Source Register'!AJ281="YES",COUNTIF('Source Register'!$AJ$3:'Source Register'!AJ281,"YES"),"")</x:f>
      </x:c>
    </x:row>
    <x:row r="282">
      <x:c r="N282" s="381" t="str">
        <x:f>IF('Source Register'!AJ282="YES",COUNTIF('Source Register'!$AJ$3:'Source Register'!AJ282,"YES"),"")</x:f>
      </x:c>
    </x:row>
    <x:row r="283">
      <x:c r="N283" s="381" t="str">
        <x:f>IF('Source Register'!AJ283="YES",COUNTIF('Source Register'!$AJ$3:'Source Register'!AJ283,"YES"),"")</x:f>
      </x:c>
    </x:row>
    <x:row r="284">
      <x:c r="N284" s="381" t="str">
        <x:f>IF('Source Register'!AJ284="YES",COUNTIF('Source Register'!$AJ$3:'Source Register'!AJ284,"YES"),"")</x:f>
      </x:c>
    </x:row>
    <x:row r="285">
      <x:c r="N285" s="381" t="str">
        <x:f>IF('Source Register'!AJ285="YES",COUNTIF('Source Register'!$AJ$3:'Source Register'!AJ285,"YES"),"")</x:f>
      </x:c>
    </x:row>
    <x:row r="286">
      <x:c r="N286" s="381" t="str">
        <x:f>IF('Source Register'!AJ286="YES",COUNTIF('Source Register'!$AJ$3:'Source Register'!AJ286,"YES"),"")</x:f>
      </x:c>
    </x:row>
    <x:row r="287">
      <x:c r="N287" s="381" t="str">
        <x:f>IF('Source Register'!AJ287="YES",COUNTIF('Source Register'!$AJ$3:'Source Register'!AJ287,"YES"),"")</x:f>
      </x:c>
    </x:row>
    <x:row r="288">
      <x:c r="N288" s="381" t="str">
        <x:f>IF('Source Register'!AJ288="YES",COUNTIF('Source Register'!$AJ$3:'Source Register'!AJ288,"YES"),"")</x:f>
      </x:c>
    </x:row>
    <x:row r="289">
      <x:c r="N289" s="381" t="str">
        <x:f>IF('Source Register'!AJ289="YES",COUNTIF('Source Register'!$AJ$3:'Source Register'!AJ289,"YES"),"")</x:f>
      </x:c>
    </x:row>
    <x:row r="290">
      <x:c r="N290" s="381" t="str">
        <x:f>IF('Source Register'!AJ290="YES",COUNTIF('Source Register'!$AJ$3:'Source Register'!AJ290,"YES"),"")</x:f>
      </x:c>
    </x:row>
    <x:row r="291">
      <x:c r="N291" s="381" t="str">
        <x:f>IF('Source Register'!AJ291="YES",COUNTIF('Source Register'!$AJ$3:'Source Register'!AJ291,"YES"),"")</x:f>
      </x:c>
    </x:row>
    <x:row r="292">
      <x:c r="N292" s="381" t="str">
        <x:f>IF('Source Register'!AJ292="YES",COUNTIF('Source Register'!$AJ$3:'Source Register'!AJ292,"YES"),"")</x:f>
      </x:c>
    </x:row>
    <x:row r="293">
      <x:c r="N293" s="381" t="str">
        <x:f>IF('Source Register'!AJ293="YES",COUNTIF('Source Register'!$AJ$3:'Source Register'!AJ293,"YES"),"")</x:f>
      </x:c>
    </x:row>
    <x:row r="294">
      <x:c r="N294" s="381" t="str">
        <x:f>IF('Source Register'!AJ294="YES",COUNTIF('Source Register'!$AJ$3:'Source Register'!AJ294,"YES"),"")</x:f>
      </x:c>
    </x:row>
    <x:row r="295">
      <x:c r="N295" s="381" t="str">
        <x:f>IF('Source Register'!AJ295="YES",COUNTIF('Source Register'!$AJ$3:'Source Register'!AJ295,"YES"),"")</x:f>
      </x:c>
    </x:row>
    <x:row r="296">
      <x:c r="N296" s="381" t="str">
        <x:f>IF('Source Register'!AJ296="YES",COUNTIF('Source Register'!$AJ$3:'Source Register'!AJ296,"YES"),"")</x:f>
      </x:c>
    </x:row>
    <x:row r="297">
      <x:c r="N297" s="381" t="str">
        <x:f>IF('Source Register'!AJ297="YES",COUNTIF('Source Register'!$AJ$3:'Source Register'!AJ297,"YES"),"")</x:f>
      </x:c>
    </x:row>
    <x:row r="298">
      <x:c r="N298" s="381" t="str">
        <x:f>IF('Source Register'!AJ298="YES",COUNTIF('Source Register'!$AJ$3:'Source Register'!AJ298,"YES"),"")</x:f>
      </x:c>
    </x:row>
    <x:row r="299">
      <x:c r="N299" s="381" t="str">
        <x:f>IF('Source Register'!AJ299="YES",COUNTIF('Source Register'!$AJ$3:'Source Register'!AJ299,"YES"),"")</x:f>
      </x:c>
    </x:row>
    <x:row r="300">
      <x:c r="N300" s="381" t="str">
        <x:f>IF('Source Register'!AJ300="YES",COUNTIF('Source Register'!$AJ$3:'Source Register'!AJ300,"YES"),"")</x:f>
      </x:c>
    </x:row>
    <x:row r="301">
      <x:c r="N301" s="381" t="str">
        <x:f>IF('Source Register'!AJ301="YES",COUNTIF('Source Register'!$AJ$3:'Source Register'!AJ301,"YES"),"")</x:f>
      </x:c>
    </x:row>
    <x:row r="302">
      <x:c r="N302" s="381" t="str">
        <x:f>IF('Source Register'!AJ302="YES",COUNTIF('Source Register'!$AJ$3:'Source Register'!AJ302,"YES"),"")</x:f>
      </x:c>
    </x:row>
  </x:sheetData>
  <x:mergeCells>
    <x:mergeCell ref="A1:K1"/>
    <x:mergeCell ref="A3:C3"/>
    <x:mergeCell ref="A4:C5"/>
    <x:mergeCell ref="E3:G3"/>
    <x:mergeCell ref="E4:G5"/>
    <x:mergeCell ref="I3:K3"/>
    <x:mergeCell ref="I4:K5"/>
    <x:mergeCell ref="A7:C7"/>
    <x:mergeCell ref="A8:C9"/>
    <x:mergeCell ref="E7:G7"/>
    <x:mergeCell ref="E8:G9"/>
    <x:mergeCell ref="I7:K7"/>
    <x:mergeCell ref="I8:K9"/>
    <x:mergeCell ref="A43:K43"/>
    <x:mergeCell ref="A45:C45"/>
    <x:mergeCell ref="A46:C47"/>
    <x:mergeCell ref="E45:G45"/>
    <x:mergeCell ref="E46:G47"/>
    <x:mergeCell ref="I45:K45"/>
    <x:mergeCell ref="I46:K47"/>
    <x:mergeCell ref="A49:K50"/>
    <x:mergeCell ref="A52:K52"/>
  </x:mergeCells>
  <x:conditionalFormatting sqref="A49:K50">
    <x:cfRule type="containsText" dxfId="16" priority="1" operator="containsText" text="REVIEW OVERDUE"/>
  </x:conditionalFormatting>
  <x:conditionalFormatting sqref="J54:J153">
    <x:cfRule type="containsText" dxfId="17" priority="2" operator="containsText" text="OVERDUE"/>
    <x:cfRule type="containsText" dxfId="18" priority="3" operator="containsText" text="OPEN"/>
  </x:conditionalFormatting>
  <x:pageMargins left="0.7" right="0.7" top="0.75" bottom="0.75" header="0.3" footer="0.3"/>
  <x:drawing xmlns:r="http://schemas.openxmlformats.org/officeDocument/2006/relationships" r:id="R553e6ced6a234be6"/>
</x:worksheet>
</file>