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300" windowHeight="18460" tabRatio="600" firstSheet="0" activeTab="3" autoFilterDateGrouping="1"/>
  </bookViews>
  <sheets>
    <sheet name="Instructions" sheetId="1" state="visible" r:id="rId1"/>
    <sheet name="Categories" sheetId="2" state="visible" r:id="rId2"/>
    <sheet name="Source Register" sheetId="3" state="visible" r:id="rId3"/>
    <sheet name="Dashboard" sheetId="4" state="visible" r:id="rId4"/>
    <sheet name="Human Operation Desktop" sheetId="5" state="visible" r:id="rId5"/>
  </sheets>
  <definedNames/>
  <calcPr calcId="191029" fullCalcOnLoad="1" forceFullCalc="1"/>
</workbook>
</file>

<file path=xl/styles.xml><?xml version="1.0" encoding="utf-8"?>
<styleSheet xmlns="http://schemas.openxmlformats.org/spreadsheetml/2006/main">
  <numFmts count="3">
    <numFmt numFmtId="164" formatCode="yyyy\-mm\-dd\ hh:mm"/>
    <numFmt numFmtId="165" formatCode="yyyy\-mm\-dd"/>
    <numFmt numFmtId="166" formatCode="yyyy\-mm\-dd\ h:mm:ss"/>
  </numFmts>
  <fonts count="48">
    <font>
      <name val="Carlito"/>
      <sz val="11"/>
    </font>
    <font>
      <name val="Aptos Display"/>
      <b val="1"/>
      <color rgb="FFFFFFFF"/>
      <sz val="18"/>
    </font>
    <font>
      <name val="Carlito"/>
      <i val="1"/>
      <color rgb="FF0B1F3A"/>
      <sz val="11"/>
    </font>
    <font>
      <name val="Carlito"/>
      <b val="1"/>
      <color rgb="FF0B1F3A"/>
      <sz val="12"/>
    </font>
    <font>
      <name val="Carlito"/>
      <b val="1"/>
      <color rgb="FFFFFFFF"/>
      <sz val="11"/>
    </font>
    <font>
      <name val="Carlito"/>
      <b val="1"/>
      <color rgb="FFFFFFFF"/>
      <sz val="12"/>
    </font>
    <font>
      <name val="Carlito"/>
      <b val="1"/>
      <color rgb="FFFFFFFF"/>
      <sz val="10"/>
    </font>
    <font>
      <name val="Aptos"/>
      <b val="1"/>
      <color rgb="FFFFFFFF"/>
      <sz val="11"/>
    </font>
    <font>
      <name val="Aptos"/>
      <sz val="11"/>
    </font>
    <font>
      <name val="Carlito"/>
      <b val="1"/>
      <color rgb="FF17365D"/>
      <sz val="9"/>
    </font>
    <font>
      <name val="Carlito"/>
      <b val="1"/>
      <color rgb="FF666666"/>
      <sz val="9"/>
    </font>
    <font>
      <name val="Carlito"/>
      <color rgb="FF203040"/>
      <sz val="10"/>
    </font>
    <font>
      <name val="Carlito"/>
      <b val="1"/>
      <color rgb="FF17365D"/>
      <sz val="10"/>
    </font>
    <font>
      <name val="Carlito"/>
      <b val="1"/>
      <color rgb="FFFFFFFF"/>
      <sz val="20"/>
    </font>
    <font>
      <name val="Carlito"/>
      <i val="1"/>
      <color rgb="FF203040"/>
      <sz val="10"/>
    </font>
    <font>
      <name val="Aptos"/>
      <b val="1"/>
      <color rgb="FFFFFFFF"/>
      <sz val="10"/>
    </font>
    <font>
      <name val="Arial"/>
      <family val="2"/>
      <color rgb="FF17365D"/>
      <sz val="10"/>
    </font>
    <font>
      <name val="Arial"/>
      <family val="2"/>
      <b val="1"/>
      <color rgb="FFFFFFFF"/>
      <sz val="21"/>
    </font>
    <font>
      <name val="Arial"/>
      <family val="2"/>
      <color rgb="FFD9E6F2"/>
      <sz val="9"/>
    </font>
    <font>
      <name val="Arial"/>
      <family val="2"/>
      <b val="1"/>
      <color rgb="FFFFFFFF"/>
      <sz val="9"/>
    </font>
    <font>
      <name val="Arial"/>
      <family val="2"/>
      <b val="1"/>
      <color rgb="FF0F6B78"/>
      <sz val="10"/>
    </font>
    <font>
      <name val="Arial"/>
      <family val="2"/>
      <b val="1"/>
      <color rgb="FF17365D"/>
      <sz val="24"/>
    </font>
    <font>
      <name val="Arial"/>
      <family val="2"/>
      <color rgb="FF6B7280"/>
      <sz val="9"/>
    </font>
    <font>
      <name val="Arial"/>
      <family val="2"/>
      <b val="1"/>
      <color rgb="FF0F6B78"/>
      <sz val="24"/>
    </font>
    <font>
      <name val="Arial"/>
      <family val="2"/>
      <b val="1"/>
      <color rgb="FF2E7D32"/>
      <sz val="24"/>
    </font>
    <font>
      <name val="Arial"/>
      <family val="2"/>
      <b val="1"/>
      <color rgb="FFD99A00"/>
      <sz val="24"/>
    </font>
    <font>
      <name val="Arial"/>
      <family val="2"/>
      <b val="1"/>
      <color rgb="FFC0392B"/>
      <sz val="24"/>
    </font>
    <font>
      <name val="Arial"/>
      <family val="2"/>
      <b val="1"/>
      <color rgb="FF7A4D00"/>
      <sz val="12"/>
    </font>
    <font>
      <name val="Arial"/>
      <family val="2"/>
      <b val="1"/>
      <color rgb="FFFFFFFF"/>
      <sz val="11"/>
    </font>
    <font>
      <name val="Arial"/>
      <family val="2"/>
      <b val="1"/>
      <color rgb="FF17365D"/>
      <sz val="8"/>
    </font>
    <font>
      <name val="Arial"/>
      <family val="2"/>
      <b val="1"/>
      <color rgb="FF0F6B78"/>
      <sz val="11"/>
    </font>
    <font>
      <name val="Arial"/>
      <family val="2"/>
      <b val="1"/>
      <color rgb="FF17365D"/>
      <sz val="9"/>
    </font>
    <font>
      <name val="Arial"/>
      <family val="2"/>
      <color rgb="FF17365D"/>
      <sz val="9"/>
    </font>
    <font>
      <name val="Arial"/>
      <family val="2"/>
      <b val="1"/>
      <color rgb="FF0F6B78"/>
      <sz val="9"/>
    </font>
    <font>
      <name val="Carlito"/>
      <sz val="11"/>
    </font>
    <font>
      <name val="FangSong"/>
      <charset val="134"/>
      <family val="3"/>
      <sz val="9"/>
    </font>
    <font>
      <name val="Calibri"/>
      <b val="1"/>
      <color rgb="FFFFFFFF"/>
      <sz val="13"/>
    </font>
    <font>
      <name val="Calibri"/>
      <b val="1"/>
      <color rgb="FFFFFFFF"/>
      <sz val="11"/>
    </font>
    <font>
      <name val="Calibri"/>
      <b val="1"/>
      <color rgb="FF102A43"/>
      <sz val="11"/>
    </font>
    <font>
      <name val="Calibri"/>
      <color rgb="FF102A43"/>
      <sz val="11"/>
    </font>
    <font>
      <name val="Calibri"/>
      <b val="1"/>
      <color rgb="FFFFFFFF"/>
      <sz val="22"/>
    </font>
    <font>
      <name val="Calibri"/>
      <b val="1"/>
      <color rgb="FF102A43"/>
      <sz val="16"/>
    </font>
    <font>
      <name val="Calibri"/>
      <b val="1"/>
      <color rgb="FFFFFFFF"/>
      <sz val="12"/>
    </font>
    <font>
      <name val="Calibri"/>
      <color rgb="FFFFFFFF"/>
      <sz val="10"/>
    </font>
    <font>
      <name val="Calibri"/>
      <b val="1"/>
      <color rgb="FFFFFFFF"/>
      <sz val="16"/>
    </font>
    <font>
      <name val="Calibri"/>
      <b val="1"/>
      <color rgb="FFFFFFFF"/>
      <sz val="10"/>
    </font>
    <font>
      <name val="Carlito"/>
      <color rgb="FFFFFFFF"/>
      <sz val="10"/>
    </font>
    <font>
      <name val="Carlito"/>
      <color rgb="FFFFFFFF"/>
      <sz val="11"/>
    </font>
  </fonts>
  <fills count="38">
    <fill>
      <patternFill/>
    </fill>
    <fill>
      <patternFill patternType="gray125"/>
    </fill>
    <fill>
      <patternFill patternType="solid">
        <fgColor rgb="FF0B1F3A"/>
      </patternFill>
    </fill>
    <fill>
      <patternFill patternType="solid">
        <fgColor rgb="FFE8F1FB"/>
      </patternFill>
    </fill>
    <fill>
      <patternFill patternType="solid">
        <fgColor rgb="FFDDF5F1"/>
      </patternFill>
    </fill>
    <fill>
      <patternFill patternType="solid">
        <fgColor rgb="FF0B1F3A"/>
      </patternFill>
    </fill>
    <fill>
      <patternFill patternType="solid">
        <fgColor rgb="FFE8F4F8"/>
      </patternFill>
    </fill>
    <fill>
      <patternFill patternType="solid">
        <fgColor rgb="FFFFF9E8"/>
      </patternFill>
    </fill>
    <fill>
      <patternFill patternType="solid">
        <fgColor rgb="FF17365D"/>
      </patternFill>
    </fill>
    <fill>
      <patternFill patternType="solid">
        <fgColor rgb="FF0F6B78"/>
      </patternFill>
    </fill>
    <fill>
      <patternFill patternType="solid">
        <fgColor rgb="FF3B6E8F"/>
      </patternFill>
    </fill>
    <fill>
      <patternFill patternType="solid">
        <fgColor rgb="FF6B7280"/>
      </patternFill>
    </fill>
    <fill>
      <patternFill patternType="solid">
        <fgColor rgb="FFEAF2F8"/>
      </patternFill>
    </fill>
    <fill>
      <patternFill patternType="solid">
        <fgColor rgb="FFF2F2F2"/>
      </patternFill>
    </fill>
    <fill>
      <patternFill patternType="solid">
        <fgColor rgb="FFFFF2CC"/>
      </patternFill>
    </fill>
    <fill>
      <patternFill patternType="solid">
        <fgColor rgb="FFD9EAF0"/>
      </patternFill>
    </fill>
    <fill>
      <patternFill patternType="solid">
        <fgColor rgb="FF5B6573"/>
      </patternFill>
    </fill>
    <fill>
      <patternFill patternType="solid">
        <fgColor rgb="FFF7F9FC"/>
      </patternFill>
    </fill>
    <fill>
      <patternFill patternType="solid">
        <fgColor rgb="FF17365D"/>
      </patternFill>
    </fill>
    <fill>
      <patternFill patternType="solid">
        <fgColor rgb="FF0F6B78"/>
      </patternFill>
    </fill>
    <fill>
      <patternFill patternType="solid">
        <fgColor rgb="FFDDEFF2"/>
      </patternFill>
    </fill>
    <fill>
      <patternFill patternType="solid">
        <fgColor rgb="FFFFFFFF"/>
      </patternFill>
    </fill>
    <fill>
      <patternFill patternType="solid">
        <fgColor rgb="FF2E7D32"/>
      </patternFill>
    </fill>
    <fill>
      <patternFill patternType="solid">
        <fgColor rgb="FFD99A00"/>
      </patternFill>
    </fill>
    <fill>
      <patternFill patternType="solid">
        <fgColor rgb="FFC0392B"/>
      </patternFill>
    </fill>
    <fill>
      <patternFill patternType="solid">
        <fgColor rgb="FFFFF4D6"/>
      </patternFill>
    </fill>
    <fill>
      <patternFill patternType="solid">
        <fgColor rgb="FFEAF2F8"/>
      </patternFill>
    </fill>
    <fill>
      <patternFill patternType="solid">
        <fgColor rgb="FF03045e"/>
      </patternFill>
    </fill>
    <fill>
      <patternFill patternType="solid">
        <fgColor rgb="FF0077b6"/>
      </patternFill>
    </fill>
    <fill>
      <patternFill patternType="solid">
        <fgColor rgb="FFade8f4"/>
      </patternFill>
    </fill>
    <fill>
      <patternFill patternType="solid">
        <fgColor rgb="FFcaf0f8"/>
      </patternFill>
    </fill>
    <fill>
      <patternFill patternType="solid">
        <fgColor rgb="FF00b4d8"/>
      </patternFill>
    </fill>
    <fill>
      <patternFill patternType="solid">
        <fgColor rgb="FF48cae4"/>
      </patternFill>
    </fill>
    <fill>
      <patternFill patternType="solid">
        <fgColor rgb="FF023e8a"/>
      </patternFill>
    </fill>
    <fill>
      <patternFill patternType="solid">
        <fgColor rgb="FF0096c7"/>
      </patternFill>
    </fill>
    <fill>
      <patternFill patternType="solid">
        <fgColor rgb="FFf6fbff"/>
      </patternFill>
    </fill>
    <fill>
      <patternFill patternType="solid">
        <fgColor rgb="FFd9f3df"/>
      </patternFill>
    </fill>
    <fill>
      <patternFill patternType="solid">
        <fgColor rgb="FFfff2d9"/>
      </patternFill>
    </fill>
  </fills>
  <borders count="25">
    <border>
      <left/>
      <right/>
      <top/>
      <bottom/>
      <diagonal/>
    </border>
    <border>
      <left style="thin">
        <color rgb="FFD0D5DD"/>
      </left>
      <right style="thin">
        <color rgb="FF52657A"/>
      </right>
      <top style="thin">
        <color rgb="FFD0D5DD"/>
      </top>
      <bottom/>
      <diagonal/>
    </border>
    <border>
      <left style="thin">
        <color rgb="FF52657A"/>
      </left>
      <right style="thin">
        <color rgb="FF52657A"/>
      </right>
      <top style="thin">
        <color rgb="FFD0D5DD"/>
      </top>
      <bottom/>
      <diagonal/>
    </border>
    <border>
      <left style="thin">
        <color rgb="FF52657A"/>
      </left>
      <right style="thin">
        <color rgb="FFD0D5DD"/>
      </right>
      <top style="thin">
        <color rgb="FFD0D5DD"/>
      </top>
      <bottom/>
      <diagonal/>
    </border>
    <border>
      <left style="thin">
        <color rgb="FFD0D5DD"/>
      </left>
      <right/>
      <top/>
      <bottom/>
      <diagonal/>
    </border>
    <border>
      <left/>
      <right style="thin">
        <color rgb="FFD0D5DD"/>
      </right>
      <top/>
      <bottom/>
      <diagonal/>
    </border>
    <border>
      <left style="thin">
        <color rgb="FFD0D5DD"/>
      </left>
      <right/>
      <top/>
      <bottom style="thin">
        <color rgb="FFD0D5DD"/>
      </bottom>
      <diagonal/>
    </border>
    <border>
      <left/>
      <right/>
      <top/>
      <bottom style="thin">
        <color rgb="FFD0D5DD"/>
      </bottom>
      <diagonal/>
    </border>
    <border>
      <left/>
      <right style="thin">
        <color rgb="FFD0D5DD"/>
      </right>
      <top/>
      <bottom style="thin">
        <color rgb="FFD0D5DD"/>
      </bottom>
      <diagonal/>
    </border>
    <border>
      <left/>
      <right/>
      <top/>
      <bottom style="thin">
        <color rgb="FFD9E2EC"/>
      </bottom>
      <diagonal/>
    </border>
    <border>
      <left/>
      <right/>
      <top style="thin">
        <color rgb="FFD9E2EC"/>
      </top>
      <bottom style="thin">
        <color rgb="FFD9E2EC"/>
      </bottom>
      <diagonal/>
    </border>
    <border>
      <left/>
      <right/>
      <top style="thin">
        <color rgb="FFD9E2EC"/>
      </top>
      <bottom/>
      <diagonal/>
    </border>
    <border>
      <left style="thin">
        <color rgb="FFD9E2F3"/>
      </left>
      <right style="thin">
        <color rgb="FFD9E2F3"/>
      </right>
      <top style="thin">
        <color rgb="FFD9E2F3"/>
      </top>
      <bottom style="thin">
        <color rgb="FFD9E2F3"/>
      </bottom>
      <diagonal/>
    </border>
    <border>
      <left/>
      <right/>
      <top/>
      <bottom/>
      <diagonal/>
    </border>
    <border>
      <left/>
      <right/>
      <top/>
      <bottom/>
      <diagonal/>
    </border>
    <border>
      <left style="thin">
        <color rgb="FF90adc6"/>
      </left>
      <right style="thin">
        <color rgb="FF90adc6"/>
      </right>
      <top style="thin">
        <color rgb="FF90adc6"/>
      </top>
      <bottom style="thin">
        <color rgb="FF90adc6"/>
      </bottom>
    </border>
    <border>
      <left/>
      <right/>
      <top style="thin">
        <color rgb="FF90adc6"/>
      </top>
      <bottom/>
      <diagonal/>
    </border>
    <border>
      <left/>
      <right style="thin">
        <color rgb="FF90adc6"/>
      </right>
      <top style="thin">
        <color rgb="FF90adc6"/>
      </top>
      <bottom/>
      <diagonal/>
    </border>
    <border>
      <left/>
      <right/>
      <top style="thin">
        <color rgb="FF90adc6"/>
      </top>
      <bottom style="thin">
        <color rgb="FF90adc6"/>
      </bottom>
      <diagonal/>
    </border>
    <border>
      <left/>
      <right style="thin">
        <color rgb="FF90adc6"/>
      </right>
      <top style="thin">
        <color rgb="FF90adc6"/>
      </top>
      <bottom style="thin">
        <color rgb="FF90adc6"/>
      </bottom>
      <diagonal/>
    </border>
    <border>
      <left style="thin">
        <color rgb="FF90adc6"/>
      </left>
      <right/>
      <top/>
      <bottom/>
      <diagonal/>
    </border>
    <border>
      <left/>
      <right style="thin">
        <color rgb="FF90adc6"/>
      </right>
      <top/>
      <bottom/>
      <diagonal/>
    </border>
    <border>
      <left style="thin">
        <color rgb="FF90adc6"/>
      </left>
      <right/>
      <top/>
      <bottom style="thin">
        <color rgb="FF90adc6"/>
      </bottom>
      <diagonal/>
    </border>
    <border>
      <left/>
      <right style="thin">
        <color rgb="FF90adc6"/>
      </right>
      <top/>
      <bottom style="thin">
        <color rgb="FF90adc6"/>
      </bottom>
      <diagonal/>
    </border>
    <border>
      <left/>
      <right/>
      <top/>
      <bottom style="thin">
        <color rgb="FF90adc6"/>
      </bottom>
      <diagonal/>
    </border>
  </borders>
  <cellStyleXfs count="2">
    <xf numFmtId="0" fontId="34" fillId="0" borderId="14"/>
    <xf numFmtId="0" fontId="34" fillId="0" borderId="14"/>
  </cellStyleXfs>
  <cellXfs count="211">
    <xf numFmtId="0" fontId="0" fillId="0" borderId="0" pivotButton="0" quotePrefix="0" xfId="0"/>
    <xf numFmtId="0" fontId="4" fillId="2" borderId="1" applyAlignment="1" pivotButton="0" quotePrefix="0" xfId="1">
      <alignment horizontal="left" vertical="top" wrapText="1"/>
    </xf>
    <xf numFmtId="0" fontId="4" fillId="2" borderId="2" applyAlignment="1" pivotButton="0" quotePrefix="0" xfId="1">
      <alignment horizontal="left" vertical="top" wrapText="1"/>
    </xf>
    <xf numFmtId="0" fontId="4" fillId="2" borderId="3" applyAlignment="1" pivotButton="0" quotePrefix="0" xfId="1">
      <alignment horizontal="left" vertical="top" wrapText="1"/>
    </xf>
    <xf numFmtId="0" fontId="0" fillId="0" borderId="4" applyAlignment="1" pivotButton="0" quotePrefix="0" xfId="1">
      <alignment vertical="top" wrapText="1"/>
    </xf>
    <xf numFmtId="0" fontId="0" fillId="0" borderId="0" applyAlignment="1" pivotButton="0" quotePrefix="0" xfId="1">
      <alignment vertical="top" wrapText="1"/>
    </xf>
    <xf numFmtId="0" fontId="0" fillId="0" borderId="5" applyAlignment="1" pivotButton="0" quotePrefix="0" xfId="1">
      <alignment vertical="top" wrapText="1"/>
    </xf>
    <xf numFmtId="0" fontId="0" fillId="0" borderId="6" applyAlignment="1" pivotButton="0" quotePrefix="0" xfId="1">
      <alignment vertical="top" wrapText="1"/>
    </xf>
    <xf numFmtId="0" fontId="0" fillId="0" borderId="7" applyAlignment="1" pivotButton="0" quotePrefix="0" xfId="1">
      <alignment vertical="top" wrapText="1"/>
    </xf>
    <xf numFmtId="0" fontId="0" fillId="0" borderId="8" applyAlignment="1" pivotButton="0" quotePrefix="0" xfId="1">
      <alignment vertical="top" wrapText="1"/>
    </xf>
    <xf numFmtId="164" fontId="0" fillId="0" borderId="0" pivotButton="0" quotePrefix="0" xfId="1"/>
    <xf numFmtId="0" fontId="7" fillId="5" borderId="10" applyAlignment="1" pivotButton="0" quotePrefix="0" xfId="1">
      <alignment horizontal="left" wrapText="1"/>
    </xf>
    <xf numFmtId="0" fontId="8" fillId="6" borderId="10" pivotButton="0" quotePrefix="0" xfId="1"/>
    <xf numFmtId="0" fontId="8" fillId="7" borderId="10" pivotButton="0" quotePrefix="0" xfId="1"/>
    <xf numFmtId="0" fontId="8" fillId="6" borderId="11" pivotButton="0" quotePrefix="0" xfId="1"/>
    <xf numFmtId="0" fontId="8" fillId="7" borderId="11" pivotButton="0" quotePrefix="0" xfId="1"/>
    <xf numFmtId="164" fontId="8" fillId="6" borderId="10" pivotButton="0" quotePrefix="0" xfId="1"/>
    <xf numFmtId="164" fontId="8" fillId="6" borderId="11" pivotButton="0" quotePrefix="0" xfId="1"/>
    <xf numFmtId="165" fontId="8" fillId="6" borderId="10" pivotButton="0" quotePrefix="0" xfId="1"/>
    <xf numFmtId="165" fontId="8" fillId="6" borderId="11" pivotButton="0" quotePrefix="0" xfId="1"/>
    <xf numFmtId="165" fontId="8" fillId="7" borderId="10" pivotButton="0" quotePrefix="0" xfId="1"/>
    <xf numFmtId="165" fontId="8" fillId="7" borderId="11" pivotButton="0" quotePrefix="0" xfId="1"/>
    <xf numFmtId="0" fontId="11" fillId="0" borderId="12" applyAlignment="1" pivotButton="0" quotePrefix="0" xfId="1">
      <alignment vertical="top" wrapText="1"/>
    </xf>
    <xf numFmtId="0" fontId="12" fillId="0" borderId="12" applyAlignment="1" pivotButton="0" quotePrefix="0" xfId="1">
      <alignment vertical="top" wrapText="1"/>
    </xf>
    <xf numFmtId="0" fontId="6" fillId="9" borderId="0" applyAlignment="1" pivotButton="0" quotePrefix="0" xfId="1">
      <alignment vertical="center" wrapText="1"/>
    </xf>
    <xf numFmtId="0" fontId="9" fillId="12" borderId="0" applyAlignment="1" pivotButton="0" quotePrefix="0" xfId="1">
      <alignment wrapText="1"/>
    </xf>
    <xf numFmtId="0" fontId="10" fillId="13" borderId="0" applyAlignment="1" pivotButton="0" quotePrefix="0" xfId="1">
      <alignment wrapText="1"/>
    </xf>
    <xf numFmtId="0" fontId="11" fillId="14" borderId="12" applyAlignment="1" pivotButton="0" quotePrefix="0" xfId="1">
      <alignment vertical="top" wrapText="1"/>
    </xf>
    <xf numFmtId="0" fontId="11" fillId="13" borderId="12" applyAlignment="1" pivotButton="0" quotePrefix="0" xfId="1">
      <alignment vertical="top" wrapText="1"/>
    </xf>
    <xf numFmtId="0" fontId="4" fillId="9" borderId="12" applyAlignment="1" pivotButton="0" quotePrefix="0" xfId="1">
      <alignment vertical="top" wrapText="1"/>
    </xf>
    <xf numFmtId="166" fontId="0" fillId="0" borderId="0" pivotButton="0" quotePrefix="0" xfId="1"/>
    <xf numFmtId="0" fontId="16" fillId="17" borderId="0" applyAlignment="1" pivotButton="0" quotePrefix="0" xfId="1">
      <alignment vertical="center"/>
    </xf>
    <xf numFmtId="9" fontId="0" fillId="0" borderId="0" pivotButton="0" quotePrefix="0" xfId="1"/>
    <xf numFmtId="0" fontId="19" fillId="18" borderId="0" applyAlignment="1" pivotButton="0" quotePrefix="0" xfId="1">
      <alignment horizontal="left" vertical="center"/>
    </xf>
    <xf numFmtId="0" fontId="32" fillId="21" borderId="0" applyAlignment="1" pivotButton="0" quotePrefix="0" xfId="1">
      <alignment vertical="center" wrapText="1"/>
    </xf>
    <xf numFmtId="0" fontId="32" fillId="21" borderId="13" applyAlignment="1" pivotButton="0" quotePrefix="0" xfId="1">
      <alignment vertical="center" wrapText="1"/>
    </xf>
    <xf numFmtId="0" fontId="32" fillId="21" borderId="0" applyAlignment="1" pivotButton="0" quotePrefix="0" xfId="1">
      <alignment horizontal="center" vertical="center" wrapText="1"/>
    </xf>
    <xf numFmtId="0" fontId="32" fillId="21" borderId="13" applyAlignment="1" pivotButton="0" quotePrefix="0" xfId="1">
      <alignment horizontal="center" vertical="center" wrapText="1"/>
    </xf>
    <xf numFmtId="0" fontId="33" fillId="21" borderId="0" applyAlignment="1" pivotButton="0" quotePrefix="0" xfId="1">
      <alignment vertical="center" wrapText="1"/>
    </xf>
    <xf numFmtId="0" fontId="33" fillId="21" borderId="13" applyAlignment="1" pivotButton="0" quotePrefix="0" xfId="1">
      <alignment vertical="center" wrapText="1"/>
    </xf>
    <xf numFmtId="0" fontId="20" fillId="20" borderId="14" applyAlignment="1" pivotButton="0" quotePrefix="0" xfId="1">
      <alignment horizontal="center" vertical="center"/>
    </xf>
    <xf numFmtId="0" fontId="0" fillId="0" borderId="0" pivotButton="0" quotePrefix="0" xfId="0"/>
    <xf numFmtId="0" fontId="31" fillId="26" borderId="14" applyAlignment="1" pivotButton="0" quotePrefix="0" xfId="1">
      <alignment horizontal="center" vertical="center"/>
    </xf>
    <xf numFmtId="0" fontId="19" fillId="19" borderId="14" applyAlignment="1" pivotButton="0" quotePrefix="0" xfId="1">
      <alignment horizontal="center" vertical="center"/>
    </xf>
    <xf numFmtId="0" fontId="22" fillId="21" borderId="14" applyAlignment="1" pivotButton="0" quotePrefix="0" xfId="1">
      <alignment horizontal="center" vertical="center"/>
    </xf>
    <xf numFmtId="0" fontId="19" fillId="18" borderId="14" applyAlignment="1" pivotButton="0" quotePrefix="0" xfId="1">
      <alignment horizontal="left" vertical="center"/>
    </xf>
    <xf numFmtId="0" fontId="21" fillId="21" borderId="14" applyAlignment="1" pivotButton="0" quotePrefix="0" xfId="1">
      <alignment horizontal="center" vertical="center"/>
    </xf>
    <xf numFmtId="0" fontId="31" fillId="26" borderId="14" applyAlignment="1" pivotButton="0" quotePrefix="0" xfId="1">
      <alignment horizontal="left" vertical="center"/>
    </xf>
    <xf numFmtId="0" fontId="17" fillId="18" borderId="14" applyAlignment="1" pivotButton="0" quotePrefix="0" xfId="1">
      <alignment horizontal="left" vertical="center"/>
    </xf>
    <xf numFmtId="0" fontId="20" fillId="21" borderId="14" applyAlignment="1" pivotButton="0" quotePrefix="0" xfId="1">
      <alignment horizontal="center" vertical="center"/>
    </xf>
    <xf numFmtId="9" fontId="20" fillId="21" borderId="14" applyAlignment="1" pivotButton="0" quotePrefix="0" xfId="1">
      <alignment horizontal="center" vertical="center"/>
    </xf>
    <xf numFmtId="0" fontId="30" fillId="21" borderId="14" applyAlignment="1" pivotButton="0" quotePrefix="0" xfId="1">
      <alignment horizontal="center" vertical="center"/>
    </xf>
    <xf numFmtId="0" fontId="28" fillId="18" borderId="14" applyAlignment="1" pivotButton="0" quotePrefix="0" xfId="1">
      <alignment horizontal="left" vertical="center"/>
    </xf>
    <xf numFmtId="0" fontId="28" fillId="19" borderId="14" applyAlignment="1" pivotButton="0" quotePrefix="0" xfId="1">
      <alignment horizontal="left" vertical="center"/>
    </xf>
    <xf numFmtId="0" fontId="16" fillId="21" borderId="14" applyAlignment="1" pivotButton="0" quotePrefix="0" xfId="1">
      <alignment horizontal="center" vertical="center"/>
    </xf>
    <xf numFmtId="0" fontId="24" fillId="21" borderId="14" applyAlignment="1" pivotButton="0" quotePrefix="0" xfId="1">
      <alignment horizontal="center" vertical="center"/>
    </xf>
    <xf numFmtId="9" fontId="16" fillId="21" borderId="14" applyAlignment="1" pivotButton="0" quotePrefix="0" xfId="1">
      <alignment horizontal="center" vertical="center"/>
    </xf>
    <xf numFmtId="164" fontId="20" fillId="20" borderId="14" applyAlignment="1" pivotButton="0" quotePrefix="0" xfId="1">
      <alignment horizontal="center" vertical="center"/>
    </xf>
    <xf numFmtId="0" fontId="29" fillId="26" borderId="14" applyAlignment="1" pivotButton="0" quotePrefix="0" xfId="1">
      <alignment horizontal="center" vertical="center"/>
    </xf>
    <xf numFmtId="0" fontId="19" fillId="23" borderId="14" applyAlignment="1" pivotButton="0" quotePrefix="0" xfId="1">
      <alignment horizontal="center" vertical="center"/>
    </xf>
    <xf numFmtId="0" fontId="19" fillId="24" borderId="14" applyAlignment="1" pivotButton="0" quotePrefix="0" xfId="1">
      <alignment horizontal="center" vertical="center"/>
    </xf>
    <xf numFmtId="0" fontId="18" fillId="18" borderId="14" applyAlignment="1" pivotButton="0" quotePrefix="0" xfId="1">
      <alignment horizontal="left" vertical="center"/>
    </xf>
    <xf numFmtId="0" fontId="23" fillId="21" borderId="14" applyAlignment="1" pivotButton="0" quotePrefix="0" xfId="1">
      <alignment horizontal="center" vertical="center"/>
    </xf>
    <xf numFmtId="0" fontId="19" fillId="18" borderId="14" applyAlignment="1" pivotButton="0" quotePrefix="0" xfId="1">
      <alignment horizontal="center" vertical="center"/>
    </xf>
    <xf numFmtId="0" fontId="25" fillId="21" borderId="14" applyAlignment="1" pivotButton="0" quotePrefix="0" xfId="1">
      <alignment horizontal="center" vertical="center"/>
    </xf>
    <xf numFmtId="0" fontId="27" fillId="25" borderId="14" applyAlignment="1" pivotButton="0" quotePrefix="0" xfId="1">
      <alignment horizontal="left" vertical="center" wrapText="1"/>
    </xf>
    <xf numFmtId="0" fontId="19" fillId="22" borderId="14" applyAlignment="1" pivotButton="0" quotePrefix="0" xfId="1">
      <alignment horizontal="center" vertical="center"/>
    </xf>
    <xf numFmtId="0" fontId="26" fillId="21" borderId="14" applyAlignment="1" pivotButton="0" quotePrefix="0" xfId="1">
      <alignment horizontal="center" vertical="center"/>
    </xf>
    <xf numFmtId="165" fontId="20" fillId="21" borderId="14" applyAlignment="1" pivotButton="0" quotePrefix="0" xfId="1">
      <alignment horizontal="center" vertical="center"/>
    </xf>
    <xf numFmtId="0" fontId="14" fillId="15" borderId="14" applyAlignment="1" pivotButton="0" quotePrefix="0" xfId="1">
      <alignment vertical="center"/>
    </xf>
    <xf numFmtId="0" fontId="13" fillId="8" borderId="14" applyAlignment="1" pivotButton="0" quotePrefix="0" xfId="1">
      <alignment vertical="center"/>
    </xf>
    <xf numFmtId="0" fontId="3" fillId="4" borderId="14" applyAlignment="1" pivotButton="0" quotePrefix="0" xfId="1">
      <alignment vertical="center"/>
    </xf>
    <xf numFmtId="0" fontId="1" fillId="2" borderId="14" applyAlignment="1" pivotButton="0" quotePrefix="0" xfId="1">
      <alignment horizontal="left" vertical="center"/>
    </xf>
    <xf numFmtId="0" fontId="2" fillId="3" borderId="14" applyAlignment="1" pivotButton="0" quotePrefix="0" xfId="1">
      <alignment wrapText="1"/>
    </xf>
    <xf numFmtId="0" fontId="15" fillId="16" borderId="9" applyAlignment="1" pivotButton="0" quotePrefix="0" xfId="1">
      <alignment horizontal="center"/>
    </xf>
    <xf numFmtId="0" fontId="0" fillId="0" borderId="9" pivotButton="0" quotePrefix="0" xfId="0"/>
    <xf numFmtId="0" fontId="15" fillId="9" borderId="9" applyAlignment="1" pivotButton="0" quotePrefix="0" xfId="1">
      <alignment horizontal="center"/>
    </xf>
    <xf numFmtId="0" fontId="5" fillId="8" borderId="14" applyAlignment="1" pivotButton="0" quotePrefix="0" xfId="1">
      <alignment horizontal="left" vertical="center"/>
    </xf>
    <xf numFmtId="0" fontId="6" fillId="11" borderId="14" pivotButton="0" quotePrefix="0" xfId="1"/>
    <xf numFmtId="0" fontId="6" fillId="9" borderId="14" pivotButton="0" quotePrefix="0" xfId="1"/>
    <xf numFmtId="0" fontId="6" fillId="10" borderId="14" pivotButton="0" quotePrefix="0" xfId="1"/>
    <xf numFmtId="0" fontId="36" fillId="27" borderId="15" applyAlignment="1" pivotButton="0" quotePrefix="0" xfId="1">
      <alignment vertical="center"/>
    </xf>
    <xf numFmtId="0" fontId="36" fillId="27" borderId="0" pivotButton="0" quotePrefix="0" xfId="0"/>
    <xf numFmtId="0" fontId="36" fillId="27" borderId="15" applyAlignment="1" pivotButton="0" quotePrefix="0" xfId="1">
      <alignment horizontal="left" vertical="center" wrapText="1"/>
    </xf>
    <xf numFmtId="0" fontId="36" fillId="27" borderId="0" applyAlignment="1" pivotButton="0" quotePrefix="0" xfId="0">
      <alignment horizontal="left" vertical="center" wrapText="1"/>
    </xf>
    <xf numFmtId="0" fontId="37" fillId="28" borderId="15" applyAlignment="1" pivotButton="0" quotePrefix="0" xfId="1">
      <alignment vertical="top" wrapText="1"/>
    </xf>
    <xf numFmtId="0" fontId="37" fillId="28" borderId="12" applyAlignment="1" pivotButton="0" quotePrefix="0" xfId="1">
      <alignment vertical="top" wrapText="1"/>
    </xf>
    <xf numFmtId="0" fontId="37" fillId="28" borderId="0" pivotButton="0" quotePrefix="0" xfId="0"/>
    <xf numFmtId="0" fontId="38" fillId="0" borderId="15" applyAlignment="1" pivotButton="0" quotePrefix="0" xfId="1">
      <alignment horizontal="center" vertical="top" wrapText="1"/>
    </xf>
    <xf numFmtId="0" fontId="39" fillId="29" borderId="15" applyAlignment="1" pivotButton="0" quotePrefix="0" xfId="1">
      <alignment vertical="top" wrapText="1"/>
    </xf>
    <xf numFmtId="0" fontId="11" fillId="0" borderId="15" applyAlignment="1" pivotButton="0" quotePrefix="0" xfId="1">
      <alignment vertical="top" wrapText="1"/>
    </xf>
    <xf numFmtId="0" fontId="37" fillId="28" borderId="15" applyAlignment="1" pivotButton="0" quotePrefix="0" xfId="1">
      <alignment horizontal="center" vertical="top" wrapText="1"/>
    </xf>
    <xf numFmtId="0" fontId="11" fillId="0" borderId="15" applyAlignment="1" pivotButton="0" quotePrefix="0" xfId="1">
      <alignment horizontal="center" vertical="top" wrapText="1"/>
    </xf>
    <xf numFmtId="0" fontId="4" fillId="9" borderId="15" applyAlignment="1" pivotButton="0" quotePrefix="0" xfId="1">
      <alignment horizontal="center" vertical="top" wrapText="1"/>
    </xf>
    <xf numFmtId="0" fontId="36" fillId="27" borderId="14" applyAlignment="1" pivotButton="0" quotePrefix="0" xfId="1">
      <alignment horizontal="left" vertical="center"/>
    </xf>
    <xf numFmtId="0" fontId="37" fillId="28" borderId="14" applyAlignment="1" pivotButton="0" quotePrefix="0" xfId="1">
      <alignment wrapText="1"/>
    </xf>
    <xf numFmtId="0" fontId="39" fillId="29" borderId="14" applyAlignment="1" pivotButton="0" quotePrefix="0" xfId="1">
      <alignment vertical="center"/>
    </xf>
    <xf numFmtId="0" fontId="39" fillId="29" borderId="0" pivotButton="0" quotePrefix="0" xfId="0"/>
    <xf numFmtId="0" fontId="39" fillId="21" borderId="1" applyAlignment="1" pivotButton="0" quotePrefix="0" xfId="1">
      <alignment horizontal="left" vertical="top" wrapText="1"/>
    </xf>
    <xf numFmtId="0" fontId="39" fillId="21" borderId="2" applyAlignment="1" pivotButton="0" quotePrefix="0" xfId="1">
      <alignment horizontal="left" vertical="top" wrapText="1"/>
    </xf>
    <xf numFmtId="0" fontId="39" fillId="21" borderId="3" applyAlignment="1" pivotButton="0" quotePrefix="0" xfId="1">
      <alignment horizontal="left" vertical="top" wrapText="1"/>
    </xf>
    <xf numFmtId="0" fontId="39" fillId="29" borderId="4" applyAlignment="1" pivotButton="0" quotePrefix="0" xfId="1">
      <alignment vertical="top" wrapText="1"/>
    </xf>
    <xf numFmtId="0" fontId="39" fillId="29" borderId="0" applyAlignment="1" pivotButton="0" quotePrefix="0" xfId="1">
      <alignment vertical="top" wrapText="1"/>
    </xf>
    <xf numFmtId="0" fontId="39" fillId="29" borderId="5" applyAlignment="1" pivotButton="0" quotePrefix="0" xfId="1">
      <alignment vertical="top" wrapText="1"/>
    </xf>
    <xf numFmtId="0" fontId="39" fillId="21" borderId="4" applyAlignment="1" pivotButton="0" quotePrefix="0" xfId="1">
      <alignment vertical="top" wrapText="1"/>
    </xf>
    <xf numFmtId="0" fontId="39" fillId="21" borderId="0" applyAlignment="1" pivotButton="0" quotePrefix="0" xfId="1">
      <alignment vertical="top" wrapText="1"/>
    </xf>
    <xf numFmtId="0" fontId="39" fillId="21" borderId="5" applyAlignment="1" pivotButton="0" quotePrefix="0" xfId="1">
      <alignment vertical="top" wrapText="1"/>
    </xf>
    <xf numFmtId="0" fontId="39" fillId="29" borderId="6" applyAlignment="1" pivotButton="0" quotePrefix="0" xfId="1">
      <alignment vertical="top" wrapText="1"/>
    </xf>
    <xf numFmtId="0" fontId="39" fillId="29" borderId="7" applyAlignment="1" pivotButton="0" quotePrefix="0" xfId="1">
      <alignment vertical="top" wrapText="1"/>
    </xf>
    <xf numFmtId="0" fontId="39" fillId="29" borderId="8" applyAlignment="1" pivotButton="0" quotePrefix="0" xfId="1">
      <alignment vertical="top" wrapText="1"/>
    </xf>
    <xf numFmtId="0" fontId="39" fillId="21" borderId="0" pivotButton="0" quotePrefix="0" xfId="0"/>
    <xf numFmtId="0" fontId="39" fillId="21" borderId="6" applyAlignment="1" pivotButton="0" quotePrefix="0" xfId="1">
      <alignment vertical="top" wrapText="1"/>
    </xf>
    <xf numFmtId="0" fontId="39" fillId="21" borderId="7" applyAlignment="1" pivotButton="0" quotePrefix="0" xfId="1">
      <alignment vertical="top" wrapText="1"/>
    </xf>
    <xf numFmtId="0" fontId="39" fillId="21" borderId="8" applyAlignment="1" pivotButton="0" quotePrefix="0" xfId="1">
      <alignment vertical="top" wrapText="1"/>
    </xf>
    <xf numFmtId="0" fontId="39" fillId="21" borderId="14" applyAlignment="1" pivotButton="0" quotePrefix="0" xfId="1">
      <alignment vertical="center"/>
    </xf>
    <xf numFmtId="0" fontId="39" fillId="29" borderId="1" applyAlignment="1" pivotButton="0" quotePrefix="0" xfId="1">
      <alignment horizontal="left" vertical="top" wrapText="1"/>
    </xf>
    <xf numFmtId="0" fontId="39" fillId="29" borderId="2" applyAlignment="1" pivotButton="0" quotePrefix="0" xfId="1">
      <alignment horizontal="left" vertical="top" wrapText="1"/>
    </xf>
    <xf numFmtId="0" fontId="39" fillId="29" borderId="3" applyAlignment="1" pivotButton="0" quotePrefix="0" xfId="1">
      <alignment horizontal="left" vertical="top" wrapText="1"/>
    </xf>
    <xf numFmtId="0" fontId="37" fillId="27" borderId="9" applyAlignment="1" pivotButton="0" quotePrefix="0" xfId="1">
      <alignment horizontal="center"/>
    </xf>
    <xf numFmtId="0" fontId="37" fillId="28" borderId="9" pivotButton="0" quotePrefix="0" xfId="0"/>
    <xf numFmtId="0" fontId="37" fillId="28" borderId="9" applyAlignment="1" pivotButton="0" quotePrefix="0" xfId="1">
      <alignment horizontal="center"/>
    </xf>
    <xf numFmtId="0" fontId="37" fillId="28" borderId="10" applyAlignment="1" pivotButton="0" quotePrefix="0" xfId="1">
      <alignment horizontal="left" wrapText="1"/>
    </xf>
    <xf numFmtId="0" fontId="37" fillId="27" borderId="15" applyAlignment="1" pivotButton="0" quotePrefix="0" xfId="1">
      <alignment horizontal="center" vertical="center" wrapText="1"/>
    </xf>
    <xf numFmtId="164" fontId="37" fillId="27" borderId="15" applyAlignment="1" pivotButton="0" quotePrefix="0" xfId="1">
      <alignment horizontal="center" vertical="center" wrapText="1"/>
    </xf>
    <xf numFmtId="165" fontId="37" fillId="27" borderId="15" applyAlignment="1" pivotButton="0" quotePrefix="0" xfId="1">
      <alignment horizontal="center" vertical="center" wrapText="1"/>
    </xf>
    <xf numFmtId="165" fontId="8" fillId="7" borderId="10" pivotButton="0" quotePrefix="0" xfId="1"/>
    <xf numFmtId="0" fontId="39" fillId="30" borderId="15" applyAlignment="1" pivotButton="0" quotePrefix="0" xfId="1">
      <alignment horizontal="left" vertical="top" wrapText="1"/>
    </xf>
    <xf numFmtId="0" fontId="39" fillId="6" borderId="15" applyAlignment="1" pivotButton="0" quotePrefix="0" xfId="1">
      <alignment horizontal="left" vertical="top" wrapText="1"/>
    </xf>
    <xf numFmtId="0" fontId="39" fillId="6" borderId="15" pivotButton="0" quotePrefix="0" xfId="1"/>
    <xf numFmtId="164" fontId="39" fillId="6" borderId="15" pivotButton="0" quotePrefix="0" xfId="1"/>
    <xf numFmtId="165" fontId="39" fillId="6" borderId="15" pivotButton="0" quotePrefix="0" xfId="1"/>
    <xf numFmtId="0" fontId="39" fillId="7" borderId="15" pivotButton="0" quotePrefix="0" xfId="1"/>
    <xf numFmtId="0" fontId="39" fillId="21" borderId="15" applyAlignment="1" pivotButton="0" quotePrefix="0" xfId="1">
      <alignment horizontal="left" vertical="top" wrapText="1"/>
    </xf>
    <xf numFmtId="165" fontId="39" fillId="7" borderId="15" pivotButton="0" quotePrefix="0" xfId="1"/>
    <xf numFmtId="164" fontId="8" fillId="6" borderId="10" pivotButton="0" quotePrefix="0" xfId="1"/>
    <xf numFmtId="165" fontId="8" fillId="6" borderId="10" pivotButton="0" quotePrefix="0" xfId="1"/>
    <xf numFmtId="164" fontId="8" fillId="6" borderId="11" pivotButton="0" quotePrefix="0" xfId="1"/>
    <xf numFmtId="165" fontId="8" fillId="6" borderId="11" pivotButton="0" quotePrefix="0" xfId="1"/>
    <xf numFmtId="165" fontId="8" fillId="7" borderId="11" pivotButton="0" quotePrefix="0" xfId="1"/>
    <xf numFmtId="0" fontId="40" fillId="27" borderId="15" applyAlignment="1" pivotButton="0" quotePrefix="0" xfId="1">
      <alignment horizontal="left" vertical="center" wrapText="1"/>
    </xf>
    <xf numFmtId="0" fontId="19" fillId="31" borderId="15" applyAlignment="1" pivotButton="0" quotePrefix="0" xfId="1">
      <alignment horizontal="left" vertical="center" wrapText="1"/>
    </xf>
    <xf numFmtId="0" fontId="0" fillId="0" borderId="0" applyAlignment="1" pivotButton="0" quotePrefix="0" xfId="0">
      <alignment horizontal="right" vertical="center"/>
    </xf>
    <xf numFmtId="0" fontId="19" fillId="19" borderId="15" applyAlignment="1" pivotButton="0" quotePrefix="0" xfId="1">
      <alignment horizontal="left" vertical="center" wrapText="1"/>
    </xf>
    <xf numFmtId="0" fontId="0" fillId="0" borderId="15" applyAlignment="1" pivotButton="0" quotePrefix="0" xfId="0">
      <alignment horizontal="left" vertical="center" wrapText="1"/>
    </xf>
    <xf numFmtId="0" fontId="37" fillId="28" borderId="15" applyAlignment="1" pivotButton="0" quotePrefix="0" xfId="1">
      <alignment horizontal="left" vertical="center" wrapText="1"/>
    </xf>
    <xf numFmtId="164" fontId="20" fillId="32" borderId="15" applyAlignment="1" pivotButton="0" quotePrefix="0" xfId="1">
      <alignment horizontal="left" vertical="center" wrapText="1"/>
    </xf>
    <xf numFmtId="0" fontId="20" fillId="20" borderId="15" applyAlignment="1" pivotButton="0" quotePrefix="0" xfId="1">
      <alignment horizontal="left" vertical="center" wrapText="1"/>
    </xf>
    <xf numFmtId="0" fontId="0" fillId="0" borderId="15" pivotButton="0" quotePrefix="0" xfId="0"/>
    <xf numFmtId="0" fontId="37" fillId="0" borderId="0" applyAlignment="1" pivotButton="0" quotePrefix="0" xfId="0">
      <alignment horizontal="center" vertical="center" wrapText="1"/>
    </xf>
    <xf numFmtId="0" fontId="37" fillId="28" borderId="0" applyAlignment="1" pivotButton="0" quotePrefix="0" xfId="0">
      <alignment horizontal="center" vertical="center" wrapText="1"/>
    </xf>
    <xf numFmtId="0" fontId="21" fillId="21" borderId="15" applyAlignment="1" pivotButton="0" quotePrefix="0" xfId="1">
      <alignment horizontal="left" vertical="center" wrapText="1"/>
    </xf>
    <xf numFmtId="0" fontId="41" fillId="29" borderId="0" applyAlignment="1" pivotButton="0" quotePrefix="0" xfId="0">
      <alignment horizontal="center" vertical="center" wrapText="1"/>
    </xf>
    <xf numFmtId="0" fontId="23" fillId="21" borderId="15" applyAlignment="1" pivotButton="0" quotePrefix="0" xfId="1">
      <alignment horizontal="left" vertical="center" wrapText="1"/>
    </xf>
    <xf numFmtId="0" fontId="24" fillId="21" borderId="15" applyAlignment="1" pivotButton="0" quotePrefix="0" xfId="1">
      <alignment horizontal="left" vertical="center" wrapText="1"/>
    </xf>
    <xf numFmtId="0" fontId="0" fillId="0" borderId="0" applyAlignment="1" pivotButton="0" quotePrefix="0" xfId="0">
      <alignment horizontal="center" vertical="center" wrapText="1"/>
    </xf>
    <xf numFmtId="0" fontId="25" fillId="21" borderId="15" applyAlignment="1" pivotButton="0" quotePrefix="0" xfId="1">
      <alignment horizontal="left" vertical="center" wrapText="1"/>
    </xf>
    <xf numFmtId="0" fontId="26" fillId="21" borderId="15" applyAlignment="1" pivotButton="0" quotePrefix="0" xfId="1">
      <alignment horizontal="left" vertical="center" wrapText="1"/>
    </xf>
    <xf numFmtId="0" fontId="22" fillId="21" borderId="15" applyAlignment="1" pivotButton="0" quotePrefix="0" xfId="1">
      <alignment horizontal="left" vertical="center" wrapText="1"/>
    </xf>
    <xf numFmtId="9" fontId="0" fillId="0" borderId="15" pivotButton="0" quotePrefix="0" xfId="1"/>
    <xf numFmtId="0" fontId="42" fillId="33" borderId="15" applyAlignment="1" pivotButton="0" quotePrefix="0" xfId="1">
      <alignment horizontal="left" vertical="center" wrapText="1"/>
    </xf>
    <xf numFmtId="0" fontId="42" fillId="33" borderId="15" applyAlignment="1" pivotButton="0" quotePrefix="0" xfId="0">
      <alignment horizontal="left" vertical="center" wrapText="1"/>
    </xf>
    <xf numFmtId="9" fontId="42" fillId="33" borderId="15" applyAlignment="1" pivotButton="0" quotePrefix="0" xfId="1">
      <alignment horizontal="left" vertical="center" wrapText="1"/>
    </xf>
    <xf numFmtId="0" fontId="0" fillId="31" borderId="15" pivotButton="0" quotePrefix="0" xfId="0"/>
    <xf numFmtId="0" fontId="29" fillId="26" borderId="15" applyAlignment="1" pivotButton="0" quotePrefix="0" xfId="1">
      <alignment horizontal="center" vertical="center"/>
    </xf>
    <xf numFmtId="0" fontId="30" fillId="21" borderId="15" applyAlignment="1" pivotButton="0" quotePrefix="0" xfId="1">
      <alignment horizontal="center" vertical="center"/>
    </xf>
    <xf numFmtId="0" fontId="31" fillId="26" borderId="15" applyAlignment="1" pivotButton="0" quotePrefix="0" xfId="1">
      <alignment horizontal="center" vertical="center"/>
    </xf>
    <xf numFmtId="0" fontId="31" fillId="26" borderId="15" applyAlignment="1" pivotButton="0" quotePrefix="0" xfId="1">
      <alignment horizontal="left" vertical="center"/>
    </xf>
    <xf numFmtId="165" fontId="20" fillId="21" borderId="15" applyAlignment="1" pivotButton="0" quotePrefix="0" xfId="1">
      <alignment horizontal="center" vertical="center"/>
    </xf>
    <xf numFmtId="0" fontId="16" fillId="21" borderId="15" applyAlignment="1" pivotButton="0" quotePrefix="0" xfId="1">
      <alignment horizontal="center" vertical="center"/>
    </xf>
    <xf numFmtId="9" fontId="16" fillId="21" borderId="15" applyAlignment="1" pivotButton="0" quotePrefix="0" xfId="1">
      <alignment horizontal="center" vertical="center"/>
    </xf>
    <xf numFmtId="0" fontId="20" fillId="21" borderId="15" applyAlignment="1" pivotButton="0" quotePrefix="0" xfId="1">
      <alignment horizontal="center" vertical="center"/>
    </xf>
    <xf numFmtId="9" fontId="20" fillId="21" borderId="15" applyAlignment="1" pivotButton="0" quotePrefix="0" xfId="1">
      <alignment horizontal="center" vertical="center"/>
    </xf>
    <xf numFmtId="0" fontId="39" fillId="18" borderId="15" applyAlignment="1" pivotButton="0" quotePrefix="0" xfId="1">
      <alignment horizontal="left" vertical="center" wrapText="1"/>
    </xf>
    <xf numFmtId="0" fontId="19" fillId="18" borderId="15" applyAlignment="1" pivotButton="0" quotePrefix="0" xfId="1">
      <alignment horizontal="left" vertical="center" wrapText="1"/>
    </xf>
    <xf numFmtId="0" fontId="39" fillId="21" borderId="15" applyAlignment="1" pivotButton="0" quotePrefix="0" xfId="1">
      <alignment vertical="center" wrapText="1"/>
    </xf>
    <xf numFmtId="0" fontId="39" fillId="21" borderId="15" applyAlignment="1" pivotButton="0" quotePrefix="0" xfId="1">
      <alignment horizontal="center" vertical="center" wrapText="1"/>
    </xf>
    <xf numFmtId="0" fontId="43" fillId="34" borderId="15" applyAlignment="1" pivotButton="0" quotePrefix="0" xfId="1">
      <alignment horizontal="left" vertical="center" wrapText="1"/>
    </xf>
    <xf numFmtId="0" fontId="44" fillId="27" borderId="14" applyAlignment="1" pivotButton="0" quotePrefix="0" xfId="1">
      <alignment horizontal="left" vertical="center" wrapText="1"/>
    </xf>
    <xf numFmtId="0" fontId="44" fillId="27" borderId="0" applyAlignment="1" pivotButton="0" quotePrefix="0" xfId="0">
      <alignment horizontal="left" vertical="center" wrapText="1"/>
    </xf>
    <xf numFmtId="0" fontId="39" fillId="31" borderId="14" applyAlignment="1" pivotButton="0" quotePrefix="0" xfId="1">
      <alignment horizontal="left" vertical="center" wrapText="1"/>
    </xf>
    <xf numFmtId="0" fontId="39" fillId="31" borderId="0" applyAlignment="1" pivotButton="0" quotePrefix="0" xfId="0">
      <alignment horizontal="left" vertical="center" wrapText="1"/>
    </xf>
    <xf numFmtId="0" fontId="45" fillId="28" borderId="15" applyAlignment="1" pivotButton="0" quotePrefix="0" xfId="1">
      <alignment horizontal="left" vertical="center" wrapText="1"/>
    </xf>
    <xf numFmtId="0" fontId="12" fillId="21" borderId="15" applyAlignment="1" pivotButton="0" quotePrefix="0" xfId="1">
      <alignment horizontal="left" vertical="top" wrapText="1"/>
    </xf>
    <xf numFmtId="0" fontId="11" fillId="21" borderId="15" applyAlignment="1" pivotButton="0" quotePrefix="0" xfId="1">
      <alignment horizontal="left" vertical="top" wrapText="1"/>
    </xf>
    <xf numFmtId="0" fontId="11" fillId="32" borderId="15" applyAlignment="1" pivotButton="0" quotePrefix="0" xfId="1">
      <alignment horizontal="left" vertical="top" wrapText="1"/>
    </xf>
    <xf numFmtId="0" fontId="11" fillId="29" borderId="12" applyAlignment="1" pivotButton="0" quotePrefix="0" xfId="1">
      <alignment vertical="top" wrapText="1"/>
    </xf>
    <xf numFmtId="0" fontId="11" fillId="35" borderId="12" applyAlignment="1" pivotButton="0" quotePrefix="0" xfId="1">
      <alignment vertical="top" wrapText="1"/>
    </xf>
    <xf numFmtId="0" fontId="11" fillId="36" borderId="15" applyAlignment="1" pivotButton="0" quotePrefix="0" xfId="1">
      <alignment horizontal="left" vertical="top" wrapText="1"/>
    </xf>
    <xf numFmtId="0" fontId="0" fillId="21" borderId="15" applyAlignment="1" pivotButton="0" quotePrefix="0" xfId="0">
      <alignment horizontal="left" vertical="top" wrapText="1"/>
    </xf>
    <xf numFmtId="164" fontId="0" fillId="0" borderId="0" pivotButton="0" quotePrefix="0" xfId="1"/>
    <xf numFmtId="0" fontId="12" fillId="29" borderId="15" applyAlignment="1" pivotButton="0" quotePrefix="0" xfId="1">
      <alignment horizontal="left" vertical="top" wrapText="1"/>
    </xf>
    <xf numFmtId="0" fontId="11" fillId="29" borderId="15" applyAlignment="1" pivotButton="0" quotePrefix="0" xfId="1">
      <alignment horizontal="left" vertical="top" wrapText="1"/>
    </xf>
    <xf numFmtId="0" fontId="0" fillId="29" borderId="15" applyAlignment="1" pivotButton="0" quotePrefix="0" xfId="0">
      <alignment horizontal="left" vertical="top" wrapText="1"/>
    </xf>
    <xf numFmtId="0" fontId="11" fillId="35" borderId="15" applyAlignment="1" pivotButton="0" quotePrefix="0" xfId="1">
      <alignment horizontal="left" vertical="top" wrapText="1"/>
    </xf>
    <xf numFmtId="0" fontId="0" fillId="32" borderId="15" applyAlignment="1" pivotButton="0" quotePrefix="0" xfId="0">
      <alignment horizontal="left" vertical="top" wrapText="1"/>
    </xf>
    <xf numFmtId="0" fontId="0" fillId="29" borderId="0" pivotButton="0" quotePrefix="0" xfId="0"/>
    <xf numFmtId="0" fontId="0" fillId="35" borderId="0" pivotButton="0" quotePrefix="0" xfId="0"/>
    <xf numFmtId="0" fontId="0" fillId="37" borderId="15" applyAlignment="1" pivotButton="0" quotePrefix="0" xfId="0">
      <alignment horizontal="left" vertical="top" wrapText="1"/>
    </xf>
    <xf numFmtId="166" fontId="0" fillId="0" borderId="0" pivotButton="0" quotePrefix="0" xfId="1"/>
    <xf numFmtId="0" fontId="0" fillId="0" borderId="18" pivotButton="0" quotePrefix="0" xfId="0"/>
    <xf numFmtId="0" fontId="0" fillId="0" borderId="19" pivotButton="0" quotePrefix="0" xfId="0"/>
    <xf numFmtId="0" fontId="0" fillId="0" borderId="17"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11" fillId="30" borderId="12" applyAlignment="1" pivotButton="0" quotePrefix="0" xfId="1">
      <alignment vertical="top" wrapText="1"/>
    </xf>
    <xf numFmtId="0" fontId="46" fillId="34" borderId="15" applyAlignment="1" pivotButton="0" quotePrefix="0" xfId="1">
      <alignment horizontal="left" vertical="top" wrapText="1"/>
    </xf>
    <xf numFmtId="0" fontId="11" fillId="30" borderId="15" applyAlignment="1" pivotButton="0" quotePrefix="0" xfId="1">
      <alignment horizontal="left" vertical="top" wrapText="1"/>
    </xf>
    <xf numFmtId="0" fontId="0" fillId="30" borderId="0" pivotButton="0" quotePrefix="0" xfId="0"/>
    <xf numFmtId="0" fontId="47" fillId="28" borderId="15" applyAlignment="1" pivotButton="0" quotePrefix="0" xfId="0">
      <alignment horizontal="left" vertical="top" wrapText="1"/>
    </xf>
  </cellXfs>
  <cellStyles count="2">
    <cellStyle name="常规" xfId="0" builtinId="0"/>
    <cellStyle name="Normal" xfId="1"/>
  </cellStyles>
  <dxfs count="63">
    <dxf>
      <font>
        <b val="1"/>
        <color rgb="FF2563EB"/>
      </font>
      <fill>
        <patternFill>
          <bgColor rgb="FFE8F1FB"/>
        </patternFill>
      </fill>
    </dxf>
    <dxf>
      <font>
        <b val="1"/>
        <color rgb="FFB42318"/>
      </font>
      <fill>
        <patternFill>
          <bgColor rgb="FFFDE8E7"/>
        </patternFill>
      </fill>
    </dxf>
    <dxf>
      <font>
        <b val="1"/>
        <color rgb="FF8A5A00"/>
      </font>
      <fill>
        <patternFill>
          <bgColor rgb="FFFFF4D6"/>
        </patternFill>
      </fill>
    </dxf>
    <dxf>
      <font>
        <b val="1"/>
        <color rgb="FF667085"/>
      </font>
      <fill>
        <patternFill>
          <bgColor rgb="FFF3F5F7"/>
        </patternFill>
      </fill>
    </dxf>
    <dxf>
      <font>
        <b val="1"/>
        <color rgb="FF206A3B"/>
      </font>
      <fill>
        <patternFill>
          <bgColor rgb="FFE6F4EA"/>
        </patternFill>
      </fill>
    </dxf>
    <dxf>
      <font>
        <b val="1"/>
        <color rgb="FF9C0006"/>
      </font>
      <fill>
        <patternFill>
          <bgColor rgb="FFFCE4D6"/>
        </patternFill>
      </fill>
    </dxf>
    <dxf>
      <font>
        <b val="1"/>
      </font>
      <fill>
        <patternFill>
          <bgColor rgb="FFFFF2CC"/>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B42318"/>
      </font>
      <fill>
        <patternFill>
          <bgColor rgb="FFFDE8E7"/>
        </patternFill>
      </fill>
    </dxf>
    <dxf>
      <font>
        <b val="1"/>
        <color rgb="FF206A3B"/>
      </font>
      <fill>
        <patternFill>
          <bgColor rgb="FFE6F4EA"/>
        </patternFill>
      </fill>
    </dxf>
    <dxf>
      <font>
        <b val="1"/>
        <color rgb="FF8A5A00"/>
      </font>
      <fill>
        <patternFill>
          <bgColor rgb="FFFFF4D6"/>
        </patternFill>
      </fill>
    </dxf>
    <dxf>
      <font>
        <b val="1"/>
        <color rgb="FF9C0006"/>
      </font>
      <fill>
        <patternFill>
          <bgColor rgb="FFFCE4D6"/>
        </patternFill>
      </fill>
    </dxf>
    <dxf>
      <font>
        <b val="1"/>
        <color rgb="FF375623"/>
      </font>
      <fill>
        <patternFill>
          <bgColor rgb="FFE2F0D9"/>
        </patternFill>
      </fill>
    </dxf>
    <dxf>
      <font>
        <b val="1"/>
        <color rgb="FF7F6000"/>
      </font>
      <fill>
        <patternFill>
          <bgColor rgb="FFFFF2CC"/>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8A5A00"/>
      </font>
      <fill>
        <patternFill>
          <bgColor rgb="FFFFF4D6"/>
        </patternFill>
      </fill>
    </dxf>
    <dxf>
      <font>
        <b val="1"/>
        <color rgb="FFB42318"/>
      </font>
      <fill>
        <patternFill>
          <bgColor rgb="FFFDE8E7"/>
        </patternFill>
      </fill>
    </dxf>
    <dxf>
      <font>
        <b val="1"/>
        <color rgb="FF17365D"/>
      </font>
      <fill>
        <patternFill patternType="solid">
          <bgColor rgb="FFEEF3F8"/>
        </patternFill>
      </fill>
    </dxf>
    <dxf>
      <font>
        <b val="1"/>
        <color rgb="FF8A5A00"/>
      </font>
      <fill>
        <patternFill patternType="solid">
          <bgColor rgb="FFFFF4D6"/>
        </patternFill>
      </fill>
    </dxf>
    <dxf>
      <font>
        <b val="1"/>
        <color rgb="FFC0392B"/>
      </font>
      <fill>
        <patternFill patternType="solid">
          <bgColor rgb="FFFDECEC"/>
        </patternFill>
      </fill>
    </dxf>
    <dxf>
      <font>
        <b val="1"/>
        <color rgb="FFC0392B"/>
      </font>
      <fill>
        <patternFill patternType="solid">
          <bgColor rgb="FFFDECEC"/>
        </patternFill>
      </fill>
    </dxf>
    <dxf>
      <font>
        <b val="1"/>
        <color rgb="FF2E7D32"/>
      </font>
      <fill>
        <patternFill patternType="solid">
          <bgColor rgb="FFE8F5E9"/>
        </patternFill>
      </fill>
    </dxf>
    <dxf>
      <font>
        <b val="1"/>
        <color rgb="FFB42318"/>
      </font>
      <fill>
        <patternFill>
          <bgColor rgb="FFFDE8E7"/>
        </patternFill>
      </fill>
    </dxf>
    <dxf>
      <font>
        <b val="1"/>
        <color rgb="FFC0392B"/>
      </font>
      <fill>
        <patternFill patternType="solid">
          <bgColor rgb="FFFDECEC"/>
        </patternFill>
      </fill>
    </dxf>
    <dxf>
      <font>
        <b val="1"/>
        <color rgb="FF8A5A00"/>
      </font>
      <fill>
        <patternFill patternType="solid">
          <bgColor rgb="FFFFF4D6"/>
        </patternFill>
      </fill>
    </dxf>
    <dxf>
      <font>
        <b val="1"/>
        <color rgb="FF6B7280"/>
      </font>
      <fill>
        <patternFill patternType="solid">
          <bgColor rgb="FFF1F3F5"/>
        </patternFill>
      </fill>
    </dxf>
    <dxf>
      <font>
        <b val="1"/>
        <color rgb="FF2E7D32"/>
      </font>
      <fill>
        <patternFill patternType="solid">
          <bgColor rgb="FFE8F5E9"/>
        </patternFill>
      </fill>
    </dxf>
    <dxf>
      <font>
        <b val="1"/>
        <color rgb="FF8A5A00"/>
      </font>
      <fill>
        <patternFill>
          <bgColor rgb="FFFFF4D6"/>
        </patternFill>
      </fill>
    </dxf>
    <dxf>
      <font>
        <b val="1"/>
        <color rgb="FF8A5A00"/>
      </font>
      <fill>
        <patternFill>
          <bgColor rgb="FFFFF4D6"/>
        </patternFill>
      </fill>
    </dxf>
    <dxf>
      <font>
        <b val="1"/>
        <color rgb="FFB42318"/>
      </font>
      <fill>
        <patternFill>
          <bgColor rgb="FFFDE8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color rgb="FF991B1B"/>
      </font>
      <fill>
        <patternFill>
          <bgColor rgb="FFFEE2E2"/>
        </patternFill>
      </fill>
    </dxf>
    <dxf>
      <font>
        <color rgb="FF92400E"/>
      </font>
      <fill>
        <patternFill>
          <bgColor rgb="FFFEF3C7"/>
        </patternFill>
      </fill>
    </dxf>
    <dxf>
      <font>
        <color rgb="FF166534"/>
      </font>
      <fill>
        <patternFill>
          <bgColor rgb="FFDCFCE7"/>
        </patternFill>
      </fill>
    </dxf>
    <dxf>
      <font>
        <b val="1"/>
        <color rgb="FF8A5A00"/>
      </font>
      <fill>
        <patternFill>
          <bgColor rgb="FFFFF4D6"/>
        </patternFill>
      </fill>
    </dxf>
    <dxf>
      <font>
        <b val="1"/>
        <color rgb="FF206A3B"/>
      </font>
      <fill>
        <patternFill>
          <bgColor rgb="FFE6F4EA"/>
        </patternFill>
      </fill>
    </dxf>
    <dxf>
      <font>
        <b val="1"/>
        <color rgb="FF2563EB"/>
      </font>
      <fill>
        <patternFill>
          <bgColor rgb="FFE8F1FB"/>
        </patternFill>
      </fill>
    </dxf>
    <dxf>
      <font>
        <b val="1"/>
        <color rgb="FFB42318"/>
      </font>
      <fill>
        <patternFill>
          <bgColor rgb="FFFDE8E7"/>
        </patternFill>
      </fill>
    </dxf>
    <dxf>
      <font>
        <b val="1"/>
        <color rgb="FF206A3B"/>
      </font>
      <fill>
        <patternFill>
          <bgColor rgb="FFE6F4EA"/>
        </patternFill>
      </fill>
    </dxf>
    <dxf>
      <font>
        <b val="1"/>
        <color rgb="FF8A5A00"/>
      </font>
      <fill>
        <patternFill>
          <bgColor rgb="FFFFF4D6"/>
        </patternFill>
      </fill>
    </dxf>
    <dxf>
      <font>
        <b val="1"/>
        <color rgb="FFB42318"/>
      </font>
      <fill>
        <patternFill>
          <bgColor rgb="FFFDE8E7"/>
        </patternFill>
      </fill>
    </dxf>
    <dxf>
      <font>
        <b val="1"/>
        <color rgb="FF8A5A00"/>
      </font>
      <fill>
        <patternFill>
          <bgColor rgb="FFFFF4D6"/>
        </patternFill>
      </fill>
    </dxf>
    <dxf>
      <font>
        <b val="1"/>
        <color rgb="FF206A3B"/>
      </font>
      <fill>
        <patternFill>
          <bgColor rgb="FFE6F4EA"/>
        </patternFill>
      </fill>
    </dxf>
    <dxf>
      <font>
        <b val="1"/>
        <color rgb="FFB42318"/>
      </font>
      <fill>
        <patternFill>
          <bgColor rgb="FFFDE8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6D28D9"/>
      </font>
      <fill>
        <patternFill>
          <bgColor rgb="FFEDE9FE"/>
        </patternFill>
      </fill>
    </dxf>
    <dxf>
      <font>
        <color rgb="FF374151"/>
      </font>
      <fill>
        <patternFill>
          <bgColor rgb="FFE5E7EB"/>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B42318"/>
      </font>
      <fill>
        <patternFill>
          <bgColor rgb="FFFDE8E7"/>
        </patternFill>
      </fill>
    </dxf>
    <dxf>
      <font>
        <b val="1"/>
        <color rgb="FFB42318"/>
      </font>
      <fill>
        <patternFill>
          <bgColor rgb="FFFDE8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plotArea>
      <layout/>
      <barChart>
        <barDir val="bar"/>
        <grouping val="clustered"/>
        <varyColors val="1"/>
        <ser>
          <idx val="0"/>
          <order val="0"/>
          <tx>
            <strRef>
              <f>Dashboard!$S$1</f>
              <strCache>
                <ptCount val="1"/>
                <pt idx="0">
                  <v>Total</v>
                </pt>
              </strCache>
            </strRef>
          </tx>
          <spPr>
            <a:solidFill>
              <a:srgbClr val="AFC7DE"/>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Dashboard!$S$2:$S$8</f>
              <numCache>
                <formatCode>General</formatCode>
                <ptCount val="7"/>
                <pt idx="0">
                  <v>60</v>
                </pt>
                <pt idx="1">
                  <v>7</v>
                </pt>
                <pt idx="2">
                  <v>20</v>
                </pt>
                <pt idx="3">
                  <v>0</v>
                </pt>
                <pt idx="4">
                  <v>0</v>
                </pt>
                <pt idx="5">
                  <v>0</v>
                </pt>
                <pt idx="6">
                  <v>0</v>
                </pt>
              </numCache>
            </numRef>
          </val>
        </ser>
        <ser>
          <idx val="1"/>
          <order val="1"/>
          <tx>
            <strRef>
              <f>Dashboard!$T$1</f>
              <strCache>
                <ptCount val="1"/>
                <pt idx="0">
                  <v>Included</v>
                </pt>
              </strCache>
            </strRef>
          </tx>
          <spPr>
            <a:solidFill>
              <a:srgbClr val="0F6B78"/>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Dashboard!$T$2:$T$8</f>
              <numCache>
                <formatCode>General</formatCode>
                <ptCount val="7"/>
                <pt idx="0">
                  <v>35</v>
                </pt>
                <pt idx="1">
                  <v>0</v>
                </pt>
                <pt idx="2">
                  <v>9</v>
                </pt>
                <pt idx="3">
                  <v>0</v>
                </pt>
                <pt idx="4">
                  <v>0</v>
                </pt>
                <pt idx="5">
                  <v>0</v>
                </pt>
                <pt idx="6">
                  <v>0</v>
                </pt>
              </numCache>
            </numRef>
          </val>
        </ser>
        <dLbls>
          <showLegendKey val="0"/>
          <showVal val="0"/>
          <showCatName val="0"/>
          <showSerName val="0"/>
          <showPercent val="0"/>
          <showBubbleSize val="0"/>
        </dLbls>
        <gapWidth val="65"/>
        <axId val="10"/>
        <axId val="100"/>
      </barChart>
      <catAx>
        <axId val="10"/>
        <scaling>
          <orientation val="minMax"/>
          <min val="0"/>
        </scaling>
        <delete val="0"/>
        <axPos val="l"/>
        <numFmt formatCode="General" sourceLinked="1"/>
        <majorTickMark val="none"/>
        <minorTickMark val="none"/>
        <tickLblPos val="low"/>
        <crossAx val="100"/>
        <crosses val="autoZero"/>
        <auto val="1"/>
        <lblAlgn val="ctr"/>
        <lblOffset val="100"/>
        <noMultiLvlLbl val="1"/>
      </catAx>
      <valAx>
        <axId val="100"/>
        <scaling>
          <orientation val="minMax"/>
        </scaling>
        <delete val="0"/>
        <axPos val="b"/>
        <majorGridlines/>
        <numFmt formatCode="General" sourceLinked="1"/>
        <majorTickMark val="none"/>
        <minorTickMark val="none"/>
        <tickLblPos val="low"/>
        <crossAx val="10"/>
        <crosses val="autoZero"/>
        <crossBetween val="between"/>
      </valAx>
    </plotArea>
    <legend>
      <legendPos val="t"/>
      <overlay val="0"/>
    </legend>
    <plotVisOnly val="0"/>
    <dispBlanksAs val="gap"/>
  </chart>
</chartSpace>
</file>

<file path=xl/charts/chart2.xml><?xml version="1.0" encoding="utf-8"?>
<chartSpace xmlns:a="http://schemas.openxmlformats.org/drawingml/2006/main" xmlns="http://schemas.openxmlformats.org/drawingml/2006/chart">
  <chart>
    <plotArea>
      <layout/>
      <doughnutChart>
        <varyColors val="1"/>
        <ser>
          <idx val="0"/>
          <order val="0"/>
          <tx>
            <strRef>
              <f>Dashboard!$S$10</f>
              <strCache>
                <ptCount val="1"/>
                <pt idx="0">
                  <v>Count</v>
                </pt>
              </strCache>
            </strRef>
          </tx>
          <spPr>
            <a:ln>
              <a:prstDash val="solid"/>
            </a:ln>
          </spPr>
          <dPt>
            <idx val="0"/>
            <bubble3D val="0"/>
            <spPr>
              <a:solidFill>
                <a:srgbClr val="0F6B78"/>
              </a:solidFill>
              <a:ln>
                <a:prstDash val="solid"/>
              </a:ln>
            </spPr>
          </dPt>
          <dPt>
            <idx val="1"/>
            <bubble3D val="0"/>
            <spPr>
              <a:solidFill>
                <a:srgbClr val="F28E2B"/>
              </a:solidFill>
              <a:ln>
                <a:prstDash val="solid"/>
              </a:ln>
            </spPr>
          </dPt>
          <dPt>
            <idx val="2"/>
            <bubble3D val="0"/>
            <spPr>
              <a:solidFill>
                <a:srgbClr val="2E7D32"/>
              </a:solidFill>
              <a:ln>
                <a:prstDash val="solid"/>
              </a:ln>
            </spPr>
          </dPt>
          <cat>
            <strRef>
              <f>Dashboard!$R$11:$R$13</f>
              <strCache>
                <ptCount val="3"/>
                <pt idx="0">
                  <v>INCLUDE</v>
                </pt>
                <pt idx="1">
                  <v>PENDING</v>
                </pt>
                <pt idx="2">
                  <v>EXCLUDE</v>
                </pt>
              </strCache>
            </strRef>
          </cat>
          <val>
            <numRef>
              <f>Dashboard!$S$11:$S$13</f>
              <numCache>
                <formatCode>General</formatCode>
                <ptCount val="3"/>
                <pt idx="0">
                  <v>44</v>
                </pt>
                <pt idx="1">
                  <v>42</v>
                </pt>
                <pt idx="2">
                  <v>1</v>
                </pt>
              </numCache>
            </numRef>
          </val>
        </ser>
        <dLbls>
          <showLegendKey val="0"/>
          <showVal val="0"/>
          <showCatName val="0"/>
          <showSerName val="0"/>
          <showPercent val="0"/>
          <showBubbleSize val="0"/>
          <showLeaderLines val="0"/>
        </dLbls>
        <firstSliceAng val="0"/>
        <holeSize val="58"/>
      </doughnutChart>
    </plotArea>
    <legend>
      <legendPos val="r"/>
      <overlay val="0"/>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7380000" cy="25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12</row>
      <rowOff>0</rowOff>
    </from>
    <ext cx="3816000" cy="1944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SourceRegisterTable" displayName="SourceRegisterTable" ref="A2:AS302" headerRowCount="1" totalsRowShown="0">
  <autoFilter ref="A2:AS302"/>
  <tableColumns count="45">
    <tableColumn id="1" name="source_id"/>
    <tableColumn id="2" name="snapshot_id"/>
    <tableColumn id="3" name="stored_filename"/>
    <tableColumn id="4" name="snapshot_status"/>
    <tableColumn id="5" name="selection_status"/>
    <tableColumn id="6" name="download_status"/>
    <tableColumn id="7" name="last_attempt_at"/>
    <tableColumn id="8" name="last_success_at"/>
    <tableColumn id="9" name="content_change"/>
    <tableColumn id="10" name="current_origin"/>
    <tableColumn id="11" name="current_snapshot_date"/>
    <tableColumn id="12" name="failure_stage"/>
    <tableColumn id="13" name="failure_reason"/>
    <tableColumn id="14" name="needs_human_action"/>
    <tableColumn id="15" name="content_hash"/>
    <tableColumn id="16" name="source_title"/>
    <tableColumn id="17" name="official_url"/>
    <tableColumn id="18" name="retrieval_url"/>
    <tableColumn id="19" name="folder_code"/>
    <tableColumn id="20" name="file_format"/>
    <tableColumn id="21" name="issuer"/>
    <tableColumn id="22" name="jurisdiction"/>
    <tableColumn id="23" name="authoritative_language"/>
    <tableColumn id="24" name="version"/>
    <tableColumn id="25" name="effective_date"/>
    <tableColumn id="26" name="source_family"/>
    <tableColumn id="27" name="document_type"/>
    <tableColumn id="28" name="requirement_role"/>
    <tableColumn id="29" name="inclusion_rationale"/>
    <tableColumn id="30" name="authority_quality"/>
    <tableColumn id="31" name="scope_relevance"/>
    <tableColumn id="32" name="version_currency"/>
    <tableColumn id="33" name="traceability"/>
    <tableColumn id="34" name="access_permission"/>
    <tableColumn id="35" name="automation_readiness"/>
    <tableColumn id="36" name="operator_selection_decision"/>
    <tableColumn id="37" name="manual_update_date"/>
    <tableColumn id="38" name="manual_updated_by"/>
    <tableColumn id="39" name="source_status"/>
    <tableColumn id="40" name="primary_source_id"/>
    <tableColumn id="41" name="notes"/>
    <tableColumn id="42" name="acquisition_channel"/>
    <tableColumn id="43" name="provenance_status"/>
    <tableColumn id="44" name="update_model"/>
    <tableColumn id="45"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AR103" headerRowCount="1" totalsRowShown="0">
  <autoFilter ref="A2:AR103"/>
  <tableColumns count="44">
    <tableColumn id="1" name="source_id"/>
    <tableColumn id="2" name="source_title"/>
    <tableColumn id="3" name="task_type"/>
    <tableColumn id="4" name="issue_summary"/>
    <tableColumn id="5" name="requested_action"/>
    <tableColumn id="6" name="operator_action"/>
    <tableColumn id="7" name="operator"/>
    <tableColumn id="8" name="operator_note"/>
    <tableColumn id="9" name="program_status"/>
    <tableColumn id="10" name="program_result"/>
    <tableColumn id="11" name="official_url"/>
    <tableColumn id="12" name="retrieval_url"/>
    <tableColumn id="13" name="authority_quality"/>
    <tableColumn id="14" name="scope_relevance"/>
    <tableColumn id="15" name="version_currency"/>
    <tableColumn id="16" name="traceability"/>
    <tableColumn id="17" name="access_permission"/>
    <tableColumn id="18" name="operator_selection_decision"/>
    <tableColumn id="19" name="applicability_reference"/>
    <tableColumn id="20" name="source_status"/>
    <tableColumn id="21" name="primary_source_id"/>
    <tableColumn id="22" name="source_notes"/>
    <tableColumn id="23" name="intake_file"/>
    <tableColumn id="24" name="folder_code"/>
    <tableColumn id="25" name="issuer"/>
    <tableColumn id="26" name="jurisdiction"/>
    <tableColumn id="27" name="document_type"/>
    <tableColumn id="28" name="source_family"/>
    <tableColumn id="29" name="requirement_role"/>
    <tableColumn id="30" name="authoritative_language"/>
    <tableColumn id="31" name="file_format"/>
    <tableColumn id="32" name="version"/>
    <tableColumn id="33" name="effective_date"/>
    <tableColumn id="34" name="inclusion_rationale"/>
    <tableColumn id="35" name="automation_readiness"/>
    <tableColumn id="36" name="acquisition_channel"/>
    <tableColumn id="37" name="provenance_status"/>
    <tableColumn id="38" name="update_model"/>
    <tableColumn id="39" name="candidate_origin"/>
    <tableColumn id="40" name="operation_id"/>
    <tableColumn id="41" name="checked_at"/>
    <tableColumn id="42" name="program_operated_at"/>
    <tableColumn id="43" name="created_at"/>
    <tableColumn id="44"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46"/>
  <sheetViews>
    <sheetView showGridLines="0" workbookViewId="0">
      <pane ySplit="2" topLeftCell="A3" activePane="bottomLeft" state="frozen"/>
      <selection pane="bottomLeft" activeCell="A1" sqref="A1:H1"/>
    </sheetView>
  </sheetViews>
  <sheetFormatPr baseColWidth="10" defaultColWidth="8.83203125" defaultRowHeight="14"/>
  <cols>
    <col width="4" customWidth="1" style="41" min="1" max="1"/>
    <col width="90" customWidth="1" style="41" min="2" max="2"/>
    <col width="90" customWidth="1" style="41" min="3" max="3"/>
    <col width="16" customWidth="1" style="41" min="4" max="4"/>
    <col width="20" customWidth="1" style="41" min="5" max="5"/>
    <col width="34" customWidth="1" style="41" min="6" max="6"/>
    <col width="13" customWidth="1" style="41" min="7" max="7"/>
    <col width="13" customWidth="1" style="41" min="8" max="8"/>
  </cols>
  <sheetData>
    <row r="1" ht="34" customHeight="1" s="41">
      <c r="A1" s="81" t="inlineStr">
        <is>
          <t>SYSTEM1 REQUIREMENT SOURCE REGISTRY</t>
        </is>
      </c>
      <c r="B1" s="199" t="n"/>
      <c r="C1" s="199" t="n"/>
      <c r="D1" s="199" t="n"/>
      <c r="E1" s="199" t="n"/>
      <c r="F1" s="199" t="n"/>
      <c r="G1" s="199" t="n"/>
      <c r="H1" s="200" t="n"/>
    </row>
    <row r="2" ht="26.25" customHeight="1" s="41">
      <c r="A2" s="83" t="inlineStr">
        <is>
          <t>Operator quick start, status definitions, examples, and recovery guidance</t>
        </is>
      </c>
      <c r="B2" s="199" t="n"/>
      <c r="C2" s="199" t="n"/>
      <c r="D2" s="199" t="n"/>
      <c r="E2" s="199" t="n"/>
      <c r="F2" s="199" t="n"/>
      <c r="G2" s="199" t="n"/>
      <c r="H2" s="200" t="n"/>
    </row>
    <row r="3" ht="15" customHeight="1" s="41"/>
    <row r="4" ht="15" customHeight="1" s="41">
      <c r="A4" s="85" t="inlineStr">
        <is>
          <t>QUICK START</t>
        </is>
      </c>
      <c r="B4" s="86" t="n"/>
      <c r="C4" s="86" t="n"/>
      <c r="D4" s="87" t="n"/>
      <c r="E4" s="87" t="n"/>
      <c r="F4" s="87" t="n"/>
      <c r="G4" s="87" t="n"/>
      <c r="H4" s="87" t="n"/>
    </row>
    <row r="5" ht="15" customHeight="1" s="41">
      <c r="A5" s="88" t="inlineStr">
        <is>
          <t>1</t>
        </is>
      </c>
      <c r="B5" s="89" t="inlineStr">
        <is>
          <t>Close Excel</t>
        </is>
      </c>
      <c r="C5" s="90" t="inlineStr">
        <is>
          <t>Save and close this workbook before running System1. If Excel is open, the program safely defers without writing.</t>
        </is>
      </c>
    </row>
    <row r="6" ht="15" customHeight="1" s="41">
      <c r="A6" s="88" t="inlineStr">
        <is>
          <t>2</t>
        </is>
      </c>
      <c r="B6" s="89" t="inlineStr">
        <is>
          <t>Open the work queue</t>
        </is>
      </c>
      <c r="C6" s="90" t="inlineStr">
        <is>
          <t>Use Human Operation Desktop. The Dashboard is status-only and never runs local code.</t>
        </is>
      </c>
    </row>
    <row r="7" ht="15" customHeight="1" s="41">
      <c r="A7" s="88" t="inlineStr">
        <is>
          <t>3</t>
        </is>
      </c>
      <c r="B7" s="89" t="inlineStr">
        <is>
          <t>Complete the yellow cells</t>
        </is>
      </c>
      <c r="C7" s="90" t="inlineStr">
        <is>
          <t>Choose operator_action, enter operator, and add operator_note when rejecting, returning, or reporting an error.</t>
        </is>
      </c>
    </row>
    <row r="8" ht="15" customHeight="1" s="41">
      <c r="A8" s="88" t="inlineStr">
        <is>
          <t>4</t>
        </is>
      </c>
      <c r="B8" s="89" t="inlineStr">
        <is>
          <t>Run Routine Cycle</t>
        </is>
      </c>
      <c r="C8" s="90" t="inlineStr">
        <is>
          <t>Use Run System - macOS.command or Run System - Windows.cmd. checked_at is filled automatically.</t>
        </is>
      </c>
    </row>
    <row r="9" ht="15" customHeight="1" s="41">
      <c r="A9" s="88" t="inlineStr">
        <is>
          <t>5</t>
        </is>
      </c>
      <c r="B9" s="89" t="inlineStr">
        <is>
          <t>Confirm the result</t>
        </is>
      </c>
      <c r="C9" s="90" t="inlineStr">
        <is>
          <t>Review program_status and program_result. Completed rows remain in the audit trail and are hidden.</t>
        </is>
      </c>
    </row>
    <row r="10" ht="15" customHeight="1" s="41">
      <c r="A10" s="22" t="n"/>
      <c r="B10" s="22" t="n"/>
      <c r="C10" s="22" t="n"/>
    </row>
    <row r="11" ht="15" customHeight="1" s="41">
      <c r="A11" s="91" t="inlineStr">
        <is>
          <t>WORKBOOK STRUCTURE</t>
        </is>
      </c>
      <c r="B11" s="86" t="n"/>
      <c r="C11" s="86" t="n"/>
      <c r="D11" s="87" t="n"/>
      <c r="E11" s="87" t="n"/>
      <c r="F11" s="87" t="n"/>
      <c r="G11" s="87" t="n"/>
      <c r="H11" s="87" t="n"/>
    </row>
    <row r="12" ht="15" customHeight="1" s="41">
      <c r="A12" s="92" t="inlineStr">
        <is>
          <t>Instructions</t>
        </is>
      </c>
      <c r="B12" s="90" t="inlineStr">
        <is>
          <t>This sheet</t>
        </is>
      </c>
      <c r="C12" s="90" t="inlineStr">
        <is>
          <t>Quick Start, statuses, operator cases, examples, and recovery.</t>
        </is>
      </c>
    </row>
    <row r="13" ht="15" customHeight="1" s="41">
      <c r="A13" s="92" t="inlineStr">
        <is>
          <t>Categories</t>
        </is>
      </c>
      <c r="B13" s="90" t="inlineStr">
        <is>
          <t>Controlled vocabulary</t>
        </is>
      </c>
      <c r="C13" s="90" t="inlineStr">
        <is>
          <t>Dropdown values and category definitions used by the registry.</t>
        </is>
      </c>
    </row>
    <row r="14" ht="15" customHeight="1" s="41">
      <c r="A14" s="92" t="inlineStr">
        <is>
          <t>Source Register</t>
        </is>
      </c>
      <c r="B14" s="90" t="inlineStr">
        <is>
          <t>Program-generated source state</t>
        </is>
      </c>
      <c r="C14" s="90" t="inlineStr">
        <is>
          <t>The program-managed block must not be edited directly. Human-governed corrections flow through Human Operation Desktop.</t>
        </is>
      </c>
    </row>
    <row r="15" ht="15" customHeight="1" s="41">
      <c r="A15" s="92" t="inlineStr">
        <is>
          <t>Dashboard</t>
        </is>
      </c>
      <c r="B15" s="90" t="inlineStr">
        <is>
          <t>Read-only status view</t>
        </is>
      </c>
      <c r="C15" s="90" t="inlineStr">
        <is>
          <t>Key source states, open work, automation status, and QA history.</t>
        </is>
      </c>
    </row>
    <row r="16" ht="15" customHeight="1" s="41">
      <c r="A16" s="92" t="inlineStr">
        <is>
          <t>Human Operation Desktop</t>
        </is>
      </c>
      <c r="B16" s="90" t="inlineStr">
        <is>
          <t>Only operator work area</t>
        </is>
      </c>
      <c r="C16" s="90" t="inlineStr">
        <is>
          <t>All human decisions, corrections, candidate acceptance, manual-file actions, and Random QA.</t>
        </is>
      </c>
    </row>
    <row r="17" ht="15" customHeight="1" s="41">
      <c r="A17" s="22" t="n"/>
      <c r="B17" s="22" t="n"/>
      <c r="C17" s="22" t="n"/>
    </row>
    <row r="18" ht="15" customHeight="1" s="41">
      <c r="A18" s="93" t="inlineStr">
        <is>
          <t>STATUS DEFINITIONS</t>
        </is>
      </c>
      <c r="B18" s="29" t="n"/>
      <c r="C18" s="29" t="n"/>
    </row>
    <row r="19" ht="15" customHeight="1" s="41">
      <c r="A19" s="92" t="inlineStr">
        <is>
          <t>download_status</t>
        </is>
      </c>
      <c r="B19" s="90" t="inlineStr">
        <is>
          <t>SUCCESS / FAIL / PAYWALL_BLOCKED</t>
        </is>
      </c>
      <c r="C19" s="90" t="inlineStr">
        <is>
          <t>Collection result. Selection and download remain independent.</t>
        </is>
      </c>
    </row>
    <row r="20" ht="15" customHeight="1" s="41">
      <c r="A20" s="92" t="inlineStr">
        <is>
          <t>selection_status</t>
        </is>
      </c>
      <c r="B20" s="90" t="inlineStr">
        <is>
          <t>INCLUDE / PENDING / EXCLUDE</t>
        </is>
      </c>
      <c r="C20" s="90" t="inlineStr">
        <is>
          <t>Effective source-list state. INCLUDE requires a valid current snapshot and completed governance checks.</t>
        </is>
      </c>
    </row>
    <row r="21" ht="24" customHeight="1" s="41">
      <c r="A21" s="92" t="inlineStr">
        <is>
          <t>program_status</t>
        </is>
      </c>
      <c r="B21" s="90" t="inlineStr">
        <is>
          <t>PENDING / WAITING_FOR_HUMAN / NEEDS_REPLAN / APPLIED / REJECTED</t>
        </is>
      </c>
      <c r="C21" s="90" t="inlineStr">
        <is>
          <t>Open statuses remain visible. Final statuses remain stored but hidden.</t>
        </is>
      </c>
    </row>
    <row r="22" ht="24" customHeight="1" s="41">
      <c r="A22" s="92" t="inlineStr">
        <is>
          <t>operator_action</t>
        </is>
      </c>
      <c r="B22" s="90" t="inlineStr">
        <is>
          <t>Varies by task type</t>
        </is>
      </c>
      <c r="C22" s="90" t="inlineStr">
        <is>
          <t>Source/selection review: APPLY or RETURN. Candidate/manual intake: ACCEPT or REJECT. Random QA: CORRECT or INCORRECT.</t>
        </is>
      </c>
    </row>
    <row r="23" ht="15" customHeight="1" s="41">
      <c r="A23" s="22" t="n"/>
      <c r="B23" s="22" t="n"/>
      <c r="C23" s="22" t="n"/>
    </row>
    <row r="24" ht="15" customHeight="1" s="41">
      <c r="A24" s="93" t="inlineStr">
        <is>
          <t>OPERATOR CASES</t>
        </is>
      </c>
      <c r="B24" s="29" t="n"/>
      <c r="C24" s="29" t="n"/>
    </row>
    <row r="25" ht="24" customHeight="1" s="41">
      <c r="A25" s="92" t="inlineStr">
        <is>
          <t>Existing source review</t>
        </is>
      </c>
      <c r="B25" s="90" t="inlineStr">
        <is>
          <t>Inspect the source and requested correction</t>
        </is>
      </c>
      <c r="C25" s="90" t="inlineStr">
        <is>
          <t>Unhide SOURCE CORRECTIONS only when the task asks for field changes, then choose APPLY or RETURN.</t>
        </is>
      </c>
    </row>
    <row r="26" ht="24" customHeight="1" s="41">
      <c r="A26" s="92" t="inlineStr">
        <is>
          <t>Selection review</t>
        </is>
      </c>
      <c r="B26" s="90" t="inlineStr">
        <is>
          <t>Choose INCLUDE, PENDING, or EXCLUDE</t>
        </is>
      </c>
      <c r="C26" s="90" t="inlineStr">
        <is>
          <t>Unhide SOURCE CORRECTIONS, complete operator_selection_decision, and add a note when remaining PENDING.</t>
        </is>
      </c>
    </row>
    <row r="27" ht="15" customHeight="1" s="41">
      <c r="A27" s="92" t="inlineStr">
        <is>
          <t>New source candidate</t>
        </is>
      </c>
      <c r="B27" s="90" t="inlineStr">
        <is>
          <t>Accept or reject the candidate</t>
        </is>
      </c>
      <c r="C27" s="90" t="inlineStr">
        <is>
          <t>Unhide CANDIDATE DETAILS, complete missing fields, then choose ACCEPT or REJECT. No new source is auto-accepted.</t>
        </is>
      </c>
    </row>
    <row r="28" ht="15" customHeight="1" s="41">
      <c r="A28" s="92" t="inlineStr">
        <is>
          <t>Manual file intake</t>
        </is>
      </c>
      <c r="B28" s="90" t="inlineStr">
        <is>
          <t>Drop a file into Data/00_Human_Intake</t>
        </is>
      </c>
      <c r="C28" s="90" t="inlineStr">
        <is>
          <t>Routine Cycle identifies it, searches registered metadata for an official route, and creates a task for missing information.</t>
        </is>
      </c>
    </row>
    <row r="29" ht="15" customHeight="1" s="41">
      <c r="A29" s="92" t="inlineStr">
        <is>
          <t>Manual replacement/paywall</t>
        </is>
      </c>
      <c r="B29" s="90" t="inlineStr">
        <is>
          <t>Provide only an authorised file</t>
        </is>
      </c>
      <c r="C29" s="90" t="inlineStr">
        <is>
          <t>The current valid source is retained unless the replacement validates successfully. System1 never bypasses a paywall.</t>
        </is>
      </c>
    </row>
    <row r="30" ht="15" customHeight="1" s="41">
      <c r="A30" s="92" t="inlineStr">
        <is>
          <t>Random QA</t>
        </is>
      </c>
      <c r="B30" s="90" t="inlineStr">
        <is>
          <t>Verify the sampled source record and file</t>
        </is>
      </c>
      <c r="C30" s="90" t="inlineStr">
        <is>
          <t>Choose CORRECT or INCORRECT. An incorrect result creates a correction task.</t>
        </is>
      </c>
    </row>
    <row r="31" ht="15" customHeight="1" s="41">
      <c r="A31" s="22" t="n"/>
      <c r="B31" s="22" t="n"/>
      <c r="C31" s="22" t="n"/>
    </row>
    <row r="32" ht="15" customHeight="1" s="41">
      <c r="A32" s="93" t="inlineStr">
        <is>
          <t>EXAMPLES</t>
        </is>
      </c>
      <c r="B32" s="29" t="n"/>
      <c r="C32" s="29" t="n"/>
    </row>
    <row r="33" ht="15" customHeight="1" s="41">
      <c r="A33" s="92" t="inlineStr">
        <is>
          <t>Example 1</t>
        </is>
      </c>
      <c r="B33" s="90" t="inlineStr">
        <is>
          <t>Selection review</t>
        </is>
      </c>
      <c r="C33" s="90" t="inlineStr">
        <is>
          <t>Unhide SOURCE CORRECTIONS, choose operator_selection_decision, select APPLY, enter your name, and run Routine Cycle.</t>
        </is>
      </c>
    </row>
    <row r="34" ht="24" customHeight="1" s="41">
      <c r="A34" s="92" t="inlineStr">
        <is>
          <t>Example 2</t>
        </is>
      </c>
      <c r="B34" s="90" t="inlineStr">
        <is>
          <t>Failed retrieval</t>
        </is>
      </c>
      <c r="C34" s="90" t="inlineStr">
        <is>
          <t>Verify the official URL, add a corrected retrieval URL if available, select APPLY, and run Routine Cycle. A failed retry preserves the current valid file.</t>
        </is>
      </c>
    </row>
    <row r="35" ht="24" customHeight="1" s="41">
      <c r="A35" s="92" t="inlineStr">
        <is>
          <t>Example 3</t>
        </is>
      </c>
      <c r="B35" s="90" t="inlineStr">
        <is>
          <t>New manual file</t>
        </is>
      </c>
      <c r="C35" s="90" t="inlineStr">
        <is>
          <t>Copy the file to Data/00_Human_Intake, run Routine Cycle, complete the candidate task, and choose ACCEPT only after provenance and applicability are confirmed.</t>
        </is>
      </c>
    </row>
    <row r="36" ht="15" customHeight="1" s="41">
      <c r="A36" s="22" t="n"/>
      <c r="B36" s="22" t="n"/>
      <c r="C36" s="22" t="n"/>
    </row>
    <row r="37" ht="15" customHeight="1" s="41">
      <c r="A37" s="93" t="inlineStr">
        <is>
          <t>SETUP AND AUTOMATION</t>
        </is>
      </c>
      <c r="B37" s="29" t="n"/>
      <c r="C37" s="29" t="n"/>
    </row>
    <row r="38" ht="15" customHeight="1" s="41">
      <c r="A38" s="92" t="inlineStr">
        <is>
          <t>Environment</t>
        </is>
      </c>
      <c r="B38" s="90" t="inlineStr">
        <is>
          <t>User-managed</t>
        </is>
      </c>
      <c r="C38" s="90" t="inlineStr">
        <is>
          <t>Install Python 3.11+, run the platform setup script, copy config templates, then run python -m system1 doctor.</t>
        </is>
      </c>
    </row>
    <row r="39" ht="15" customHeight="1" s="41">
      <c r="A39" s="92" t="inlineStr">
        <is>
          <t>Automation</t>
        </is>
      </c>
      <c r="B39" s="90" t="inlineStr">
        <is>
          <t>Opt-in only</t>
        </is>
      </c>
      <c r="C39" s="90" t="inlineStr">
        <is>
          <t>Edit schedule.json and register it with the platform script. Moving the System1 folder requires unregistering and registering again.</t>
        </is>
      </c>
    </row>
    <row r="40" ht="15" customHeight="1" s="41">
      <c r="A40" s="92" t="inlineStr">
        <is>
          <t>Concurrent editing</t>
        </is>
      </c>
      <c r="B40" s="90" t="inlineStr">
        <is>
          <t>Do not edit while System1 writes</t>
        </is>
      </c>
      <c r="C40" s="90" t="inlineStr">
        <is>
          <t>When making manual changes, pause or avoid the scheduled run. Excel-open and process locks prevent unsafe writes.</t>
        </is>
      </c>
    </row>
    <row r="41" ht="15" customHeight="1" s="41">
      <c r="A41" s="22" t="n"/>
      <c r="B41" s="22" t="n"/>
      <c r="C41" s="22" t="n"/>
    </row>
    <row r="42" ht="15" customHeight="1" s="41">
      <c r="A42" s="93" t="inlineStr">
        <is>
          <t>RECOVERY</t>
        </is>
      </c>
      <c r="B42" s="29" t="n"/>
      <c r="C42" s="29" t="n"/>
    </row>
    <row r="43" ht="15" customHeight="1" s="41">
      <c r="A43" s="92" t="inlineStr">
        <is>
          <t>Workbook repair prompt</t>
        </is>
      </c>
      <c r="B43" s="90" t="inlineStr">
        <is>
          <t>Choose No first</t>
        </is>
      </c>
      <c r="C43" s="90" t="inlineStr">
        <is>
          <t>Keep Excel closed, copy the latest backup from Code/runtime/backups, and run Validate Environment before retrying.</t>
        </is>
      </c>
    </row>
    <row r="44" ht="15" customHeight="1" s="41">
      <c r="A44" s="92" t="inlineStr">
        <is>
          <t>DEFERRED_WORKBOOK_OPEN</t>
        </is>
      </c>
      <c r="B44" s="90" t="inlineStr">
        <is>
          <t>No data was changed</t>
        </is>
      </c>
      <c r="C44" s="90" t="inlineStr">
        <is>
          <t>Close Excel and run again.</t>
        </is>
      </c>
    </row>
    <row r="45" ht="15" customHeight="1" s="41">
      <c r="A45" s="92" t="inlineStr">
        <is>
          <t>DEFERRED_ALREADY_RUNNING</t>
        </is>
      </c>
      <c r="B45" s="90" t="inlineStr">
        <is>
          <t>No second updater was started</t>
        </is>
      </c>
      <c r="C45" s="90" t="inlineStr">
        <is>
          <t>Wait for the current run to finish, then use View Last Run.</t>
        </is>
      </c>
    </row>
    <row r="46" ht="15" customHeight="1" s="41">
      <c r="A46" s="92" t="inlineStr">
        <is>
          <t>FAIL or PAYWALL_BLOCKED</t>
        </is>
      </c>
      <c r="B46" s="90" t="inlineStr">
        <is>
          <t>Current valid file is preserved</t>
        </is>
      </c>
      <c r="C46" s="90" t="inlineStr">
        <is>
          <t>Use Human Operation Desktop for a corrected route or an authorised manual replacement.</t>
        </is>
      </c>
    </row>
    <row r="47" ht="26.25" customHeight="1" s="41"/>
    <row r="48" ht="26.25" customHeight="1" s="41"/>
    <row r="49" ht="26.25" customHeight="1" s="41"/>
    <row r="50" ht="26.25" customHeight="1" s="41"/>
    <row r="51" ht="26.25" customHeight="1" s="41"/>
    <row r="52" ht="26.25" customHeight="1" s="41"/>
    <row r="53" ht="26.25" customHeight="1" s="41"/>
    <row r="54" ht="26.25" customHeight="1" s="41"/>
    <row r="55" ht="26.25" customHeight="1" s="41"/>
    <row r="56" ht="26.25" customHeight="1" s="41"/>
    <row r="57" ht="26.25" customHeight="1" s="41"/>
    <row r="58" ht="26.25" customHeight="1" s="41"/>
    <row r="59" ht="15" customHeight="1" s="41"/>
    <row r="60" ht="15" customHeight="1" s="41"/>
    <row r="61" ht="15" customHeight="1" s="41"/>
    <row r="62" ht="15" customHeight="1" s="41"/>
    <row r="63" ht="26.25" customHeight="1" s="41"/>
    <row r="64" ht="15" customHeight="1" s="41"/>
    <row r="65" ht="15" customHeight="1" s="41"/>
    <row r="66" ht="15" customHeight="1" s="41"/>
    <row r="67" ht="26.25" customHeight="1" s="41"/>
    <row r="68" ht="26.25" customHeight="1" s="41"/>
    <row r="69" ht="15" customHeight="1" s="41"/>
    <row r="70" ht="15" customHeight="1" s="41"/>
    <row r="71" ht="15" customHeight="1" s="41"/>
    <row r="72" ht="15" customHeight="1" s="41"/>
    <row r="73" ht="26.25" customHeight="1" s="41"/>
    <row r="74" ht="15" customHeight="1" s="41"/>
    <row r="75" ht="26.25" customHeight="1" s="41"/>
    <row r="76" ht="26.25" customHeight="1" s="41"/>
    <row r="77" ht="15" customHeight="1" s="41"/>
    <row r="78" ht="26" customHeight="1" s="41"/>
    <row r="79" ht="30" customHeight="1" s="41"/>
    <row r="80" ht="46" customHeight="1" s="41"/>
    <row r="81" ht="46" customHeight="1" s="41"/>
    <row r="82" ht="46" customHeight="1" s="41"/>
    <row r="83" ht="46" customHeight="1" s="41"/>
    <row r="84" ht="46" customHeight="1" s="41"/>
    <row r="85" ht="46" customHeight="1" s="41"/>
    <row r="86" ht="15" customHeight="1" s="41"/>
    <row r="87" ht="26" customHeight="1" s="41"/>
    <row r="88" ht="30" customHeight="1" s="41"/>
    <row r="89" ht="50" customHeight="1" s="41"/>
    <row r="90" ht="50" customHeight="1" s="41"/>
    <row r="91" ht="50" customHeight="1" s="41"/>
    <row r="92" ht="50" customHeight="1" s="41"/>
    <row r="93" ht="50" customHeight="1" s="41"/>
    <row r="94" ht="50" customHeight="1" s="41"/>
    <row r="95" ht="50" customHeight="1" s="41"/>
    <row r="96" ht="50" customHeight="1" s="41"/>
    <row r="97" ht="12" customHeight="1" s="41"/>
    <row r="98" ht="12" customHeight="1" s="41"/>
    <row r="99" ht="15" customHeight="1" s="41"/>
    <row r="100" ht="15" customHeight="1" s="41"/>
    <row r="101" ht="15" customHeight="1" s="41"/>
    <row r="102" ht="15" customHeight="1" s="41"/>
  </sheetData>
  <mergeCells count="2">
    <mergeCell ref="A2:H2"/>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35"/>
  <sheetViews>
    <sheetView showGridLines="0" workbookViewId="0">
      <pane ySplit="3" topLeftCell="A4" activePane="bottomLeft" state="frozen"/>
      <selection pane="bottomLeft" activeCell="A1" sqref="A1"/>
    </sheetView>
  </sheetViews>
  <sheetFormatPr baseColWidth="10" defaultColWidth="8.83203125" defaultRowHeight="14"/>
  <cols>
    <col width="14" customWidth="1" style="41" min="1" max="1"/>
    <col width="30" customWidth="1" style="41" min="2" max="2"/>
    <col width="62" customWidth="1" style="41" min="3" max="3"/>
    <col width="34" customWidth="1" style="41" min="4" max="4"/>
  </cols>
  <sheetData>
    <row r="1" ht="34" customHeight="1" s="41">
      <c r="A1" s="94" t="inlineStr">
        <is>
          <t>Categories and Controlled Values</t>
        </is>
      </c>
    </row>
    <row r="2" ht="15" customHeight="1" s="41">
      <c r="A2" s="95" t="inlineStr">
        <is>
          <t>Program-generated controlled values. Do not edit this sheet directly; update approved configuration and regenerate.</t>
        </is>
      </c>
    </row>
    <row r="4" ht="25" customHeight="1" s="41">
      <c r="A4" s="96" t="inlineStr">
        <is>
          <t>Classification dimension | Source family and identifier prefix</t>
        </is>
      </c>
    </row>
    <row r="5" ht="32" customHeight="1" s="41">
      <c r="A5" s="98" t="inlineStr">
        <is>
          <t>Code</t>
        </is>
      </c>
      <c r="B5" s="99" t="inlineStr">
        <is>
          <t>Option value</t>
        </is>
      </c>
      <c r="C5" s="99" t="inlineStr">
        <is>
          <t>Definition</t>
        </is>
      </c>
      <c r="D5" s="100" t="inlineStr">
        <is>
          <t>Folder code</t>
        </is>
      </c>
    </row>
    <row r="6" ht="15" customHeight="1" s="41">
      <c r="A6" s="101" t="inlineStr">
        <is>
          <t>PA</t>
        </is>
      </c>
      <c r="B6" s="102" t="inlineStr">
        <is>
          <t>Public authority</t>
        </is>
      </c>
      <c r="C6" s="102" t="inlineStr">
        <is>
          <t>Government, regulator or permitting authority</t>
        </is>
      </c>
      <c r="D6" s="103" t="inlineStr">
        <is>
          <t>A_Public_Authority</t>
        </is>
      </c>
    </row>
    <row r="7" ht="15" customHeight="1" s="41">
      <c r="A7" s="104" t="inlineStr">
        <is>
          <t>SB</t>
        </is>
      </c>
      <c r="B7" s="105" t="inlineStr">
        <is>
          <t>Standards body</t>
        </is>
      </c>
      <c r="C7" s="105" t="inlineStr">
        <is>
          <t>Standards organisation such as NS, EN or ISO</t>
        </is>
      </c>
      <c r="D7" s="106" t="inlineStr">
        <is>
          <t>B_Standards_Body</t>
        </is>
      </c>
    </row>
    <row r="8" ht="15" customHeight="1" s="41">
      <c r="A8" s="101" t="inlineStr">
        <is>
          <t>CS</t>
        </is>
      </c>
      <c r="B8" s="102" t="inlineStr">
        <is>
          <t>Certification scheme</t>
        </is>
      </c>
      <c r="C8" s="102" t="inlineStr">
        <is>
          <t>Certification scheme such as ASC or GLOBALG.A.P.</t>
        </is>
      </c>
      <c r="D8" s="103" t="inlineStr">
        <is>
          <t>C_Certification_Scheme</t>
        </is>
      </c>
    </row>
    <row r="9" ht="15" customHeight="1" s="41">
      <c r="A9" s="104" t="inlineStr">
        <is>
          <t>MS</t>
        </is>
      </c>
      <c r="B9" s="105" t="inlineStr">
        <is>
          <t>Manufacturer / supplier</t>
        </is>
      </c>
      <c r="C9" s="105" t="inlineStr">
        <is>
          <t>Equipment manufacturer or supplier</t>
        </is>
      </c>
      <c r="D9" s="106" t="inlineStr">
        <is>
          <t>D_Manufacturer_Supplier</t>
        </is>
      </c>
    </row>
    <row r="10" ht="15" customHeight="1" s="41">
      <c r="A10" s="101" t="inlineStr">
        <is>
          <t>PE</t>
        </is>
      </c>
      <c r="B10" s="102" t="inlineStr">
        <is>
          <t>Project / engineering</t>
        </is>
      </c>
      <c r="C10" s="102" t="inlineStr">
        <is>
          <t>Site, design or engineering source</t>
        </is>
      </c>
      <c r="D10" s="103" t="inlineStr">
        <is>
          <t>E_Project_Engineering</t>
        </is>
      </c>
    </row>
    <row r="11" ht="15" customHeight="1" s="41">
      <c r="A11" s="104" t="inlineStr">
        <is>
          <t>CI</t>
        </is>
      </c>
      <c r="B11" s="105" t="inlineStr">
        <is>
          <t>Client / internal</t>
        </is>
      </c>
      <c r="C11" s="105" t="inlineStr">
        <is>
          <t>Client, contract or internal rule</t>
        </is>
      </c>
      <c r="D11" s="106" t="inlineStr">
        <is>
          <t>F_Client_Internal</t>
        </is>
      </c>
    </row>
    <row r="12" ht="15" customHeight="1" s="41">
      <c r="A12" s="107" t="inlineStr">
        <is>
          <t>PC</t>
        </is>
      </c>
      <c r="B12" s="108" t="inlineStr">
        <is>
          <t>Pending classification</t>
        </is>
      </c>
      <c r="C12" s="108" t="inlineStr">
        <is>
          <t>Temporary category; cannot be directly included</t>
        </is>
      </c>
      <c r="D12" s="109" t="inlineStr">
        <is>
          <t>Z_Pending_Classification</t>
        </is>
      </c>
    </row>
    <row r="13">
      <c r="A13" s="110" t="n"/>
      <c r="B13" s="110" t="n"/>
      <c r="C13" s="110" t="n"/>
      <c r="D13" s="110" t="n"/>
    </row>
    <row r="14" ht="25" customHeight="1" s="41">
      <c r="A14" s="96" t="inlineStr">
        <is>
          <t>Classification dimension | Document type</t>
        </is>
      </c>
    </row>
    <row r="15" ht="32" customHeight="1" s="41">
      <c r="A15" s="98" t="inlineStr">
        <is>
          <t>Code</t>
        </is>
      </c>
      <c r="B15" s="99" t="inlineStr">
        <is>
          <t>Option value</t>
        </is>
      </c>
      <c r="C15" s="99" t="inlineStr">
        <is>
          <t>Definition</t>
        </is>
      </c>
      <c r="D15" s="100" t="inlineStr">
        <is>
          <t>Notes</t>
        </is>
      </c>
    </row>
    <row r="16" ht="15" customHeight="1" s="41">
      <c r="A16" s="101" t="inlineStr">
        <is>
          <t>LAW</t>
        </is>
      </c>
      <c r="B16" s="102" t="inlineStr">
        <is>
          <t>Law</t>
        </is>
      </c>
      <c r="C16" s="102" t="inlineStr">
        <is>
          <t>Primary legislation</t>
        </is>
      </c>
      <c r="D16" s="103" t="n"/>
    </row>
    <row r="17" ht="15" customHeight="1" s="41">
      <c r="A17" s="104" t="inlineStr">
        <is>
          <t>REG</t>
        </is>
      </c>
      <c r="B17" s="105" t="inlineStr">
        <is>
          <t>Regulation</t>
        </is>
      </c>
      <c r="C17" s="105" t="inlineStr">
        <is>
          <t>Secondary legislation or regulation</t>
        </is>
      </c>
      <c r="D17" s="106" t="n"/>
    </row>
    <row r="18" ht="15" customHeight="1" s="41">
      <c r="A18" s="101" t="inlineStr">
        <is>
          <t>PER</t>
        </is>
      </c>
      <c r="B18" s="102" t="inlineStr">
        <is>
          <t>Permit / authority decision</t>
        </is>
      </c>
      <c r="C18" s="102" t="inlineStr">
        <is>
          <t>Permit or site-specific administrative decision</t>
        </is>
      </c>
      <c r="D18" s="103" t="n"/>
    </row>
    <row r="19" ht="15" customHeight="1" s="41">
      <c r="A19" s="104" t="inlineStr">
        <is>
          <t>STD</t>
        </is>
      </c>
      <c r="B19" s="105" t="inlineStr">
        <is>
          <t>Technical standard</t>
        </is>
      </c>
      <c r="C19" s="105" t="inlineStr">
        <is>
          <t>NS, EN, ISO or industry technical standard</t>
        </is>
      </c>
      <c r="D19" s="106" t="n"/>
    </row>
    <row r="20" ht="15" customHeight="1" s="41">
      <c r="A20" s="101" t="inlineStr">
        <is>
          <t>SCH</t>
        </is>
      </c>
      <c r="B20" s="102" t="inlineStr">
        <is>
          <t>Scheme standard</t>
        </is>
      </c>
      <c r="C20" s="102" t="inlineStr">
        <is>
          <t>Primary certification scheme standard</t>
        </is>
      </c>
      <c r="D20" s="103" t="n"/>
    </row>
    <row r="21" ht="15" customHeight="1" s="41">
      <c r="A21" s="104" t="inlineStr">
        <is>
          <t>INT</t>
        </is>
      </c>
      <c r="B21" s="105" t="inlineStr">
        <is>
          <t>Interpretation document</t>
        </is>
      </c>
      <c r="C21" s="105" t="inlineStr">
        <is>
          <t>Interpretation manual or guidance</t>
        </is>
      </c>
      <c r="D21" s="106" t="n"/>
    </row>
    <row r="22" ht="15" customHeight="1" s="41">
      <c r="A22" s="101" t="inlineStr">
        <is>
          <t>AUD</t>
        </is>
      </c>
      <c r="B22" s="102" t="inlineStr">
        <is>
          <t>Audit / assessment document</t>
        </is>
      </c>
      <c r="C22" s="102" t="inlineStr">
        <is>
          <t>Audit manual, checklist or assessment tool</t>
        </is>
      </c>
      <c r="D22" s="103" t="n"/>
    </row>
    <row r="23" ht="15" customHeight="1" s="41">
      <c r="A23" s="104" t="inlineStr">
        <is>
          <t>MAN</t>
        </is>
      </c>
      <c r="B23" s="105" t="inlineStr">
        <is>
          <t>Equipment manual / OEM instruction</t>
        </is>
      </c>
      <c r="C23" s="105" t="inlineStr">
        <is>
          <t>Manufacturer installation, operation, maintenance or safety instruction</t>
        </is>
      </c>
      <c r="D23" s="106" t="n"/>
    </row>
    <row r="24" ht="15" customHeight="1" s="41">
      <c r="A24" s="101" t="inlineStr">
        <is>
          <t>ENG</t>
        </is>
      </c>
      <c r="B24" s="102" t="inlineStr">
        <is>
          <t>Design / engineering document</t>
        </is>
      </c>
      <c r="C24" s="102" t="inlineStr">
        <is>
          <t>Design basis, analysis or engineering report</t>
        </is>
      </c>
      <c r="D24" s="103" t="n"/>
    </row>
    <row r="25" ht="15" customHeight="1" s="41">
      <c r="A25" s="104" t="inlineStr">
        <is>
          <t>CON</t>
        </is>
      </c>
      <c r="B25" s="105" t="inlineStr">
        <is>
          <t>Internal policy / contract</t>
        </is>
      </c>
      <c r="C25" s="105" t="inlineStr">
        <is>
          <t>Client, contract or internal normative document</t>
        </is>
      </c>
      <c r="D25" s="106" t="n"/>
    </row>
    <row r="26" ht="15" customHeight="1" s="41">
      <c r="A26" s="107" t="inlineStr">
        <is>
          <t>OTH</t>
        </is>
      </c>
      <c r="B26" s="108" t="inlineStr">
        <is>
          <t>Other</t>
        </is>
      </c>
      <c r="C26" s="108" t="inlineStr">
        <is>
          <t>Use only when no controlled document type applies</t>
        </is>
      </c>
      <c r="D26" s="109" t="n"/>
    </row>
    <row r="27">
      <c r="A27" s="110" t="n"/>
      <c r="B27" s="110" t="n"/>
      <c r="C27" s="110" t="n"/>
      <c r="D27" s="110" t="n"/>
    </row>
    <row r="28" ht="25" customHeight="1" s="41">
      <c r="A28" s="96" t="inlineStr">
        <is>
          <t>Classification dimension | Requirement role</t>
        </is>
      </c>
    </row>
    <row r="29" ht="32" customHeight="1" s="41">
      <c r="A29" s="98" t="inlineStr">
        <is>
          <t>Code</t>
        </is>
      </c>
      <c r="B29" s="99" t="inlineStr">
        <is>
          <t>Option value</t>
        </is>
      </c>
      <c r="C29" s="99" t="inlineStr">
        <is>
          <t>Definition</t>
        </is>
      </c>
      <c r="D29" s="100" t="inlineStr">
        <is>
          <t>Notes</t>
        </is>
      </c>
    </row>
    <row r="30" ht="15" customHeight="1" s="41">
      <c r="A30" s="101" t="inlineStr">
        <is>
          <t>PN</t>
        </is>
      </c>
      <c r="B30" s="102" t="inlineStr">
        <is>
          <t>Primary normative</t>
        </is>
      </c>
      <c r="C30" s="102" t="inlineStr">
        <is>
          <t>Directly creates requirements within the approved scope</t>
        </is>
      </c>
      <c r="D30" s="103" t="n"/>
    </row>
    <row r="31" ht="15" customHeight="1" s="41">
      <c r="A31" s="104" t="inlineStr">
        <is>
          <t>RN</t>
        </is>
      </c>
      <c r="B31" s="105" t="inlineStr">
        <is>
          <t>Referenced normative</t>
        </is>
      </c>
      <c r="C31" s="105" t="inlineStr">
        <is>
          <t>Applies through citation by law, contract or a primary source</t>
        </is>
      </c>
      <c r="D31" s="106" t="n"/>
    </row>
    <row r="32" ht="30" customHeight="1" s="41">
      <c r="A32" s="101" t="inlineStr">
        <is>
          <t>AN</t>
        </is>
      </c>
      <c r="B32" s="102" t="inlineStr">
        <is>
          <t>Asset-specific normative</t>
        </is>
      </c>
      <c r="C32" s="102" t="inlineStr">
        <is>
          <t>Creates requirements only for confirmed applicable equipment, model, asset or configuration</t>
        </is>
      </c>
      <c r="D32" s="103" t="n"/>
    </row>
    <row r="33" ht="15" customHeight="1" s="41">
      <c r="A33" s="104" t="inlineStr">
        <is>
          <t>GI</t>
        </is>
      </c>
      <c r="B33" s="105" t="inlineStr">
        <is>
          <t>Guidance / interpretation</t>
        </is>
      </c>
      <c r="C33" s="105" t="inlineStr">
        <is>
          <t>Helps interpretation but does not independently create requirements</t>
        </is>
      </c>
      <c r="D33" s="106" t="n"/>
    </row>
    <row r="34" ht="15" customHeight="1" s="41">
      <c r="A34" s="101" t="inlineStr">
        <is>
          <t>AT</t>
        </is>
      </c>
      <c r="B34" s="102" t="inlineStr">
        <is>
          <t>Audit / assessment tool</t>
        </is>
      </c>
      <c r="C34" s="102" t="inlineStr">
        <is>
          <t>Supports verification and should link to a primary source</t>
        </is>
      </c>
      <c r="D34" s="103" t="n"/>
    </row>
    <row r="35" ht="15" customHeight="1" s="41">
      <c r="A35" s="104" t="inlineStr">
        <is>
          <t>CE</t>
        </is>
      </c>
      <c r="B35" s="105" t="inlineStr">
        <is>
          <t>Context / evidence</t>
        </is>
      </c>
      <c r="C35" s="105" t="inlineStr">
        <is>
          <t>Provides facts or proof; only normative statements may become requirements</t>
        </is>
      </c>
      <c r="D35" s="106" t="n"/>
    </row>
    <row r="36" ht="15" customHeight="1" s="41">
      <c r="A36" s="107" t="inlineStr">
        <is>
          <t>DW</t>
        </is>
      </c>
      <c r="B36" s="108" t="inlineStr">
        <is>
          <t>Draft working material</t>
        </is>
      </c>
      <c r="C36" s="108" t="inlineStr">
        <is>
          <t>Working material that cannot be treated as formal authority</t>
        </is>
      </c>
      <c r="D36" s="109" t="n"/>
    </row>
    <row r="37">
      <c r="A37" s="110" t="n"/>
      <c r="B37" s="110" t="n"/>
      <c r="C37" s="110" t="n"/>
      <c r="D37" s="110" t="n"/>
    </row>
    <row r="38" ht="25" customHeight="1" s="41">
      <c r="A38" s="96" t="inlineStr">
        <is>
          <t>Authoritative language</t>
        </is>
      </c>
    </row>
    <row r="39" ht="32" customHeight="1" s="41">
      <c r="A39" s="98" t="inlineStr">
        <is>
          <t>Code</t>
        </is>
      </c>
      <c r="B39" s="99" t="inlineStr">
        <is>
          <t>Option value</t>
        </is>
      </c>
      <c r="C39" s="99" t="inlineStr">
        <is>
          <t>Definition</t>
        </is>
      </c>
      <c r="D39" s="100" t="inlineStr">
        <is>
          <t>Notes</t>
        </is>
      </c>
    </row>
    <row r="40" ht="60" customHeight="1" s="41">
      <c r="A40" s="101" t="inlineStr">
        <is>
          <t>EN</t>
        </is>
      </c>
      <c r="B40" s="102" t="inlineStr">
        <is>
          <t>English</t>
        </is>
      </c>
      <c r="C40" s="102" t="inlineStr">
        <is>
          <t>English is authoritative</t>
        </is>
      </c>
      <c r="D40" s="103" t="inlineStr">
        <is>
          <t>Use the authoritative language first; among equivalent official versions the working preference is English, then Norwegian, then Other</t>
        </is>
      </c>
    </row>
    <row r="41" ht="15" customHeight="1" s="41">
      <c r="A41" s="104" t="inlineStr">
        <is>
          <t>NO</t>
        </is>
      </c>
      <c r="B41" s="105" t="inlineStr">
        <is>
          <t>Norwegian</t>
        </is>
      </c>
      <c r="C41" s="105" t="inlineStr">
        <is>
          <t>Norwegian is authoritative</t>
        </is>
      </c>
      <c r="D41" s="106" t="n"/>
    </row>
    <row r="42" ht="15" customHeight="1" s="41">
      <c r="A42" s="107" t="inlineStr">
        <is>
          <t>OT</t>
        </is>
      </c>
      <c r="B42" s="108" t="inlineStr">
        <is>
          <t>Other</t>
        </is>
      </c>
      <c r="C42" s="108" t="inlineStr">
        <is>
          <t>Another language is authoritative; specify details in notes</t>
        </is>
      </c>
      <c r="D42" s="109" t="n"/>
    </row>
    <row r="43">
      <c r="A43" s="110" t="n"/>
      <c r="B43" s="110" t="n"/>
      <c r="C43" s="110" t="n"/>
      <c r="D43" s="110" t="n"/>
    </row>
    <row r="44" ht="25" customHeight="1" s="41">
      <c r="A44" s="96" t="inlineStr">
        <is>
          <t>Jurisdiction</t>
        </is>
      </c>
    </row>
    <row r="45" ht="32" customHeight="1" s="41">
      <c r="A45" s="98" t="inlineStr">
        <is>
          <t>Code</t>
        </is>
      </c>
      <c r="B45" s="99" t="inlineStr">
        <is>
          <t>Option value</t>
        </is>
      </c>
      <c r="C45" s="99" t="inlineStr">
        <is>
          <t>Definition</t>
        </is>
      </c>
      <c r="D45" s="100" t="inlineStr">
        <is>
          <t>Notes</t>
        </is>
      </c>
    </row>
    <row r="46" ht="15" customHeight="1" s="41">
      <c r="A46" s="101" t="inlineStr">
        <is>
          <t>NO</t>
        </is>
      </c>
      <c r="B46" s="102" t="inlineStr">
        <is>
          <t>Norway</t>
        </is>
      </c>
      <c r="C46" s="102" t="inlineStr">
        <is>
          <t>Norwegian jurisdiction</t>
        </is>
      </c>
      <c r="D46" s="103" t="n"/>
    </row>
    <row r="47" ht="15" customHeight="1" s="41">
      <c r="A47" s="104" t="inlineStr">
        <is>
          <t>EU</t>
        </is>
      </c>
      <c r="B47" s="105" t="inlineStr">
        <is>
          <t>EU / EEA</t>
        </is>
      </c>
      <c r="C47" s="105" t="inlineStr">
        <is>
          <t>European Union or European Economic Area</t>
        </is>
      </c>
      <c r="D47" s="106" t="n"/>
    </row>
    <row r="48" ht="15" customHeight="1" s="41">
      <c r="A48" s="101" t="inlineStr">
        <is>
          <t>INT</t>
        </is>
      </c>
      <c r="B48" s="102" t="inlineStr">
        <is>
          <t>International</t>
        </is>
      </c>
      <c r="C48" s="102" t="inlineStr">
        <is>
          <t>International or scheme-wide scope</t>
        </is>
      </c>
      <c r="D48" s="103" t="n"/>
    </row>
    <row r="49" ht="15" customHeight="1" s="41">
      <c r="A49" s="104" t="inlineStr">
        <is>
          <t>MULTI</t>
        </is>
      </c>
      <c r="B49" s="105" t="inlineStr">
        <is>
          <t>Multi-jurisdiction</t>
        </is>
      </c>
      <c r="C49" s="105" t="inlineStr">
        <is>
          <t>Applies across more than one defined jurisdiction</t>
        </is>
      </c>
      <c r="D49" s="106" t="n"/>
    </row>
    <row r="50" ht="15" customHeight="1" s="41">
      <c r="A50" s="101" t="inlineStr">
        <is>
          <t>SITE</t>
        </is>
      </c>
      <c r="B50" s="102" t="inlineStr">
        <is>
          <t>Site-specific</t>
        </is>
      </c>
      <c r="C50" s="102" t="inlineStr">
        <is>
          <t>Applies to one site, permit or location</t>
        </is>
      </c>
      <c r="D50" s="103" t="n"/>
    </row>
    <row r="51" ht="15" customHeight="1" s="41">
      <c r="A51" s="111" t="inlineStr">
        <is>
          <t>OTH</t>
        </is>
      </c>
      <c r="B51" s="112" t="inlineStr">
        <is>
          <t>Other</t>
        </is>
      </c>
      <c r="C51" s="112" t="inlineStr">
        <is>
          <t>Another jurisdiction; specify details in notes</t>
        </is>
      </c>
      <c r="D51" s="113" t="n"/>
    </row>
    <row r="52">
      <c r="A52" s="97" t="n"/>
      <c r="B52" s="97" t="n"/>
      <c r="C52" s="97" t="n"/>
      <c r="D52" s="97" t="n"/>
    </row>
    <row r="53" ht="25" customHeight="1" s="41">
      <c r="A53" s="114" t="inlineStr">
        <is>
          <t>File format</t>
        </is>
      </c>
    </row>
    <row r="54" ht="32" customHeight="1" s="41">
      <c r="A54" s="115" t="inlineStr">
        <is>
          <t>Code</t>
        </is>
      </c>
      <c r="B54" s="116" t="inlineStr">
        <is>
          <t>Option value</t>
        </is>
      </c>
      <c r="C54" s="116" t="inlineStr">
        <is>
          <t>Definition</t>
        </is>
      </c>
      <c r="D54" s="117" t="inlineStr">
        <is>
          <t>Notes</t>
        </is>
      </c>
    </row>
    <row r="55" ht="15" customHeight="1" s="41">
      <c r="A55" s="104" t="inlineStr">
        <is>
          <t>PDF</t>
        </is>
      </c>
      <c r="B55" s="105" t="inlineStr">
        <is>
          <t>pdf</t>
        </is>
      </c>
      <c r="C55" s="105" t="inlineStr">
        <is>
          <t>Use when no equivalent official HTML version contains the full source content</t>
        </is>
      </c>
      <c r="D55" s="106" t="n"/>
    </row>
    <row r="56" ht="30" customHeight="1" s="41">
      <c r="A56" s="101" t="inlineStr">
        <is>
          <t>HTML</t>
        </is>
      </c>
      <c r="B56" s="102" t="inlineStr">
        <is>
          <t>html</t>
        </is>
      </c>
      <c r="C56" s="102" t="inlineStr">
        <is>
          <t>Preferred format whenever an equivalent official HTML source contains the full authoritative content</t>
        </is>
      </c>
      <c r="D56" s="103" t="n"/>
    </row>
    <row r="57" ht="15" customHeight="1" s="41">
      <c r="A57" s="104" t="inlineStr">
        <is>
          <t>XLSX</t>
        </is>
      </c>
      <c r="B57" s="105" t="inlineStr">
        <is>
          <t>xlsx</t>
        </is>
      </c>
      <c r="C57" s="105" t="inlineStr">
        <is>
          <t>Original Excel workbook</t>
        </is>
      </c>
      <c r="D57" s="106" t="n"/>
    </row>
    <row r="58" ht="15" customHeight="1" s="41">
      <c r="A58" s="107" t="inlineStr">
        <is>
          <t>ZIP</t>
        </is>
      </c>
      <c r="B58" s="108" t="inlineStr">
        <is>
          <t>zip</t>
        </is>
      </c>
      <c r="C58" s="108" t="inlineStr">
        <is>
          <t>Original ZIP package; extraction requires an explicit rule</t>
        </is>
      </c>
      <c r="D58" s="109" t="n"/>
    </row>
    <row r="59">
      <c r="A59" s="110" t="n"/>
      <c r="B59" s="110" t="n"/>
      <c r="C59" s="110" t="n"/>
      <c r="D59" s="110" t="n"/>
    </row>
    <row r="60" ht="25" customHeight="1" s="41">
      <c r="A60" s="96" t="inlineStr">
        <is>
          <t>Assessment score</t>
        </is>
      </c>
    </row>
    <row r="61" ht="32" customHeight="1" s="41">
      <c r="A61" s="98" t="inlineStr">
        <is>
          <t>Code</t>
        </is>
      </c>
      <c r="B61" s="99" t="inlineStr">
        <is>
          <t>Option value</t>
        </is>
      </c>
      <c r="C61" s="99" t="inlineStr">
        <is>
          <t>Definition</t>
        </is>
      </c>
      <c r="D61" s="100" t="inlineStr">
        <is>
          <t>Notes</t>
        </is>
      </c>
    </row>
    <row r="62" ht="15" customHeight="1" s="41">
      <c r="A62" s="101" t="inlineStr">
        <is>
          <t>L</t>
        </is>
      </c>
      <c r="B62" s="102" t="inlineStr">
        <is>
          <t>LOW</t>
        </is>
      </c>
      <c r="C62" s="102" t="inlineStr">
        <is>
          <t>Does not meet the criterion or evidence is materially insufficient</t>
        </is>
      </c>
      <c r="D62" s="103" t="n"/>
    </row>
    <row r="63" ht="15" customHeight="1" s="41">
      <c r="A63" s="104" t="inlineStr">
        <is>
          <t>M</t>
        </is>
      </c>
      <c r="B63" s="105" t="inlineStr">
        <is>
          <t>MEDIUM</t>
        </is>
      </c>
      <c r="C63" s="105" t="inlineStr">
        <is>
          <t>May meet the criterion but requires confirmation</t>
        </is>
      </c>
      <c r="D63" s="106" t="n"/>
    </row>
    <row r="64" ht="15" customHeight="1" s="41">
      <c r="A64" s="107" t="inlineStr">
        <is>
          <t>H</t>
        </is>
      </c>
      <c r="B64" s="108" t="inlineStr">
        <is>
          <t>HIGH</t>
        </is>
      </c>
      <c r="C64" s="108" t="inlineStr">
        <is>
          <t>Verified and supported by sufficient evidence</t>
        </is>
      </c>
      <c r="D64" s="109" t="n"/>
    </row>
    <row r="65">
      <c r="A65" s="110" t="n"/>
      <c r="B65" s="110" t="n"/>
      <c r="C65" s="110" t="n"/>
      <c r="D65" s="110" t="n"/>
    </row>
    <row r="66" ht="25" customHeight="1" s="41">
      <c r="A66" s="96" t="inlineStr">
        <is>
          <t>Selection status</t>
        </is>
      </c>
    </row>
    <row r="67" ht="32" customHeight="1" s="41">
      <c r="A67" s="98" t="inlineStr">
        <is>
          <t>Code</t>
        </is>
      </c>
      <c r="B67" s="99" t="inlineStr">
        <is>
          <t>Option value</t>
        </is>
      </c>
      <c r="C67" s="99" t="inlineStr">
        <is>
          <t>Definition</t>
        </is>
      </c>
      <c r="D67" s="100" t="inlineStr">
        <is>
          <t>Notes</t>
        </is>
      </c>
    </row>
    <row r="68" ht="30" customHeight="1" s="41">
      <c r="A68" s="101" t="inlineStr">
        <is>
          <t>P</t>
        </is>
      </c>
      <c r="B68" s="102" t="inlineStr">
        <is>
          <t>PENDING</t>
        </is>
      </c>
      <c r="C68" s="102" t="inlineStr">
        <is>
          <t>Not yet selected, a gate is incomplete, or no validated current file with SUCCESS is available</t>
        </is>
      </c>
      <c r="D68" s="103" t="n"/>
    </row>
    <row r="69" ht="30" customHeight="1" s="41">
      <c r="A69" s="104" t="inlineStr">
        <is>
          <t>I</t>
        </is>
      </c>
      <c r="B69" s="105" t="inlineStr">
        <is>
          <t>INCLUDE</t>
        </is>
      </c>
      <c r="C69" s="105" t="inlineStr">
        <is>
          <t>Operator decision is INCLUDE, all mandatory gates are HIGH, and the current file is STORED with download_status SUCCESS</t>
        </is>
      </c>
      <c r="D69" s="106" t="n"/>
    </row>
    <row r="70" ht="15" customHeight="1" s="41">
      <c r="A70" s="107" t="inlineStr">
        <is>
          <t>E</t>
        </is>
      </c>
      <c r="B70" s="108" t="inlineStr">
        <is>
          <t>EXCLUDE</t>
        </is>
      </c>
      <c r="C70" s="108" t="inlineStr">
        <is>
          <t>Operator decision is EXCLUDE or at least one mandatory criterion is LOW</t>
        </is>
      </c>
      <c r="D70" s="109" t="n"/>
    </row>
    <row r="71">
      <c r="A71" s="110" t="n"/>
      <c r="B71" s="110" t="n"/>
      <c r="C71" s="110" t="n"/>
      <c r="D71" s="110" t="n"/>
    </row>
    <row r="72" ht="25" customHeight="1" s="41">
      <c r="A72" s="96" t="inlineStr">
        <is>
          <t>Snapshot status</t>
        </is>
      </c>
    </row>
    <row r="73" ht="32" customHeight="1" s="41">
      <c r="A73" s="98" t="inlineStr">
        <is>
          <t>Code</t>
        </is>
      </c>
      <c r="B73" s="99" t="inlineStr">
        <is>
          <t>Option value</t>
        </is>
      </c>
      <c r="C73" s="99" t="inlineStr">
        <is>
          <t>Definition</t>
        </is>
      </c>
      <c r="D73" s="100" t="inlineStr">
        <is>
          <t>Notes</t>
        </is>
      </c>
    </row>
    <row r="74" ht="15" customHeight="1" s="41">
      <c r="A74" s="101" t="inlineStr">
        <is>
          <t>NC</t>
        </is>
      </c>
      <c r="B74" s="102" t="inlineStr">
        <is>
          <t>NOT_COLLECTED</t>
        </is>
      </c>
      <c r="C74" s="102" t="inlineStr">
        <is>
          <t>No current file has been collected</t>
        </is>
      </c>
      <c r="D74" s="103" t="n"/>
    </row>
    <row r="75" ht="15" customHeight="1" s="41">
      <c r="A75" s="104" t="inlineStr">
        <is>
          <t>ST</t>
        </is>
      </c>
      <c r="B75" s="105" t="inlineStr">
        <is>
          <t>STORED</t>
        </is>
      </c>
      <c r="C75" s="105" t="inlineStr">
        <is>
          <t>Current file is stored and locatable</t>
        </is>
      </c>
      <c r="D75" s="106" t="n"/>
    </row>
    <row r="76" ht="15" customHeight="1" s="41">
      <c r="A76" s="107" t="inlineStr">
        <is>
          <t>MI</t>
        </is>
      </c>
      <c r="B76" s="108" t="inlineStr">
        <is>
          <t>MISSING</t>
        </is>
      </c>
      <c r="C76" s="108" t="inlineStr">
        <is>
          <t>A registry record exists but the file is missing</t>
        </is>
      </c>
      <c r="D76" s="109" t="n"/>
    </row>
    <row r="77">
      <c r="A77" s="110" t="n"/>
      <c r="B77" s="110" t="n"/>
      <c r="C77" s="110" t="n"/>
      <c r="D77" s="110" t="n"/>
    </row>
    <row r="78" ht="25" customHeight="1" s="41">
      <c r="A78" s="96" t="inlineStr">
        <is>
          <t>Download status</t>
        </is>
      </c>
    </row>
    <row r="79" ht="32" customHeight="1" s="41">
      <c r="A79" s="98" t="inlineStr">
        <is>
          <t>Code</t>
        </is>
      </c>
      <c r="B79" s="99" t="inlineStr">
        <is>
          <t>Option value</t>
        </is>
      </c>
      <c r="C79" s="99" t="inlineStr">
        <is>
          <t>Definition</t>
        </is>
      </c>
      <c r="D79" s="100" t="inlineStr">
        <is>
          <t>Notes</t>
        </is>
      </c>
    </row>
    <row r="80" ht="15" customHeight="1" s="41">
      <c r="A80" s="101" t="inlineStr">
        <is>
          <t>NR</t>
        </is>
      </c>
      <c r="B80" s="102" t="inlineStr">
        <is>
          <t>NOT_RUN</t>
        </is>
      </c>
      <c r="C80" s="102" t="inlineStr">
        <is>
          <t>Automated retrieval has not run</t>
        </is>
      </c>
      <c r="D80" s="103" t="n"/>
    </row>
    <row r="81" ht="30" customHeight="1" s="41">
      <c r="A81" s="104" t="inlineStr">
        <is>
          <t>PB</t>
        </is>
      </c>
      <c r="B81" s="105" t="inlineStr">
        <is>
          <t>PAYWALL_BLOCKED</t>
        </is>
      </c>
      <c r="C81" s="105" t="inlineStr">
        <is>
          <t>The official source is restricted by a paywall or licence; an authorised copy or route is required</t>
        </is>
      </c>
      <c r="D81" s="106" t="n"/>
    </row>
    <row r="82" ht="15" customHeight="1" s="41">
      <c r="A82" s="101" t="inlineStr">
        <is>
          <t>SU</t>
        </is>
      </c>
      <c r="B82" s="102" t="inlineStr">
        <is>
          <t>SUCCESS</t>
        </is>
      </c>
      <c r="C82" s="102" t="inlineStr">
        <is>
          <t>Download, validation and safe storage succeeded</t>
        </is>
      </c>
      <c r="D82" s="103" t="n"/>
    </row>
    <row r="83" ht="15" customHeight="1" s="41">
      <c r="A83" s="111" t="inlineStr">
        <is>
          <t>FA</t>
        </is>
      </c>
      <c r="B83" s="112" t="inlineStr">
        <is>
          <t>FAIL</t>
        </is>
      </c>
      <c r="C83" s="112" t="inlineStr">
        <is>
          <t>At least one stage failed and requires a recorded reason</t>
        </is>
      </c>
      <c r="D83" s="113" t="n"/>
    </row>
    <row r="84">
      <c r="A84" s="97" t="n"/>
      <c r="B84" s="97" t="n"/>
      <c r="C84" s="97" t="n"/>
      <c r="D84" s="97" t="n"/>
    </row>
    <row r="85" ht="25" customHeight="1" s="41">
      <c r="A85" s="114" t="inlineStr">
        <is>
          <t>Content change</t>
        </is>
      </c>
    </row>
    <row r="86" ht="32" customHeight="1" s="41">
      <c r="A86" s="115" t="inlineStr">
        <is>
          <t>Code</t>
        </is>
      </c>
      <c r="B86" s="116" t="inlineStr">
        <is>
          <t>Option value</t>
        </is>
      </c>
      <c r="C86" s="116" t="inlineStr">
        <is>
          <t>Definition</t>
        </is>
      </c>
      <c r="D86" s="117" t="inlineStr">
        <is>
          <t>Notes</t>
        </is>
      </c>
    </row>
    <row r="87" ht="15" customHeight="1" s="41">
      <c r="A87" s="104" t="inlineStr">
        <is>
          <t>UK</t>
        </is>
      </c>
      <c r="B87" s="105" t="inlineStr">
        <is>
          <t>UNKNOWN</t>
        </is>
      </c>
      <c r="C87" s="105" t="inlineStr">
        <is>
          <t>Content has not been compared</t>
        </is>
      </c>
      <c r="D87" s="106" t="n"/>
    </row>
    <row r="88" ht="15" customHeight="1" s="41">
      <c r="A88" s="101" t="inlineStr">
        <is>
          <t>IN</t>
        </is>
      </c>
      <c r="B88" s="102" t="inlineStr">
        <is>
          <t>INITIAL</t>
        </is>
      </c>
      <c r="C88" s="102" t="inlineStr">
        <is>
          <t>First validated collection; no earlier snapshot exists</t>
        </is>
      </c>
      <c r="D88" s="103" t="n"/>
    </row>
    <row r="89" ht="15" customHeight="1" s="41">
      <c r="A89" s="104" t="inlineStr">
        <is>
          <t>UN</t>
        </is>
      </c>
      <c r="B89" s="105" t="inlineStr">
        <is>
          <t>UNCHANGED</t>
        </is>
      </c>
      <c r="C89" s="105" t="inlineStr">
        <is>
          <t>Hash matches the current valid file</t>
        </is>
      </c>
      <c r="D89" s="106" t="n"/>
    </row>
    <row r="90" ht="15" customHeight="1" s="41">
      <c r="A90" s="107" t="inlineStr">
        <is>
          <t>CH</t>
        </is>
      </c>
      <c r="B90" s="108" t="inlineStr">
        <is>
          <t>CHANGED</t>
        </is>
      </c>
      <c r="C90" s="108" t="inlineStr">
        <is>
          <t>Hash differs and creates a new snapshot</t>
        </is>
      </c>
      <c r="D90" s="109" t="n"/>
    </row>
    <row r="91">
      <c r="A91" s="110" t="n"/>
      <c r="B91" s="110" t="n"/>
      <c r="C91" s="110" t="n"/>
      <c r="D91" s="110" t="n"/>
    </row>
    <row r="92" ht="25" customHeight="1" s="41">
      <c r="A92" s="96" t="inlineStr">
        <is>
          <t>Current origin</t>
        </is>
      </c>
    </row>
    <row r="93" ht="32" customHeight="1" s="41">
      <c r="A93" s="98" t="inlineStr">
        <is>
          <t>Code</t>
        </is>
      </c>
      <c r="B93" s="99" t="inlineStr">
        <is>
          <t>Option value</t>
        </is>
      </c>
      <c r="C93" s="99" t="inlineStr">
        <is>
          <t>Definition</t>
        </is>
      </c>
      <c r="D93" s="100" t="inlineStr">
        <is>
          <t>Notes</t>
        </is>
      </c>
    </row>
    <row r="94" ht="15" customHeight="1" s="41">
      <c r="A94" s="101" t="inlineStr">
        <is>
          <t>NO</t>
        </is>
      </c>
      <c r="B94" s="102" t="inlineStr">
        <is>
          <t>NONE</t>
        </is>
      </c>
      <c r="C94" s="102" t="inlineStr">
        <is>
          <t>No valid file exists</t>
        </is>
      </c>
      <c r="D94" s="103" t="n"/>
    </row>
    <row r="95" ht="15" customHeight="1" s="41">
      <c r="A95" s="104" t="inlineStr">
        <is>
          <t>AU</t>
        </is>
      </c>
      <c r="B95" s="105" t="inlineStr">
        <is>
          <t>AUTO</t>
        </is>
      </c>
      <c r="C95" s="105" t="inlineStr">
        <is>
          <t>Current file came from successful automated retrieval</t>
        </is>
      </c>
      <c r="D95" s="106" t="n"/>
    </row>
    <row r="96" ht="15" customHeight="1" s="41">
      <c r="A96" s="107" t="inlineStr">
        <is>
          <t>MA</t>
        </is>
      </c>
      <c r="B96" s="108" t="inlineStr">
        <is>
          <t>MANUAL</t>
        </is>
      </c>
      <c r="C96" s="108" t="inlineStr">
        <is>
          <t>Current file came from manual fallback</t>
        </is>
      </c>
      <c r="D96" s="109" t="n"/>
    </row>
    <row r="97">
      <c r="A97" s="110" t="n"/>
      <c r="B97" s="110" t="n"/>
      <c r="C97" s="110" t="n"/>
      <c r="D97" s="110" t="n"/>
    </row>
    <row r="98" ht="25" customHeight="1" s="41">
      <c r="A98" s="96" t="inlineStr">
        <is>
          <t>Failure stage</t>
        </is>
      </c>
    </row>
    <row r="99" ht="32" customHeight="1" s="41">
      <c r="A99" s="98" t="inlineStr">
        <is>
          <t>Code</t>
        </is>
      </c>
      <c r="B99" s="99" t="inlineStr">
        <is>
          <t>Option value</t>
        </is>
      </c>
      <c r="C99" s="99" t="inlineStr">
        <is>
          <t>Definition</t>
        </is>
      </c>
      <c r="D99" s="100" t="inlineStr">
        <is>
          <t>Notes</t>
        </is>
      </c>
    </row>
    <row r="100" ht="15" customHeight="1" s="41">
      <c r="A100" s="101" t="inlineStr">
        <is>
          <t>NON</t>
        </is>
      </c>
      <c r="B100" s="102" t="inlineStr">
        <is>
          <t>NONE</t>
        </is>
      </c>
      <c r="C100" s="102" t="inlineStr">
        <is>
          <t>No failure</t>
        </is>
      </c>
      <c r="D100" s="103" t="n"/>
    </row>
    <row r="101" ht="15" customHeight="1" s="41">
      <c r="A101" s="104" t="inlineStr">
        <is>
          <t>CFG</t>
        </is>
      </c>
      <c r="B101" s="105" t="inlineStr">
        <is>
          <t>CONFIG</t>
        </is>
      </c>
      <c r="C101" s="105" t="inlineStr">
        <is>
          <t>Required field, URL, format or folder configuration is invalid</t>
        </is>
      </c>
      <c r="D101" s="106" t="n"/>
    </row>
    <row r="102" ht="15" customHeight="1" s="41">
      <c r="A102" s="101" t="inlineStr">
        <is>
          <t>CON</t>
        </is>
      </c>
      <c r="B102" s="102" t="inlineStr">
        <is>
          <t>CONNECTION</t>
        </is>
      </c>
      <c r="C102" s="102" t="inlineStr">
        <is>
          <t>DNS, network or connection failure</t>
        </is>
      </c>
      <c r="D102" s="103" t="n"/>
    </row>
    <row r="103" ht="15" customHeight="1" s="41">
      <c r="A103" s="104" t="inlineStr">
        <is>
          <t>HTT</t>
        </is>
      </c>
      <c r="B103" s="105" t="inlineStr">
        <is>
          <t>HTTP</t>
        </is>
      </c>
      <c r="C103" s="105" t="inlineStr">
        <is>
          <t>HTTP status, redirect or permission failure</t>
        </is>
      </c>
      <c r="D103" s="106" t="n"/>
    </row>
    <row r="104" ht="15" customHeight="1" s="41">
      <c r="A104" s="101" t="inlineStr">
        <is>
          <t>DOW</t>
        </is>
      </c>
      <c r="B104" s="102" t="inlineStr">
        <is>
          <t>DOWNLOAD</t>
        </is>
      </c>
      <c r="C104" s="102" t="inlineStr">
        <is>
          <t>Interrupted, timed-out or incomplete download</t>
        </is>
      </c>
      <c r="D104" s="103" t="n"/>
    </row>
    <row r="105" ht="15" customHeight="1" s="41">
      <c r="A105" s="104" t="inlineStr">
        <is>
          <t>FOR</t>
        </is>
      </c>
      <c r="B105" s="105" t="inlineStr">
        <is>
          <t>FORMAT</t>
        </is>
      </c>
      <c r="C105" s="105" t="inlineStr">
        <is>
          <t>Extension, MIME type or file signature mismatch</t>
        </is>
      </c>
      <c r="D105" s="106" t="n"/>
    </row>
    <row r="106" ht="15" customHeight="1" s="41">
      <c r="A106" s="101" t="inlineStr">
        <is>
          <t>CNT</t>
        </is>
      </c>
      <c r="B106" s="102" t="inlineStr">
        <is>
          <t>CONTENT</t>
        </is>
      </c>
      <c r="C106" s="102" t="inlineStr">
        <is>
          <t>Empty file, error page, login page or unreadable content</t>
        </is>
      </c>
      <c r="D106" s="103" t="n"/>
    </row>
    <row r="107" ht="15" customHeight="1" s="41">
      <c r="A107" s="104" t="inlineStr">
        <is>
          <t>STO</t>
        </is>
      </c>
      <c r="B107" s="105" t="inlineStr">
        <is>
          <t>STORAGE</t>
        </is>
      </c>
      <c r="C107" s="105" t="inlineStr">
        <is>
          <t>Write, rename or archive failure</t>
        </is>
      </c>
      <c r="D107" s="106" t="n"/>
    </row>
    <row r="108" ht="15" customHeight="1" s="41">
      <c r="A108" s="107" t="inlineStr">
        <is>
          <t>UNK</t>
        </is>
      </c>
      <c r="B108" s="108" t="inlineStr">
        <is>
          <t>UNKNOWN</t>
        </is>
      </c>
      <c r="C108" s="108" t="inlineStr">
        <is>
          <t>Failure stage not yet identified</t>
        </is>
      </c>
      <c r="D108" s="109" t="n"/>
    </row>
    <row r="109">
      <c r="A109" s="110" t="n"/>
      <c r="B109" s="110" t="n"/>
      <c r="C109" s="110" t="n"/>
      <c r="D109" s="110" t="n"/>
    </row>
    <row r="110" ht="25" customHeight="1" s="41">
      <c r="A110" s="96" t="inlineStr">
        <is>
          <t>Source status</t>
        </is>
      </c>
    </row>
    <row r="111" ht="32" customHeight="1" s="41">
      <c r="A111" s="98" t="inlineStr">
        <is>
          <t>Code</t>
        </is>
      </c>
      <c r="B111" s="99" t="inlineStr">
        <is>
          <t>Option value</t>
        </is>
      </c>
      <c r="C111" s="99" t="inlineStr">
        <is>
          <t>Definition</t>
        </is>
      </c>
      <c r="D111" s="100" t="inlineStr">
        <is>
          <t>Notes</t>
        </is>
      </c>
    </row>
    <row r="112" ht="15" customHeight="1" s="41">
      <c r="A112" s="101" t="inlineStr">
        <is>
          <t>CU</t>
        </is>
      </c>
      <c r="B112" s="102" t="inlineStr">
        <is>
          <t>CURRENT</t>
        </is>
      </c>
      <c r="C112" s="102" t="inlineStr">
        <is>
          <t>Currently valid source</t>
        </is>
      </c>
      <c r="D112" s="103" t="n"/>
    </row>
    <row r="113" ht="15" customHeight="1" s="41">
      <c r="A113" s="104" t="inlineStr">
        <is>
          <t>SU</t>
        </is>
      </c>
      <c r="B113" s="105" t="inlineStr">
        <is>
          <t>SUPERSEDED</t>
        </is>
      </c>
      <c r="C113" s="105" t="inlineStr">
        <is>
          <t>Replaced by a later source or version</t>
        </is>
      </c>
      <c r="D113" s="106" t="n"/>
    </row>
    <row r="114" ht="15" customHeight="1" s="41">
      <c r="A114" s="107" t="inlineStr">
        <is>
          <t>WI</t>
        </is>
      </c>
      <c r="B114" s="108" t="inlineStr">
        <is>
          <t>WITHDRAWN</t>
        </is>
      </c>
      <c r="C114" s="108" t="inlineStr">
        <is>
          <t>Withdrawn by the issuer or no longer applicable</t>
        </is>
      </c>
      <c r="D114" s="109" t="n"/>
    </row>
    <row r="115">
      <c r="A115" s="110" t="n"/>
      <c r="B115" s="110" t="n"/>
      <c r="C115" s="110" t="n"/>
      <c r="D115" s="110" t="n"/>
    </row>
    <row r="116" ht="25" customHeight="1" s="41">
      <c r="A116" s="96" t="inlineStr">
        <is>
          <t>Acquisition channel</t>
        </is>
      </c>
    </row>
    <row r="117" ht="32" customHeight="1" s="41">
      <c r="A117" s="98" t="inlineStr">
        <is>
          <t>Code</t>
        </is>
      </c>
      <c r="B117" s="99" t="inlineStr">
        <is>
          <t>Option value</t>
        </is>
      </c>
      <c r="C117" s="99" t="inlineStr">
        <is>
          <t>Definition</t>
        </is>
      </c>
      <c r="D117" s="100" t="inlineStr">
        <is>
          <t>Notes</t>
        </is>
      </c>
    </row>
    <row r="118" ht="15" customHeight="1" s="41">
      <c r="A118" s="101" t="inlineStr">
        <is>
          <t>OW</t>
        </is>
      </c>
      <c r="B118" s="102" t="inlineStr">
        <is>
          <t>OFFICIAL_WEBSITE</t>
        </is>
      </c>
      <c r="C118" s="102" t="inlineStr">
        <is>
          <t>Retrieved from an official public issuer or scheme website</t>
        </is>
      </c>
      <c r="D118" s="103" t="n"/>
    </row>
    <row r="119" ht="15" customHeight="1" s="41">
      <c r="A119" s="104" t="inlineStr">
        <is>
          <t>CL</t>
        </is>
      </c>
      <c r="B119" s="105" t="inlineStr">
        <is>
          <t>CLIENT_OR_SITE</t>
        </is>
      </c>
      <c r="C119" s="105" t="inlineStr">
        <is>
          <t>Provided through a client or site-controlled channel</t>
        </is>
      </c>
      <c r="D119" s="106" t="n"/>
    </row>
    <row r="120" ht="15" customHeight="1" s="41">
      <c r="A120" s="101" t="inlineStr">
        <is>
          <t>SI</t>
        </is>
      </c>
      <c r="B120" s="102" t="inlineStr">
        <is>
          <t>SUPPLIER_OR_INTEGRATOR</t>
        </is>
      </c>
      <c r="C120" s="102" t="inlineStr">
        <is>
          <t>Provided by a supplier, OEM representative or system integrator</t>
        </is>
      </c>
      <c r="D120" s="103" t="n"/>
    </row>
    <row r="121" ht="15" customHeight="1" s="41">
      <c r="A121" s="104" t="inlineStr">
        <is>
          <t>IR</t>
        </is>
      </c>
      <c r="B121" s="105" t="inlineStr">
        <is>
          <t>INTERNAL_REPOSITORY</t>
        </is>
      </c>
      <c r="C121" s="105" t="inlineStr">
        <is>
          <t>Obtained from an authorised controlled internal repository</t>
        </is>
      </c>
      <c r="D121" s="106" t="n"/>
    </row>
    <row r="122" ht="15" customHeight="1" s="41">
      <c r="A122" s="107" t="inlineStr">
        <is>
          <t>OT</t>
        </is>
      </c>
      <c r="B122" s="108" t="inlineStr">
        <is>
          <t>OTHER</t>
        </is>
      </c>
      <c r="C122" s="108" t="inlineStr">
        <is>
          <t>Another documented acquisition route</t>
        </is>
      </c>
      <c r="D122" s="109" t="n"/>
    </row>
    <row r="123">
      <c r="A123" s="110" t="n"/>
      <c r="B123" s="110" t="n"/>
      <c r="C123" s="110" t="n"/>
      <c r="D123" s="110" t="n"/>
    </row>
    <row r="124" ht="25" customHeight="1" s="41">
      <c r="A124" s="96" t="inlineStr">
        <is>
          <t>Provenance status</t>
        </is>
      </c>
    </row>
    <row r="125" ht="32" customHeight="1" s="41">
      <c r="A125" s="98" t="inlineStr">
        <is>
          <t>Code</t>
        </is>
      </c>
      <c r="B125" s="99" t="inlineStr">
        <is>
          <t>Option value</t>
        </is>
      </c>
      <c r="C125" s="99" t="inlineStr">
        <is>
          <t>Definition</t>
        </is>
      </c>
      <c r="D125" s="100" t="inlineStr">
        <is>
          <t>Notes</t>
        </is>
      </c>
    </row>
    <row r="126" ht="15" customHeight="1" s="41">
      <c r="A126" s="101" t="inlineStr">
        <is>
          <t>OO</t>
        </is>
      </c>
      <c r="B126" s="102" t="inlineStr">
        <is>
          <t>OFFICIAL_ORIGINAL</t>
        </is>
      </c>
      <c r="C126" s="102" t="inlineStr">
        <is>
          <t>Direct official original or issuer-controlled copy</t>
        </is>
      </c>
      <c r="D126" s="103" t="n"/>
    </row>
    <row r="127" ht="15" customHeight="1" s="41">
      <c r="A127" s="104" t="inlineStr">
        <is>
          <t>AC</t>
        </is>
      </c>
      <c r="B127" s="105" t="inlineStr">
        <is>
          <t>AUTHORISED_COPY</t>
        </is>
      </c>
      <c r="C127" s="105" t="inlineStr">
        <is>
          <t>Copy confirmed by the issuer or an authorised responsible party</t>
        </is>
      </c>
      <c r="D127" s="106" t="n"/>
    </row>
    <row r="128" ht="30" customHeight="1" s="41">
      <c r="A128" s="101" t="inlineStr">
        <is>
          <t>CC</t>
        </is>
      </c>
      <c r="B128" s="102" t="inlineStr">
        <is>
          <t>CLIENT_PROVIDED_COPY</t>
        </is>
      </c>
      <c r="C128" s="102" t="inlineStr">
        <is>
          <t>Client-provided copy with provenance recorded but authority still assessed separately</t>
        </is>
      </c>
      <c r="D128" s="103" t="n"/>
    </row>
    <row r="129" ht="15" customHeight="1" s="41">
      <c r="A129" s="111" t="inlineStr">
        <is>
          <t>UV</t>
        </is>
      </c>
      <c r="B129" s="112" t="inlineStr">
        <is>
          <t>UNVERIFIED</t>
        </is>
      </c>
      <c r="C129" s="112" t="inlineStr">
        <is>
          <t>Authenticity, completeness or authorisation has not been confirmed</t>
        </is>
      </c>
      <c r="D129" s="113" t="n"/>
    </row>
    <row r="130">
      <c r="A130" s="97" t="n"/>
      <c r="B130" s="97" t="n"/>
      <c r="C130" s="97" t="n"/>
      <c r="D130" s="97" t="n"/>
    </row>
    <row r="131" ht="25" customHeight="1" s="41">
      <c r="A131" s="114" t="inlineStr">
        <is>
          <t>Update model</t>
        </is>
      </c>
    </row>
    <row r="132" ht="32" customHeight="1" s="41">
      <c r="A132" s="115" t="inlineStr">
        <is>
          <t>Code</t>
        </is>
      </c>
      <c r="B132" s="116" t="inlineStr">
        <is>
          <t>Option value</t>
        </is>
      </c>
      <c r="C132" s="116" t="inlineStr">
        <is>
          <t>Definition</t>
        </is>
      </c>
      <c r="D132" s="117" t="inlineStr">
        <is>
          <t>Notes</t>
        </is>
      </c>
    </row>
    <row r="133" ht="15" customHeight="1" s="41">
      <c r="A133" s="104" t="inlineStr">
        <is>
          <t>VE</t>
        </is>
      </c>
      <c r="B133" s="105" t="inlineStr">
        <is>
          <t>VERSIONED</t>
        </is>
      </c>
      <c r="C133" s="105" t="inlineStr">
        <is>
          <t>Issuer publishes identifiable versions or revisions</t>
        </is>
      </c>
      <c r="D133" s="106" t="n"/>
    </row>
    <row r="134" ht="15" customHeight="1" s="41">
      <c r="A134" s="101" t="inlineStr">
        <is>
          <t>RO</t>
        </is>
      </c>
      <c r="B134" s="102" t="inlineStr">
        <is>
          <t>ROLLING</t>
        </is>
      </c>
      <c r="C134" s="102" t="inlineStr">
        <is>
          <t>Issuer maintains content without a formal version number</t>
        </is>
      </c>
      <c r="D134" s="103" t="n"/>
    </row>
    <row r="135" ht="15" customHeight="1" s="41">
      <c r="A135" s="111" t="inlineStr">
        <is>
          <t>UN</t>
        </is>
      </c>
      <c r="B135" s="112" t="inlineStr">
        <is>
          <t>UNKNOWN</t>
        </is>
      </c>
      <c r="C135" s="112" t="inlineStr">
        <is>
          <t>Update pattern has not been confirmed</t>
        </is>
      </c>
      <c r="D135" s="113" t="n"/>
    </row>
  </sheetData>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302"/>
  <sheetViews>
    <sheetView showGridLines="0" workbookViewId="0">
      <pane ySplit="3" topLeftCell="A4" activePane="bottomLeft" state="frozen"/>
      <selection pane="bottomLeft" activeCell="A1" sqref="A1:O1"/>
    </sheetView>
  </sheetViews>
  <sheetFormatPr baseColWidth="10" defaultColWidth="8.83203125" defaultRowHeight="14"/>
  <cols>
    <col width="10" customWidth="1" style="41" min="1" max="1"/>
    <col width="12" customWidth="1" style="41" min="2" max="2"/>
    <col width="34" customWidth="1" style="41" min="3" max="3"/>
    <col width="14" customWidth="1" style="41" min="4" max="5"/>
    <col width="13" customWidth="1" style="41" min="5" max="5"/>
    <col width="18" customWidth="1" style="41" min="6" max="8"/>
    <col width="13" customWidth="1" style="41" min="7" max="7"/>
    <col width="13" customWidth="1" style="41" min="8" max="8"/>
    <col width="14" customWidth="1" style="41" min="9" max="9"/>
    <col width="12" customWidth="1" style="41" min="10" max="10"/>
    <col width="16" customWidth="1" style="41" min="11" max="11"/>
    <col width="14" customWidth="1" style="41" min="12" max="12"/>
    <col width="36" customWidth="1" style="41" min="13" max="13"/>
    <col width="16" customWidth="1" style="41" min="14" max="14"/>
    <col width="36" customWidth="1" style="41" min="15" max="15"/>
    <col width="42" customWidth="1" style="41" min="16" max="18"/>
    <col width="13" customWidth="1" style="41" min="17" max="17"/>
    <col width="13" customWidth="1" style="41" min="18" max="18"/>
    <col width="26" customWidth="1" style="41" min="19" max="19"/>
    <col width="12" customWidth="1" style="41" min="20" max="20"/>
    <col width="28" customWidth="1" style="41" min="21" max="21"/>
    <col width="15" customWidth="1" style="41" min="22" max="22"/>
    <col width="17" customWidth="1" style="41" min="23" max="23"/>
    <col width="14" customWidth="1" style="41" min="24" max="25"/>
    <col width="13" customWidth="1" style="41" min="25" max="25"/>
    <col width="22" customWidth="1" style="41" min="26" max="26"/>
    <col width="24" customWidth="1" style="41" min="27" max="27"/>
    <col width="25" customWidth="1" style="41" min="28" max="28"/>
    <col width="54" customWidth="1" style="41" min="29" max="29"/>
    <col width="14" customWidth="1" style="41" min="30" max="34"/>
    <col width="13" customWidth="1" style="41" min="31" max="31"/>
    <col width="13" customWidth="1" style="41" min="32" max="32"/>
    <col width="13" customWidth="1" style="41" min="33" max="33"/>
    <col width="13" customWidth="1" style="41" min="34" max="34"/>
    <col width="16" customWidth="1" style="41" min="35" max="35"/>
    <col width="20" customWidth="1" style="41" min="36" max="36"/>
    <col width="16" customWidth="1" style="41" min="37" max="37"/>
    <col width="18" customWidth="1" style="41" min="38" max="38"/>
    <col width="14" customWidth="1" style="41" min="39" max="39"/>
    <col width="16" customWidth="1" style="41" min="40" max="40"/>
    <col width="44" customWidth="1" style="41" min="41" max="41"/>
    <col width="22" customWidth="1" style="41" min="42" max="42"/>
    <col width="20" customWidth="1" style="41" min="43" max="43"/>
    <col width="14" customWidth="1" style="41" min="44" max="44"/>
    <col width="28" customWidth="1" style="41" min="45" max="45"/>
  </cols>
  <sheetData>
    <row r="1" ht="22" customHeight="1" s="41">
      <c r="A1" s="118" t="inlineStr">
        <is>
          <t>PROGRAM-MANAGED | DO NOT EDIT DIRECTLY</t>
        </is>
      </c>
      <c r="B1" s="75" t="n"/>
      <c r="C1" s="75" t="n"/>
      <c r="D1" s="75" t="n"/>
      <c r="E1" s="75" t="n"/>
      <c r="F1" s="75" t="n"/>
      <c r="G1" s="75" t="n"/>
      <c r="H1" s="75" t="n"/>
      <c r="I1" s="75" t="n"/>
      <c r="J1" s="75" t="n"/>
      <c r="K1" s="75" t="n"/>
      <c r="L1" s="75" t="n"/>
      <c r="M1" s="75" t="n"/>
      <c r="N1" s="75" t="n"/>
      <c r="O1" s="75" t="n"/>
      <c r="P1" s="120" t="inlineStr">
        <is>
          <t>HUMAN-GOVERNED | CHANGES APPLIED FROM HUMAN OPERATION DESKTOP</t>
        </is>
      </c>
      <c r="Q1" s="75" t="n"/>
      <c r="R1" s="75" t="n"/>
      <c r="S1" s="75" t="n"/>
      <c r="T1" s="75" t="n"/>
      <c r="U1" s="75" t="n"/>
      <c r="V1" s="75" t="n"/>
      <c r="W1" s="75" t="n"/>
      <c r="X1" s="75" t="n"/>
      <c r="Y1" s="75" t="n"/>
      <c r="Z1" s="75" t="n"/>
      <c r="AA1" s="75" t="n"/>
      <c r="AB1" s="75" t="n"/>
      <c r="AC1" s="75" t="n"/>
      <c r="AD1" s="75" t="n"/>
      <c r="AE1" s="75" t="n"/>
      <c r="AF1" s="75" t="n"/>
      <c r="AG1" s="75" t="n"/>
      <c r="AH1" s="75" t="n"/>
      <c r="AI1" s="75" t="n"/>
      <c r="AJ1" s="75" t="n"/>
      <c r="AK1" s="75" t="n"/>
      <c r="AL1" s="75" t="n"/>
      <c r="AM1" s="75" t="n"/>
      <c r="AN1" s="75" t="n"/>
      <c r="AO1" s="75" t="n"/>
      <c r="AP1" s="75" t="n"/>
      <c r="AQ1" s="75" t="n"/>
      <c r="AR1" s="75" t="n"/>
      <c r="AS1" s="75" t="n"/>
    </row>
    <row r="2" ht="18" customHeight="1" s="41">
      <c r="A2" s="121" t="inlineStr">
        <is>
          <t>source_id</t>
        </is>
      </c>
      <c r="B2" s="121" t="inlineStr">
        <is>
          <t>snapshot_id</t>
        </is>
      </c>
      <c r="C2" s="121" t="inlineStr">
        <is>
          <t>stored_filename</t>
        </is>
      </c>
      <c r="D2" s="121" t="inlineStr">
        <is>
          <t>snapshot_status</t>
        </is>
      </c>
      <c r="E2" s="121" t="inlineStr">
        <is>
          <t>selection_status</t>
        </is>
      </c>
      <c r="F2" s="121" t="inlineStr">
        <is>
          <t>download_status</t>
        </is>
      </c>
      <c r="G2" s="121" t="inlineStr">
        <is>
          <t>last_attempt_at</t>
        </is>
      </c>
      <c r="H2" s="121" t="inlineStr">
        <is>
          <t>last_success_at</t>
        </is>
      </c>
      <c r="I2" s="121" t="inlineStr">
        <is>
          <t>content_change</t>
        </is>
      </c>
      <c r="J2" s="121" t="inlineStr">
        <is>
          <t>current_origin</t>
        </is>
      </c>
      <c r="K2" s="121" t="inlineStr">
        <is>
          <t>current_snapshot_date</t>
        </is>
      </c>
      <c r="L2" s="121" t="inlineStr">
        <is>
          <t>failure_stage</t>
        </is>
      </c>
      <c r="M2" s="121" t="inlineStr">
        <is>
          <t>failure_reason</t>
        </is>
      </c>
      <c r="N2" s="121" t="inlineStr">
        <is>
          <t>needs_human_action</t>
        </is>
      </c>
      <c r="O2" s="121" t="inlineStr">
        <is>
          <t>content_hash</t>
        </is>
      </c>
      <c r="P2" s="121" t="inlineStr">
        <is>
          <t>source_title</t>
        </is>
      </c>
      <c r="Q2" s="121" t="inlineStr">
        <is>
          <t>official_url</t>
        </is>
      </c>
      <c r="R2" s="121" t="inlineStr">
        <is>
          <t>retrieval_url</t>
        </is>
      </c>
      <c r="S2" s="121" t="inlineStr">
        <is>
          <t>folder_code</t>
        </is>
      </c>
      <c r="T2" s="121" t="inlineStr">
        <is>
          <t>file_format</t>
        </is>
      </c>
      <c r="U2" s="121" t="inlineStr">
        <is>
          <t>issuer</t>
        </is>
      </c>
      <c r="V2" s="121" t="inlineStr">
        <is>
          <t>jurisdiction</t>
        </is>
      </c>
      <c r="W2" s="121" t="inlineStr">
        <is>
          <t>authoritative_language</t>
        </is>
      </c>
      <c r="X2" s="121" t="inlineStr">
        <is>
          <t>version</t>
        </is>
      </c>
      <c r="Y2" s="121" t="inlineStr">
        <is>
          <t>effective_date</t>
        </is>
      </c>
      <c r="Z2" s="121" t="inlineStr">
        <is>
          <t>source_family</t>
        </is>
      </c>
      <c r="AA2" s="121" t="inlineStr">
        <is>
          <t>document_type</t>
        </is>
      </c>
      <c r="AB2" s="121" t="inlineStr">
        <is>
          <t>requirement_role</t>
        </is>
      </c>
      <c r="AC2" s="121" t="inlineStr">
        <is>
          <t>inclusion_rationale</t>
        </is>
      </c>
      <c r="AD2" s="121" t="inlineStr">
        <is>
          <t>authority_quality</t>
        </is>
      </c>
      <c r="AE2" s="121" t="inlineStr">
        <is>
          <t>scope_relevance</t>
        </is>
      </c>
      <c r="AF2" s="121" t="inlineStr">
        <is>
          <t>version_currency</t>
        </is>
      </c>
      <c r="AG2" s="121" t="inlineStr">
        <is>
          <t>traceability</t>
        </is>
      </c>
      <c r="AH2" s="121" t="inlineStr">
        <is>
          <t>access_permission</t>
        </is>
      </c>
      <c r="AI2" s="121" t="inlineStr">
        <is>
          <t>automation_readiness</t>
        </is>
      </c>
      <c r="AJ2" s="121" t="inlineStr">
        <is>
          <t>operator_selection_decision</t>
        </is>
      </c>
      <c r="AK2" s="121" t="inlineStr">
        <is>
          <t>manual_update_date</t>
        </is>
      </c>
      <c r="AL2" s="121" t="inlineStr">
        <is>
          <t>manual_updated_by</t>
        </is>
      </c>
      <c r="AM2" s="121" t="inlineStr">
        <is>
          <t>source_status</t>
        </is>
      </c>
      <c r="AN2" s="121" t="inlineStr">
        <is>
          <t>primary_source_id</t>
        </is>
      </c>
      <c r="AO2" s="121" t="inlineStr">
        <is>
          <t>notes</t>
        </is>
      </c>
      <c r="AP2" s="121" t="inlineStr">
        <is>
          <t>acquisition_channel</t>
        </is>
      </c>
      <c r="AQ2" s="121" t="inlineStr">
        <is>
          <t>provenance_status</t>
        </is>
      </c>
      <c r="AR2" s="121" t="inlineStr">
        <is>
          <t>update_model</t>
        </is>
      </c>
      <c r="AS2" s="121" t="inlineStr">
        <is>
          <t>applicability_reference</t>
        </is>
      </c>
    </row>
    <row r="3" ht="34" customHeight="1" s="41">
      <c r="A3" s="122" t="inlineStr">
        <is>
          <t>PA001</t>
        </is>
      </c>
      <c r="B3" s="122" t="inlineStr">
        <is>
          <t>PA001-001</t>
        </is>
      </c>
      <c r="C3" s="122" t="inlineStr">
        <is>
          <t>PA001-001_Act_relating_to_aquaculture_Aquaculture_Act.html</t>
        </is>
      </c>
      <c r="D3" s="122" t="inlineStr">
        <is>
          <t>STORED</t>
        </is>
      </c>
      <c r="E3" s="122">
        <f>IF(A3="","",IF(OR(AJ3="EXCLUDE",COUNTIF(AD3:AH3,"LOW")&gt;0),"EXCLUDE",IF(OR(AJ3&lt;&gt;"INCLUDE",F3&lt;&gt;"SUCCESS",D3&lt;&gt;"STORED",U3="",AP3="",AQ3="",AQ3="UNVERIFIED",AND(AP3="OFFICIAL_WEBSITE",Q3=""),AND(OR(AA3="Equipment manual / OEM instruction",AB3="Asset-specific normative"),OR(Z3&lt;&gt;"Manufacturer / supplier",AS3="",AC3=""))),"PENDING",IF(COUNTIF(AD3:AH3,"HIGH")=5,"INCLUDE","PENDING"))))</f>
        <v/>
      </c>
      <c r="F3" s="122" t="inlineStr">
        <is>
          <t>SUCCESS</t>
        </is>
      </c>
      <c r="G3" s="123" t="n">
        <v>46262.53069444445</v>
      </c>
      <c r="H3" s="123" t="n">
        <v>46262.53069444445</v>
      </c>
      <c r="I3" s="122" t="inlineStr">
        <is>
          <t>INITIAL</t>
        </is>
      </c>
      <c r="J3" s="122" t="inlineStr">
        <is>
          <t>AUTO</t>
        </is>
      </c>
      <c r="K3" s="124">
        <f>IF(A3="","",IF(J3="AUTO",H3,IF(J3="MANUAL",AK3,"")))</f>
        <v/>
      </c>
      <c r="L3" s="122" t="inlineStr">
        <is>
          <t>NONE</t>
        </is>
      </c>
      <c r="M3" s="12" t="n"/>
      <c r="N3" s="122">
        <f>IF(A3="","",IF(COUNTIFS('Human Operation Desktop'!$A$3:$A$502,A3,'Human Operation Desktop'!$I$3:$I$502,"&lt;&gt;APPLIED",'Human Operation Desktop'!$I$3:$I$502,"&lt;&gt;REJECTED")&gt;0,"YES","NO"))</f>
        <v/>
      </c>
      <c r="O3" s="122" t="inlineStr">
        <is>
          <t>8c9f2d952806c8dabc44294d197d55654284d98ff63683cae18633b9ab76a967</t>
        </is>
      </c>
      <c r="P3" s="122" t="inlineStr">
        <is>
          <t>Act relating to aquaculture (Aquaculture Act)</t>
        </is>
      </c>
      <c r="Q3" s="122" t="inlineStr">
        <is>
          <t>https://lovdata.no/dokument/NL/lov/2005-06-17-79</t>
        </is>
      </c>
      <c r="R3" s="122" t="inlineStr">
        <is>
          <t>https://lovdata.no/dokument/NL/lov/2005-06-17-79</t>
        </is>
      </c>
      <c r="S3" s="122" t="inlineStr">
        <is>
          <t>A_Public_Authority</t>
        </is>
      </c>
      <c r="T3" s="122" t="inlineStr">
        <is>
          <t>html</t>
        </is>
      </c>
      <c r="U3" s="122" t="inlineStr">
        <is>
          <t>Norwegian Ministry of Trade, Industry and Fisheries</t>
        </is>
      </c>
      <c r="V3" s="122" t="inlineStr">
        <is>
          <t>Norway</t>
        </is>
      </c>
      <c r="W3" s="122" t="inlineStr">
        <is>
          <t>Norwegian</t>
        </is>
      </c>
      <c r="X3" s="13" t="n"/>
      <c r="Y3" s="13" t="n"/>
      <c r="Z3" s="122" t="inlineStr">
        <is>
          <t>Public authority</t>
        </is>
      </c>
      <c r="AA3" s="122" t="inlineStr">
        <is>
          <t>Law</t>
        </is>
      </c>
      <c r="AB3" s="122" t="inlineStr">
        <is>
          <t>Primary normative</t>
        </is>
      </c>
      <c r="AC3" s="122" t="inlineStr">
        <is>
          <t>Official law issued by Norwegian Ministry of Trade, Industry and Fisheries; included because it may impose binding requirements on an in-scope aquaculture asset, activity, permit or certification.</t>
        </is>
      </c>
      <c r="AD3" s="122" t="inlineStr">
        <is>
          <t>HIGH</t>
        </is>
      </c>
      <c r="AE3" s="122" t="inlineStr">
        <is>
          <t>HIGH</t>
        </is>
      </c>
      <c r="AF3" s="122" t="inlineStr">
        <is>
          <t>HIGH</t>
        </is>
      </c>
      <c r="AG3" s="122" t="inlineStr">
        <is>
          <t>HIGH</t>
        </is>
      </c>
      <c r="AH3" s="122" t="inlineStr">
        <is>
          <t>HIGH</t>
        </is>
      </c>
      <c r="AI3" s="122" t="inlineStr">
        <is>
          <t>HIGH</t>
        </is>
      </c>
      <c r="AJ3" s="122" t="inlineStr">
        <is>
          <t>INCLUDE</t>
        </is>
      </c>
      <c r="AK3" s="125" t="n"/>
      <c r="AL3" s="13" t="n"/>
      <c r="AM3" s="122" t="inlineStr">
        <is>
          <t>CURRENT</t>
        </is>
      </c>
      <c r="AN3" s="13" t="n"/>
      <c r="AO3" s="122" t="inlineStr">
        <is>
          <t>Project-mentioned candidate. Client scope and applicability are not yet approved.</t>
        </is>
      </c>
      <c r="AP3" s="122" t="inlineStr">
        <is>
          <t>OFFICIAL_WEBSITE</t>
        </is>
      </c>
      <c r="AQ3" s="122" t="inlineStr">
        <is>
          <t>OFFICIAL_ORIGINAL</t>
        </is>
      </c>
      <c r="AR3" s="122" t="inlineStr">
        <is>
          <t>ROLLING</t>
        </is>
      </c>
      <c r="AS3" s="13" t="n"/>
    </row>
    <row r="4" ht="30" customHeight="1" s="41">
      <c r="A4" s="126" t="inlineStr">
        <is>
          <t>PA002</t>
        </is>
      </c>
      <c r="B4" s="126" t="inlineStr">
        <is>
          <t>PA002-001</t>
        </is>
      </c>
      <c r="C4" s="127" t="inlineStr">
        <is>
          <t>PA002-001_Regulation_on_production_areas_for_sea-based_salmon_trout_and_rainbow_trout_aquaculture.html</t>
        </is>
      </c>
      <c r="D4" s="128" t="inlineStr">
        <is>
          <t>STORED</t>
        </is>
      </c>
      <c r="E4" s="128">
        <f>IF(A4="","",IF(OR(AJ4="EXCLUDE",COUNTIF(AD4:AH4,"LOW")&gt;0),"EXCLUDE",IF(OR(AJ4&lt;&gt;"INCLUDE",F4&lt;&gt;"SUCCESS",D4&lt;&gt;"STORED",U4="",AP4="",AQ4="",AQ4="UNVERIFIED",AND(AP4="OFFICIAL_WEBSITE",Q4=""),AND(OR(AA4="Equipment manual / OEM instruction",AB4="Asset-specific normative"),OR(Z4&lt;&gt;"Manufacturer / supplier",AS4="",AC4=""))),"PENDING",IF(COUNTIF(AD4:AH4,"HIGH")=5,"INCLUDE","PENDING"))))</f>
        <v/>
      </c>
      <c r="F4" s="128" t="inlineStr">
        <is>
          <t>SUCCESS</t>
        </is>
      </c>
      <c r="G4" s="129" t="n">
        <v>46262.53069444445</v>
      </c>
      <c r="H4" s="129" t="n">
        <v>46262.53069444445</v>
      </c>
      <c r="I4" s="128" t="inlineStr">
        <is>
          <t>INITIAL</t>
        </is>
      </c>
      <c r="J4" s="128" t="inlineStr">
        <is>
          <t>AUTO</t>
        </is>
      </c>
      <c r="K4" s="130">
        <f>IF(A4="","",IF(J4="AUTO",H4,IF(J4="MANUAL",AK4,"")))</f>
        <v/>
      </c>
      <c r="L4" s="128" t="inlineStr">
        <is>
          <t>NONE</t>
        </is>
      </c>
      <c r="M4" s="12" t="n"/>
      <c r="N4" s="128">
        <f>IF(A4="","",IF(COUNTIFS('Human Operation Desktop'!$A$3:$A$502,A4,'Human Operation Desktop'!$I$3:$I$502,"&lt;&gt;APPLIED",'Human Operation Desktop'!$I$3:$I$502,"&lt;&gt;REJECTED")&gt;0,"YES","NO"))</f>
        <v/>
      </c>
      <c r="O4" s="128" t="inlineStr">
        <is>
          <t>19a632a343fe10fa8262a0ed8df8daa6d3e96e34ff686704da4c28e3671b2833</t>
        </is>
      </c>
      <c r="P4" s="131" t="inlineStr">
        <is>
          <t>Regulation on production areas for sea-based salmon, trout and rainbow trout aquaculture</t>
        </is>
      </c>
      <c r="Q4" s="131" t="inlineStr">
        <is>
          <t>https://lovdata.no/dokument/SF/forskrift/2017-01-16-61</t>
        </is>
      </c>
      <c r="R4" s="131" t="inlineStr">
        <is>
          <t>https://lovdata.no/dokument/SF/forskrift/2017-01-16-61</t>
        </is>
      </c>
      <c r="S4" s="131" t="inlineStr">
        <is>
          <t>A_Public_Authority</t>
        </is>
      </c>
      <c r="T4" s="131" t="inlineStr">
        <is>
          <t>html</t>
        </is>
      </c>
      <c r="U4" s="131" t="inlineStr">
        <is>
          <t>Norwegian Ministry of Trade, Industry and Fisheries</t>
        </is>
      </c>
      <c r="V4" s="131" t="inlineStr">
        <is>
          <t>Norway</t>
        </is>
      </c>
      <c r="W4" s="131" t="inlineStr">
        <is>
          <t>Norwegian</t>
        </is>
      </c>
      <c r="X4" s="13" t="n"/>
      <c r="Y4" s="13" t="n"/>
      <c r="Z4" s="131" t="inlineStr">
        <is>
          <t>Public authority</t>
        </is>
      </c>
      <c r="AA4" s="131" t="inlineStr">
        <is>
          <t>Regulation</t>
        </is>
      </c>
      <c r="AB4" s="131" t="inlineStr">
        <is>
          <t>Primary normative</t>
        </is>
      </c>
      <c r="AC4" s="131" t="inlineStr">
        <is>
          <t>Official regulation issued by Norwegian Ministry of Trade, Industry and Fisheries; included because it may impose binding requirements on an in-scope aquaculture asset, activity, permit or certification.</t>
        </is>
      </c>
      <c r="AD4" s="131" t="inlineStr">
        <is>
          <t>HIGH</t>
        </is>
      </c>
      <c r="AE4" s="131" t="inlineStr">
        <is>
          <t>HIGH</t>
        </is>
      </c>
      <c r="AF4" s="131" t="inlineStr">
        <is>
          <t>HIGH</t>
        </is>
      </c>
      <c r="AG4" s="131" t="inlineStr">
        <is>
          <t>HIGH</t>
        </is>
      </c>
      <c r="AH4" s="131" t="inlineStr">
        <is>
          <t>HIGH</t>
        </is>
      </c>
      <c r="AI4" s="131" t="inlineStr">
        <is>
          <t>HIGH</t>
        </is>
      </c>
      <c r="AJ4" s="131" t="inlineStr">
        <is>
          <t>INCLUDE</t>
        </is>
      </c>
      <c r="AK4" s="125" t="n"/>
      <c r="AL4" s="13" t="n"/>
      <c r="AM4" s="131" t="inlineStr">
        <is>
          <t>CURRENT</t>
        </is>
      </c>
      <c r="AN4" s="13" t="n"/>
      <c r="AO4" s="131" t="inlineStr">
        <is>
          <t>Project-mentioned candidate. Conditional on species, production area and sea-based operation.</t>
        </is>
      </c>
      <c r="AP4" s="131" t="inlineStr">
        <is>
          <t>OFFICIAL_WEBSITE</t>
        </is>
      </c>
      <c r="AQ4" s="131" t="inlineStr">
        <is>
          <t>OFFICIAL_ORIGINAL</t>
        </is>
      </c>
      <c r="AR4" s="131" t="inlineStr">
        <is>
          <t>ROLLING</t>
        </is>
      </c>
      <c r="AS4" s="13" t="n"/>
    </row>
    <row r="5" ht="30" customHeight="1" s="41">
      <c r="A5" s="132" t="inlineStr">
        <is>
          <t>PA003</t>
        </is>
      </c>
      <c r="B5" s="132" t="inlineStr">
        <is>
          <t>PA003-001</t>
        </is>
      </c>
      <c r="C5" s="127" t="inlineStr">
        <is>
          <t>PA003-001_Regulation_on_the_operation_of_aquaculture_facilities_Aquaculture_Operations_Regulations.html</t>
        </is>
      </c>
      <c r="D5" s="128" t="inlineStr">
        <is>
          <t>STORED</t>
        </is>
      </c>
      <c r="E5" s="128">
        <f>IF(A5="","",IF(OR(AJ5="EXCLUDE",COUNTIF(AD5:AH5,"LOW")&gt;0),"EXCLUDE",IF(OR(AJ5&lt;&gt;"INCLUDE",F5&lt;&gt;"SUCCESS",D5&lt;&gt;"STORED",U5="",AP5="",AQ5="",AQ5="UNVERIFIED",AND(AP5="OFFICIAL_WEBSITE",Q5=""),AND(OR(AA5="Equipment manual / OEM instruction",AB5="Asset-specific normative"),OR(Z5&lt;&gt;"Manufacturer / supplier",AS5="",AC5=""))),"PENDING",IF(COUNTIF(AD5:AH5,"HIGH")=5,"INCLUDE","PENDING"))))</f>
        <v/>
      </c>
      <c r="F5" s="128" t="inlineStr">
        <is>
          <t>SUCCESS</t>
        </is>
      </c>
      <c r="G5" s="129" t="n">
        <v>46262.53069444445</v>
      </c>
      <c r="H5" s="129" t="n">
        <v>46262.53070601852</v>
      </c>
      <c r="I5" s="128" t="inlineStr">
        <is>
          <t>INITIAL</t>
        </is>
      </c>
      <c r="J5" s="128" t="inlineStr">
        <is>
          <t>AUTO</t>
        </is>
      </c>
      <c r="K5" s="130">
        <f>IF(A5="","",IF(J5="AUTO",H5,IF(J5="MANUAL",AK5,"")))</f>
        <v/>
      </c>
      <c r="L5" s="128" t="inlineStr">
        <is>
          <t>NONE</t>
        </is>
      </c>
      <c r="M5" s="12" t="n"/>
      <c r="N5" s="128">
        <f>IF(A5="","",IF(COUNTIFS('Human Operation Desktop'!$A$3:$A$502,A5,'Human Operation Desktop'!$I$3:$I$502,"&lt;&gt;APPLIED",'Human Operation Desktop'!$I$3:$I$502,"&lt;&gt;REJECTED")&gt;0,"YES","NO"))</f>
        <v/>
      </c>
      <c r="O5" s="128" t="inlineStr">
        <is>
          <t>81650171c1177e709d49dfe6b19673e4d07f5425b3bbb5cbf8fef92e3421bbea</t>
        </is>
      </c>
      <c r="P5" s="131" t="inlineStr">
        <is>
          <t>Regulation on the operation of aquaculture facilities (Aquaculture Operations Regulations)</t>
        </is>
      </c>
      <c r="Q5" s="131" t="inlineStr">
        <is>
          <t>https://lovdata.no/dokument/SF/forskrift/2008-06-17-822</t>
        </is>
      </c>
      <c r="R5" s="131" t="inlineStr">
        <is>
          <t>https://lovdata.no/dokument/SF/forskrift/2008-06-17-822</t>
        </is>
      </c>
      <c r="S5" s="131" t="inlineStr">
        <is>
          <t>A_Public_Authority</t>
        </is>
      </c>
      <c r="T5" s="131" t="inlineStr">
        <is>
          <t>html</t>
        </is>
      </c>
      <c r="U5" s="131" t="inlineStr">
        <is>
          <t>Norwegian Government</t>
        </is>
      </c>
      <c r="V5" s="131" t="inlineStr">
        <is>
          <t>Norway</t>
        </is>
      </c>
      <c r="W5" s="131" t="inlineStr">
        <is>
          <t>Norwegian</t>
        </is>
      </c>
      <c r="X5" s="13" t="n"/>
      <c r="Y5" s="13" t="n"/>
      <c r="Z5" s="131" t="inlineStr">
        <is>
          <t>Public authority</t>
        </is>
      </c>
      <c r="AA5" s="131" t="inlineStr">
        <is>
          <t>Regulation</t>
        </is>
      </c>
      <c r="AB5" s="131" t="inlineStr">
        <is>
          <t>Primary normative</t>
        </is>
      </c>
      <c r="AC5" s="131" t="inlineStr">
        <is>
          <t>Official regulation issued by Norwegian Government; included because it may impose binding requirements on an in-scope aquaculture asset, activity, permit or certification.</t>
        </is>
      </c>
      <c r="AD5" s="131" t="inlineStr">
        <is>
          <t>HIGH</t>
        </is>
      </c>
      <c r="AE5" s="131" t="inlineStr">
        <is>
          <t>HIGH</t>
        </is>
      </c>
      <c r="AF5" s="131" t="inlineStr">
        <is>
          <t>HIGH</t>
        </is>
      </c>
      <c r="AG5" s="131" t="inlineStr">
        <is>
          <t>HIGH</t>
        </is>
      </c>
      <c r="AH5" s="131" t="inlineStr">
        <is>
          <t>HIGH</t>
        </is>
      </c>
      <c r="AI5" s="131" t="inlineStr">
        <is>
          <t>HIGH</t>
        </is>
      </c>
      <c r="AJ5" s="131" t="inlineStr">
        <is>
          <t>INCLUDE</t>
        </is>
      </c>
      <c r="AK5" s="125" t="n"/>
      <c r="AL5" s="13" t="n"/>
      <c r="AM5" s="131" t="inlineStr">
        <is>
          <t>CURRENT</t>
        </is>
      </c>
      <c r="AN5" s="13" t="n"/>
      <c r="AO5" s="131" t="inlineStr">
        <is>
          <t>Project-mentioned candidate. Central operational source; scope confirmation is still required.</t>
        </is>
      </c>
      <c r="AP5" s="131" t="inlineStr">
        <is>
          <t>OFFICIAL_WEBSITE</t>
        </is>
      </c>
      <c r="AQ5" s="131" t="inlineStr">
        <is>
          <t>OFFICIAL_ORIGINAL</t>
        </is>
      </c>
      <c r="AR5" s="131" t="inlineStr">
        <is>
          <t>ROLLING</t>
        </is>
      </c>
      <c r="AS5" s="13" t="n"/>
    </row>
    <row r="6" ht="30" customHeight="1" s="41">
      <c r="A6" s="126" t="inlineStr">
        <is>
          <t>PA004</t>
        </is>
      </c>
      <c r="B6" s="126" t="inlineStr">
        <is>
          <t>PA004-001</t>
        </is>
      </c>
      <c r="C6" s="127" t="inlineStr">
        <is>
          <t>PA004-001_NYTEK23_-_Regulation_on_technical_standards_for_aquaculture_facilities_for_fish_in_sea_lakes_and_watercourses.html</t>
        </is>
      </c>
      <c r="D6" s="128" t="inlineStr">
        <is>
          <t>STORED</t>
        </is>
      </c>
      <c r="E6" s="128">
        <f>IF(A6="","",IF(OR(AJ6="EXCLUDE",COUNTIF(AD6:AH6,"LOW")&gt;0),"EXCLUDE",IF(OR(AJ6&lt;&gt;"INCLUDE",F6&lt;&gt;"SUCCESS",D6&lt;&gt;"STORED",U6="",AP6="",AQ6="",AQ6="UNVERIFIED",AND(AP6="OFFICIAL_WEBSITE",Q6=""),AND(OR(AA6="Equipment manual / OEM instruction",AB6="Asset-specific normative"),OR(Z6&lt;&gt;"Manufacturer / supplier",AS6="",AC6=""))),"PENDING",IF(COUNTIF(AD6:AH6,"HIGH")=5,"INCLUDE","PENDING"))))</f>
        <v/>
      </c>
      <c r="F6" s="128" t="inlineStr">
        <is>
          <t>SUCCESS</t>
        </is>
      </c>
      <c r="G6" s="129" t="n">
        <v>46262.53070601852</v>
      </c>
      <c r="H6" s="129" t="n">
        <v>46262.53070601852</v>
      </c>
      <c r="I6" s="128" t="inlineStr">
        <is>
          <t>INITIAL</t>
        </is>
      </c>
      <c r="J6" s="128" t="inlineStr">
        <is>
          <t>AUTO</t>
        </is>
      </c>
      <c r="K6" s="130">
        <f>IF(A6="","",IF(J6="AUTO",H6,IF(J6="MANUAL",AK6,"")))</f>
        <v/>
      </c>
      <c r="L6" s="128" t="inlineStr">
        <is>
          <t>NONE</t>
        </is>
      </c>
      <c r="M6" s="12" t="n"/>
      <c r="N6" s="128">
        <f>IF(A6="","",IF(COUNTIFS('Human Operation Desktop'!$A$3:$A$502,A6,'Human Operation Desktop'!$I$3:$I$502,"&lt;&gt;APPLIED",'Human Operation Desktop'!$I$3:$I$502,"&lt;&gt;REJECTED")&gt;0,"YES","NO"))</f>
        <v/>
      </c>
      <c r="O6" s="128" t="inlineStr">
        <is>
          <t>a20988ddfe78bcf3d4ab87695f50f2c0f57f542fe77f2b1a66f94a81a993ce17</t>
        </is>
      </c>
      <c r="P6" s="131" t="inlineStr">
        <is>
          <t>NYTEK23 - Regulation on technical standards for aquaculture facilities for fish in sea, lakes and watercourses</t>
        </is>
      </c>
      <c r="Q6" s="131" t="inlineStr">
        <is>
          <t>https://lovdata.no/dokument/SF/forskrift/2022-08-22-1484</t>
        </is>
      </c>
      <c r="R6" s="131" t="inlineStr">
        <is>
          <t>https://lovdata.no/dokument/SF/forskrift/2022-08-22-1484</t>
        </is>
      </c>
      <c r="S6" s="131" t="inlineStr">
        <is>
          <t>A_Public_Authority</t>
        </is>
      </c>
      <c r="T6" s="131" t="inlineStr">
        <is>
          <t>html</t>
        </is>
      </c>
      <c r="U6" s="131" t="inlineStr">
        <is>
          <t>Norwegian Ministry of Trade, Industry and Fisheries</t>
        </is>
      </c>
      <c r="V6" s="131" t="inlineStr">
        <is>
          <t>Norway</t>
        </is>
      </c>
      <c r="W6" s="131" t="inlineStr">
        <is>
          <t>Norwegian</t>
        </is>
      </c>
      <c r="X6" s="13" t="n"/>
      <c r="Y6" s="13" t="n"/>
      <c r="Z6" s="131" t="inlineStr">
        <is>
          <t>Public authority</t>
        </is>
      </c>
      <c r="AA6" s="131" t="inlineStr">
        <is>
          <t>Regulation</t>
        </is>
      </c>
      <c r="AB6" s="131" t="inlineStr">
        <is>
          <t>Primary normative</t>
        </is>
      </c>
      <c r="AC6" s="131" t="inlineStr">
        <is>
          <t>Official regulation issued by Norwegian Ministry of Trade, Industry and Fisheries; included because it may impose binding requirements on an in-scope aquaculture asset, activity, permit or certification.</t>
        </is>
      </c>
      <c r="AD6" s="131" t="inlineStr">
        <is>
          <t>HIGH</t>
        </is>
      </c>
      <c r="AE6" s="131" t="inlineStr">
        <is>
          <t>HIGH</t>
        </is>
      </c>
      <c r="AF6" s="131" t="inlineStr">
        <is>
          <t>HIGH</t>
        </is>
      </c>
      <c r="AG6" s="131" t="inlineStr">
        <is>
          <t>HIGH</t>
        </is>
      </c>
      <c r="AH6" s="131" t="inlineStr">
        <is>
          <t>HIGH</t>
        </is>
      </c>
      <c r="AI6" s="131" t="inlineStr">
        <is>
          <t>HIGH</t>
        </is>
      </c>
      <c r="AJ6" s="131" t="inlineStr">
        <is>
          <t>INCLUDE</t>
        </is>
      </c>
      <c r="AK6" s="125" t="n"/>
      <c r="AL6" s="13" t="n"/>
      <c r="AM6" s="131" t="inlineStr">
        <is>
          <t>CURRENT</t>
        </is>
      </c>
      <c r="AN6" s="13" t="n"/>
      <c r="AO6" s="131" t="inlineStr">
        <is>
          <t>Project-mentioned candidate. Applies to relevant water-based fish facilities.</t>
        </is>
      </c>
      <c r="AP6" s="131" t="inlineStr">
        <is>
          <t>OFFICIAL_WEBSITE</t>
        </is>
      </c>
      <c r="AQ6" s="131" t="inlineStr">
        <is>
          <t>OFFICIAL_ORIGINAL</t>
        </is>
      </c>
      <c r="AR6" s="131" t="inlineStr">
        <is>
          <t>ROLLING</t>
        </is>
      </c>
      <c r="AS6" s="13" t="n"/>
    </row>
    <row r="7" ht="30" customHeight="1" s="41">
      <c r="A7" s="132" t="inlineStr">
        <is>
          <t>PA005</t>
        </is>
      </c>
      <c r="B7" s="132" t="inlineStr">
        <is>
          <t>PA005-001</t>
        </is>
      </c>
      <c r="C7" s="127" t="inlineStr">
        <is>
          <t>PA005-001_Animal_Welfare_Act.html</t>
        </is>
      </c>
      <c r="D7" s="128" t="inlineStr">
        <is>
          <t>STORED</t>
        </is>
      </c>
      <c r="E7" s="128">
        <f>IF(A7="","",IF(OR(AJ7="EXCLUDE",COUNTIF(AD7:AH7,"LOW")&gt;0),"EXCLUDE",IF(OR(AJ7&lt;&gt;"INCLUDE",F7&lt;&gt;"SUCCESS",D7&lt;&gt;"STORED",U7="",AP7="",AQ7="",AQ7="UNVERIFIED",AND(AP7="OFFICIAL_WEBSITE",Q7=""),AND(OR(AA7="Equipment manual / OEM instruction",AB7="Asset-specific normative"),OR(Z7&lt;&gt;"Manufacturer / supplier",AS7="",AC7=""))),"PENDING",IF(COUNTIF(AD7:AH7,"HIGH")=5,"INCLUDE","PENDING"))))</f>
        <v/>
      </c>
      <c r="F7" s="128" t="inlineStr">
        <is>
          <t>SUCCESS</t>
        </is>
      </c>
      <c r="G7" s="129" t="n">
        <v>46262.53070601852</v>
      </c>
      <c r="H7" s="129" t="n">
        <v>46262.53070601852</v>
      </c>
      <c r="I7" s="128" t="inlineStr">
        <is>
          <t>INITIAL</t>
        </is>
      </c>
      <c r="J7" s="128" t="inlineStr">
        <is>
          <t>AUTO</t>
        </is>
      </c>
      <c r="K7" s="130">
        <f>IF(A7="","",IF(J7="AUTO",H7,IF(J7="MANUAL",AK7,"")))</f>
        <v/>
      </c>
      <c r="L7" s="128" t="inlineStr">
        <is>
          <t>NONE</t>
        </is>
      </c>
      <c r="M7" s="12" t="n"/>
      <c r="N7" s="128">
        <f>IF(A7="","",IF(COUNTIFS('Human Operation Desktop'!$A$3:$A$502,A7,'Human Operation Desktop'!$I$3:$I$502,"&lt;&gt;APPLIED",'Human Operation Desktop'!$I$3:$I$502,"&lt;&gt;REJECTED")&gt;0,"YES","NO"))</f>
        <v/>
      </c>
      <c r="O7" s="128" t="inlineStr">
        <is>
          <t>121dce4cf5263302d47a467a612b437ffb1a6c660fb7454b6698101f16ea3808</t>
        </is>
      </c>
      <c r="P7" s="131" t="inlineStr">
        <is>
          <t>Animal Welfare Act</t>
        </is>
      </c>
      <c r="Q7" s="131" t="inlineStr">
        <is>
          <t>https://lovdata.no/dokument/NL/lov/2009-06-19-97</t>
        </is>
      </c>
      <c r="R7" s="131" t="inlineStr">
        <is>
          <t>https://lovdata.no/dokument/NL/lov/2009-06-19-97</t>
        </is>
      </c>
      <c r="S7" s="131" t="inlineStr">
        <is>
          <t>A_Public_Authority</t>
        </is>
      </c>
      <c r="T7" s="131" t="inlineStr">
        <is>
          <t>html</t>
        </is>
      </c>
      <c r="U7" s="131" t="inlineStr">
        <is>
          <t>Norwegian Ministry of Agriculture and Food</t>
        </is>
      </c>
      <c r="V7" s="131" t="inlineStr">
        <is>
          <t>Norway</t>
        </is>
      </c>
      <c r="W7" s="131" t="inlineStr">
        <is>
          <t>Norwegian</t>
        </is>
      </c>
      <c r="X7" s="13" t="n"/>
      <c r="Y7" s="13" t="n"/>
      <c r="Z7" s="131" t="inlineStr">
        <is>
          <t>Public authority</t>
        </is>
      </c>
      <c r="AA7" s="131" t="inlineStr">
        <is>
          <t>Law</t>
        </is>
      </c>
      <c r="AB7" s="131" t="inlineStr">
        <is>
          <t>Primary normative</t>
        </is>
      </c>
      <c r="AC7" s="131" t="inlineStr">
        <is>
          <t>Official law issued by Norwegian Ministry of Agriculture and Food; included because it may impose binding requirements on an in-scope aquaculture asset, activity, permit or certification.</t>
        </is>
      </c>
      <c r="AD7" s="131" t="inlineStr">
        <is>
          <t>HIGH</t>
        </is>
      </c>
      <c r="AE7" s="131" t="inlineStr">
        <is>
          <t>HIGH</t>
        </is>
      </c>
      <c r="AF7" s="131" t="inlineStr">
        <is>
          <t>HIGH</t>
        </is>
      </c>
      <c r="AG7" s="131" t="inlineStr">
        <is>
          <t>HIGH</t>
        </is>
      </c>
      <c r="AH7" s="131" t="inlineStr">
        <is>
          <t>HIGH</t>
        </is>
      </c>
      <c r="AI7" s="131" t="inlineStr">
        <is>
          <t>HIGH</t>
        </is>
      </c>
      <c r="AJ7" s="131" t="inlineStr">
        <is>
          <t>INCLUDE</t>
        </is>
      </c>
      <c r="AK7" s="125" t="n"/>
      <c r="AL7" s="13" t="n"/>
      <c r="AM7" s="131" t="inlineStr">
        <is>
          <t>CURRENT</t>
        </is>
      </c>
      <c r="AN7" s="13" t="n"/>
      <c r="AO7" s="131" t="inlineStr">
        <is>
          <t>Project-mentioned candidate covering fish and other aquatic animals.</t>
        </is>
      </c>
      <c r="AP7" s="131" t="inlineStr">
        <is>
          <t>OFFICIAL_WEBSITE</t>
        </is>
      </c>
      <c r="AQ7" s="131" t="inlineStr">
        <is>
          <t>OFFICIAL_ORIGINAL</t>
        </is>
      </c>
      <c r="AR7" s="131" t="inlineStr">
        <is>
          <t>ROLLING</t>
        </is>
      </c>
      <c r="AS7" s="13" t="n"/>
    </row>
    <row r="8" ht="30" customHeight="1" s="41">
      <c r="A8" s="126" t="inlineStr">
        <is>
          <t>PA006</t>
        </is>
      </c>
      <c r="B8" s="126" t="inlineStr">
        <is>
          <t>PA006-001</t>
        </is>
      </c>
      <c r="C8" s="127" t="inlineStr">
        <is>
          <t>PA006-001_Organic_Production_and_Labelling_Regulations.html</t>
        </is>
      </c>
      <c r="D8" s="128" t="inlineStr">
        <is>
          <t>STORED</t>
        </is>
      </c>
      <c r="E8" s="128">
        <f>IF(A8="","",IF(OR(AJ8="EXCLUDE",COUNTIF(AD8:AH8,"LOW")&gt;0),"EXCLUDE",IF(OR(AJ8&lt;&gt;"INCLUDE",F8&lt;&gt;"SUCCESS",D8&lt;&gt;"STORED",U8="",AP8="",AQ8="",AQ8="UNVERIFIED",AND(AP8="OFFICIAL_WEBSITE",Q8=""),AND(OR(AA8="Equipment manual / OEM instruction",AB8="Asset-specific normative"),OR(Z8&lt;&gt;"Manufacturer / supplier",AS8="",AC8=""))),"PENDING",IF(COUNTIF(AD8:AH8,"HIGH")=5,"INCLUDE","PENDING"))))</f>
        <v/>
      </c>
      <c r="F8" s="128" t="inlineStr">
        <is>
          <t>SUCCESS</t>
        </is>
      </c>
      <c r="G8" s="129" t="n">
        <v>46262.53070601852</v>
      </c>
      <c r="H8" s="129" t="n">
        <v>46262.53081018518</v>
      </c>
      <c r="I8" s="128" t="inlineStr">
        <is>
          <t>INITIAL</t>
        </is>
      </c>
      <c r="J8" s="128" t="inlineStr">
        <is>
          <t>AUTO</t>
        </is>
      </c>
      <c r="K8" s="130">
        <f>IF(A8="","",IF(J8="AUTO",H8,IF(J8="MANUAL",AK8,"")))</f>
        <v/>
      </c>
      <c r="L8" s="128" t="inlineStr">
        <is>
          <t>NONE</t>
        </is>
      </c>
      <c r="M8" s="12" t="n"/>
      <c r="N8" s="128">
        <f>IF(A8="","",IF(COUNTIFS('Human Operation Desktop'!$A$3:$A$502,A8,'Human Operation Desktop'!$I$3:$I$502,"&lt;&gt;APPLIED",'Human Operation Desktop'!$I$3:$I$502,"&lt;&gt;REJECTED")&gt;0,"YES","NO"))</f>
        <v/>
      </c>
      <c r="O8" s="128" t="inlineStr">
        <is>
          <t>18009ae503b2261b56c5c11ddde0a8a7400915f2d1b93894f3ea66085b7ec642</t>
        </is>
      </c>
      <c r="P8" s="131" t="inlineStr">
        <is>
          <t>Organic Production and Labelling Regulations</t>
        </is>
      </c>
      <c r="Q8" s="131" t="inlineStr">
        <is>
          <t>https://lovdata.no/dokument/SF/forskrift/2022-06-11-1171</t>
        </is>
      </c>
      <c r="R8" s="131" t="inlineStr">
        <is>
          <t>https://lovdata.no/dokument/SF/forskrift/2022-06-11-1171</t>
        </is>
      </c>
      <c r="S8" s="131" t="inlineStr">
        <is>
          <t>A_Public_Authority</t>
        </is>
      </c>
      <c r="T8" s="131" t="inlineStr">
        <is>
          <t>html</t>
        </is>
      </c>
      <c r="U8" s="131" t="inlineStr">
        <is>
          <t>Norwegian Government</t>
        </is>
      </c>
      <c r="V8" s="131" t="inlineStr">
        <is>
          <t>Norway</t>
        </is>
      </c>
      <c r="W8" s="131" t="inlineStr">
        <is>
          <t>Norwegian</t>
        </is>
      </c>
      <c r="X8" s="13" t="n"/>
      <c r="Y8" s="13" t="n"/>
      <c r="Z8" s="131" t="inlineStr">
        <is>
          <t>Public authority</t>
        </is>
      </c>
      <c r="AA8" s="131" t="inlineStr">
        <is>
          <t>Regulation</t>
        </is>
      </c>
      <c r="AB8" s="131" t="inlineStr">
        <is>
          <t>Primary normative</t>
        </is>
      </c>
      <c r="AC8" s="131" t="inlineStr">
        <is>
          <t>Official regulation issued by Norwegian Government; included because it may impose binding requirements on an in-scope aquaculture asset, activity, permit or certification.</t>
        </is>
      </c>
      <c r="AD8" s="131" t="inlineStr">
        <is>
          <t>HIGH</t>
        </is>
      </c>
      <c r="AE8" s="131" t="inlineStr">
        <is>
          <t>MEDIUM</t>
        </is>
      </c>
      <c r="AF8" s="131" t="inlineStr">
        <is>
          <t>HIGH</t>
        </is>
      </c>
      <c r="AG8" s="131" t="inlineStr">
        <is>
          <t>HIGH</t>
        </is>
      </c>
      <c r="AH8" s="131" t="inlineStr">
        <is>
          <t>HIGH</t>
        </is>
      </c>
      <c r="AI8" s="131" t="inlineStr">
        <is>
          <t>HIGH</t>
        </is>
      </c>
      <c r="AJ8" s="131" t="inlineStr">
        <is>
          <t>PENDING</t>
        </is>
      </c>
      <c r="AK8" s="125" t="n"/>
      <c r="AL8" s="13" t="n"/>
      <c r="AM8" s="131" t="inlineStr">
        <is>
          <t>CURRENT</t>
        </is>
      </c>
      <c r="AN8" s="13" t="n"/>
      <c r="AO8" s="131" t="inlineStr">
        <is>
          <t>Project-mentioned candidate. Include only for organic production or labelling scope.</t>
        </is>
      </c>
      <c r="AP8" s="131" t="inlineStr">
        <is>
          <t>OFFICIAL_WEBSITE</t>
        </is>
      </c>
      <c r="AQ8" s="131" t="inlineStr">
        <is>
          <t>OFFICIAL_ORIGINAL</t>
        </is>
      </c>
      <c r="AR8" s="131" t="inlineStr">
        <is>
          <t>ROLLING</t>
        </is>
      </c>
      <c r="AS8" s="13" t="n"/>
    </row>
    <row r="9" ht="30" customHeight="1" s="41">
      <c r="A9" s="132" t="inlineStr">
        <is>
          <t>PA007</t>
        </is>
      </c>
      <c r="B9" s="132" t="inlineStr">
        <is>
          <t>PA007-001</t>
        </is>
      </c>
      <c r="C9" s="127" t="inlineStr">
        <is>
          <t>PA007-001_Pollution_Control_Act.html</t>
        </is>
      </c>
      <c r="D9" s="128" t="inlineStr">
        <is>
          <t>STORED</t>
        </is>
      </c>
      <c r="E9" s="128">
        <f>IF(A9="","",IF(OR(AJ9="EXCLUDE",COUNTIF(AD9:AH9,"LOW")&gt;0),"EXCLUDE",IF(OR(AJ9&lt;&gt;"INCLUDE",F9&lt;&gt;"SUCCESS",D9&lt;&gt;"STORED",U9="",AP9="",AQ9="",AQ9="UNVERIFIED",AND(AP9="OFFICIAL_WEBSITE",Q9=""),AND(OR(AA9="Equipment manual / OEM instruction",AB9="Asset-specific normative"),OR(Z9&lt;&gt;"Manufacturer / supplier",AS9="",AC9=""))),"PENDING",IF(COUNTIF(AD9:AH9,"HIGH")=5,"INCLUDE","PENDING"))))</f>
        <v/>
      </c>
      <c r="F9" s="128" t="inlineStr">
        <is>
          <t>SUCCESS</t>
        </is>
      </c>
      <c r="G9" s="129" t="n">
        <v>46262.53081018518</v>
      </c>
      <c r="H9" s="129" t="n">
        <v>46262.53081018518</v>
      </c>
      <c r="I9" s="128" t="inlineStr">
        <is>
          <t>INITIAL</t>
        </is>
      </c>
      <c r="J9" s="128" t="inlineStr">
        <is>
          <t>AUTO</t>
        </is>
      </c>
      <c r="K9" s="130">
        <f>IF(A9="","",IF(J9="AUTO",H9,IF(J9="MANUAL",AK9,"")))</f>
        <v/>
      </c>
      <c r="L9" s="128" t="inlineStr">
        <is>
          <t>NONE</t>
        </is>
      </c>
      <c r="M9" s="12" t="n"/>
      <c r="N9" s="128">
        <f>IF(A9="","",IF(COUNTIFS('Human Operation Desktop'!$A$3:$A$502,A9,'Human Operation Desktop'!$I$3:$I$502,"&lt;&gt;APPLIED",'Human Operation Desktop'!$I$3:$I$502,"&lt;&gt;REJECTED")&gt;0,"YES","NO"))</f>
        <v/>
      </c>
      <c r="O9" s="128" t="inlineStr">
        <is>
          <t>6dbac9891bf38811447ed04c583140063ff23e0e1494e59f5ca0aa485b1e5901</t>
        </is>
      </c>
      <c r="P9" s="131" t="inlineStr">
        <is>
          <t>Pollution Control Act</t>
        </is>
      </c>
      <c r="Q9" s="131" t="inlineStr">
        <is>
          <t>https://lovdata.no/dokument/NL/lov/1981-03-13-6</t>
        </is>
      </c>
      <c r="R9" s="131" t="inlineStr">
        <is>
          <t>https://lovdata.no/dokument/NL/lov/1981-03-13-6</t>
        </is>
      </c>
      <c r="S9" s="131" t="inlineStr">
        <is>
          <t>A_Public_Authority</t>
        </is>
      </c>
      <c r="T9" s="131" t="inlineStr">
        <is>
          <t>html</t>
        </is>
      </c>
      <c r="U9" s="131" t="inlineStr">
        <is>
          <t>Norwegian Ministry of Climate and Environment</t>
        </is>
      </c>
      <c r="V9" s="131" t="inlineStr">
        <is>
          <t>Norway</t>
        </is>
      </c>
      <c r="W9" s="131" t="inlineStr">
        <is>
          <t>Norwegian</t>
        </is>
      </c>
      <c r="X9" s="13" t="n"/>
      <c r="Y9" s="13" t="n"/>
      <c r="Z9" s="131" t="inlineStr">
        <is>
          <t>Public authority</t>
        </is>
      </c>
      <c r="AA9" s="131" t="inlineStr">
        <is>
          <t>Law</t>
        </is>
      </c>
      <c r="AB9" s="131" t="inlineStr">
        <is>
          <t>Primary normative</t>
        </is>
      </c>
      <c r="AC9" s="131" t="inlineStr">
        <is>
          <t>Official law issued by Norwegian Ministry of Climate and Environment; included because it may impose binding requirements on an in-scope aquaculture asset, activity, permit or certification.</t>
        </is>
      </c>
      <c r="AD9" s="131" t="inlineStr">
        <is>
          <t>HIGH</t>
        </is>
      </c>
      <c r="AE9" s="131" t="inlineStr">
        <is>
          <t>HIGH</t>
        </is>
      </c>
      <c r="AF9" s="131" t="inlineStr">
        <is>
          <t>HIGH</t>
        </is>
      </c>
      <c r="AG9" s="131" t="inlineStr">
        <is>
          <t>HIGH</t>
        </is>
      </c>
      <c r="AH9" s="131" t="inlineStr">
        <is>
          <t>HIGH</t>
        </is>
      </c>
      <c r="AI9" s="131" t="inlineStr">
        <is>
          <t>HIGH</t>
        </is>
      </c>
      <c r="AJ9" s="131" t="inlineStr">
        <is>
          <t>INCLUDE</t>
        </is>
      </c>
      <c r="AK9" s="125" t="n"/>
      <c r="AL9" s="13" t="n"/>
      <c r="AM9" s="131" t="inlineStr">
        <is>
          <t>CURRENT</t>
        </is>
      </c>
      <c r="AN9" s="13" t="n"/>
      <c r="AO9" s="131" t="inlineStr">
        <is>
          <t>Project-mentioned candidate for emissions, waste and pollution permits.</t>
        </is>
      </c>
      <c r="AP9" s="131" t="inlineStr">
        <is>
          <t>OFFICIAL_WEBSITE</t>
        </is>
      </c>
      <c r="AQ9" s="131" t="inlineStr">
        <is>
          <t>OFFICIAL_ORIGINAL</t>
        </is>
      </c>
      <c r="AR9" s="131" t="inlineStr">
        <is>
          <t>ROLLING</t>
        </is>
      </c>
      <c r="AS9" s="13" t="n"/>
    </row>
    <row r="10" ht="30" customHeight="1" s="41">
      <c r="A10" s="126" t="inlineStr">
        <is>
          <t>PA008</t>
        </is>
      </c>
      <c r="B10" s="126" t="inlineStr">
        <is>
          <t>PA008-001</t>
        </is>
      </c>
      <c r="C10" s="127" t="inlineStr">
        <is>
          <t>PA008-001_Water_Framework_Regulations.html</t>
        </is>
      </c>
      <c r="D10" s="128" t="inlineStr">
        <is>
          <t>STORED</t>
        </is>
      </c>
      <c r="E10" s="128">
        <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f>
        <v/>
      </c>
      <c r="F10" s="128" t="inlineStr">
        <is>
          <t>SUCCESS</t>
        </is>
      </c>
      <c r="G10" s="129" t="n">
        <v>46262.53081018518</v>
      </c>
      <c r="H10" s="129" t="n">
        <v>46262.53081018518</v>
      </c>
      <c r="I10" s="128" t="inlineStr">
        <is>
          <t>INITIAL</t>
        </is>
      </c>
      <c r="J10" s="128" t="inlineStr">
        <is>
          <t>AUTO</t>
        </is>
      </c>
      <c r="K10" s="130">
        <f>IF(A10="","",IF(J10="AUTO",H10,IF(J10="MANUAL",AK10,"")))</f>
        <v/>
      </c>
      <c r="L10" s="128" t="inlineStr">
        <is>
          <t>NONE</t>
        </is>
      </c>
      <c r="M10" s="12" t="n"/>
      <c r="N10" s="128">
        <f>IF(A10="","",IF(COUNTIFS('Human Operation Desktop'!$A$3:$A$502,A10,'Human Operation Desktop'!$I$3:$I$502,"&lt;&gt;APPLIED",'Human Operation Desktop'!$I$3:$I$502,"&lt;&gt;REJECTED")&gt;0,"YES","NO"))</f>
        <v/>
      </c>
      <c r="O10" s="128" t="inlineStr">
        <is>
          <t>bc9d9f926fe9f5ba2ee6df81938c45b7f4a20579ab7f7a149a5e9d1432169da2</t>
        </is>
      </c>
      <c r="P10" s="131" t="inlineStr">
        <is>
          <t>Water Framework Regulations</t>
        </is>
      </c>
      <c r="Q10" s="131" t="inlineStr">
        <is>
          <t>https://lovdata.no/dokument/SF/forskrift/2006-12-15-1446</t>
        </is>
      </c>
      <c r="R10" s="131" t="inlineStr">
        <is>
          <t>https://lovdata.no/dokument/SF/forskrift/2006-12-15-1446</t>
        </is>
      </c>
      <c r="S10" s="131" t="inlineStr">
        <is>
          <t>A_Public_Authority</t>
        </is>
      </c>
      <c r="T10" s="131" t="inlineStr">
        <is>
          <t>html</t>
        </is>
      </c>
      <c r="U10" s="131" t="inlineStr">
        <is>
          <t>Norwegian Government</t>
        </is>
      </c>
      <c r="V10" s="131" t="inlineStr">
        <is>
          <t>Norway</t>
        </is>
      </c>
      <c r="W10" s="131" t="inlineStr">
        <is>
          <t>Norwegian</t>
        </is>
      </c>
      <c r="X10" s="13" t="n"/>
      <c r="Y10" s="13" t="n"/>
      <c r="Z10" s="131" t="inlineStr">
        <is>
          <t>Public authority</t>
        </is>
      </c>
      <c r="AA10" s="131" t="inlineStr">
        <is>
          <t>Regulation</t>
        </is>
      </c>
      <c r="AB10" s="131" t="inlineStr">
        <is>
          <t>Referenced normative</t>
        </is>
      </c>
      <c r="AC10" s="131" t="inlineStr">
        <is>
          <t>Official referenced source from Norwegian Government; included because an applicable law, permit or certification scheme may make its provisions binding within the approved scope.</t>
        </is>
      </c>
      <c r="AD10" s="131" t="inlineStr">
        <is>
          <t>HIGH</t>
        </is>
      </c>
      <c r="AE10" s="131" t="inlineStr">
        <is>
          <t>MEDIUM</t>
        </is>
      </c>
      <c r="AF10" s="131" t="inlineStr">
        <is>
          <t>HIGH</t>
        </is>
      </c>
      <c r="AG10" s="131" t="inlineStr">
        <is>
          <t>HIGH</t>
        </is>
      </c>
      <c r="AH10" s="131" t="inlineStr">
        <is>
          <t>HIGH</t>
        </is>
      </c>
      <c r="AI10" s="131" t="inlineStr">
        <is>
          <t>HIGH</t>
        </is>
      </c>
      <c r="AJ10" s="131" t="inlineStr">
        <is>
          <t>PENDING</t>
        </is>
      </c>
      <c r="AK10" s="125" t="n"/>
      <c r="AL10" s="13" t="n"/>
      <c r="AM10" s="131" t="inlineStr">
        <is>
          <t>CURRENT</t>
        </is>
      </c>
      <c r="AN10" s="13" t="n"/>
      <c r="AO10" s="131" t="inlineStr">
        <is>
          <t>Project-mentioned candidate. Relevance depends on recipient and water-body assessment.</t>
        </is>
      </c>
      <c r="AP10" s="131" t="inlineStr">
        <is>
          <t>OFFICIAL_WEBSITE</t>
        </is>
      </c>
      <c r="AQ10" s="131" t="inlineStr">
        <is>
          <t>OFFICIAL_ORIGINAL</t>
        </is>
      </c>
      <c r="AR10" s="131" t="inlineStr">
        <is>
          <t>ROLLING</t>
        </is>
      </c>
      <c r="AS10" s="13" t="n"/>
    </row>
    <row r="11" ht="30" customHeight="1" s="41">
      <c r="A11" s="132" t="inlineStr">
        <is>
          <t>PA009</t>
        </is>
      </c>
      <c r="B11" s="132" t="inlineStr">
        <is>
          <t>PA009-001</t>
        </is>
      </c>
      <c r="C11" s="127" t="inlineStr">
        <is>
          <t>PA009-001_Product_Control_Act.html</t>
        </is>
      </c>
      <c r="D11" s="128" t="inlineStr">
        <is>
          <t>STORED</t>
        </is>
      </c>
      <c r="E11" s="128">
        <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f>
        <v/>
      </c>
      <c r="F11" s="128" t="inlineStr">
        <is>
          <t>SUCCESS</t>
        </is>
      </c>
      <c r="G11" s="129" t="n">
        <v>46262.53082175926</v>
      </c>
      <c r="H11" s="129" t="n">
        <v>46262.53082175926</v>
      </c>
      <c r="I11" s="128" t="inlineStr">
        <is>
          <t>INITIAL</t>
        </is>
      </c>
      <c r="J11" s="128" t="inlineStr">
        <is>
          <t>AUTO</t>
        </is>
      </c>
      <c r="K11" s="130">
        <f>IF(A11="","",IF(J11="AUTO",H11,IF(J11="MANUAL",AK11,"")))</f>
        <v/>
      </c>
      <c r="L11" s="128" t="inlineStr">
        <is>
          <t>NONE</t>
        </is>
      </c>
      <c r="M11" s="12" t="n"/>
      <c r="N11" s="128">
        <f>IF(A11="","",IF(COUNTIFS('Human Operation Desktop'!$A$3:$A$502,A11,'Human Operation Desktop'!$I$3:$I$502,"&lt;&gt;APPLIED",'Human Operation Desktop'!$I$3:$I$502,"&lt;&gt;REJECTED")&gt;0,"YES","NO"))</f>
        <v/>
      </c>
      <c r="O11" s="128" t="inlineStr">
        <is>
          <t>3805399145febb193e5e92fe37c364f9d2e0c87c260acc495f284639e92641a2</t>
        </is>
      </c>
      <c r="P11" s="131" t="inlineStr">
        <is>
          <t>Product Control Act</t>
        </is>
      </c>
      <c r="Q11" s="131" t="inlineStr">
        <is>
          <t>https://lovdata.no/dokument/NL/lov/1976-06-11-79</t>
        </is>
      </c>
      <c r="R11" s="131" t="inlineStr">
        <is>
          <t>https://lovdata.no/dokument/NL/lov/1976-06-11-79</t>
        </is>
      </c>
      <c r="S11" s="131" t="inlineStr">
        <is>
          <t>A_Public_Authority</t>
        </is>
      </c>
      <c r="T11" s="131" t="inlineStr">
        <is>
          <t>html</t>
        </is>
      </c>
      <c r="U11" s="131" t="inlineStr">
        <is>
          <t>Norwegian Ministry of Climate and Environment</t>
        </is>
      </c>
      <c r="V11" s="131" t="inlineStr">
        <is>
          <t>Norway</t>
        </is>
      </c>
      <c r="W11" s="131" t="inlineStr">
        <is>
          <t>Norwegian</t>
        </is>
      </c>
      <c r="X11" s="13" t="n"/>
      <c r="Y11" s="13" t="n"/>
      <c r="Z11" s="131" t="inlineStr">
        <is>
          <t>Public authority</t>
        </is>
      </c>
      <c r="AA11" s="131" t="inlineStr">
        <is>
          <t>Law</t>
        </is>
      </c>
      <c r="AB11" s="131" t="inlineStr">
        <is>
          <t>Primary normative</t>
        </is>
      </c>
      <c r="AC11" s="131" t="inlineStr">
        <is>
          <t>Official law issued by Norwegian Ministry of Climate and Environment; included because it may impose binding requirements on an in-scope aquaculture asset, activity, permit or certification.</t>
        </is>
      </c>
      <c r="AD11" s="131" t="inlineStr">
        <is>
          <t>HIGH</t>
        </is>
      </c>
      <c r="AE11" s="131" t="inlineStr">
        <is>
          <t>HIGH</t>
        </is>
      </c>
      <c r="AF11" s="131" t="inlineStr">
        <is>
          <t>HIGH</t>
        </is>
      </c>
      <c r="AG11" s="131" t="inlineStr">
        <is>
          <t>HIGH</t>
        </is>
      </c>
      <c r="AH11" s="131" t="inlineStr">
        <is>
          <t>HIGH</t>
        </is>
      </c>
      <c r="AI11" s="131" t="inlineStr">
        <is>
          <t>HIGH</t>
        </is>
      </c>
      <c r="AJ11" s="131" t="inlineStr">
        <is>
          <t>INCLUDE</t>
        </is>
      </c>
      <c r="AK11" s="125" t="n"/>
      <c r="AL11" s="13" t="n"/>
      <c r="AM11" s="131" t="inlineStr">
        <is>
          <t>CURRENT</t>
        </is>
      </c>
      <c r="AN11" s="13" t="n"/>
      <c r="AO11" s="131" t="inlineStr">
        <is>
          <t>Project-mentioned candidate, including substitution duties for harmful products.</t>
        </is>
      </c>
      <c r="AP11" s="131" t="inlineStr">
        <is>
          <t>OFFICIAL_WEBSITE</t>
        </is>
      </c>
      <c r="AQ11" s="131" t="inlineStr">
        <is>
          <t>OFFICIAL_ORIGINAL</t>
        </is>
      </c>
      <c r="AR11" s="131" t="inlineStr">
        <is>
          <t>ROLLING</t>
        </is>
      </c>
      <c r="AS11" s="13" t="n"/>
    </row>
    <row r="12" ht="30" customHeight="1" s="41">
      <c r="A12" s="126" t="inlineStr">
        <is>
          <t>PA010</t>
        </is>
      </c>
      <c r="B12" s="126" t="inlineStr">
        <is>
          <t>PA010-001</t>
        </is>
      </c>
      <c r="C12" s="127" t="inlineStr">
        <is>
          <t>PA010-001_Regulation_EU_2016_429_on_transmissible_animal_diseases_Animal_Health_Law.html</t>
        </is>
      </c>
      <c r="D12" s="128" t="inlineStr">
        <is>
          <t>STORED</t>
        </is>
      </c>
      <c r="E12" s="128">
        <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f>
        <v/>
      </c>
      <c r="F12" s="128" t="inlineStr">
        <is>
          <t>SUCCESS</t>
        </is>
      </c>
      <c r="G12" s="129" t="n">
        <v>46265.4465625</v>
      </c>
      <c r="H12" s="129" t="n">
        <v>46265.44657407407</v>
      </c>
      <c r="I12" s="128" t="inlineStr">
        <is>
          <t>INITIAL</t>
        </is>
      </c>
      <c r="J12" s="128" t="inlineStr">
        <is>
          <t>AUTO</t>
        </is>
      </c>
      <c r="K12" s="130">
        <f>IF(A12="","",IF(J12="AUTO",H12,IF(J12="MANUAL",AK12,"")))</f>
        <v/>
      </c>
      <c r="L12" s="128" t="inlineStr">
        <is>
          <t>NONE</t>
        </is>
      </c>
      <c r="M12" s="12" t="n"/>
      <c r="N12" s="128">
        <f>IF(A12="","",IF(COUNTIFS('Human Operation Desktop'!$A$3:$A$502,A12,'Human Operation Desktop'!$I$3:$I$502,"&lt;&gt;APPLIED",'Human Operation Desktop'!$I$3:$I$502,"&lt;&gt;REJECTED")&gt;0,"YES","NO"))</f>
        <v/>
      </c>
      <c r="O12" s="128" t="inlineStr">
        <is>
          <t>3ac51613dbdfb998b2d2c68e2df564b8a19c7d398d34d52f0228e6c10c30f8ed</t>
        </is>
      </c>
      <c r="P12" s="131" t="inlineStr">
        <is>
          <t>Regulation (EU) 2016/429 on transmissible animal diseases (Animal Health Law)</t>
        </is>
      </c>
      <c r="Q12" s="131" t="inlineStr">
        <is>
          <t>https://eur-lex.europa.eu/legal-content/EN/TXT/?uri=CELEX:32016R0429</t>
        </is>
      </c>
      <c r="R12" s="131" t="inlineStr">
        <is>
          <t>https://publications.europa.eu/resource/oj/JOL_2016_084_R_0001.ENG</t>
        </is>
      </c>
      <c r="S12" s="131" t="inlineStr">
        <is>
          <t>A_Public_Authority</t>
        </is>
      </c>
      <c r="T12" s="131" t="inlineStr">
        <is>
          <t>html</t>
        </is>
      </c>
      <c r="U12" s="131" t="inlineStr">
        <is>
          <t>European Parliament and Council of the European Union</t>
        </is>
      </c>
      <c r="V12" s="131" t="inlineStr">
        <is>
          <t>EU / EEA</t>
        </is>
      </c>
      <c r="W12" s="131" t="inlineStr">
        <is>
          <t>English</t>
        </is>
      </c>
      <c r="X12" s="13" t="n"/>
      <c r="Y12" s="13" t="n"/>
      <c r="Z12" s="131" t="inlineStr">
        <is>
          <t>Public authority</t>
        </is>
      </c>
      <c r="AA12" s="131" t="inlineStr">
        <is>
          <t>Regulation</t>
        </is>
      </c>
      <c r="AB12" s="131" t="inlineStr">
        <is>
          <t>Referenced normative</t>
        </is>
      </c>
      <c r="AC12" s="131" t="inlineStr">
        <is>
          <t>Official referenced source from European Parliament and Council of the European Union; included because an applicable law, permit or certification scheme may make its provisions binding within the approved scope.</t>
        </is>
      </c>
      <c r="AD12" s="131" t="inlineStr">
        <is>
          <t>HIGH</t>
        </is>
      </c>
      <c r="AE12" s="131" t="inlineStr">
        <is>
          <t>MEDIUM</t>
        </is>
      </c>
      <c r="AF12" s="131" t="inlineStr">
        <is>
          <t>HIGH</t>
        </is>
      </c>
      <c r="AG12" s="131" t="inlineStr">
        <is>
          <t>HIGH</t>
        </is>
      </c>
      <c r="AH12" s="131" t="inlineStr">
        <is>
          <t>HIGH</t>
        </is>
      </c>
      <c r="AI12" s="131" t="inlineStr">
        <is>
          <t>HIGH</t>
        </is>
      </c>
      <c r="AJ12" s="131" t="inlineStr">
        <is>
          <t>PENDING</t>
        </is>
      </c>
      <c r="AK12" s="133" t="n">
        <v>46265</v>
      </c>
      <c r="AL12" s="131" t="inlineStr">
        <is>
          <t>Jay</t>
        </is>
      </c>
      <c r="AM12" s="131" t="inlineStr">
        <is>
          <t>CURRENT</t>
        </is>
      </c>
      <c r="AN12" s="13" t="n"/>
      <c r="AO12" s="131"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AP12" s="131" t="inlineStr">
        <is>
          <t>OFFICIAL_WEBSITE</t>
        </is>
      </c>
      <c r="AQ12" s="131" t="inlineStr">
        <is>
          <t>OFFICIAL_ORIGINAL</t>
        </is>
      </c>
      <c r="AR12" s="131" t="inlineStr">
        <is>
          <t>ROLLING</t>
        </is>
      </c>
      <c r="AS12" s="13" t="n"/>
    </row>
    <row r="13" ht="30" customHeight="1" s="41">
      <c r="A13" s="132" t="inlineStr">
        <is>
          <t>PA011</t>
        </is>
      </c>
      <c r="B13" s="132" t="inlineStr">
        <is>
          <t>PA011-001</t>
        </is>
      </c>
      <c r="C13" s="127" t="inlineStr">
        <is>
          <t>PA011-001_Working_Environment_Act.html</t>
        </is>
      </c>
      <c r="D13" s="128" t="inlineStr">
        <is>
          <t>STORED</t>
        </is>
      </c>
      <c r="E13" s="128">
        <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f>
        <v/>
      </c>
      <c r="F13" s="128" t="inlineStr">
        <is>
          <t>SUCCESS</t>
        </is>
      </c>
      <c r="G13" s="129" t="n">
        <v>46262.53082175926</v>
      </c>
      <c r="H13" s="129" t="n">
        <v>46262.53082175926</v>
      </c>
      <c r="I13" s="128" t="inlineStr">
        <is>
          <t>INITIAL</t>
        </is>
      </c>
      <c r="J13" s="128" t="inlineStr">
        <is>
          <t>AUTO</t>
        </is>
      </c>
      <c r="K13" s="130">
        <f>IF(A13="","",IF(J13="AUTO",H13,IF(J13="MANUAL",AK13,"")))</f>
        <v/>
      </c>
      <c r="L13" s="128" t="inlineStr">
        <is>
          <t>NONE</t>
        </is>
      </c>
      <c r="M13" s="12" t="n"/>
      <c r="N13" s="128">
        <f>IF(A13="","",IF(COUNTIFS('Human Operation Desktop'!$A$3:$A$502,A13,'Human Operation Desktop'!$I$3:$I$502,"&lt;&gt;APPLIED",'Human Operation Desktop'!$I$3:$I$502,"&lt;&gt;REJECTED")&gt;0,"YES","NO"))</f>
        <v/>
      </c>
      <c r="O13" s="128" t="inlineStr">
        <is>
          <t>96cec52793e643ff1daf51254216f36e1ac4b2216e80dea9f09161708d0a9170</t>
        </is>
      </c>
      <c r="P13" s="131" t="inlineStr">
        <is>
          <t>Working Environment Act</t>
        </is>
      </c>
      <c r="Q13" s="131" t="inlineStr">
        <is>
          <t>https://lovdata.no/dokument/NL/lov/2005-06-17-62</t>
        </is>
      </c>
      <c r="R13" s="131" t="inlineStr">
        <is>
          <t>https://lovdata.no/dokument/NL/lov/2005-06-17-62</t>
        </is>
      </c>
      <c r="S13" s="131" t="inlineStr">
        <is>
          <t>A_Public_Authority</t>
        </is>
      </c>
      <c r="T13" s="131" t="inlineStr">
        <is>
          <t>html</t>
        </is>
      </c>
      <c r="U13" s="131" t="inlineStr">
        <is>
          <t>Norwegian Ministry of Labour and Social Inclusion</t>
        </is>
      </c>
      <c r="V13" s="131" t="inlineStr">
        <is>
          <t>Norway</t>
        </is>
      </c>
      <c r="W13" s="131" t="inlineStr">
        <is>
          <t>Norwegian</t>
        </is>
      </c>
      <c r="X13" s="13" t="n"/>
      <c r="Y13" s="13" t="n"/>
      <c r="Z13" s="131" t="inlineStr">
        <is>
          <t>Public authority</t>
        </is>
      </c>
      <c r="AA13" s="131" t="inlineStr">
        <is>
          <t>Law</t>
        </is>
      </c>
      <c r="AB13" s="131" t="inlineStr">
        <is>
          <t>Primary normative</t>
        </is>
      </c>
      <c r="AC13" s="131" t="inlineStr">
        <is>
          <t>Official law issued by Norwegian Ministry of Labour and Social Inclusion; included because it may impose binding requirements on an in-scope aquaculture asset, activity, permit or certification.</t>
        </is>
      </c>
      <c r="AD13" s="131" t="inlineStr">
        <is>
          <t>HIGH</t>
        </is>
      </c>
      <c r="AE13" s="131" t="inlineStr">
        <is>
          <t>HIGH</t>
        </is>
      </c>
      <c r="AF13" s="131" t="inlineStr">
        <is>
          <t>HIGH</t>
        </is>
      </c>
      <c r="AG13" s="131" t="inlineStr">
        <is>
          <t>HIGH</t>
        </is>
      </c>
      <c r="AH13" s="131" t="inlineStr">
        <is>
          <t>HIGH</t>
        </is>
      </c>
      <c r="AI13" s="131" t="inlineStr">
        <is>
          <t>HIGH</t>
        </is>
      </c>
      <c r="AJ13" s="131" t="inlineStr">
        <is>
          <t>INCLUDE</t>
        </is>
      </c>
      <c r="AK13" s="125" t="n"/>
      <c r="AL13" s="13" t="n"/>
      <c r="AM13" s="131" t="inlineStr">
        <is>
          <t>CURRENT</t>
        </is>
      </c>
      <c r="AN13" s="13" t="n"/>
      <c r="AO13" s="131" t="inlineStr">
        <is>
          <t>Project-mentioned candidate for worker health, safety and training.</t>
        </is>
      </c>
      <c r="AP13" s="131" t="inlineStr">
        <is>
          <t>OFFICIAL_WEBSITE</t>
        </is>
      </c>
      <c r="AQ13" s="131" t="inlineStr">
        <is>
          <t>OFFICIAL_ORIGINAL</t>
        </is>
      </c>
      <c r="AR13" s="131" t="inlineStr">
        <is>
          <t>ROLLING</t>
        </is>
      </c>
      <c r="AS13" s="13" t="n"/>
    </row>
    <row r="14" ht="30" customHeight="1" s="41">
      <c r="A14" s="126" t="inlineStr">
        <is>
          <t>PA012</t>
        </is>
      </c>
      <c r="B14" s="126" t="inlineStr">
        <is>
          <t>PA012-001</t>
        </is>
      </c>
      <c r="C14" s="127" t="inlineStr">
        <is>
          <t>PA012-001_Regulations_concerning_the_performance_of_work_psychosocial_working_environment_use_of_work_equipment_and_related_techni.html</t>
        </is>
      </c>
      <c r="D14" s="128" t="inlineStr">
        <is>
          <t>STORED</t>
        </is>
      </c>
      <c r="E14" s="128">
        <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f>
        <v/>
      </c>
      <c r="F14" s="128" t="inlineStr">
        <is>
          <t>SUCCESS</t>
        </is>
      </c>
      <c r="G14" s="129" t="n">
        <v>46262.53083333333</v>
      </c>
      <c r="H14" s="129" t="n">
        <v>46262.53083333333</v>
      </c>
      <c r="I14" s="128" t="inlineStr">
        <is>
          <t>INITIAL</t>
        </is>
      </c>
      <c r="J14" s="128" t="inlineStr">
        <is>
          <t>AUTO</t>
        </is>
      </c>
      <c r="K14" s="130">
        <f>IF(A14="","",IF(J14="AUTO",H14,IF(J14="MANUAL",AK14,"")))</f>
        <v/>
      </c>
      <c r="L14" s="128" t="inlineStr">
        <is>
          <t>NONE</t>
        </is>
      </c>
      <c r="M14" s="12" t="n"/>
      <c r="N14" s="128">
        <f>IF(A14="","",IF(COUNTIFS('Human Operation Desktop'!$A$3:$A$502,A14,'Human Operation Desktop'!$I$3:$I$502,"&lt;&gt;APPLIED",'Human Operation Desktop'!$I$3:$I$502,"&lt;&gt;REJECTED")&gt;0,"YES","NO"))</f>
        <v/>
      </c>
      <c r="O14" s="128" t="inlineStr">
        <is>
          <t>15cc7d1de65ea3277121031dd0c7e4d7b44ea7950fdfbd38df7d402255860e68</t>
        </is>
      </c>
      <c r="P14" s="131" t="inlineStr">
        <is>
          <t>Regulations concerning the performance of work, psychosocial working environment, use of work equipment and related technical requirements</t>
        </is>
      </c>
      <c r="Q14" s="131" t="inlineStr">
        <is>
          <t>https://lovdata.no/dokument/SF/forskrift/2011-12-06-1357</t>
        </is>
      </c>
      <c r="R14" s="131" t="inlineStr">
        <is>
          <t>https://lovdata.no/dokument/SF/forskrift/2011-12-06-1357</t>
        </is>
      </c>
      <c r="S14" s="131" t="inlineStr">
        <is>
          <t>A_Public_Authority</t>
        </is>
      </c>
      <c r="T14" s="131" t="inlineStr">
        <is>
          <t>html</t>
        </is>
      </c>
      <c r="U14" s="131" t="inlineStr">
        <is>
          <t>Norwegian Ministry of Labour and Social Inclusion</t>
        </is>
      </c>
      <c r="V14" s="131" t="inlineStr">
        <is>
          <t>Norway</t>
        </is>
      </c>
      <c r="W14" s="131" t="inlineStr">
        <is>
          <t>Norwegian</t>
        </is>
      </c>
      <c r="X14" s="13" t="n"/>
      <c r="Y14" s="13" t="n"/>
      <c r="Z14" s="131" t="inlineStr">
        <is>
          <t>Public authority</t>
        </is>
      </c>
      <c r="AA14" s="131" t="inlineStr">
        <is>
          <t>Regulation</t>
        </is>
      </c>
      <c r="AB14" s="131" t="inlineStr">
        <is>
          <t>Primary normative</t>
        </is>
      </c>
      <c r="AC14" s="131" t="inlineStr">
        <is>
          <t>Official regulation issued by Norwegian Ministry of Labour and Social Inclusion; included because it may impose binding requirements on an in-scope aquaculture asset, activity, permit or certification.</t>
        </is>
      </c>
      <c r="AD14" s="131" t="inlineStr">
        <is>
          <t>HIGH</t>
        </is>
      </c>
      <c r="AE14" s="131" t="inlineStr">
        <is>
          <t>HIGH</t>
        </is>
      </c>
      <c r="AF14" s="131" t="inlineStr">
        <is>
          <t>HIGH</t>
        </is>
      </c>
      <c r="AG14" s="131" t="inlineStr">
        <is>
          <t>HIGH</t>
        </is>
      </c>
      <c r="AH14" s="131" t="inlineStr">
        <is>
          <t>HIGH</t>
        </is>
      </c>
      <c r="AI14" s="131" t="inlineStr">
        <is>
          <t>HIGH</t>
        </is>
      </c>
      <c r="AJ14" s="131" t="inlineStr">
        <is>
          <t>INCLUDE</t>
        </is>
      </c>
      <c r="AK14" s="125" t="n"/>
      <c r="AL14" s="13" t="n"/>
      <c r="AM14" s="131" t="inlineStr">
        <is>
          <t>CURRENT</t>
        </is>
      </c>
      <c r="AN14" s="13" t="n"/>
      <c r="AO14" s="131" t="inlineStr">
        <is>
          <t>Project-mentioned candidate. Applicability depends on work activities and equipment.</t>
        </is>
      </c>
      <c r="AP14" s="131" t="inlineStr">
        <is>
          <t>OFFICIAL_WEBSITE</t>
        </is>
      </c>
      <c r="AQ14" s="131" t="inlineStr">
        <is>
          <t>OFFICIAL_ORIGINAL</t>
        </is>
      </c>
      <c r="AR14" s="131" t="inlineStr">
        <is>
          <t>ROLLING</t>
        </is>
      </c>
      <c r="AS14" s="13" t="n"/>
    </row>
    <row r="15" ht="30" customHeight="1" s="41">
      <c r="A15" s="132" t="inlineStr">
        <is>
          <t>PA013</t>
        </is>
      </c>
      <c r="B15" s="132" t="inlineStr">
        <is>
          <t>PA013-001</t>
        </is>
      </c>
      <c r="C15" s="127" t="inlineStr">
        <is>
          <t>PA013-001_Food_Act.html</t>
        </is>
      </c>
      <c r="D15" s="128" t="inlineStr">
        <is>
          <t>STORED</t>
        </is>
      </c>
      <c r="E15" s="128">
        <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f>
        <v/>
      </c>
      <c r="F15" s="128" t="inlineStr">
        <is>
          <t>SUCCESS</t>
        </is>
      </c>
      <c r="G15" s="129" t="n">
        <v>46262.53083333333</v>
      </c>
      <c r="H15" s="129" t="n">
        <v>46262.53083333333</v>
      </c>
      <c r="I15" s="128" t="inlineStr">
        <is>
          <t>INITIAL</t>
        </is>
      </c>
      <c r="J15" s="128" t="inlineStr">
        <is>
          <t>AUTO</t>
        </is>
      </c>
      <c r="K15" s="130">
        <f>IF(A15="","",IF(J15="AUTO",H15,IF(J15="MANUAL",AK15,"")))</f>
        <v/>
      </c>
      <c r="L15" s="128" t="inlineStr">
        <is>
          <t>NONE</t>
        </is>
      </c>
      <c r="M15" s="12" t="n"/>
      <c r="N15" s="128">
        <f>IF(A15="","",IF(COUNTIFS('Human Operation Desktop'!$A$3:$A$502,A15,'Human Operation Desktop'!$I$3:$I$502,"&lt;&gt;APPLIED",'Human Operation Desktop'!$I$3:$I$502,"&lt;&gt;REJECTED")&gt;0,"YES","NO"))</f>
        <v/>
      </c>
      <c r="O15" s="128" t="inlineStr">
        <is>
          <t>fffe78cee31f4f34218728d0e8d8919b5fe5ccae40e8f41a067757370372d8db</t>
        </is>
      </c>
      <c r="P15" s="131" t="inlineStr">
        <is>
          <t>Food Act</t>
        </is>
      </c>
      <c r="Q15" s="131" t="inlineStr">
        <is>
          <t>https://lovdata.no/dokument/NL/lov/2003-12-19-124</t>
        </is>
      </c>
      <c r="R15" s="131" t="inlineStr">
        <is>
          <t>https://lovdata.no/dokument/NL/lov/2003-12-19-124</t>
        </is>
      </c>
      <c r="S15" s="131" t="inlineStr">
        <is>
          <t>A_Public_Authority</t>
        </is>
      </c>
      <c r="T15" s="131" t="inlineStr">
        <is>
          <t>html</t>
        </is>
      </c>
      <c r="U15" s="131" t="inlineStr">
        <is>
          <t>Norwegian Government</t>
        </is>
      </c>
      <c r="V15" s="131" t="inlineStr">
        <is>
          <t>Norway</t>
        </is>
      </c>
      <c r="W15" s="131" t="inlineStr">
        <is>
          <t>Norwegian</t>
        </is>
      </c>
      <c r="X15" s="13" t="n"/>
      <c r="Y15" s="13" t="n"/>
      <c r="Z15" s="131" t="inlineStr">
        <is>
          <t>Public authority</t>
        </is>
      </c>
      <c r="AA15" s="131" t="inlineStr">
        <is>
          <t>Law</t>
        </is>
      </c>
      <c r="AB15" s="131" t="inlineStr">
        <is>
          <t>Primary normative</t>
        </is>
      </c>
      <c r="AC15" s="131" t="inlineStr">
        <is>
          <t>Official law issued by Norwegian Government; included because it may impose binding requirements on an in-scope aquaculture asset, activity, permit or certification.</t>
        </is>
      </c>
      <c r="AD15" s="131" t="inlineStr">
        <is>
          <t>HIGH</t>
        </is>
      </c>
      <c r="AE15" s="131" t="inlineStr">
        <is>
          <t>HIGH</t>
        </is>
      </c>
      <c r="AF15" s="131" t="inlineStr">
        <is>
          <t>HIGH</t>
        </is>
      </c>
      <c r="AG15" s="131" t="inlineStr">
        <is>
          <t>HIGH</t>
        </is>
      </c>
      <c r="AH15" s="131" t="inlineStr">
        <is>
          <t>HIGH</t>
        </is>
      </c>
      <c r="AI15" s="131" t="inlineStr">
        <is>
          <t>HIGH</t>
        </is>
      </c>
      <c r="AJ15" s="131" t="inlineStr">
        <is>
          <t>INCLUDE</t>
        </is>
      </c>
      <c r="AK15" s="125" t="n"/>
      <c r="AL15" s="13" t="n"/>
      <c r="AM15" s="131" t="inlineStr">
        <is>
          <t>CURRENT</t>
        </is>
      </c>
      <c r="AN15" s="13" t="n"/>
      <c r="AO15" s="131" t="inlineStr">
        <is>
          <t>Official expansion from Fiskeridirektoratet risk-management sources; scope confirmation required.</t>
        </is>
      </c>
      <c r="AP15" s="131" t="inlineStr">
        <is>
          <t>OFFICIAL_WEBSITE</t>
        </is>
      </c>
      <c r="AQ15" s="131" t="inlineStr">
        <is>
          <t>OFFICIAL_ORIGINAL</t>
        </is>
      </c>
      <c r="AR15" s="131" t="inlineStr">
        <is>
          <t>ROLLING</t>
        </is>
      </c>
      <c r="AS15" s="13" t="n"/>
    </row>
    <row r="16" ht="30" customHeight="1" s="41">
      <c r="A16" s="126" t="inlineStr">
        <is>
          <t>PA014</t>
        </is>
      </c>
      <c r="B16" s="126" t="inlineStr">
        <is>
          <t>PA014-001</t>
        </is>
      </c>
      <c r="C16" s="127" t="inlineStr">
        <is>
          <t>PA014-001_Animal_Health_Personnel_Act.html</t>
        </is>
      </c>
      <c r="D16" s="128" t="inlineStr">
        <is>
          <t>STORED</t>
        </is>
      </c>
      <c r="E16" s="128">
        <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f>
        <v/>
      </c>
      <c r="F16" s="128" t="inlineStr">
        <is>
          <t>SUCCESS</t>
        </is>
      </c>
      <c r="G16" s="129" t="n">
        <v>46262.53083333333</v>
      </c>
      <c r="H16" s="129" t="n">
        <v>46262.53084490741</v>
      </c>
      <c r="I16" s="128" t="inlineStr">
        <is>
          <t>INITIAL</t>
        </is>
      </c>
      <c r="J16" s="128" t="inlineStr">
        <is>
          <t>AUTO</t>
        </is>
      </c>
      <c r="K16" s="130">
        <f>IF(A16="","",IF(J16="AUTO",H16,IF(J16="MANUAL",AK16,"")))</f>
        <v/>
      </c>
      <c r="L16" s="128" t="inlineStr">
        <is>
          <t>NONE</t>
        </is>
      </c>
      <c r="M16" s="12" t="n"/>
      <c r="N16" s="128">
        <f>IF(A16="","",IF(COUNTIFS('Human Operation Desktop'!$A$3:$A$502,A16,'Human Operation Desktop'!$I$3:$I$502,"&lt;&gt;APPLIED",'Human Operation Desktop'!$I$3:$I$502,"&lt;&gt;REJECTED")&gt;0,"YES","NO"))</f>
        <v/>
      </c>
      <c r="O16" s="128" t="inlineStr">
        <is>
          <t>d1f92d2c418243c85675fe93401a76b489b88306833b3478073fa844aa83b30b</t>
        </is>
      </c>
      <c r="P16" s="131" t="inlineStr">
        <is>
          <t>Animal Health Personnel Act</t>
        </is>
      </c>
      <c r="Q16" s="131" t="inlineStr">
        <is>
          <t>https://lovdata.no/dokument/NL/lov/2001-06-15-75</t>
        </is>
      </c>
      <c r="R16" s="131" t="inlineStr">
        <is>
          <t>https://lovdata.no/dokument/NL/lov/2001-06-15-75</t>
        </is>
      </c>
      <c r="S16" s="131" t="inlineStr">
        <is>
          <t>A_Public_Authority</t>
        </is>
      </c>
      <c r="T16" s="131" t="inlineStr">
        <is>
          <t>html</t>
        </is>
      </c>
      <c r="U16" s="131" t="inlineStr">
        <is>
          <t>Norwegian Ministry of Agriculture and Food</t>
        </is>
      </c>
      <c r="V16" s="131" t="inlineStr">
        <is>
          <t>Norway</t>
        </is>
      </c>
      <c r="W16" s="131" t="inlineStr">
        <is>
          <t>Norwegian</t>
        </is>
      </c>
      <c r="X16" s="13" t="n"/>
      <c r="Y16" s="13" t="n"/>
      <c r="Z16" s="131" t="inlineStr">
        <is>
          <t>Public authority</t>
        </is>
      </c>
      <c r="AA16" s="131" t="inlineStr">
        <is>
          <t>Law</t>
        </is>
      </c>
      <c r="AB16" s="131" t="inlineStr">
        <is>
          <t>Primary normative</t>
        </is>
      </c>
      <c r="AC16" s="131" t="inlineStr">
        <is>
          <t>Official law issued by Norwegian Ministry of Agriculture and Food; included because it may impose binding requirements on an in-scope aquaculture asset, activity, permit or certification.</t>
        </is>
      </c>
      <c r="AD16" s="131" t="inlineStr">
        <is>
          <t>HIGH</t>
        </is>
      </c>
      <c r="AE16" s="131" t="inlineStr">
        <is>
          <t>MEDIUM</t>
        </is>
      </c>
      <c r="AF16" s="131" t="inlineStr">
        <is>
          <t>HIGH</t>
        </is>
      </c>
      <c r="AG16" s="131" t="inlineStr">
        <is>
          <t>HIGH</t>
        </is>
      </c>
      <c r="AH16" s="131" t="inlineStr">
        <is>
          <t>HIGH</t>
        </is>
      </c>
      <c r="AI16" s="131" t="inlineStr">
        <is>
          <t>HIGH</t>
        </is>
      </c>
      <c r="AJ16" s="131" t="inlineStr">
        <is>
          <t>PENDING</t>
        </is>
      </c>
      <c r="AK16" s="125" t="n"/>
      <c r="AL16" s="13" t="n"/>
      <c r="AM16" s="131" t="inlineStr">
        <is>
          <t>CURRENT</t>
        </is>
      </c>
      <c r="AN16" s="13" t="n"/>
      <c r="AO16" s="131" t="inlineStr">
        <is>
          <t>Official expansion. Relevant where veterinarians or aquatic animal health personnel perform regulated tasks.</t>
        </is>
      </c>
      <c r="AP16" s="131" t="inlineStr">
        <is>
          <t>OFFICIAL_WEBSITE</t>
        </is>
      </c>
      <c r="AQ16" s="131" t="inlineStr">
        <is>
          <t>OFFICIAL_ORIGINAL</t>
        </is>
      </c>
      <c r="AR16" s="131" t="inlineStr">
        <is>
          <t>ROLLING</t>
        </is>
      </c>
      <c r="AS16" s="13" t="n"/>
    </row>
    <row r="17" ht="30" customHeight="1" s="41">
      <c r="A17" s="132" t="inlineStr">
        <is>
          <t>PA015</t>
        </is>
      </c>
      <c r="B17" s="132" t="inlineStr">
        <is>
          <t>PA015-001</t>
        </is>
      </c>
      <c r="C17" s="127" t="inlineStr">
        <is>
          <t>PA015-001_Regulation_on_control_of_salmon_lice_in_aquaculture_facilities.html</t>
        </is>
      </c>
      <c r="D17" s="128" t="inlineStr">
        <is>
          <t>STORED</t>
        </is>
      </c>
      <c r="E17" s="128">
        <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f>
        <v/>
      </c>
      <c r="F17" s="128" t="inlineStr">
        <is>
          <t>SUCCESS</t>
        </is>
      </c>
      <c r="G17" s="129" t="n">
        <v>46262.53084490741</v>
      </c>
      <c r="H17" s="129" t="n">
        <v>46262.53084490741</v>
      </c>
      <c r="I17" s="128" t="inlineStr">
        <is>
          <t>INITIAL</t>
        </is>
      </c>
      <c r="J17" s="128" t="inlineStr">
        <is>
          <t>AUTO</t>
        </is>
      </c>
      <c r="K17" s="130">
        <f>IF(A17="","",IF(J17="AUTO",H17,IF(J17="MANUAL",AK17,"")))</f>
        <v/>
      </c>
      <c r="L17" s="128" t="inlineStr">
        <is>
          <t>NONE</t>
        </is>
      </c>
      <c r="M17" s="12" t="n"/>
      <c r="N17" s="128">
        <f>IF(A17="","",IF(COUNTIFS('Human Operation Desktop'!$A$3:$A$502,A17,'Human Operation Desktop'!$I$3:$I$502,"&lt;&gt;APPLIED",'Human Operation Desktop'!$I$3:$I$502,"&lt;&gt;REJECTED")&gt;0,"YES","NO"))</f>
        <v/>
      </c>
      <c r="O17" s="128" t="inlineStr">
        <is>
          <t>9334a78a021971411e5c8826a2bb16aab1db707d778f6249c9a36b0afc90a4a1</t>
        </is>
      </c>
      <c r="P17" s="131" t="inlineStr">
        <is>
          <t>Regulation on control of salmon lice in aquaculture facilities</t>
        </is>
      </c>
      <c r="Q17" s="131" t="inlineStr">
        <is>
          <t>https://lovdata.no/dokument/SF/forskrift/2012-12-05-1140</t>
        </is>
      </c>
      <c r="R17" s="131" t="inlineStr">
        <is>
          <t>https://lovdata.no/dokument/SF/forskrift/2012-12-05-1140</t>
        </is>
      </c>
      <c r="S17" s="131" t="inlineStr">
        <is>
          <t>A_Public_Authority</t>
        </is>
      </c>
      <c r="T17" s="131" t="inlineStr">
        <is>
          <t>html</t>
        </is>
      </c>
      <c r="U17" s="131" t="inlineStr">
        <is>
          <t>Norwegian Ministry of Trade, Industry and Fisheries</t>
        </is>
      </c>
      <c r="V17" s="131" t="inlineStr">
        <is>
          <t>Norway</t>
        </is>
      </c>
      <c r="W17" s="131" t="inlineStr">
        <is>
          <t>Norwegian</t>
        </is>
      </c>
      <c r="X17" s="13" t="n"/>
      <c r="Y17" s="13" t="n"/>
      <c r="Z17" s="131" t="inlineStr">
        <is>
          <t>Public authority</t>
        </is>
      </c>
      <c r="AA17" s="131" t="inlineStr">
        <is>
          <t>Regulation</t>
        </is>
      </c>
      <c r="AB17" s="131" t="inlineStr">
        <is>
          <t>Primary normative</t>
        </is>
      </c>
      <c r="AC17" s="131" t="inlineStr">
        <is>
          <t>Official regulation issued by Norwegian Ministry of Trade, Industry and Fisheries; included because it may impose binding requirements on an in-scope aquaculture asset, activity, permit or certification.</t>
        </is>
      </c>
      <c r="AD17" s="131" t="inlineStr">
        <is>
          <t>HIGH</t>
        </is>
      </c>
      <c r="AE17" s="131" t="inlineStr">
        <is>
          <t>HIGH</t>
        </is>
      </c>
      <c r="AF17" s="131" t="inlineStr">
        <is>
          <t>HIGH</t>
        </is>
      </c>
      <c r="AG17" s="131" t="inlineStr">
        <is>
          <t>HIGH</t>
        </is>
      </c>
      <c r="AH17" s="131" t="inlineStr">
        <is>
          <t>HIGH</t>
        </is>
      </c>
      <c r="AI17" s="131" t="inlineStr">
        <is>
          <t>HIGH</t>
        </is>
      </c>
      <c r="AJ17" s="131" t="inlineStr">
        <is>
          <t>INCLUDE</t>
        </is>
      </c>
      <c r="AK17" s="125" t="n"/>
      <c r="AL17" s="13" t="n"/>
      <c r="AM17" s="131" t="inlineStr">
        <is>
          <t>CURRENT</t>
        </is>
      </c>
      <c r="AN17" s="13" t="n"/>
      <c r="AO17" s="131" t="inlineStr">
        <is>
          <t>Official expansion from Fiskeridirektoratet risk-management sources; species and operation scope must be confirmed.</t>
        </is>
      </c>
      <c r="AP17" s="131" t="inlineStr">
        <is>
          <t>OFFICIAL_WEBSITE</t>
        </is>
      </c>
      <c r="AQ17" s="131" t="inlineStr">
        <is>
          <t>OFFICIAL_ORIGINAL</t>
        </is>
      </c>
      <c r="AR17" s="131" t="inlineStr">
        <is>
          <t>ROLLING</t>
        </is>
      </c>
      <c r="AS17" s="13" t="n"/>
    </row>
    <row r="18" ht="30" customHeight="1" s="41">
      <c r="A18" s="126" t="inlineStr">
        <is>
          <t>PA016</t>
        </is>
      </c>
      <c r="B18" s="126" t="inlineStr">
        <is>
          <t>PA016-001</t>
        </is>
      </c>
      <c r="C18" s="127" t="inlineStr">
        <is>
          <t>PA016-001_Regulation_on_internal_control_to_comply_with_aquaculture_legislation_IK-Aquaculture.html</t>
        </is>
      </c>
      <c r="D18" s="128" t="inlineStr">
        <is>
          <t>STORED</t>
        </is>
      </c>
      <c r="E18" s="128">
        <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f>
        <v/>
      </c>
      <c r="F18" s="128" t="inlineStr">
        <is>
          <t>SUCCESS</t>
        </is>
      </c>
      <c r="G18" s="129" t="n">
        <v>46262.53084490741</v>
      </c>
      <c r="H18" s="129" t="n">
        <v>46262.53085648148</v>
      </c>
      <c r="I18" s="128" t="inlineStr">
        <is>
          <t>INITIAL</t>
        </is>
      </c>
      <c r="J18" s="128" t="inlineStr">
        <is>
          <t>AUTO</t>
        </is>
      </c>
      <c r="K18" s="130">
        <f>IF(A18="","",IF(J18="AUTO",H18,IF(J18="MANUAL",AK18,"")))</f>
        <v/>
      </c>
      <c r="L18" s="128" t="inlineStr">
        <is>
          <t>NONE</t>
        </is>
      </c>
      <c r="M18" s="12" t="n"/>
      <c r="N18" s="128">
        <f>IF(A18="","",IF(COUNTIFS('Human Operation Desktop'!$A$3:$A$502,A18,'Human Operation Desktop'!$I$3:$I$502,"&lt;&gt;APPLIED",'Human Operation Desktop'!$I$3:$I$502,"&lt;&gt;REJECTED")&gt;0,"YES","NO"))</f>
        <v/>
      </c>
      <c r="O18" s="128" t="inlineStr">
        <is>
          <t>a8a24e5e32dfc061868654b4e1fa2c6925b6333aa34a41c952cc66de9710977b</t>
        </is>
      </c>
      <c r="P18" s="131" t="inlineStr">
        <is>
          <t>Regulation on internal control to comply with aquaculture legislation (IK-Aquaculture)</t>
        </is>
      </c>
      <c r="Q18" s="131" t="inlineStr">
        <is>
          <t>https://lovdata.no/dokument/SF/forskrift/2004-03-19-537</t>
        </is>
      </c>
      <c r="R18" s="131" t="inlineStr">
        <is>
          <t>https://lovdata.no/dokument/SF/forskrift/2004-03-19-537</t>
        </is>
      </c>
      <c r="S18" s="131" t="inlineStr">
        <is>
          <t>A_Public_Authority</t>
        </is>
      </c>
      <c r="T18" s="131" t="inlineStr">
        <is>
          <t>html</t>
        </is>
      </c>
      <c r="U18" s="131" t="inlineStr">
        <is>
          <t>Norwegian Government</t>
        </is>
      </c>
      <c r="V18" s="131" t="inlineStr">
        <is>
          <t>Norway</t>
        </is>
      </c>
      <c r="W18" s="131" t="inlineStr">
        <is>
          <t>Norwegian</t>
        </is>
      </c>
      <c r="X18" s="13" t="n"/>
      <c r="Y18" s="13" t="n"/>
      <c r="Z18" s="131" t="inlineStr">
        <is>
          <t>Public authority</t>
        </is>
      </c>
      <c r="AA18" s="131" t="inlineStr">
        <is>
          <t>Regulation</t>
        </is>
      </c>
      <c r="AB18" s="131" t="inlineStr">
        <is>
          <t>Primary normative</t>
        </is>
      </c>
      <c r="AC18" s="131" t="inlineStr">
        <is>
          <t>Official regulation issued by Norwegian Government; included because it may impose binding requirements on an in-scope aquaculture asset, activity, permit or certification.</t>
        </is>
      </c>
      <c r="AD18" s="131" t="inlineStr">
        <is>
          <t>HIGH</t>
        </is>
      </c>
      <c r="AE18" s="131" t="inlineStr">
        <is>
          <t>HIGH</t>
        </is>
      </c>
      <c r="AF18" s="131" t="inlineStr">
        <is>
          <t>HIGH</t>
        </is>
      </c>
      <c r="AG18" s="131" t="inlineStr">
        <is>
          <t>HIGH</t>
        </is>
      </c>
      <c r="AH18" s="131" t="inlineStr">
        <is>
          <t>HIGH</t>
        </is>
      </c>
      <c r="AI18" s="131" t="inlineStr">
        <is>
          <t>HIGH</t>
        </is>
      </c>
      <c r="AJ18" s="131" t="inlineStr">
        <is>
          <t>INCLUDE</t>
        </is>
      </c>
      <c r="AK18" s="125" t="n"/>
      <c r="AL18" s="13" t="n"/>
      <c r="AM18" s="131" t="inlineStr">
        <is>
          <t>CURRENT</t>
        </is>
      </c>
      <c r="AN18" s="13" t="n"/>
      <c r="AO18" s="131" t="inlineStr">
        <is>
          <t>Official expansion. Core management-system candidate for Norwegian aquaculture operations.</t>
        </is>
      </c>
      <c r="AP18" s="131" t="inlineStr">
        <is>
          <t>OFFICIAL_WEBSITE</t>
        </is>
      </c>
      <c r="AQ18" s="131" t="inlineStr">
        <is>
          <t>OFFICIAL_ORIGINAL</t>
        </is>
      </c>
      <c r="AR18" s="131" t="inlineStr">
        <is>
          <t>ROLLING</t>
        </is>
      </c>
      <c r="AS18" s="13" t="n"/>
    </row>
    <row r="19" ht="30" customHeight="1" s="41">
      <c r="A19" s="132" t="inlineStr">
        <is>
          <t>PA017</t>
        </is>
      </c>
      <c r="B19" s="132" t="inlineStr">
        <is>
          <t>PA017-001</t>
        </is>
      </c>
      <c r="C19" s="127" t="inlineStr">
        <is>
          <t>PA017-001_Internal_Control_Regulations.html</t>
        </is>
      </c>
      <c r="D19" s="128" t="inlineStr">
        <is>
          <t>STORED</t>
        </is>
      </c>
      <c r="E19" s="128">
        <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f>
        <v/>
      </c>
      <c r="F19" s="128" t="inlineStr">
        <is>
          <t>SUCCESS</t>
        </is>
      </c>
      <c r="G19" s="129" t="n">
        <v>46262.53085648148</v>
      </c>
      <c r="H19" s="129" t="n">
        <v>46262.53085648148</v>
      </c>
      <c r="I19" s="128" t="inlineStr">
        <is>
          <t>INITIAL</t>
        </is>
      </c>
      <c r="J19" s="128" t="inlineStr">
        <is>
          <t>AUTO</t>
        </is>
      </c>
      <c r="K19" s="130">
        <f>IF(A19="","",IF(J19="AUTO",H19,IF(J19="MANUAL",AK19,"")))</f>
        <v/>
      </c>
      <c r="L19" s="128" t="inlineStr">
        <is>
          <t>NONE</t>
        </is>
      </c>
      <c r="M19" s="12" t="n"/>
      <c r="N19" s="128">
        <f>IF(A19="","",IF(COUNTIFS('Human Operation Desktop'!$A$3:$A$502,A19,'Human Operation Desktop'!$I$3:$I$502,"&lt;&gt;APPLIED",'Human Operation Desktop'!$I$3:$I$502,"&lt;&gt;REJECTED")&gt;0,"YES","NO"))</f>
        <v/>
      </c>
      <c r="O19" s="128" t="inlineStr">
        <is>
          <t>7f640e3626fbd2d3aa9e6f8f0fad328170f26e4a73a9f59fd20ffe74f400b546</t>
        </is>
      </c>
      <c r="P19" s="131" t="inlineStr">
        <is>
          <t>Internal Control Regulations</t>
        </is>
      </c>
      <c r="Q19" s="131" t="inlineStr">
        <is>
          <t>https://lovdata.no/dokument/SF/forskrift/1996-12-06-1127</t>
        </is>
      </c>
      <c r="R19" s="131" t="inlineStr">
        <is>
          <t>https://lovdata.no/dokument/SF/forskrift/1996-12-06-1127</t>
        </is>
      </c>
      <c r="S19" s="131" t="inlineStr">
        <is>
          <t>A_Public_Authority</t>
        </is>
      </c>
      <c r="T19" s="131" t="inlineStr">
        <is>
          <t>html</t>
        </is>
      </c>
      <c r="U19" s="131" t="inlineStr">
        <is>
          <t>Norwegian Government</t>
        </is>
      </c>
      <c r="V19" s="131" t="inlineStr">
        <is>
          <t>Norway</t>
        </is>
      </c>
      <c r="W19" s="131" t="inlineStr">
        <is>
          <t>Norwegian</t>
        </is>
      </c>
      <c r="X19" s="13" t="n"/>
      <c r="Y19" s="13" t="n"/>
      <c r="Z19" s="131" t="inlineStr">
        <is>
          <t>Public authority</t>
        </is>
      </c>
      <c r="AA19" s="131" t="inlineStr">
        <is>
          <t>Regulation</t>
        </is>
      </c>
      <c r="AB19" s="131" t="inlineStr">
        <is>
          <t>Primary normative</t>
        </is>
      </c>
      <c r="AC19" s="131" t="inlineStr">
        <is>
          <t>Official regulation issued by Norwegian Government; included because it may impose binding requirements on an in-scope aquaculture asset, activity, permit or certification.</t>
        </is>
      </c>
      <c r="AD19" s="131" t="inlineStr">
        <is>
          <t>HIGH</t>
        </is>
      </c>
      <c r="AE19" s="131" t="inlineStr">
        <is>
          <t>HIGH</t>
        </is>
      </c>
      <c r="AF19" s="131" t="inlineStr">
        <is>
          <t>HIGH</t>
        </is>
      </c>
      <c r="AG19" s="131" t="inlineStr">
        <is>
          <t>HIGH</t>
        </is>
      </c>
      <c r="AH19" s="131" t="inlineStr">
        <is>
          <t>HIGH</t>
        </is>
      </c>
      <c r="AI19" s="131" t="inlineStr">
        <is>
          <t>HIGH</t>
        </is>
      </c>
      <c r="AJ19" s="131" t="inlineStr">
        <is>
          <t>INCLUDE</t>
        </is>
      </c>
      <c r="AK19" s="125" t="n"/>
      <c r="AL19" s="13" t="n"/>
      <c r="AM19" s="131" t="inlineStr">
        <is>
          <t>CURRENT</t>
        </is>
      </c>
      <c r="AN19" s="13" t="n"/>
      <c r="AO19" s="131" t="inlineStr">
        <is>
          <t>Official expansion. Cross-sector HSE internal-control source; overlap with IK-Aquaculture requires later mapping.</t>
        </is>
      </c>
      <c r="AP19" s="131" t="inlineStr">
        <is>
          <t>OFFICIAL_WEBSITE</t>
        </is>
      </c>
      <c r="AQ19" s="131" t="inlineStr">
        <is>
          <t>OFFICIAL_ORIGINAL</t>
        </is>
      </c>
      <c r="AR19" s="131" t="inlineStr">
        <is>
          <t>ROLLING</t>
        </is>
      </c>
      <c r="AS19" s="13" t="n"/>
    </row>
    <row r="20" ht="30" customHeight="1" s="41">
      <c r="A20" s="126" t="inlineStr">
        <is>
          <t>PA018</t>
        </is>
      </c>
      <c r="B20" s="126" t="inlineStr">
        <is>
          <t>PA018-001</t>
        </is>
      </c>
      <c r="C20" s="127" t="inlineStr">
        <is>
          <t>PA018-001_Ship_Safety_and_Security_Act.html</t>
        </is>
      </c>
      <c r="D20" s="128" t="inlineStr">
        <is>
          <t>STORED</t>
        </is>
      </c>
      <c r="E20" s="128">
        <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f>
        <v/>
      </c>
      <c r="F20" s="128" t="inlineStr">
        <is>
          <t>SUCCESS</t>
        </is>
      </c>
      <c r="G20" s="129" t="n">
        <v>46262.53085648148</v>
      </c>
      <c r="H20" s="129" t="n">
        <v>46262.53086805555</v>
      </c>
      <c r="I20" s="128" t="inlineStr">
        <is>
          <t>INITIAL</t>
        </is>
      </c>
      <c r="J20" s="128" t="inlineStr">
        <is>
          <t>AUTO</t>
        </is>
      </c>
      <c r="K20" s="130">
        <f>IF(A20="","",IF(J20="AUTO",H20,IF(J20="MANUAL",AK20,"")))</f>
        <v/>
      </c>
      <c r="L20" s="128" t="inlineStr">
        <is>
          <t>NONE</t>
        </is>
      </c>
      <c r="M20" s="12" t="n"/>
      <c r="N20" s="128">
        <f>IF(A20="","",IF(COUNTIFS('Human Operation Desktop'!$A$3:$A$502,A20,'Human Operation Desktop'!$I$3:$I$502,"&lt;&gt;APPLIED",'Human Operation Desktop'!$I$3:$I$502,"&lt;&gt;REJECTED")&gt;0,"YES","NO"))</f>
        <v/>
      </c>
      <c r="O20" s="128" t="inlineStr">
        <is>
          <t>535ce0ef3c8d36ecc15baf5c64f069fdb5f62dd72579d24e1c6157acc8cdf009</t>
        </is>
      </c>
      <c r="P20" s="131" t="inlineStr">
        <is>
          <t>Ship Safety and Security Act</t>
        </is>
      </c>
      <c r="Q20" s="131" t="inlineStr">
        <is>
          <t>https://lovdata.no/dokument/NL/lov/2007-02-16-9</t>
        </is>
      </c>
      <c r="R20" s="131" t="inlineStr">
        <is>
          <t>https://lovdata.no/dokument/NL/lov/2007-02-16-9</t>
        </is>
      </c>
      <c r="S20" s="131" t="inlineStr">
        <is>
          <t>A_Public_Authority</t>
        </is>
      </c>
      <c r="T20" s="131" t="inlineStr">
        <is>
          <t>html</t>
        </is>
      </c>
      <c r="U20" s="131" t="inlineStr">
        <is>
          <t>Norwegian Government</t>
        </is>
      </c>
      <c r="V20" s="131" t="inlineStr">
        <is>
          <t>Norway</t>
        </is>
      </c>
      <c r="W20" s="131" t="inlineStr">
        <is>
          <t>Norwegian</t>
        </is>
      </c>
      <c r="X20" s="13" t="n"/>
      <c r="Y20" s="13" t="n"/>
      <c r="Z20" s="131" t="inlineStr">
        <is>
          <t>Public authority</t>
        </is>
      </c>
      <c r="AA20" s="131" t="inlineStr">
        <is>
          <t>Law</t>
        </is>
      </c>
      <c r="AB20" s="131" t="inlineStr">
        <is>
          <t>Primary normative</t>
        </is>
      </c>
      <c r="AC20" s="131" t="inlineStr">
        <is>
          <t>Official law issued by Norwegian Government; included because it may impose binding requirements on an in-scope aquaculture asset, activity, permit or certification.</t>
        </is>
      </c>
      <c r="AD20" s="131" t="inlineStr">
        <is>
          <t>HIGH</t>
        </is>
      </c>
      <c r="AE20" s="131" t="inlineStr">
        <is>
          <t>MEDIUM</t>
        </is>
      </c>
      <c r="AF20" s="131" t="inlineStr">
        <is>
          <t>HIGH</t>
        </is>
      </c>
      <c r="AG20" s="131" t="inlineStr">
        <is>
          <t>HIGH</t>
        </is>
      </c>
      <c r="AH20" s="131" t="inlineStr">
        <is>
          <t>HIGH</t>
        </is>
      </c>
      <c r="AI20" s="131" t="inlineStr">
        <is>
          <t>HIGH</t>
        </is>
      </c>
      <c r="AJ20" s="131" t="inlineStr">
        <is>
          <t>PENDING</t>
        </is>
      </c>
      <c r="AK20" s="125" t="n"/>
      <c r="AL20" s="13" t="n"/>
      <c r="AM20" s="131" t="inlineStr">
        <is>
          <t>CURRENT</t>
        </is>
      </c>
      <c r="AN20" s="13" t="n"/>
      <c r="AO20" s="131" t="inlineStr">
        <is>
          <t>Official expansion. Conditional on vessels and maritime operations within client scope.</t>
        </is>
      </c>
      <c r="AP20" s="131" t="inlineStr">
        <is>
          <t>OFFICIAL_WEBSITE</t>
        </is>
      </c>
      <c r="AQ20" s="131" t="inlineStr">
        <is>
          <t>OFFICIAL_ORIGINAL</t>
        </is>
      </c>
      <c r="AR20" s="131" t="inlineStr">
        <is>
          <t>ROLLING</t>
        </is>
      </c>
      <c r="AS20" s="13" t="n"/>
    </row>
    <row r="21" ht="30" customHeight="1" s="41">
      <c r="A21" s="132" t="inlineStr">
        <is>
          <t>PA019</t>
        </is>
      </c>
      <c r="B21" s="132" t="inlineStr">
        <is>
          <t>PA019-001</t>
        </is>
      </c>
      <c r="C21" s="127" t="inlineStr">
        <is>
          <t>PA019-001_Regulation_on_transport_of_aquaculture_animals.html</t>
        </is>
      </c>
      <c r="D21" s="128" t="inlineStr">
        <is>
          <t>STORED</t>
        </is>
      </c>
      <c r="E21" s="128">
        <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f>
        <v/>
      </c>
      <c r="F21" s="128" t="inlineStr">
        <is>
          <t>SUCCESS</t>
        </is>
      </c>
      <c r="G21" s="129" t="n">
        <v>46262.53086805555</v>
      </c>
      <c r="H21" s="129" t="n">
        <v>46262.53086805555</v>
      </c>
      <c r="I21" s="128" t="inlineStr">
        <is>
          <t>INITIAL</t>
        </is>
      </c>
      <c r="J21" s="128" t="inlineStr">
        <is>
          <t>AUTO</t>
        </is>
      </c>
      <c r="K21" s="130">
        <f>IF(A21="","",IF(J21="AUTO",H21,IF(J21="MANUAL",AK21,"")))</f>
        <v/>
      </c>
      <c r="L21" s="128" t="inlineStr">
        <is>
          <t>NONE</t>
        </is>
      </c>
      <c r="M21" s="12" t="n"/>
      <c r="N21" s="128">
        <f>IF(A21="","",IF(COUNTIFS('Human Operation Desktop'!$A$3:$A$502,A21,'Human Operation Desktop'!$I$3:$I$502,"&lt;&gt;APPLIED",'Human Operation Desktop'!$I$3:$I$502,"&lt;&gt;REJECTED")&gt;0,"YES","NO"))</f>
        <v/>
      </c>
      <c r="O21" s="128" t="inlineStr">
        <is>
          <t>c3a1a1d71bad6255d833abf37550f8ef1d79c996a82468a85fccbb7a474e6ded</t>
        </is>
      </c>
      <c r="P21" s="131" t="inlineStr">
        <is>
          <t>Regulation on transport of aquaculture animals</t>
        </is>
      </c>
      <c r="Q21" s="131" t="inlineStr">
        <is>
          <t>https://lovdata.no/dokument/SF/forskrift/2008-06-17-820</t>
        </is>
      </c>
      <c r="R21" s="131" t="inlineStr">
        <is>
          <t>https://lovdata.no/dokument/SF/forskrift/2008-06-17-820</t>
        </is>
      </c>
      <c r="S21" s="131" t="inlineStr">
        <is>
          <t>A_Public_Authority</t>
        </is>
      </c>
      <c r="T21" s="131" t="inlineStr">
        <is>
          <t>html</t>
        </is>
      </c>
      <c r="U21" s="131" t="inlineStr">
        <is>
          <t>Norwegian Government</t>
        </is>
      </c>
      <c r="V21" s="131" t="inlineStr">
        <is>
          <t>Norway</t>
        </is>
      </c>
      <c r="W21" s="131" t="inlineStr">
        <is>
          <t>Norwegian</t>
        </is>
      </c>
      <c r="X21" s="13" t="n"/>
      <c r="Y21" s="13" t="n"/>
      <c r="Z21" s="131" t="inlineStr">
        <is>
          <t>Public authority</t>
        </is>
      </c>
      <c r="AA21" s="131" t="inlineStr">
        <is>
          <t>Regulation</t>
        </is>
      </c>
      <c r="AB21" s="131" t="inlineStr">
        <is>
          <t>Primary normative</t>
        </is>
      </c>
      <c r="AC21" s="131" t="inlineStr">
        <is>
          <t>Official regulation issued by Norwegian Government; included because it may impose binding requirements on an in-scope aquaculture asset, activity, permit or certification.</t>
        </is>
      </c>
      <c r="AD21" s="131" t="inlineStr">
        <is>
          <t>HIGH</t>
        </is>
      </c>
      <c r="AE21" s="131" t="inlineStr">
        <is>
          <t>MEDIUM</t>
        </is>
      </c>
      <c r="AF21" s="131" t="inlineStr">
        <is>
          <t>HIGH</t>
        </is>
      </c>
      <c r="AG21" s="131" t="inlineStr">
        <is>
          <t>HIGH</t>
        </is>
      </c>
      <c r="AH21" s="131" t="inlineStr">
        <is>
          <t>HIGH</t>
        </is>
      </c>
      <c r="AI21" s="131" t="inlineStr">
        <is>
          <t>HIGH</t>
        </is>
      </c>
      <c r="AJ21" s="131" t="inlineStr">
        <is>
          <t>PENDING</t>
        </is>
      </c>
      <c r="AK21" s="125" t="n"/>
      <c r="AL21" s="13" t="n"/>
      <c r="AM21" s="131" t="inlineStr">
        <is>
          <t>CURRENT</t>
        </is>
      </c>
      <c r="AN21" s="13" t="n"/>
      <c r="AO21" s="131" t="inlineStr">
        <is>
          <t>Official expansion from Mattilsynet. Conditional on live-animal transport activities.</t>
        </is>
      </c>
      <c r="AP21" s="131" t="inlineStr">
        <is>
          <t>OFFICIAL_WEBSITE</t>
        </is>
      </c>
      <c r="AQ21" s="131" t="inlineStr">
        <is>
          <t>OFFICIAL_ORIGINAL</t>
        </is>
      </c>
      <c r="AR21" s="131" t="inlineStr">
        <is>
          <t>ROLLING</t>
        </is>
      </c>
      <c r="AS21" s="13" t="n"/>
    </row>
    <row r="22" ht="30" customHeight="1" s="41">
      <c r="A22" s="126" t="inlineStr">
        <is>
          <t>PA020</t>
        </is>
      </c>
      <c r="B22" s="126" t="inlineStr">
        <is>
          <t>PA020-001</t>
        </is>
      </c>
      <c r="C22" s="127" t="inlineStr">
        <is>
          <t>PA020-001_Regulation_on_slaughterhouses_and_processing_facilities_for_aquaculture_animals.html</t>
        </is>
      </c>
      <c r="D22" s="128" t="inlineStr">
        <is>
          <t>STORED</t>
        </is>
      </c>
      <c r="E22" s="128">
        <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f>
        <v/>
      </c>
      <c r="F22" s="128" t="inlineStr">
        <is>
          <t>SUCCESS</t>
        </is>
      </c>
      <c r="G22" s="129" t="n">
        <v>46262.53086805555</v>
      </c>
      <c r="H22" s="129" t="n">
        <v>46262.53086805555</v>
      </c>
      <c r="I22" s="128" t="inlineStr">
        <is>
          <t>INITIAL</t>
        </is>
      </c>
      <c r="J22" s="128" t="inlineStr">
        <is>
          <t>AUTO</t>
        </is>
      </c>
      <c r="K22" s="130">
        <f>IF(A22="","",IF(J22="AUTO",H22,IF(J22="MANUAL",AK22,"")))</f>
        <v/>
      </c>
      <c r="L22" s="128" t="inlineStr">
        <is>
          <t>NONE</t>
        </is>
      </c>
      <c r="M22" s="12" t="n"/>
      <c r="N22" s="128">
        <f>IF(A22="","",IF(COUNTIFS('Human Operation Desktop'!$A$3:$A$502,A22,'Human Operation Desktop'!$I$3:$I$502,"&lt;&gt;APPLIED",'Human Operation Desktop'!$I$3:$I$502,"&lt;&gt;REJECTED")&gt;0,"YES","NO"))</f>
        <v/>
      </c>
      <c r="O22" s="128" t="inlineStr">
        <is>
          <t>660825e1fb0f6b15f9e8501319e334d7b67de1790c34645715f5b184d3d397cc</t>
        </is>
      </c>
      <c r="P22" s="131" t="inlineStr">
        <is>
          <t>Regulation on slaughterhouses and processing facilities for aquaculture animals</t>
        </is>
      </c>
      <c r="Q22" s="131" t="inlineStr">
        <is>
          <t>https://lovdata.no/dokument/SF/forskrift/2006-10-30-1250</t>
        </is>
      </c>
      <c r="R22" s="131" t="inlineStr">
        <is>
          <t>https://lovdata.no/dokument/SF/forskrift/2006-10-30-1250</t>
        </is>
      </c>
      <c r="S22" s="131" t="inlineStr">
        <is>
          <t>A_Public_Authority</t>
        </is>
      </c>
      <c r="T22" s="131" t="inlineStr">
        <is>
          <t>html</t>
        </is>
      </c>
      <c r="U22" s="131" t="inlineStr">
        <is>
          <t>Norwegian Ministry of Trade, Industry and Fisheries</t>
        </is>
      </c>
      <c r="V22" s="131" t="inlineStr">
        <is>
          <t>Norway</t>
        </is>
      </c>
      <c r="W22" s="131" t="inlineStr">
        <is>
          <t>Norwegian</t>
        </is>
      </c>
      <c r="X22" s="13" t="n"/>
      <c r="Y22" s="13" t="n"/>
      <c r="Z22" s="131" t="inlineStr">
        <is>
          <t>Public authority</t>
        </is>
      </c>
      <c r="AA22" s="131" t="inlineStr">
        <is>
          <t>Regulation</t>
        </is>
      </c>
      <c r="AB22" s="131" t="inlineStr">
        <is>
          <t>Primary normative</t>
        </is>
      </c>
      <c r="AC22" s="131" t="inlineStr">
        <is>
          <t>Official regulation issued by Norwegian Ministry of Trade, Industry and Fisheries; included because it may impose binding requirements on an in-scope aquaculture asset, activity, permit or certification.</t>
        </is>
      </c>
      <c r="AD22" s="131" t="inlineStr">
        <is>
          <t>HIGH</t>
        </is>
      </c>
      <c r="AE22" s="131" t="inlineStr">
        <is>
          <t>MEDIUM</t>
        </is>
      </c>
      <c r="AF22" s="131" t="inlineStr">
        <is>
          <t>HIGH</t>
        </is>
      </c>
      <c r="AG22" s="131" t="inlineStr">
        <is>
          <t>HIGH</t>
        </is>
      </c>
      <c r="AH22" s="131" t="inlineStr">
        <is>
          <t>HIGH</t>
        </is>
      </c>
      <c r="AI22" s="131" t="inlineStr">
        <is>
          <t>HIGH</t>
        </is>
      </c>
      <c r="AJ22" s="131" t="inlineStr">
        <is>
          <t>PENDING</t>
        </is>
      </c>
      <c r="AK22" s="125" t="n"/>
      <c r="AL22" s="13" t="n"/>
      <c r="AM22" s="131" t="inlineStr">
        <is>
          <t>CURRENT</t>
        </is>
      </c>
      <c r="AN22" s="13" t="n"/>
      <c r="AO22" s="131" t="inlineStr">
        <is>
          <t>Official expansion from Mattilsynet. Include only when slaughter or processing is in scope.</t>
        </is>
      </c>
      <c r="AP22" s="131" t="inlineStr">
        <is>
          <t>OFFICIAL_WEBSITE</t>
        </is>
      </c>
      <c r="AQ22" s="131" t="inlineStr">
        <is>
          <t>OFFICIAL_ORIGINAL</t>
        </is>
      </c>
      <c r="AR22" s="131" t="inlineStr">
        <is>
          <t>ROLLING</t>
        </is>
      </c>
      <c r="AS22" s="13" t="n"/>
    </row>
    <row r="23" ht="30" customHeight="1" s="41">
      <c r="A23" s="132" t="inlineStr">
        <is>
          <t>PA021</t>
        </is>
      </c>
      <c r="B23" s="132" t="inlineStr">
        <is>
          <t>PA021-001</t>
        </is>
      </c>
      <c r="C23" s="127" t="inlineStr">
        <is>
          <t>PA021-001_Regulation_on_permits_for_aquaculture_of_salmon_trout_and_rainbow_trout_Salmon_Allocation_Regulations.html</t>
        </is>
      </c>
      <c r="D23" s="128" t="inlineStr">
        <is>
          <t>STORED</t>
        </is>
      </c>
      <c r="E23" s="128">
        <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f>
        <v/>
      </c>
      <c r="F23" s="128" t="inlineStr">
        <is>
          <t>SUCCESS</t>
        </is>
      </c>
      <c r="G23" s="129" t="n">
        <v>46262.53087962963</v>
      </c>
      <c r="H23" s="129" t="n">
        <v>46262.53087962963</v>
      </c>
      <c r="I23" s="128" t="inlineStr">
        <is>
          <t>INITIAL</t>
        </is>
      </c>
      <c r="J23" s="128" t="inlineStr">
        <is>
          <t>AUTO</t>
        </is>
      </c>
      <c r="K23" s="130">
        <f>IF(A23="","",IF(J23="AUTO",H23,IF(J23="MANUAL",AK23,"")))</f>
        <v/>
      </c>
      <c r="L23" s="128" t="inlineStr">
        <is>
          <t>NONE</t>
        </is>
      </c>
      <c r="M23" s="12" t="n"/>
      <c r="N23" s="128">
        <f>IF(A23="","",IF(COUNTIFS('Human Operation Desktop'!$A$3:$A$502,A23,'Human Operation Desktop'!$I$3:$I$502,"&lt;&gt;APPLIED",'Human Operation Desktop'!$I$3:$I$502,"&lt;&gt;REJECTED")&gt;0,"YES","NO"))</f>
        <v/>
      </c>
      <c r="O23" s="128" t="inlineStr">
        <is>
          <t>7ad31127a98909210f86c2df281141adc3218206d348c07c01be4a00c540964d</t>
        </is>
      </c>
      <c r="P23" s="131" t="inlineStr">
        <is>
          <t>Regulation on permits for aquaculture of salmon, trout and rainbow trout (Salmon Allocation Regulations)</t>
        </is>
      </c>
      <c r="Q23" s="131" t="inlineStr">
        <is>
          <t>https://lovdata.no/dokument/SF/forskrift/2022-11-07-1929</t>
        </is>
      </c>
      <c r="R23" s="131" t="inlineStr">
        <is>
          <t>https://lovdata.no/dokument/SF/forskrift/2022-11-07-1929</t>
        </is>
      </c>
      <c r="S23" s="131" t="inlineStr">
        <is>
          <t>A_Public_Authority</t>
        </is>
      </c>
      <c r="T23" s="131" t="inlineStr">
        <is>
          <t>html</t>
        </is>
      </c>
      <c r="U23" s="131" t="inlineStr">
        <is>
          <t>Norwegian Ministry of Trade, Industry and Fisheries</t>
        </is>
      </c>
      <c r="V23" s="131" t="inlineStr">
        <is>
          <t>Norway</t>
        </is>
      </c>
      <c r="W23" s="131" t="inlineStr">
        <is>
          <t>Norwegian</t>
        </is>
      </c>
      <c r="X23" s="13" t="n"/>
      <c r="Y23" s="13" t="n"/>
      <c r="Z23" s="131" t="inlineStr">
        <is>
          <t>Public authority</t>
        </is>
      </c>
      <c r="AA23" s="131" t="inlineStr">
        <is>
          <t>Regulation</t>
        </is>
      </c>
      <c r="AB23" s="131" t="inlineStr">
        <is>
          <t>Primary normative</t>
        </is>
      </c>
      <c r="AC23" s="131" t="inlineStr">
        <is>
          <t>Official regulation issued by Norwegian Ministry of Trade, Industry and Fisheries; included because it may impose binding requirements on an in-scope aquaculture asset, activity, permit or certification.</t>
        </is>
      </c>
      <c r="AD23" s="131" t="inlineStr">
        <is>
          <t>HIGH</t>
        </is>
      </c>
      <c r="AE23" s="131" t="inlineStr">
        <is>
          <t>MEDIUM</t>
        </is>
      </c>
      <c r="AF23" s="131" t="inlineStr">
        <is>
          <t>HIGH</t>
        </is>
      </c>
      <c r="AG23" s="131" t="inlineStr">
        <is>
          <t>HIGH</t>
        </is>
      </c>
      <c r="AH23" s="131" t="inlineStr">
        <is>
          <t>HIGH</t>
        </is>
      </c>
      <c r="AI23" s="131" t="inlineStr">
        <is>
          <t>HIGH</t>
        </is>
      </c>
      <c r="AJ23" s="131" t="inlineStr">
        <is>
          <t>PENDING</t>
        </is>
      </c>
      <c r="AK23" s="125" t="n"/>
      <c r="AL23" s="13" t="n"/>
      <c r="AM23" s="131" t="inlineStr">
        <is>
          <t>CURRENT</t>
        </is>
      </c>
      <c r="AN23" s="13" t="n"/>
      <c r="AO23" s="131" t="inlineStr">
        <is>
          <t>Official expansion from Fiskeridirektoratet's aquaculture regulation index; conditional on species and permit type.</t>
        </is>
      </c>
      <c r="AP23" s="131" t="inlineStr">
        <is>
          <t>OFFICIAL_WEBSITE</t>
        </is>
      </c>
      <c r="AQ23" s="131" t="inlineStr">
        <is>
          <t>OFFICIAL_ORIGINAL</t>
        </is>
      </c>
      <c r="AR23" s="131" t="inlineStr">
        <is>
          <t>ROLLING</t>
        </is>
      </c>
      <c r="AS23" s="13" t="n"/>
    </row>
    <row r="24" ht="30" customHeight="1" s="41">
      <c r="A24" s="126" t="inlineStr">
        <is>
          <t>PA022</t>
        </is>
      </c>
      <c r="B24" s="126" t="inlineStr">
        <is>
          <t>PA022-001</t>
        </is>
      </c>
      <c r="C24" s="127" t="inlineStr">
        <is>
          <t>PA022-001_Regulation_on_technical_standards_for_land-based_aquaculture_facilities_for_fish.html</t>
        </is>
      </c>
      <c r="D24" s="128" t="inlineStr">
        <is>
          <t>STORED</t>
        </is>
      </c>
      <c r="E24" s="128">
        <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f>
        <v/>
      </c>
      <c r="F24" s="128" t="inlineStr">
        <is>
          <t>SUCCESS</t>
        </is>
      </c>
      <c r="G24" s="129" t="n">
        <v>46262.53087962963</v>
      </c>
      <c r="H24" s="129" t="n">
        <v>46262.53087962963</v>
      </c>
      <c r="I24" s="128" t="inlineStr">
        <is>
          <t>INITIAL</t>
        </is>
      </c>
      <c r="J24" s="128" t="inlineStr">
        <is>
          <t>AUTO</t>
        </is>
      </c>
      <c r="K24" s="130">
        <f>IF(A24="","",IF(J24="AUTO",H24,IF(J24="MANUAL",AK24,"")))</f>
        <v/>
      </c>
      <c r="L24" s="128" t="inlineStr">
        <is>
          <t>NONE</t>
        </is>
      </c>
      <c r="M24" s="12" t="n"/>
      <c r="N24" s="128">
        <f>IF(A24="","",IF(COUNTIFS('Human Operation Desktop'!$A$3:$A$502,A24,'Human Operation Desktop'!$I$3:$I$502,"&lt;&gt;APPLIED",'Human Operation Desktop'!$I$3:$I$502,"&lt;&gt;REJECTED")&gt;0,"YES","NO"))</f>
        <v/>
      </c>
      <c r="O24" s="128" t="inlineStr">
        <is>
          <t>2ab1905061a870af1b05ec9e1c8536e90157d00d70217305629365e4986c1918</t>
        </is>
      </c>
      <c r="P24" s="131" t="inlineStr">
        <is>
          <t>Regulation on technical standards for land-based aquaculture facilities for fish</t>
        </is>
      </c>
      <c r="Q24" s="131" t="inlineStr">
        <is>
          <t>https://lovdata.no/dokument/SF/forskrift/2017-06-19-941</t>
        </is>
      </c>
      <c r="R24" s="131" t="inlineStr">
        <is>
          <t>https://lovdata.no/dokument/SF/forskrift/2017-06-19-941</t>
        </is>
      </c>
      <c r="S24" s="131" t="inlineStr">
        <is>
          <t>A_Public_Authority</t>
        </is>
      </c>
      <c r="T24" s="131" t="inlineStr">
        <is>
          <t>html</t>
        </is>
      </c>
      <c r="U24" s="131" t="inlineStr">
        <is>
          <t>Norwegian Ministry of Trade, Industry and Fisheries</t>
        </is>
      </c>
      <c r="V24" s="131" t="inlineStr">
        <is>
          <t>Norway</t>
        </is>
      </c>
      <c r="W24" s="131" t="inlineStr">
        <is>
          <t>Norwegian</t>
        </is>
      </c>
      <c r="X24" s="13" t="n"/>
      <c r="Y24" s="13" t="n"/>
      <c r="Z24" s="131" t="inlineStr">
        <is>
          <t>Public authority</t>
        </is>
      </c>
      <c r="AA24" s="131" t="inlineStr">
        <is>
          <t>Regulation</t>
        </is>
      </c>
      <c r="AB24" s="131" t="inlineStr">
        <is>
          <t>Primary normative</t>
        </is>
      </c>
      <c r="AC24" s="131" t="inlineStr">
        <is>
          <t>Official regulation issued by Norwegian Ministry of Trade, Industry and Fisheries; included because it may impose binding requirements on an in-scope aquaculture asset, activity, permit or certification.</t>
        </is>
      </c>
      <c r="AD24" s="131" t="inlineStr">
        <is>
          <t>HIGH</t>
        </is>
      </c>
      <c r="AE24" s="131" t="inlineStr">
        <is>
          <t>MEDIUM</t>
        </is>
      </c>
      <c r="AF24" s="131" t="inlineStr">
        <is>
          <t>HIGH</t>
        </is>
      </c>
      <c r="AG24" s="131" t="inlineStr">
        <is>
          <t>HIGH</t>
        </is>
      </c>
      <c r="AH24" s="131" t="inlineStr">
        <is>
          <t>HIGH</t>
        </is>
      </c>
      <c r="AI24" s="131" t="inlineStr">
        <is>
          <t>HIGH</t>
        </is>
      </c>
      <c r="AJ24" s="131" t="inlineStr">
        <is>
          <t>PENDING</t>
        </is>
      </c>
      <c r="AK24" s="125" t="n"/>
      <c r="AL24" s="13" t="n"/>
      <c r="AM24" s="131" t="inlineStr">
        <is>
          <t>CURRENT</t>
        </is>
      </c>
      <c r="AN24" s="13" t="n"/>
      <c r="AO24" s="131" t="inlineStr">
        <is>
          <t>Official expansion. Include only for land-based facilities.</t>
        </is>
      </c>
      <c r="AP24" s="131" t="inlineStr">
        <is>
          <t>OFFICIAL_WEBSITE</t>
        </is>
      </c>
      <c r="AQ24" s="131" t="inlineStr">
        <is>
          <t>OFFICIAL_ORIGINAL</t>
        </is>
      </c>
      <c r="AR24" s="131" t="inlineStr">
        <is>
          <t>ROLLING</t>
        </is>
      </c>
      <c r="AS24" s="13" t="n"/>
    </row>
    <row r="25" ht="30" customHeight="1" s="41">
      <c r="A25" s="132" t="inlineStr">
        <is>
          <t>PA023</t>
        </is>
      </c>
      <c r="B25" s="132" t="inlineStr">
        <is>
          <t>PA023-001</t>
        </is>
      </c>
      <c r="C25" s="127" t="inlineStr">
        <is>
          <t>PA023-001_Nature_Diversity_Act.html</t>
        </is>
      </c>
      <c r="D25" s="128" t="inlineStr">
        <is>
          <t>STORED</t>
        </is>
      </c>
      <c r="E25" s="128">
        <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f>
        <v/>
      </c>
      <c r="F25" s="128" t="inlineStr">
        <is>
          <t>SUCCESS</t>
        </is>
      </c>
      <c r="G25" s="129" t="n">
        <v>46262.53087962963</v>
      </c>
      <c r="H25" s="129" t="n">
        <v>46262.53087962963</v>
      </c>
      <c r="I25" s="128" t="inlineStr">
        <is>
          <t>INITIAL</t>
        </is>
      </c>
      <c r="J25" s="128" t="inlineStr">
        <is>
          <t>AUTO</t>
        </is>
      </c>
      <c r="K25" s="130">
        <f>IF(A25="","",IF(J25="AUTO",H25,IF(J25="MANUAL",AK25,"")))</f>
        <v/>
      </c>
      <c r="L25" s="128" t="inlineStr">
        <is>
          <t>NONE</t>
        </is>
      </c>
      <c r="M25" s="12" t="n"/>
      <c r="N25" s="128">
        <f>IF(A25="","",IF(COUNTIFS('Human Operation Desktop'!$A$3:$A$502,A25,'Human Operation Desktop'!$I$3:$I$502,"&lt;&gt;APPLIED",'Human Operation Desktop'!$I$3:$I$502,"&lt;&gt;REJECTED")&gt;0,"YES","NO"))</f>
        <v/>
      </c>
      <c r="O25" s="128" t="inlineStr">
        <is>
          <t>3eb19d6be728a20e51a80ac13993de88c500c707580fa4b5eed19495d4871042</t>
        </is>
      </c>
      <c r="P25" s="131" t="inlineStr">
        <is>
          <t>Nature Diversity Act</t>
        </is>
      </c>
      <c r="Q25" s="131" t="inlineStr">
        <is>
          <t>https://lovdata.no/dokument/NL/lov/2009-06-19-100</t>
        </is>
      </c>
      <c r="R25" s="131" t="inlineStr">
        <is>
          <t>https://lovdata.no/dokument/NL/lov/2009-06-19-100</t>
        </is>
      </c>
      <c r="S25" s="131" t="inlineStr">
        <is>
          <t>A_Public_Authority</t>
        </is>
      </c>
      <c r="T25" s="131" t="inlineStr">
        <is>
          <t>html</t>
        </is>
      </c>
      <c r="U25" s="131" t="inlineStr">
        <is>
          <t>Norwegian Ministry of Climate and Environment</t>
        </is>
      </c>
      <c r="V25" s="131" t="inlineStr">
        <is>
          <t>Norway</t>
        </is>
      </c>
      <c r="W25" s="131" t="inlineStr">
        <is>
          <t>Norwegian</t>
        </is>
      </c>
      <c r="X25" s="13" t="n"/>
      <c r="Y25" s="13" t="n"/>
      <c r="Z25" s="131" t="inlineStr">
        <is>
          <t>Public authority</t>
        </is>
      </c>
      <c r="AA25" s="131" t="inlineStr">
        <is>
          <t>Law</t>
        </is>
      </c>
      <c r="AB25" s="131" t="inlineStr">
        <is>
          <t>Referenced normative</t>
        </is>
      </c>
      <c r="AC25" s="131" t="inlineStr">
        <is>
          <t>Official referenced source from Norwegian Ministry of Climate and Environment; included because an applicable law, permit or certification scheme may make its provisions binding within the approved scope.</t>
        </is>
      </c>
      <c r="AD25" s="131" t="inlineStr">
        <is>
          <t>HIGH</t>
        </is>
      </c>
      <c r="AE25" s="131" t="inlineStr">
        <is>
          <t>HIGH</t>
        </is>
      </c>
      <c r="AF25" s="131" t="inlineStr">
        <is>
          <t>HIGH</t>
        </is>
      </c>
      <c r="AG25" s="131" t="inlineStr">
        <is>
          <t>HIGH</t>
        </is>
      </c>
      <c r="AH25" s="131" t="inlineStr">
        <is>
          <t>HIGH</t>
        </is>
      </c>
      <c r="AI25" s="131" t="inlineStr">
        <is>
          <t>HIGH</t>
        </is>
      </c>
      <c r="AJ25" s="131" t="inlineStr">
        <is>
          <t>INCLUDE</t>
        </is>
      </c>
      <c r="AK25" s="125" t="n"/>
      <c r="AL25" s="13" t="n"/>
      <c r="AM25" s="131" t="inlineStr">
        <is>
          <t>CURRENT</t>
        </is>
      </c>
      <c r="AN25" s="13" t="n"/>
      <c r="AO25" s="131" t="inlineStr">
        <is>
          <t>Official expansion from environmental authority guidance; often relevant to permitting decisions and environmental assessment.</t>
        </is>
      </c>
      <c r="AP25" s="131" t="inlineStr">
        <is>
          <t>OFFICIAL_WEBSITE</t>
        </is>
      </c>
      <c r="AQ25" s="131" t="inlineStr">
        <is>
          <t>OFFICIAL_ORIGINAL</t>
        </is>
      </c>
      <c r="AR25" s="131" t="inlineStr">
        <is>
          <t>ROLLING</t>
        </is>
      </c>
      <c r="AS25" s="13" t="n"/>
    </row>
    <row r="26" ht="30" customHeight="1" s="41">
      <c r="A26" s="126" t="inlineStr">
        <is>
          <t>PA024</t>
        </is>
      </c>
      <c r="B26" s="126" t="inlineStr">
        <is>
          <t>PA024-001</t>
        </is>
      </c>
      <c r="C26" s="127" t="inlineStr">
        <is>
          <t>PA024-001_Fiskeridirektoratet_guidance_to_NYTEK23.html</t>
        </is>
      </c>
      <c r="D26" s="128" t="inlineStr">
        <is>
          <t>STORED</t>
        </is>
      </c>
      <c r="E26" s="128">
        <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f>
        <v/>
      </c>
      <c r="F26" s="128" t="inlineStr">
        <is>
          <t>SUCCESS</t>
        </is>
      </c>
      <c r="G26" s="129" t="n">
        <v>46262.53087962963</v>
      </c>
      <c r="H26" s="129" t="n">
        <v>46262.53089120371</v>
      </c>
      <c r="I26" s="128" t="inlineStr">
        <is>
          <t>INITIAL</t>
        </is>
      </c>
      <c r="J26" s="128" t="inlineStr">
        <is>
          <t>AUTO</t>
        </is>
      </c>
      <c r="K26" s="130">
        <f>IF(A26="","",IF(J26="AUTO",H26,IF(J26="MANUAL",AK26,"")))</f>
        <v/>
      </c>
      <c r="L26" s="128" t="inlineStr">
        <is>
          <t>NONE</t>
        </is>
      </c>
      <c r="M26" s="12" t="n"/>
      <c r="N26" s="128">
        <f>IF(A26="","",IF(COUNTIFS('Human Operation Desktop'!$A$3:$A$502,A26,'Human Operation Desktop'!$I$3:$I$502,"&lt;&gt;APPLIED",'Human Operation Desktop'!$I$3:$I$502,"&lt;&gt;REJECTED")&gt;0,"YES","NO"))</f>
        <v/>
      </c>
      <c r="O26" s="128" t="inlineStr">
        <is>
          <t>e331c25d9cf82bf550a1e76076c3ad72ef36a37c8f04ca6b17d52d556753c375</t>
        </is>
      </c>
      <c r="P26" s="131" t="inlineStr">
        <is>
          <t>Fiskeridirektoratet guidance to NYTEK23</t>
        </is>
      </c>
      <c r="Q26" s="131" t="inlineStr">
        <is>
          <t>https://www.fiskeridir.no/akvakultur/veiledere/veileder-til-nytek23</t>
        </is>
      </c>
      <c r="R26" s="131" t="inlineStr">
        <is>
          <t>https://www.fiskeridir.no/akvakultur/veiledere/veileder-til-nytek23</t>
        </is>
      </c>
      <c r="S26" s="131" t="inlineStr">
        <is>
          <t>A_Public_Authority</t>
        </is>
      </c>
      <c r="T26" s="131" t="inlineStr">
        <is>
          <t>html</t>
        </is>
      </c>
      <c r="U26" s="131" t="inlineStr">
        <is>
          <t>Norwegian Directorate of Fisheries</t>
        </is>
      </c>
      <c r="V26" s="131" t="inlineStr">
        <is>
          <t>Norway</t>
        </is>
      </c>
      <c r="W26" s="131" t="inlineStr">
        <is>
          <t>Norwegian</t>
        </is>
      </c>
      <c r="X26" s="13" t="n"/>
      <c r="Y26" s="13" t="n"/>
      <c r="Z26" s="131" t="inlineStr">
        <is>
          <t>Public authority</t>
        </is>
      </c>
      <c r="AA26" s="131" t="inlineStr">
        <is>
          <t>Interpretation document</t>
        </is>
      </c>
      <c r="AB26" s="131" t="inlineStr">
        <is>
          <t>Guidance / interpretation</t>
        </is>
      </c>
      <c r="AC26" s="131" t="inlineStr">
        <is>
          <t>Official guidance from Norwegian Directorate of Fisheries; included to interpret and operationalise linked normative requirements, not as independent legal or certification authority.</t>
        </is>
      </c>
      <c r="AD26" s="131" t="inlineStr">
        <is>
          <t>HIGH</t>
        </is>
      </c>
      <c r="AE26" s="131" t="inlineStr">
        <is>
          <t>HIGH</t>
        </is>
      </c>
      <c r="AF26" s="131" t="inlineStr">
        <is>
          <t>HIGH</t>
        </is>
      </c>
      <c r="AG26" s="131" t="inlineStr">
        <is>
          <t>HIGH</t>
        </is>
      </c>
      <c r="AH26" s="131" t="inlineStr">
        <is>
          <t>HIGH</t>
        </is>
      </c>
      <c r="AI26" s="131" t="inlineStr">
        <is>
          <t>HIGH</t>
        </is>
      </c>
      <c r="AJ26" s="131" t="inlineStr">
        <is>
          <t>INCLUDE</t>
        </is>
      </c>
      <c r="AK26" s="125" t="n"/>
      <c r="AL26" s="13" t="n"/>
      <c r="AM26" s="131" t="inlineStr">
        <is>
          <t>CURRENT</t>
        </is>
      </c>
      <c r="AN26" s="131" t="inlineStr">
        <is>
          <t>PA004</t>
        </is>
      </c>
      <c r="AO26" s="131" t="inlineStr">
        <is>
          <t>Official guidance. It supports interpretation but does not replace PA004 or referenced standards.</t>
        </is>
      </c>
      <c r="AP26" s="131" t="inlineStr">
        <is>
          <t>OFFICIAL_WEBSITE</t>
        </is>
      </c>
      <c r="AQ26" s="131" t="inlineStr">
        <is>
          <t>OFFICIAL_ORIGINAL</t>
        </is>
      </c>
      <c r="AR26" s="131" t="inlineStr">
        <is>
          <t>ROLLING</t>
        </is>
      </c>
      <c r="AS26" s="13" t="n"/>
    </row>
    <row r="27" ht="30" customHeight="1" s="41">
      <c r="A27" s="132" t="inlineStr">
        <is>
          <t>PA025</t>
        </is>
      </c>
      <c r="B27" s="132" t="inlineStr">
        <is>
          <t>PA025-001</t>
        </is>
      </c>
      <c r="C27" s="127" t="inlineStr">
        <is>
          <t>PA025-001_Guidance_on_holistic_risk_management_in_aquaculture.html</t>
        </is>
      </c>
      <c r="D27" s="128" t="inlineStr">
        <is>
          <t>STORED</t>
        </is>
      </c>
      <c r="E27" s="128">
        <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f>
        <v/>
      </c>
      <c r="F27" s="128" t="inlineStr">
        <is>
          <t>SUCCESS</t>
        </is>
      </c>
      <c r="G27" s="129" t="n">
        <v>46262.53090277778</v>
      </c>
      <c r="H27" s="129" t="n">
        <v>46262.53090277778</v>
      </c>
      <c r="I27" s="128" t="inlineStr">
        <is>
          <t>INITIAL</t>
        </is>
      </c>
      <c r="J27" s="128" t="inlineStr">
        <is>
          <t>AUTO</t>
        </is>
      </c>
      <c r="K27" s="130">
        <f>IF(A27="","",IF(J27="AUTO",H27,IF(J27="MANUAL",AK27,"")))</f>
        <v/>
      </c>
      <c r="L27" s="128" t="inlineStr">
        <is>
          <t>NONE</t>
        </is>
      </c>
      <c r="M27" s="12" t="n"/>
      <c r="N27" s="128">
        <f>IF(A27="","",IF(COUNTIFS('Human Operation Desktop'!$A$3:$A$502,A27,'Human Operation Desktop'!$I$3:$I$502,"&lt;&gt;APPLIED",'Human Operation Desktop'!$I$3:$I$502,"&lt;&gt;REJECTED")&gt;0,"YES","NO"))</f>
        <v/>
      </c>
      <c r="O27" s="128" t="inlineStr">
        <is>
          <t>6b02f98209cd66f8d09b279dd0ba86c8cf84324e5d65599ca0c476490d10c801</t>
        </is>
      </c>
      <c r="P27" s="131" t="inlineStr">
        <is>
          <t>Guidance on holistic risk management in aquaculture</t>
        </is>
      </c>
      <c r="Q27" s="131" t="inlineStr">
        <is>
          <t>https://www.fiskeridir.no/akvakultur/veiledere/veileder-helhetlig-risikostyring-innen-akvakultur</t>
        </is>
      </c>
      <c r="R27" s="131" t="inlineStr">
        <is>
          <t>https://www.fiskeridir.no/akvakultur/veiledere/veileder-helhetlig-risikostyring-innen-akvakultur</t>
        </is>
      </c>
      <c r="S27" s="131" t="inlineStr">
        <is>
          <t>A_Public_Authority</t>
        </is>
      </c>
      <c r="T27" s="131" t="inlineStr">
        <is>
          <t>html</t>
        </is>
      </c>
      <c r="U27" s="131" t="inlineStr">
        <is>
          <t>Norwegian Directorate of Fisheries</t>
        </is>
      </c>
      <c r="V27" s="131" t="inlineStr">
        <is>
          <t>Norway</t>
        </is>
      </c>
      <c r="W27" s="131" t="inlineStr">
        <is>
          <t>Norwegian</t>
        </is>
      </c>
      <c r="X27" s="13" t="n"/>
      <c r="Y27" s="13" t="n"/>
      <c r="Z27" s="131" t="inlineStr">
        <is>
          <t>Public authority</t>
        </is>
      </c>
      <c r="AA27" s="131" t="inlineStr">
        <is>
          <t>Interpretation document</t>
        </is>
      </c>
      <c r="AB27" s="131" t="inlineStr">
        <is>
          <t>Guidance / interpretation</t>
        </is>
      </c>
      <c r="AC27" s="131" t="inlineStr">
        <is>
          <t>Official guidance from Norwegian Directorate of Fisheries; included to interpret and operationalise linked normative requirements, not as independent legal or certification authority.</t>
        </is>
      </c>
      <c r="AD27" s="131" t="inlineStr">
        <is>
          <t>HIGH</t>
        </is>
      </c>
      <c r="AE27" s="131" t="inlineStr">
        <is>
          <t>HIGH</t>
        </is>
      </c>
      <c r="AF27" s="131" t="inlineStr">
        <is>
          <t>HIGH</t>
        </is>
      </c>
      <c r="AG27" s="131" t="inlineStr">
        <is>
          <t>HIGH</t>
        </is>
      </c>
      <c r="AH27" s="131" t="inlineStr">
        <is>
          <t>HIGH</t>
        </is>
      </c>
      <c r="AI27" s="131" t="inlineStr">
        <is>
          <t>HIGH</t>
        </is>
      </c>
      <c r="AJ27" s="131" t="inlineStr">
        <is>
          <t>INCLUDE</t>
        </is>
      </c>
      <c r="AK27" s="125" t="n"/>
      <c r="AL27" s="13" t="n"/>
      <c r="AM27" s="131" t="inlineStr">
        <is>
          <t>CURRENT</t>
        </is>
      </c>
      <c r="AN27" s="131" t="inlineStr">
        <is>
          <t>PA016</t>
        </is>
      </c>
      <c r="AO27" s="131" t="inlineStr">
        <is>
          <t>Official expansion source map. Useful for discovery and interpretation; not independently normative.</t>
        </is>
      </c>
      <c r="AP27" s="131" t="inlineStr">
        <is>
          <t>OFFICIAL_WEBSITE</t>
        </is>
      </c>
      <c r="AQ27" s="131" t="inlineStr">
        <is>
          <t>OFFICIAL_ORIGINAL</t>
        </is>
      </c>
      <c r="AR27" s="131" t="inlineStr">
        <is>
          <t>ROLLING</t>
        </is>
      </c>
      <c r="AS27" s="13" t="n"/>
    </row>
    <row r="28" ht="30" customHeight="1" s="41">
      <c r="A28" s="126" t="inlineStr">
        <is>
          <t>PA026</t>
        </is>
      </c>
      <c r="B28" s="126" t="inlineStr">
        <is>
          <t>PA026-001</t>
        </is>
      </c>
      <c r="C28" s="127" t="inlineStr">
        <is>
          <t>PA026-001_Environmental_authority_guidance_on_aquaculture_pollution_management.html</t>
        </is>
      </c>
      <c r="D28" s="128" t="inlineStr">
        <is>
          <t>STORED</t>
        </is>
      </c>
      <c r="E28" s="128">
        <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f>
        <v/>
      </c>
      <c r="F28" s="128" t="inlineStr">
        <is>
          <t>SUCCESS</t>
        </is>
      </c>
      <c r="G28" s="129" t="n">
        <v>46262.53090277778</v>
      </c>
      <c r="H28" s="129" t="n">
        <v>46262.53090277778</v>
      </c>
      <c r="I28" s="128" t="inlineStr">
        <is>
          <t>INITIAL</t>
        </is>
      </c>
      <c r="J28" s="128" t="inlineStr">
        <is>
          <t>AUTO</t>
        </is>
      </c>
      <c r="K28" s="130">
        <f>IF(A28="","",IF(J28="AUTO",H28,IF(J28="MANUAL",AK28,"")))</f>
        <v/>
      </c>
      <c r="L28" s="128" t="inlineStr">
        <is>
          <t>NONE</t>
        </is>
      </c>
      <c r="M28" s="12" t="n"/>
      <c r="N28" s="128">
        <f>IF(A28="","",IF(COUNTIFS('Human Operation Desktop'!$A$3:$A$502,A28,'Human Operation Desktop'!$I$3:$I$502,"&lt;&gt;APPLIED",'Human Operation Desktop'!$I$3:$I$502,"&lt;&gt;REJECTED")&gt;0,"YES","NO"))</f>
        <v/>
      </c>
      <c r="O28" s="128" t="inlineStr">
        <is>
          <t>b21a5486fb976b28eaab6a693a453e5e39ccf551e5b0fe3dbfc376f923b028a1</t>
        </is>
      </c>
      <c r="P28" s="131" t="inlineStr">
        <is>
          <t>Environmental authority guidance on aquaculture pollution management</t>
        </is>
      </c>
      <c r="Q28" s="131" t="inlineStr">
        <is>
          <t>https://www.miljodirektoratet.no/ansvarsomrader/forurensning/akvakultur/akvakultur-forvaltning/</t>
        </is>
      </c>
      <c r="R28" s="131" t="inlineStr">
        <is>
          <t>https://www.miljodirektoratet.no/ansvarsomrader/forurensning/akvakultur/akvakultur-forvaltning/</t>
        </is>
      </c>
      <c r="S28" s="131" t="inlineStr">
        <is>
          <t>A_Public_Authority</t>
        </is>
      </c>
      <c r="T28" s="131" t="inlineStr">
        <is>
          <t>html</t>
        </is>
      </c>
      <c r="U28" s="131" t="inlineStr">
        <is>
          <t>Norwegian Environment Agency</t>
        </is>
      </c>
      <c r="V28" s="131" t="inlineStr">
        <is>
          <t>Norway</t>
        </is>
      </c>
      <c r="W28" s="131" t="inlineStr">
        <is>
          <t>Norwegian</t>
        </is>
      </c>
      <c r="X28" s="13" t="n"/>
      <c r="Y28" s="13" t="n"/>
      <c r="Z28" s="131" t="inlineStr">
        <is>
          <t>Public authority</t>
        </is>
      </c>
      <c r="AA28" s="131" t="inlineStr">
        <is>
          <t>Interpretation document</t>
        </is>
      </c>
      <c r="AB28" s="131" t="inlineStr">
        <is>
          <t>Guidance / interpretation</t>
        </is>
      </c>
      <c r="AC28" s="131" t="inlineStr">
        <is>
          <t>Official guidance from Norwegian Environment Agency; included to interpret and operationalise linked normative requirements, not as independent legal or certification authority.</t>
        </is>
      </c>
      <c r="AD28" s="131" t="inlineStr">
        <is>
          <t>HIGH</t>
        </is>
      </c>
      <c r="AE28" s="131" t="inlineStr">
        <is>
          <t>HIGH</t>
        </is>
      </c>
      <c r="AF28" s="131" t="inlineStr">
        <is>
          <t>HIGH</t>
        </is>
      </c>
      <c r="AG28" s="131" t="inlineStr">
        <is>
          <t>HIGH</t>
        </is>
      </c>
      <c r="AH28" s="131" t="inlineStr">
        <is>
          <t>HIGH</t>
        </is>
      </c>
      <c r="AI28" s="131" t="inlineStr">
        <is>
          <t>HIGH</t>
        </is>
      </c>
      <c r="AJ28" s="131" t="inlineStr">
        <is>
          <t>INCLUDE</t>
        </is>
      </c>
      <c r="AK28" s="125" t="n"/>
      <c r="AL28" s="13" t="n"/>
      <c r="AM28" s="131" t="inlineStr">
        <is>
          <t>CURRENT</t>
        </is>
      </c>
      <c r="AN28" s="131" t="inlineStr">
        <is>
          <t>PA007</t>
        </is>
      </c>
      <c r="AO28" s="131" t="inlineStr">
        <is>
          <t>Official expansion. Identifies pollution-law, permit and monitoring relationships.</t>
        </is>
      </c>
      <c r="AP28" s="131" t="inlineStr">
        <is>
          <t>OFFICIAL_WEBSITE</t>
        </is>
      </c>
      <c r="AQ28" s="131" t="inlineStr">
        <is>
          <t>OFFICIAL_ORIGINAL</t>
        </is>
      </c>
      <c r="AR28" s="131" t="inlineStr">
        <is>
          <t>ROLLING</t>
        </is>
      </c>
      <c r="AS28" s="13" t="n"/>
    </row>
    <row r="29" ht="30" customHeight="1" s="41">
      <c r="A29" s="132" t="inlineStr">
        <is>
          <t>PA027</t>
        </is>
      </c>
      <c r="B29" s="132" t="inlineStr">
        <is>
          <t>PA027-001</t>
        </is>
      </c>
      <c r="C29" s="127" t="inlineStr">
        <is>
          <t>PA027-001_Mattilsynet_fish_welfare_guidance_hub.html</t>
        </is>
      </c>
      <c r="D29" s="128" t="inlineStr">
        <is>
          <t>STORED</t>
        </is>
      </c>
      <c r="E29" s="128">
        <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f>
        <v/>
      </c>
      <c r="F29" s="128" t="inlineStr">
        <is>
          <t>SUCCESS</t>
        </is>
      </c>
      <c r="G29" s="129" t="n">
        <v>46262.53090277778</v>
      </c>
      <c r="H29" s="129" t="n">
        <v>46262.53091435185</v>
      </c>
      <c r="I29" s="128" t="inlineStr">
        <is>
          <t>INITIAL</t>
        </is>
      </c>
      <c r="J29" s="128" t="inlineStr">
        <is>
          <t>AUTO</t>
        </is>
      </c>
      <c r="K29" s="130">
        <f>IF(A29="","",IF(J29="AUTO",H29,IF(J29="MANUAL",AK29,"")))</f>
        <v/>
      </c>
      <c r="L29" s="128" t="inlineStr">
        <is>
          <t>NONE</t>
        </is>
      </c>
      <c r="M29" s="12" t="n"/>
      <c r="N29" s="128">
        <f>IF(A29="","",IF(COUNTIFS('Human Operation Desktop'!$A$3:$A$502,A29,'Human Operation Desktop'!$I$3:$I$502,"&lt;&gt;APPLIED",'Human Operation Desktop'!$I$3:$I$502,"&lt;&gt;REJECTED")&gt;0,"YES","NO"))</f>
        <v/>
      </c>
      <c r="O29" s="128" t="inlineStr">
        <is>
          <t>32a13fc92400f9d3afede91b9772367087a32fcd4bb72541cf576b4f2367e4dd</t>
        </is>
      </c>
      <c r="P29" s="131" t="inlineStr">
        <is>
          <t>Mattilsynet fish welfare guidance hub</t>
        </is>
      </c>
      <c r="Q29" s="131" t="inlineStr">
        <is>
          <t>https://www.mattilsynet.no/fisk-og-akvakultur/fiskevelferd</t>
        </is>
      </c>
      <c r="R29" s="131" t="inlineStr">
        <is>
          <t>https://www.mattilsynet.no/fisk-og-akvakultur/fiskevelferd</t>
        </is>
      </c>
      <c r="S29" s="131" t="inlineStr">
        <is>
          <t>A_Public_Authority</t>
        </is>
      </c>
      <c r="T29" s="131" t="inlineStr">
        <is>
          <t>html</t>
        </is>
      </c>
      <c r="U29" s="131" t="inlineStr">
        <is>
          <t>Norwegian Food Safety Authority</t>
        </is>
      </c>
      <c r="V29" s="131" t="inlineStr">
        <is>
          <t>Norway</t>
        </is>
      </c>
      <c r="W29" s="131" t="inlineStr">
        <is>
          <t>Norwegian</t>
        </is>
      </c>
      <c r="X29" s="13" t="n"/>
      <c r="Y29" s="13" t="n"/>
      <c r="Z29" s="131" t="inlineStr">
        <is>
          <t>Public authority</t>
        </is>
      </c>
      <c r="AA29" s="131" t="inlineStr">
        <is>
          <t>Interpretation document</t>
        </is>
      </c>
      <c r="AB29" s="131" t="inlineStr">
        <is>
          <t>Guidance / interpretation</t>
        </is>
      </c>
      <c r="AC29" s="131" t="inlineStr">
        <is>
          <t>Official guidance from Norwegian Food Safety Authority; included to interpret and operationalise linked normative requirements, not as independent legal or certification authority.</t>
        </is>
      </c>
      <c r="AD29" s="131" t="inlineStr">
        <is>
          <t>HIGH</t>
        </is>
      </c>
      <c r="AE29" s="131" t="inlineStr">
        <is>
          <t>HIGH</t>
        </is>
      </c>
      <c r="AF29" s="131" t="inlineStr">
        <is>
          <t>HIGH</t>
        </is>
      </c>
      <c r="AG29" s="131" t="inlineStr">
        <is>
          <t>HIGH</t>
        </is>
      </c>
      <c r="AH29" s="131" t="inlineStr">
        <is>
          <t>HIGH</t>
        </is>
      </c>
      <c r="AI29" s="131" t="inlineStr">
        <is>
          <t>HIGH</t>
        </is>
      </c>
      <c r="AJ29" s="131" t="inlineStr">
        <is>
          <t>INCLUDE</t>
        </is>
      </c>
      <c r="AK29" s="125" t="n"/>
      <c r="AL29" s="13" t="n"/>
      <c r="AM29" s="131" t="inlineStr">
        <is>
          <t>CURRENT</t>
        </is>
      </c>
      <c r="AN29" s="131" t="inlineStr">
        <is>
          <t>PA005</t>
        </is>
      </c>
      <c r="AO29" s="131" t="inlineStr">
        <is>
          <t>Official expansion hub. Child guidance pages may later become separate sources when directly applicable.</t>
        </is>
      </c>
      <c r="AP29" s="131" t="inlineStr">
        <is>
          <t>OFFICIAL_WEBSITE</t>
        </is>
      </c>
      <c r="AQ29" s="131" t="inlineStr">
        <is>
          <t>OFFICIAL_ORIGINAL</t>
        </is>
      </c>
      <c r="AR29" s="131" t="inlineStr">
        <is>
          <t>ROLLING</t>
        </is>
      </c>
      <c r="AS29" s="13" t="n"/>
    </row>
    <row r="30" ht="30" customHeight="1" s="41">
      <c r="A30" s="126" t="inlineStr">
        <is>
          <t>PA028</t>
        </is>
      </c>
      <c r="B30" s="126" t="inlineStr">
        <is>
          <t>PA028-001</t>
        </is>
      </c>
      <c r="C30" s="127" t="inlineStr">
        <is>
          <t>PA028-001_Norwegian_Aquaculture_Register.html</t>
        </is>
      </c>
      <c r="D30" s="128" t="inlineStr">
        <is>
          <t>STORED</t>
        </is>
      </c>
      <c r="E30" s="128">
        <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f>
        <v/>
      </c>
      <c r="F30" s="128" t="inlineStr">
        <is>
          <t>SUCCESS</t>
        </is>
      </c>
      <c r="G30" s="129" t="n">
        <v>46262.53091435185</v>
      </c>
      <c r="H30" s="129" t="n">
        <v>46262.53092592592</v>
      </c>
      <c r="I30" s="128" t="inlineStr">
        <is>
          <t>INITIAL</t>
        </is>
      </c>
      <c r="J30" s="128" t="inlineStr">
        <is>
          <t>AUTO</t>
        </is>
      </c>
      <c r="K30" s="130">
        <f>IF(A30="","",IF(J30="AUTO",H30,IF(J30="MANUAL",AK30,"")))</f>
        <v/>
      </c>
      <c r="L30" s="128" t="inlineStr">
        <is>
          <t>NONE</t>
        </is>
      </c>
      <c r="M30" s="12" t="n"/>
      <c r="N30" s="128">
        <f>IF(A30="","",IF(COUNTIFS('Human Operation Desktop'!$A$3:$A$502,A30,'Human Operation Desktop'!$I$3:$I$502,"&lt;&gt;APPLIED",'Human Operation Desktop'!$I$3:$I$502,"&lt;&gt;REJECTED")&gt;0,"YES","NO"))</f>
        <v/>
      </c>
      <c r="O30" s="128" t="inlineStr">
        <is>
          <t>e4b0fe39d80e5dff689ac77b143523e86d5c40228f73405a6c9171ee40462790</t>
        </is>
      </c>
      <c r="P30" s="131" t="inlineStr">
        <is>
          <t>Norwegian Aquaculture Register</t>
        </is>
      </c>
      <c r="Q30" s="131" t="inlineStr">
        <is>
          <t>https://www.fiskeridir.no/registre/akvakulturregisteret</t>
        </is>
      </c>
      <c r="R30" s="131" t="inlineStr">
        <is>
          <t>https://www.fiskeridir.no/registre/akvakulturregisteret</t>
        </is>
      </c>
      <c r="S30" s="131" t="inlineStr">
        <is>
          <t>A_Public_Authority</t>
        </is>
      </c>
      <c r="T30" s="131" t="inlineStr">
        <is>
          <t>html</t>
        </is>
      </c>
      <c r="U30" s="131" t="inlineStr">
        <is>
          <t>Norwegian Directorate of Fisheries</t>
        </is>
      </c>
      <c r="V30" s="131" t="inlineStr">
        <is>
          <t>Norway</t>
        </is>
      </c>
      <c r="W30" s="131" t="inlineStr">
        <is>
          <t>Norwegian</t>
        </is>
      </c>
      <c r="X30" s="13" t="n"/>
      <c r="Y30" s="13" t="n"/>
      <c r="Z30" s="131" t="inlineStr">
        <is>
          <t>Public authority</t>
        </is>
      </c>
      <c r="AA30" s="131" t="inlineStr">
        <is>
          <t>Other</t>
        </is>
      </c>
      <c r="AB30" s="131" t="inlineStr">
        <is>
          <t>Context / evidence</t>
        </is>
      </c>
      <c r="AC30" s="131" t="inlineStr">
        <is>
          <t>Official context source from Norwegian Directorate of Fisheries; included for applicability, site identity or source discovery, not for generating standalone requirements.</t>
        </is>
      </c>
      <c r="AD30" s="131" t="inlineStr">
        <is>
          <t>HIGH</t>
        </is>
      </c>
      <c r="AE30" s="131" t="inlineStr">
        <is>
          <t>MEDIUM</t>
        </is>
      </c>
      <c r="AF30" s="131" t="inlineStr">
        <is>
          <t>HIGH</t>
        </is>
      </c>
      <c r="AG30" s="131" t="inlineStr">
        <is>
          <t>HIGH</t>
        </is>
      </c>
      <c r="AH30" s="131" t="inlineStr">
        <is>
          <t>HIGH</t>
        </is>
      </c>
      <c r="AI30" s="131" t="inlineStr">
        <is>
          <t>HIGH</t>
        </is>
      </c>
      <c r="AJ30" s="131" t="inlineStr">
        <is>
          <t>PENDING</t>
        </is>
      </c>
      <c r="AK30" s="125" t="n"/>
      <c r="AL30" s="13" t="n"/>
      <c r="AM30" s="131" t="inlineStr">
        <is>
          <t>CURRENT</t>
        </is>
      </c>
      <c r="AN30" s="131" t="inlineStr">
        <is>
          <t>PA032</t>
        </is>
      </c>
      <c r="AO30" s="131" t="inlineStr">
        <is>
          <t>Official expansion. Applicability and site identity source, not a primary source of normative text.</t>
        </is>
      </c>
      <c r="AP30" s="131" t="inlineStr">
        <is>
          <t>OFFICIAL_WEBSITE</t>
        </is>
      </c>
      <c r="AQ30" s="131" t="inlineStr">
        <is>
          <t>OFFICIAL_ORIGINAL</t>
        </is>
      </c>
      <c r="AR30" s="131" t="inlineStr">
        <is>
          <t>ROLLING</t>
        </is>
      </c>
      <c r="AS30" s="13" t="n"/>
    </row>
    <row r="31" ht="30" customHeight="1" s="41">
      <c r="A31" s="132" t="inlineStr">
        <is>
          <t>PA029</t>
        </is>
      </c>
      <c r="B31" s="132" t="inlineStr">
        <is>
          <t>PA029-001</t>
        </is>
      </c>
      <c r="C31" s="127" t="inlineStr">
        <is>
          <t>PA029-001_Yggdrasil_map_of_Norwegian_aquaculture_localities.html</t>
        </is>
      </c>
      <c r="D31" s="128" t="inlineStr">
        <is>
          <t>NOT_COLLECTED</t>
        </is>
      </c>
      <c r="E31" s="128">
        <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f>
        <v/>
      </c>
      <c r="F31" s="128" t="inlineStr">
        <is>
          <t>FAIL</t>
        </is>
      </c>
      <c r="G31" s="129" t="n">
        <v>46262.53092592592</v>
      </c>
      <c r="H31" s="134" t="n"/>
      <c r="I31" s="128" t="inlineStr">
        <is>
          <t>UNKNOWN</t>
        </is>
      </c>
      <c r="J31" s="128" t="inlineStr">
        <is>
          <t>NONE</t>
        </is>
      </c>
      <c r="K31" s="130">
        <f>IF(A31="","",IF(J31="AUTO",H31,IF(J31="MANUAL",AK31,"")))</f>
        <v/>
      </c>
      <c r="L31" s="128" t="inlineStr">
        <is>
          <t>CONTENT</t>
        </is>
      </c>
      <c r="M31" s="128" t="inlineStr">
        <is>
          <t>HTML readable body text is too short; the response may be a redirect or error page.</t>
        </is>
      </c>
      <c r="N31" s="128">
        <f>IF(A31="","",IF(COUNTIFS('Human Operation Desktop'!$A$3:$A$502,A31,'Human Operation Desktop'!$I$3:$I$502,"&lt;&gt;APPLIED",'Human Operation Desktop'!$I$3:$I$502,"&lt;&gt;REJECTED")&gt;0,"YES","NO"))</f>
        <v/>
      </c>
      <c r="O31" s="12" t="n"/>
      <c r="P31" s="131" t="inlineStr">
        <is>
          <t>Yggdrasil map of Norwegian aquaculture localities</t>
        </is>
      </c>
      <c r="Q31" s="131" t="inlineStr">
        <is>
          <t>https://portal.fiskeridir.no/akva</t>
        </is>
      </c>
      <c r="R31" s="131" t="inlineStr">
        <is>
          <t>https://portal.fiskeridir.no/akva</t>
        </is>
      </c>
      <c r="S31" s="131" t="inlineStr">
        <is>
          <t>A_Public_Authority</t>
        </is>
      </c>
      <c r="T31" s="131" t="inlineStr">
        <is>
          <t>html</t>
        </is>
      </c>
      <c r="U31" s="131" t="inlineStr">
        <is>
          <t>Norwegian Directorate of Fisheries</t>
        </is>
      </c>
      <c r="V31" s="131" t="inlineStr">
        <is>
          <t>Norway</t>
        </is>
      </c>
      <c r="W31" s="131" t="inlineStr">
        <is>
          <t>Norwegian</t>
        </is>
      </c>
      <c r="X31" s="13" t="n"/>
      <c r="Y31" s="13" t="n"/>
      <c r="Z31" s="131" t="inlineStr">
        <is>
          <t>Public authority</t>
        </is>
      </c>
      <c r="AA31" s="131" t="inlineStr">
        <is>
          <t>Other</t>
        </is>
      </c>
      <c r="AB31" s="131" t="inlineStr">
        <is>
          <t>Context / evidence</t>
        </is>
      </c>
      <c r="AC31" s="131" t="inlineStr">
        <is>
          <t>Official context source from Norwegian Directorate of Fisheries; included for applicability, site identity or source discovery, not for generating standalone requirements.</t>
        </is>
      </c>
      <c r="AD31" s="131" t="inlineStr">
        <is>
          <t>HIGH</t>
        </is>
      </c>
      <c r="AE31" s="131" t="inlineStr">
        <is>
          <t>LOW</t>
        </is>
      </c>
      <c r="AF31" s="131" t="inlineStr">
        <is>
          <t>HIGH</t>
        </is>
      </c>
      <c r="AG31" s="131" t="inlineStr">
        <is>
          <t>HIGH</t>
        </is>
      </c>
      <c r="AH31" s="131" t="inlineStr">
        <is>
          <t>HIGH</t>
        </is>
      </c>
      <c r="AI31" s="131" t="inlineStr">
        <is>
          <t>HIGH</t>
        </is>
      </c>
      <c r="AJ31" s="131" t="inlineStr">
        <is>
          <t>EXCLUDE</t>
        </is>
      </c>
      <c r="AK31" s="133" t="n">
        <v>46265</v>
      </c>
      <c r="AL31" s="131" t="inlineStr">
        <is>
          <t>Jay</t>
        </is>
      </c>
      <c r="AM31" s="131" t="inlineStr">
        <is>
          <t>WITHDRAWN</t>
        </is>
      </c>
      <c r="AN31" s="131" t="inlineStr">
        <is>
          <t>PA001</t>
        </is>
      </c>
      <c r="AO31" s="131"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P31" s="131" t="inlineStr">
        <is>
          <t>OFFICIAL_WEBSITE</t>
        </is>
      </c>
      <c r="AQ31" s="131" t="inlineStr">
        <is>
          <t>OFFICIAL_ORIGINAL</t>
        </is>
      </c>
      <c r="AR31" s="131" t="inlineStr">
        <is>
          <t>ROLLING</t>
        </is>
      </c>
      <c r="AS31" s="13" t="n"/>
    </row>
    <row r="32" ht="30" customHeight="1" s="41">
      <c r="A32" s="126" t="inlineStr">
        <is>
          <t>PA030</t>
        </is>
      </c>
      <c r="B32" s="126" t="inlineStr">
        <is>
          <t>PA030-001</t>
        </is>
      </c>
      <c r="C32" s="127" t="inlineStr">
        <is>
          <t>PA030-001_Regulation_on_special_requirements_for_aquaculture-related_activities_in_or_near_national_salmon_rivers_and_fjords.html</t>
        </is>
      </c>
      <c r="D32" s="128" t="inlineStr">
        <is>
          <t>STORED</t>
        </is>
      </c>
      <c r="E32" s="128">
        <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f>
        <v/>
      </c>
      <c r="F32" s="128" t="inlineStr">
        <is>
          <t>SUCCESS</t>
        </is>
      </c>
      <c r="G32" s="129" t="n">
        <v>46262.5309375</v>
      </c>
      <c r="H32" s="129" t="n">
        <v>46262.5309375</v>
      </c>
      <c r="I32" s="128" t="inlineStr">
        <is>
          <t>INITIAL</t>
        </is>
      </c>
      <c r="J32" s="128" t="inlineStr">
        <is>
          <t>AUTO</t>
        </is>
      </c>
      <c r="K32" s="130">
        <f>IF(A32="","",IF(J32="AUTO",H32,IF(J32="MANUAL",AK32,"")))</f>
        <v/>
      </c>
      <c r="L32" s="128" t="inlineStr">
        <is>
          <t>NONE</t>
        </is>
      </c>
      <c r="M32" s="12" t="n"/>
      <c r="N32" s="128">
        <f>IF(A32="","",IF(COUNTIFS('Human Operation Desktop'!$A$3:$A$502,A32,'Human Operation Desktop'!$I$3:$I$502,"&lt;&gt;APPLIED",'Human Operation Desktop'!$I$3:$I$502,"&lt;&gt;REJECTED")&gt;0,"YES","NO"))</f>
        <v/>
      </c>
      <c r="O32" s="128" t="inlineStr">
        <is>
          <t>f3e632fdd118f679d3cba93120bdcaf4ab74fef6abca29992ae4b808287ec422</t>
        </is>
      </c>
      <c r="P32" s="131" t="inlineStr">
        <is>
          <t>Regulation on special requirements for aquaculture-related activities in or near national salmon rivers and fjords</t>
        </is>
      </c>
      <c r="Q32" s="131" t="inlineStr">
        <is>
          <t>https://lovdata.no/dokument/SF/forskrift/2009-06-22-961</t>
        </is>
      </c>
      <c r="R32" s="131" t="inlineStr">
        <is>
          <t>https://lovdata.no/dokument/SF/forskrift/2009-06-22-961</t>
        </is>
      </c>
      <c r="S32" s="131" t="inlineStr">
        <is>
          <t>A_Public_Authority</t>
        </is>
      </c>
      <c r="T32" s="131" t="inlineStr">
        <is>
          <t>html</t>
        </is>
      </c>
      <c r="U32" s="131" t="inlineStr">
        <is>
          <t>Norwegian Ministry of Trade, Industry and Fisheries</t>
        </is>
      </c>
      <c r="V32" s="131" t="inlineStr">
        <is>
          <t>Norway</t>
        </is>
      </c>
      <c r="W32" s="131" t="inlineStr">
        <is>
          <t>Norwegian</t>
        </is>
      </c>
      <c r="X32" s="13" t="n"/>
      <c r="Y32" s="13" t="n"/>
      <c r="Z32" s="131" t="inlineStr">
        <is>
          <t>Public authority</t>
        </is>
      </c>
      <c r="AA32" s="131" t="inlineStr">
        <is>
          <t>Regulation</t>
        </is>
      </c>
      <c r="AB32" s="131" t="inlineStr">
        <is>
          <t>Primary normative</t>
        </is>
      </c>
      <c r="AC32" s="131" t="inlineStr">
        <is>
          <t>Official regulation issued by Norwegian Ministry of Trade, Industry and Fisheries; included because it may impose binding requirements on an in-scope aquaculture asset, activity, permit or certification.</t>
        </is>
      </c>
      <c r="AD32" s="131" t="inlineStr">
        <is>
          <t>HIGH</t>
        </is>
      </c>
      <c r="AE32" s="131" t="inlineStr">
        <is>
          <t>MEDIUM</t>
        </is>
      </c>
      <c r="AF32" s="131" t="inlineStr">
        <is>
          <t>HIGH</t>
        </is>
      </c>
      <c r="AG32" s="131" t="inlineStr">
        <is>
          <t>HIGH</t>
        </is>
      </c>
      <c r="AH32" s="131" t="inlineStr">
        <is>
          <t>HIGH</t>
        </is>
      </c>
      <c r="AI32" s="131" t="inlineStr">
        <is>
          <t>HIGH</t>
        </is>
      </c>
      <c r="AJ32" s="131" t="inlineStr">
        <is>
          <t>PENDING</t>
        </is>
      </c>
      <c r="AK32" s="125" t="n"/>
      <c r="AL32" s="13" t="n"/>
      <c r="AM32" s="131" t="inlineStr">
        <is>
          <t>CURRENT</t>
        </is>
      </c>
      <c r="AN32" s="13" t="n"/>
      <c r="AO32" s="131" t="inlineStr">
        <is>
          <t>Official expansion from the aquaculture regulation index. Site-specific applicability must be established.</t>
        </is>
      </c>
      <c r="AP32" s="131" t="inlineStr">
        <is>
          <t>OFFICIAL_WEBSITE</t>
        </is>
      </c>
      <c r="AQ32" s="131" t="inlineStr">
        <is>
          <t>OFFICIAL_ORIGINAL</t>
        </is>
      </c>
      <c r="AR32" s="131" t="inlineStr">
        <is>
          <t>ROLLING</t>
        </is>
      </c>
      <c r="AS32" s="13" t="n"/>
    </row>
    <row r="33" ht="30" customHeight="1" s="41">
      <c r="A33" s="132" t="inlineStr">
        <is>
          <t>PA031</t>
        </is>
      </c>
      <c r="B33" s="132" t="inlineStr">
        <is>
          <t>PA031-001</t>
        </is>
      </c>
      <c r="C33" s="127" t="inlineStr">
        <is>
          <t>PA031-001_Regulation_on_joint_responsibility_for_removal_of_escaped_farmed_fish.html</t>
        </is>
      </c>
      <c r="D33" s="128" t="inlineStr">
        <is>
          <t>STORED</t>
        </is>
      </c>
      <c r="E33" s="128">
        <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f>
        <v/>
      </c>
      <c r="F33" s="128" t="inlineStr">
        <is>
          <t>SUCCESS</t>
        </is>
      </c>
      <c r="G33" s="129" t="n">
        <v>46262.5309375</v>
      </c>
      <c r="H33" s="129" t="n">
        <v>46262.5309375</v>
      </c>
      <c r="I33" s="128" t="inlineStr">
        <is>
          <t>INITIAL</t>
        </is>
      </c>
      <c r="J33" s="128" t="inlineStr">
        <is>
          <t>AUTO</t>
        </is>
      </c>
      <c r="K33" s="130">
        <f>IF(A33="","",IF(J33="AUTO",H33,IF(J33="MANUAL",AK33,"")))</f>
        <v/>
      </c>
      <c r="L33" s="128" t="inlineStr">
        <is>
          <t>NONE</t>
        </is>
      </c>
      <c r="M33" s="12" t="n"/>
      <c r="N33" s="128">
        <f>IF(A33="","",IF(COUNTIFS('Human Operation Desktop'!$A$3:$A$502,A33,'Human Operation Desktop'!$I$3:$I$502,"&lt;&gt;APPLIED",'Human Operation Desktop'!$I$3:$I$502,"&lt;&gt;REJECTED")&gt;0,"YES","NO"))</f>
        <v/>
      </c>
      <c r="O33" s="128" t="inlineStr">
        <is>
          <t>e792a6f90a4e6601a323dcde19ea09b0af31c58b7a4e42c6eaff75dfa5e79e95</t>
        </is>
      </c>
      <c r="P33" s="131" t="inlineStr">
        <is>
          <t>Regulation on joint responsibility for removal of escaped farmed fish</t>
        </is>
      </c>
      <c r="Q33" s="131" t="inlineStr">
        <is>
          <t>https://lovdata.no/dokument/SF/forskrift/2015-02-05-89</t>
        </is>
      </c>
      <c r="R33" s="131" t="inlineStr">
        <is>
          <t>https://lovdata.no/dokument/SF/forskrift/2015-02-05-89</t>
        </is>
      </c>
      <c r="S33" s="131" t="inlineStr">
        <is>
          <t>A_Public_Authority</t>
        </is>
      </c>
      <c r="T33" s="131" t="inlineStr">
        <is>
          <t>html</t>
        </is>
      </c>
      <c r="U33" s="131" t="inlineStr">
        <is>
          <t>Norwegian Ministry of Trade, Industry and Fisheries</t>
        </is>
      </c>
      <c r="V33" s="131" t="inlineStr">
        <is>
          <t>Norway</t>
        </is>
      </c>
      <c r="W33" s="131" t="inlineStr">
        <is>
          <t>Norwegian</t>
        </is>
      </c>
      <c r="X33" s="13" t="n"/>
      <c r="Y33" s="13" t="n"/>
      <c r="Z33" s="131" t="inlineStr">
        <is>
          <t>Public authority</t>
        </is>
      </c>
      <c r="AA33" s="131" t="inlineStr">
        <is>
          <t>Regulation</t>
        </is>
      </c>
      <c r="AB33" s="131" t="inlineStr">
        <is>
          <t>Primary normative</t>
        </is>
      </c>
      <c r="AC33" s="131" t="inlineStr">
        <is>
          <t>Official regulation issued by Norwegian Ministry of Trade, Industry and Fisheries; included because it may impose binding requirements on an in-scope aquaculture asset, activity, permit or certification.</t>
        </is>
      </c>
      <c r="AD33" s="131" t="inlineStr">
        <is>
          <t>HIGH</t>
        </is>
      </c>
      <c r="AE33" s="131" t="inlineStr">
        <is>
          <t>HIGH</t>
        </is>
      </c>
      <c r="AF33" s="131" t="inlineStr">
        <is>
          <t>HIGH</t>
        </is>
      </c>
      <c r="AG33" s="131" t="inlineStr">
        <is>
          <t>HIGH</t>
        </is>
      </c>
      <c r="AH33" s="131" t="inlineStr">
        <is>
          <t>HIGH</t>
        </is>
      </c>
      <c r="AI33" s="131" t="inlineStr">
        <is>
          <t>HIGH</t>
        </is>
      </c>
      <c r="AJ33" s="131" t="inlineStr">
        <is>
          <t>INCLUDE</t>
        </is>
      </c>
      <c r="AK33" s="125" t="n"/>
      <c r="AL33" s="13" t="n"/>
      <c r="AM33" s="131" t="inlineStr">
        <is>
          <t>CURRENT</t>
        </is>
      </c>
      <c r="AN33" s="13" t="n"/>
      <c r="AO33" s="131" t="inlineStr">
        <is>
          <t>Official expansion. Applies to holders of relevant salmon, trout and rainbow-trout permits.</t>
        </is>
      </c>
      <c r="AP33" s="131" t="inlineStr">
        <is>
          <t>OFFICIAL_WEBSITE</t>
        </is>
      </c>
      <c r="AQ33" s="131" t="inlineStr">
        <is>
          <t>OFFICIAL_ORIGINAL</t>
        </is>
      </c>
      <c r="AR33" s="131" t="inlineStr">
        <is>
          <t>ROLLING</t>
        </is>
      </c>
      <c r="AS33" s="13" t="n"/>
    </row>
    <row r="34" ht="30" customHeight="1" s="41">
      <c r="A34" s="126" t="inlineStr">
        <is>
          <t>PA032</t>
        </is>
      </c>
      <c r="B34" s="126" t="inlineStr">
        <is>
          <t>PA032-001</t>
        </is>
      </c>
      <c r="C34" s="127" t="inlineStr">
        <is>
          <t>PA032-001_Regulation_on_the_Aquaculture_Register.html</t>
        </is>
      </c>
      <c r="D34" s="128" t="inlineStr">
        <is>
          <t>STORED</t>
        </is>
      </c>
      <c r="E34" s="128">
        <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f>
        <v/>
      </c>
      <c r="F34" s="128" t="inlineStr">
        <is>
          <t>SUCCESS</t>
        </is>
      </c>
      <c r="G34" s="129" t="n">
        <v>46262.5309375</v>
      </c>
      <c r="H34" s="129" t="n">
        <v>46262.53094907408</v>
      </c>
      <c r="I34" s="128" t="inlineStr">
        <is>
          <t>INITIAL</t>
        </is>
      </c>
      <c r="J34" s="128" t="inlineStr">
        <is>
          <t>AUTO</t>
        </is>
      </c>
      <c r="K34" s="130">
        <f>IF(A34="","",IF(J34="AUTO",H34,IF(J34="MANUAL",AK34,"")))</f>
        <v/>
      </c>
      <c r="L34" s="128" t="inlineStr">
        <is>
          <t>NONE</t>
        </is>
      </c>
      <c r="M34" s="12" t="n"/>
      <c r="N34" s="128">
        <f>IF(A34="","",IF(COUNTIFS('Human Operation Desktop'!$A$3:$A$502,A34,'Human Operation Desktop'!$I$3:$I$502,"&lt;&gt;APPLIED",'Human Operation Desktop'!$I$3:$I$502,"&lt;&gt;REJECTED")&gt;0,"YES","NO"))</f>
        <v/>
      </c>
      <c r="O34" s="128" t="inlineStr">
        <is>
          <t>29b6b73125d703fc809475418ceff449203a6f024d8d91709c2cd32c3aba6e37</t>
        </is>
      </c>
      <c r="P34" s="131" t="inlineStr">
        <is>
          <t>Regulation on the Aquaculture Register</t>
        </is>
      </c>
      <c r="Q34" s="131" t="inlineStr">
        <is>
          <t>https://lovdata.no/dokument/SF/forskrift/2005-12-28-1706</t>
        </is>
      </c>
      <c r="R34" s="131" t="inlineStr">
        <is>
          <t>https://lovdata.no/dokument/SF/forskrift/2005-12-28-1706</t>
        </is>
      </c>
      <c r="S34" s="131" t="inlineStr">
        <is>
          <t>A_Public_Authority</t>
        </is>
      </c>
      <c r="T34" s="131" t="inlineStr">
        <is>
          <t>html</t>
        </is>
      </c>
      <c r="U34" s="131" t="inlineStr">
        <is>
          <t>Norwegian Ministry of Trade, Industry and Fisheries</t>
        </is>
      </c>
      <c r="V34" s="131" t="inlineStr">
        <is>
          <t>Norway</t>
        </is>
      </c>
      <c r="W34" s="131" t="inlineStr">
        <is>
          <t>Norwegian</t>
        </is>
      </c>
      <c r="X34" s="13" t="n"/>
      <c r="Y34" s="13" t="n"/>
      <c r="Z34" s="131" t="inlineStr">
        <is>
          <t>Public authority</t>
        </is>
      </c>
      <c r="AA34" s="131" t="inlineStr">
        <is>
          <t>Regulation</t>
        </is>
      </c>
      <c r="AB34" s="131" t="inlineStr">
        <is>
          <t>Referenced normative</t>
        </is>
      </c>
      <c r="AC34" s="131" t="inlineStr">
        <is>
          <t>Official referenced source from Norwegian Ministry of Trade, Industry and Fisheries; included because an applicable law, permit or certification scheme may make its provisions binding within the approved scope.</t>
        </is>
      </c>
      <c r="AD34" s="131" t="inlineStr">
        <is>
          <t>HIGH</t>
        </is>
      </c>
      <c r="AE34" s="131" t="inlineStr">
        <is>
          <t>HIGH</t>
        </is>
      </c>
      <c r="AF34" s="131" t="inlineStr">
        <is>
          <t>HIGH</t>
        </is>
      </c>
      <c r="AG34" s="131" t="inlineStr">
        <is>
          <t>HIGH</t>
        </is>
      </c>
      <c r="AH34" s="131" t="inlineStr">
        <is>
          <t>HIGH</t>
        </is>
      </c>
      <c r="AI34" s="131" t="inlineStr">
        <is>
          <t>HIGH</t>
        </is>
      </c>
      <c r="AJ34" s="131" t="inlineStr">
        <is>
          <t>INCLUDE</t>
        </is>
      </c>
      <c r="AK34" s="125" t="n"/>
      <c r="AL34" s="13" t="n"/>
      <c r="AM34" s="131" t="inlineStr">
        <is>
          <t>CURRENT</t>
        </is>
      </c>
      <c r="AN34" s="13" t="n"/>
      <c r="AO34" s="131" t="inlineStr">
        <is>
          <t>Official expansion. Relevant to registration and traceability; operational applicability requires review.</t>
        </is>
      </c>
      <c r="AP34" s="131" t="inlineStr">
        <is>
          <t>OFFICIAL_WEBSITE</t>
        </is>
      </c>
      <c r="AQ34" s="131" t="inlineStr">
        <is>
          <t>OFFICIAL_ORIGINAL</t>
        </is>
      </c>
      <c r="AR34" s="131" t="inlineStr">
        <is>
          <t>ROLLING</t>
        </is>
      </c>
      <c r="AS34" s="13" t="n"/>
    </row>
    <row r="35" ht="30" customHeight="1" s="41">
      <c r="A35" s="132" t="inlineStr">
        <is>
          <t>PA033</t>
        </is>
      </c>
      <c r="B35" s="132" t="inlineStr">
        <is>
          <t>PA033-001</t>
        </is>
      </c>
      <c r="C35" s="127" t="inlineStr">
        <is>
          <t>PA033-001_Regulation_on_catch-based_aquaculture.html</t>
        </is>
      </c>
      <c r="D35" s="128" t="inlineStr">
        <is>
          <t>STORED</t>
        </is>
      </c>
      <c r="E35" s="128">
        <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f>
        <v/>
      </c>
      <c r="F35" s="128" t="inlineStr">
        <is>
          <t>SUCCESS</t>
        </is>
      </c>
      <c r="G35" s="129" t="n">
        <v>46262.53094907408</v>
      </c>
      <c r="H35" s="129" t="n">
        <v>46262.53094907408</v>
      </c>
      <c r="I35" s="128" t="inlineStr">
        <is>
          <t>INITIAL</t>
        </is>
      </c>
      <c r="J35" s="128" t="inlineStr">
        <is>
          <t>AUTO</t>
        </is>
      </c>
      <c r="K35" s="130">
        <f>IF(A35="","",IF(J35="AUTO",H35,IF(J35="MANUAL",AK35,"")))</f>
        <v/>
      </c>
      <c r="L35" s="128" t="inlineStr">
        <is>
          <t>NONE</t>
        </is>
      </c>
      <c r="M35" s="12" t="n"/>
      <c r="N35" s="128">
        <f>IF(A35="","",IF(COUNTIFS('Human Operation Desktop'!$A$3:$A$502,A35,'Human Operation Desktop'!$I$3:$I$502,"&lt;&gt;APPLIED",'Human Operation Desktop'!$I$3:$I$502,"&lt;&gt;REJECTED")&gt;0,"YES","NO"))</f>
        <v/>
      </c>
      <c r="O35" s="128" t="inlineStr">
        <is>
          <t>8e117c5d5d5017180a13f307c48ebc4833af52f1359012d6a4f7c713c2e5ef56</t>
        </is>
      </c>
      <c r="P35" s="131" t="inlineStr">
        <is>
          <t>Regulation on catch-based aquaculture</t>
        </is>
      </c>
      <c r="Q35" s="131" t="inlineStr">
        <is>
          <t>https://lovdata.no/dokument/SF/forskrift/2014-12-15-1831</t>
        </is>
      </c>
      <c r="R35" s="131" t="inlineStr">
        <is>
          <t>https://lovdata.no/dokument/SF/forskrift/2014-12-15-1831</t>
        </is>
      </c>
      <c r="S35" s="131" t="inlineStr">
        <is>
          <t>A_Public_Authority</t>
        </is>
      </c>
      <c r="T35" s="131" t="inlineStr">
        <is>
          <t>html</t>
        </is>
      </c>
      <c r="U35" s="131" t="inlineStr">
        <is>
          <t>Norwegian Ministry of Trade, Industry and Fisheries</t>
        </is>
      </c>
      <c r="V35" s="131" t="inlineStr">
        <is>
          <t>Norway</t>
        </is>
      </c>
      <c r="W35" s="131" t="inlineStr">
        <is>
          <t>Norwegian</t>
        </is>
      </c>
      <c r="X35" s="13" t="n"/>
      <c r="Y35" s="13" t="n"/>
      <c r="Z35" s="131" t="inlineStr">
        <is>
          <t>Public authority</t>
        </is>
      </c>
      <c r="AA35" s="131" t="inlineStr">
        <is>
          <t>Regulation</t>
        </is>
      </c>
      <c r="AB35" s="131" t="inlineStr">
        <is>
          <t>Primary normative</t>
        </is>
      </c>
      <c r="AC35" s="131" t="inlineStr">
        <is>
          <t>Official regulation issued by Norwegian Ministry of Trade, Industry and Fisheries; included because it may impose binding requirements on an in-scope aquaculture asset, activity, permit or certification.</t>
        </is>
      </c>
      <c r="AD35" s="131" t="inlineStr">
        <is>
          <t>HIGH</t>
        </is>
      </c>
      <c r="AE35" s="131" t="inlineStr">
        <is>
          <t>MEDIUM</t>
        </is>
      </c>
      <c r="AF35" s="131" t="inlineStr">
        <is>
          <t>HIGH</t>
        </is>
      </c>
      <c r="AG35" s="131" t="inlineStr">
        <is>
          <t>HIGH</t>
        </is>
      </c>
      <c r="AH35" s="131" t="inlineStr">
        <is>
          <t>HIGH</t>
        </is>
      </c>
      <c r="AI35" s="131" t="inlineStr">
        <is>
          <t>HIGH</t>
        </is>
      </c>
      <c r="AJ35" s="131" t="inlineStr">
        <is>
          <t>PENDING</t>
        </is>
      </c>
      <c r="AK35" s="125" t="n"/>
      <c r="AL35" s="13" t="n"/>
      <c r="AM35" s="131" t="inlineStr">
        <is>
          <t>CURRENT</t>
        </is>
      </c>
      <c r="AN35" s="13" t="n"/>
      <c r="AO35" s="131" t="inlineStr">
        <is>
          <t>Official coverage expansion from the aquaculture regulation index. Include only for catch-based aquaculture activities.</t>
        </is>
      </c>
      <c r="AP35" s="131" t="inlineStr">
        <is>
          <t>OFFICIAL_WEBSITE</t>
        </is>
      </c>
      <c r="AQ35" s="131" t="inlineStr">
        <is>
          <t>OFFICIAL_ORIGINAL</t>
        </is>
      </c>
      <c r="AR35" s="131" t="inlineStr">
        <is>
          <t>ROLLING</t>
        </is>
      </c>
      <c r="AS35" s="13" t="n"/>
    </row>
    <row r="36" ht="30" customHeight="1" s="41">
      <c r="A36" s="126" t="inlineStr">
        <is>
          <t>PA034</t>
        </is>
      </c>
      <c r="B36" s="126" t="inlineStr">
        <is>
          <t>PA034-001</t>
        </is>
      </c>
      <c r="C36" s="127" t="inlineStr">
        <is>
          <t>PA034-001_Regulation_on_coordination_and_time_limits_for_processing_aquaculture_applications.html</t>
        </is>
      </c>
      <c r="D36" s="128" t="inlineStr">
        <is>
          <t>STORED</t>
        </is>
      </c>
      <c r="E36" s="128">
        <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f>
        <v/>
      </c>
      <c r="F36" s="128" t="inlineStr">
        <is>
          <t>SUCCESS</t>
        </is>
      </c>
      <c r="G36" s="129" t="n">
        <v>46262.53094907408</v>
      </c>
      <c r="H36" s="129" t="n">
        <v>46262.53096064815</v>
      </c>
      <c r="I36" s="128" t="inlineStr">
        <is>
          <t>INITIAL</t>
        </is>
      </c>
      <c r="J36" s="128" t="inlineStr">
        <is>
          <t>AUTO</t>
        </is>
      </c>
      <c r="K36" s="130">
        <f>IF(A36="","",IF(J36="AUTO",H36,IF(J36="MANUAL",AK36,"")))</f>
        <v/>
      </c>
      <c r="L36" s="128" t="inlineStr">
        <is>
          <t>NONE</t>
        </is>
      </c>
      <c r="M36" s="12" t="n"/>
      <c r="N36" s="128">
        <f>IF(A36="","",IF(COUNTIFS('Human Operation Desktop'!$A$3:$A$502,A36,'Human Operation Desktop'!$I$3:$I$502,"&lt;&gt;APPLIED",'Human Operation Desktop'!$I$3:$I$502,"&lt;&gt;REJECTED")&gt;0,"YES","NO"))</f>
        <v/>
      </c>
      <c r="O36" s="128" t="inlineStr">
        <is>
          <t>70eee18edb0de84ba14e2896f95f987b4e9954af8d586f574bff4f4b255a5e15</t>
        </is>
      </c>
      <c r="P36" s="131" t="inlineStr">
        <is>
          <t>Regulation on coordination and time limits for processing aquaculture applications</t>
        </is>
      </c>
      <c r="Q36" s="131" t="inlineStr">
        <is>
          <t>https://lovdata.no/dokument/SF/forskrift/2010-05-18-708</t>
        </is>
      </c>
      <c r="R36" s="131" t="inlineStr">
        <is>
          <t>https://lovdata.no/dokument/SF/forskrift/2010-05-18-708</t>
        </is>
      </c>
      <c r="S36" s="131" t="inlineStr">
        <is>
          <t>A_Public_Authority</t>
        </is>
      </c>
      <c r="T36" s="131" t="inlineStr">
        <is>
          <t>html</t>
        </is>
      </c>
      <c r="U36" s="131" t="inlineStr">
        <is>
          <t>Norwegian Ministry of Trade, Industry and Fisheries</t>
        </is>
      </c>
      <c r="V36" s="131" t="inlineStr">
        <is>
          <t>Norway</t>
        </is>
      </c>
      <c r="W36" s="131" t="inlineStr">
        <is>
          <t>Norwegian</t>
        </is>
      </c>
      <c r="X36" s="13" t="n"/>
      <c r="Y36" s="13" t="n"/>
      <c r="Z36" s="131" t="inlineStr">
        <is>
          <t>Public authority</t>
        </is>
      </c>
      <c r="AA36" s="131" t="inlineStr">
        <is>
          <t>Regulation</t>
        </is>
      </c>
      <c r="AB36" s="131" t="inlineStr">
        <is>
          <t>Referenced normative</t>
        </is>
      </c>
      <c r="AC36" s="131" t="inlineStr">
        <is>
          <t>Official referenced source from Norwegian Ministry of Trade, Industry and Fisheries; included because an applicable law, permit or certification scheme may make its provisions binding within the approved scope.</t>
        </is>
      </c>
      <c r="AD36" s="131" t="inlineStr">
        <is>
          <t>HIGH</t>
        </is>
      </c>
      <c r="AE36" s="131" t="inlineStr">
        <is>
          <t>MEDIUM</t>
        </is>
      </c>
      <c r="AF36" s="131" t="inlineStr">
        <is>
          <t>HIGH</t>
        </is>
      </c>
      <c r="AG36" s="131" t="inlineStr">
        <is>
          <t>HIGH</t>
        </is>
      </c>
      <c r="AH36" s="131" t="inlineStr">
        <is>
          <t>HIGH</t>
        </is>
      </c>
      <c r="AI36" s="131" t="inlineStr">
        <is>
          <t>HIGH</t>
        </is>
      </c>
      <c r="AJ36" s="131" t="inlineStr">
        <is>
          <t>PENDING</t>
        </is>
      </c>
      <c r="AK36" s="125" t="n"/>
      <c r="AL36" s="13" t="n"/>
      <c r="AM36" s="131" t="inlineStr">
        <is>
          <t>CURRENT</t>
        </is>
      </c>
      <c r="AN36" s="13" t="n"/>
      <c r="AO36" s="131" t="inlineStr">
        <is>
          <t>Official coverage expansion. Relevant to permitting workflow rather than routine operational controls.</t>
        </is>
      </c>
      <c r="AP36" s="131" t="inlineStr">
        <is>
          <t>OFFICIAL_WEBSITE</t>
        </is>
      </c>
      <c r="AQ36" s="131" t="inlineStr">
        <is>
          <t>OFFICIAL_ORIGINAL</t>
        </is>
      </c>
      <c r="AR36" s="131" t="inlineStr">
        <is>
          <t>ROLLING</t>
        </is>
      </c>
      <c r="AS36" s="13" t="n"/>
    </row>
    <row r="37" ht="30" customHeight="1" s="41">
      <c r="A37" s="132" t="inlineStr">
        <is>
          <t>PA035</t>
        </is>
      </c>
      <c r="B37" s="132" t="inlineStr">
        <is>
          <t>PA035-001</t>
        </is>
      </c>
      <c r="C37" s="127" t="inlineStr">
        <is>
          <t>PA035-001_Regulation_on_reactions_for_violations_of_the_Aquaculture_Act.html</t>
        </is>
      </c>
      <c r="D37" s="128" t="inlineStr">
        <is>
          <t>STORED</t>
        </is>
      </c>
      <c r="E37" s="128">
        <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f>
        <v/>
      </c>
      <c r="F37" s="128" t="inlineStr">
        <is>
          <t>SUCCESS</t>
        </is>
      </c>
      <c r="G37" s="129" t="n">
        <v>46262.53096064815</v>
      </c>
      <c r="H37" s="129" t="n">
        <v>46262.53097222222</v>
      </c>
      <c r="I37" s="128" t="inlineStr">
        <is>
          <t>INITIAL</t>
        </is>
      </c>
      <c r="J37" s="128" t="inlineStr">
        <is>
          <t>AUTO</t>
        </is>
      </c>
      <c r="K37" s="130">
        <f>IF(A37="","",IF(J37="AUTO",H37,IF(J37="MANUAL",AK37,"")))</f>
        <v/>
      </c>
      <c r="L37" s="128" t="inlineStr">
        <is>
          <t>NONE</t>
        </is>
      </c>
      <c r="M37" s="12" t="n"/>
      <c r="N37" s="128">
        <f>IF(A37="","",IF(COUNTIFS('Human Operation Desktop'!$A$3:$A$502,A37,'Human Operation Desktop'!$I$3:$I$502,"&lt;&gt;APPLIED",'Human Operation Desktop'!$I$3:$I$502,"&lt;&gt;REJECTED")&gt;0,"YES","NO"))</f>
        <v/>
      </c>
      <c r="O37" s="128" t="inlineStr">
        <is>
          <t>9352c1d1b3caebc263c4086816b4f894e69d3aa424bbf97b364e14838ed589b6</t>
        </is>
      </c>
      <c r="P37" s="131" t="inlineStr">
        <is>
          <t>Regulation on reactions for violations of the Aquaculture Act</t>
        </is>
      </c>
      <c r="Q37" s="131" t="inlineStr">
        <is>
          <t>https://lovdata.no/dokument/SF/forskrift/2013-12-20-1675</t>
        </is>
      </c>
      <c r="R37" s="131" t="inlineStr">
        <is>
          <t>https://lovdata.no/dokument/SF/forskrift/2013-12-20-1675</t>
        </is>
      </c>
      <c r="S37" s="131" t="inlineStr">
        <is>
          <t>A_Public_Authority</t>
        </is>
      </c>
      <c r="T37" s="131" t="inlineStr">
        <is>
          <t>html</t>
        </is>
      </c>
      <c r="U37" s="131" t="inlineStr">
        <is>
          <t>Norwegian Ministry of Trade, Industry and Fisheries</t>
        </is>
      </c>
      <c r="V37" s="131" t="inlineStr">
        <is>
          <t>Norway</t>
        </is>
      </c>
      <c r="W37" s="131" t="inlineStr">
        <is>
          <t>Norwegian</t>
        </is>
      </c>
      <c r="X37" s="13" t="n"/>
      <c r="Y37" s="13" t="n"/>
      <c r="Z37" s="131" t="inlineStr">
        <is>
          <t>Public authority</t>
        </is>
      </c>
      <c r="AA37" s="131" t="inlineStr">
        <is>
          <t>Regulation</t>
        </is>
      </c>
      <c r="AB37" s="131" t="inlineStr">
        <is>
          <t>Referenced normative</t>
        </is>
      </c>
      <c r="AC37" s="131" t="inlineStr">
        <is>
          <t>Official referenced source from Norwegian Ministry of Trade, Industry and Fisheries; included because an applicable law, permit or certification scheme may make its provisions binding within the approved scope.</t>
        </is>
      </c>
      <c r="AD37" s="131" t="inlineStr">
        <is>
          <t>HIGH</t>
        </is>
      </c>
      <c r="AE37" s="131" t="inlineStr">
        <is>
          <t>MEDIUM</t>
        </is>
      </c>
      <c r="AF37" s="131" t="inlineStr">
        <is>
          <t>HIGH</t>
        </is>
      </c>
      <c r="AG37" s="131" t="inlineStr">
        <is>
          <t>HIGH</t>
        </is>
      </c>
      <c r="AH37" s="131" t="inlineStr">
        <is>
          <t>HIGH</t>
        </is>
      </c>
      <c r="AI37" s="131" t="inlineStr">
        <is>
          <t>HIGH</t>
        </is>
      </c>
      <c r="AJ37" s="131" t="inlineStr">
        <is>
          <t>PENDING</t>
        </is>
      </c>
      <c r="AK37" s="125" t="n"/>
      <c r="AL37" s="13" t="n"/>
      <c r="AM37" s="131" t="inlineStr">
        <is>
          <t>CURRENT</t>
        </is>
      </c>
      <c r="AN37" s="13" t="n"/>
      <c r="AO37" s="131" t="inlineStr">
        <is>
          <t>Official coverage expansion. Supports enforcement and consequence mapping; it is not normally the source of the underlying operational duty.</t>
        </is>
      </c>
      <c r="AP37" s="131" t="inlineStr">
        <is>
          <t>OFFICIAL_WEBSITE</t>
        </is>
      </c>
      <c r="AQ37" s="131" t="inlineStr">
        <is>
          <t>OFFICIAL_ORIGINAL</t>
        </is>
      </c>
      <c r="AR37" s="131" t="inlineStr">
        <is>
          <t>ROLLING</t>
        </is>
      </c>
      <c r="AS37" s="13" t="n"/>
    </row>
    <row r="38" ht="30" customHeight="1" s="41">
      <c r="A38" s="126" t="inlineStr">
        <is>
          <t>PA036</t>
        </is>
      </c>
      <c r="B38" s="126" t="inlineStr">
        <is>
          <t>PA036-001</t>
        </is>
      </c>
      <c r="C38" s="127" t="inlineStr">
        <is>
          <t>PA036-001_Regulation_on_permits_for_aquaculture_of_species_other_than_salmon_trout_and_rainbow_trout.html</t>
        </is>
      </c>
      <c r="D38" s="128" t="inlineStr">
        <is>
          <t>STORED</t>
        </is>
      </c>
      <c r="E38" s="128">
        <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f>
        <v/>
      </c>
      <c r="F38" s="128" t="inlineStr">
        <is>
          <t>SUCCESS</t>
        </is>
      </c>
      <c r="G38" s="129" t="n">
        <v>46262.53097222222</v>
      </c>
      <c r="H38" s="129" t="n">
        <v>46262.53097222222</v>
      </c>
      <c r="I38" s="128" t="inlineStr">
        <is>
          <t>INITIAL</t>
        </is>
      </c>
      <c r="J38" s="128" t="inlineStr">
        <is>
          <t>AUTO</t>
        </is>
      </c>
      <c r="K38" s="130">
        <f>IF(A38="","",IF(J38="AUTO",H38,IF(J38="MANUAL",AK38,"")))</f>
        <v/>
      </c>
      <c r="L38" s="128" t="inlineStr">
        <is>
          <t>NONE</t>
        </is>
      </c>
      <c r="M38" s="12" t="n"/>
      <c r="N38" s="128">
        <f>IF(A38="","",IF(COUNTIFS('Human Operation Desktop'!$A$3:$A$502,A38,'Human Operation Desktop'!$I$3:$I$502,"&lt;&gt;APPLIED",'Human Operation Desktop'!$I$3:$I$502,"&lt;&gt;REJECTED")&gt;0,"YES","NO"))</f>
        <v/>
      </c>
      <c r="O38" s="128" t="inlineStr">
        <is>
          <t>18985a26548697f2ebe542f42a5ef6469c6f9c99a8dc35dedaa8d171c4d2b027</t>
        </is>
      </c>
      <c r="P38" s="131" t="inlineStr">
        <is>
          <t>Regulation on permits for aquaculture of species other than salmon, trout and rainbow trout</t>
        </is>
      </c>
      <c r="Q38" s="131" t="inlineStr">
        <is>
          <t>https://lovdata.no/dokument/SF/forskrift/2004-12-22-1799</t>
        </is>
      </c>
      <c r="R38" s="131" t="inlineStr">
        <is>
          <t>https://lovdata.no/dokument/SF/forskrift/2004-12-22-1799</t>
        </is>
      </c>
      <c r="S38" s="131" t="inlineStr">
        <is>
          <t>A_Public_Authority</t>
        </is>
      </c>
      <c r="T38" s="131" t="inlineStr">
        <is>
          <t>html</t>
        </is>
      </c>
      <c r="U38" s="131" t="inlineStr">
        <is>
          <t>Norwegian Ministry of Trade, Industry and Fisheries</t>
        </is>
      </c>
      <c r="V38" s="131" t="inlineStr">
        <is>
          <t>Norway</t>
        </is>
      </c>
      <c r="W38" s="131" t="inlineStr">
        <is>
          <t>Norwegian</t>
        </is>
      </c>
      <c r="X38" s="13" t="n"/>
      <c r="Y38" s="13" t="n"/>
      <c r="Z38" s="131" t="inlineStr">
        <is>
          <t>Public authority</t>
        </is>
      </c>
      <c r="AA38" s="131" t="inlineStr">
        <is>
          <t>Regulation</t>
        </is>
      </c>
      <c r="AB38" s="131" t="inlineStr">
        <is>
          <t>Primary normative</t>
        </is>
      </c>
      <c r="AC38" s="131" t="inlineStr">
        <is>
          <t>Official regulation issued by Norwegian Ministry of Trade, Industry and Fisheries; included because it may impose binding requirements on an in-scope aquaculture asset, activity, permit or certification.</t>
        </is>
      </c>
      <c r="AD38" s="131" t="inlineStr">
        <is>
          <t>HIGH</t>
        </is>
      </c>
      <c r="AE38" s="131" t="inlineStr">
        <is>
          <t>MEDIUM</t>
        </is>
      </c>
      <c r="AF38" s="131" t="inlineStr">
        <is>
          <t>HIGH</t>
        </is>
      </c>
      <c r="AG38" s="131" t="inlineStr">
        <is>
          <t>HIGH</t>
        </is>
      </c>
      <c r="AH38" s="131" t="inlineStr">
        <is>
          <t>HIGH</t>
        </is>
      </c>
      <c r="AI38" s="131" t="inlineStr">
        <is>
          <t>HIGH</t>
        </is>
      </c>
      <c r="AJ38" s="131" t="inlineStr">
        <is>
          <t>PENDING</t>
        </is>
      </c>
      <c r="AK38" s="125" t="n"/>
      <c r="AL38" s="13" t="n"/>
      <c r="AM38" s="131" t="inlineStr">
        <is>
          <t>CURRENT</t>
        </is>
      </c>
      <c r="AN38" s="13" t="n"/>
      <c r="AO38" s="131" t="inlineStr">
        <is>
          <t>Official coverage expansion. Include only when other species are within the approved scope.</t>
        </is>
      </c>
      <c r="AP38" s="131" t="inlineStr">
        <is>
          <t>OFFICIAL_WEBSITE</t>
        </is>
      </c>
      <c r="AQ38" s="131" t="inlineStr">
        <is>
          <t>OFFICIAL_ORIGINAL</t>
        </is>
      </c>
      <c r="AR38" s="131" t="inlineStr">
        <is>
          <t>ROLLING</t>
        </is>
      </c>
      <c r="AS38" s="13" t="n"/>
    </row>
    <row r="39" ht="30" customHeight="1" s="41">
      <c r="A39" s="132" t="inlineStr">
        <is>
          <t>PA037</t>
        </is>
      </c>
      <c r="B39" s="132" t="inlineStr">
        <is>
          <t>PA037-001</t>
        </is>
      </c>
      <c r="C39" s="127" t="inlineStr">
        <is>
          <t>PA037-001_Regulation_on_fees_and_charges_relating_to_aquaculture_activities.html</t>
        </is>
      </c>
      <c r="D39" s="128" t="inlineStr">
        <is>
          <t>STORED</t>
        </is>
      </c>
      <c r="E39" s="128">
        <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f>
        <v/>
      </c>
      <c r="F39" s="128" t="inlineStr">
        <is>
          <t>SUCCESS</t>
        </is>
      </c>
      <c r="G39" s="129" t="n">
        <v>46262.53097222222</v>
      </c>
      <c r="H39" s="129" t="n">
        <v>46262.5309837963</v>
      </c>
      <c r="I39" s="128" t="inlineStr">
        <is>
          <t>INITIAL</t>
        </is>
      </c>
      <c r="J39" s="128" t="inlineStr">
        <is>
          <t>AUTO</t>
        </is>
      </c>
      <c r="K39" s="130">
        <f>IF(A39="","",IF(J39="AUTO",H39,IF(J39="MANUAL",AK39,"")))</f>
        <v/>
      </c>
      <c r="L39" s="128" t="inlineStr">
        <is>
          <t>NONE</t>
        </is>
      </c>
      <c r="M39" s="12" t="n"/>
      <c r="N39" s="128">
        <f>IF(A39="","",IF(COUNTIFS('Human Operation Desktop'!$A$3:$A$502,A39,'Human Operation Desktop'!$I$3:$I$502,"&lt;&gt;APPLIED",'Human Operation Desktop'!$I$3:$I$502,"&lt;&gt;REJECTED")&gt;0,"YES","NO"))</f>
        <v/>
      </c>
      <c r="O39" s="128" t="inlineStr">
        <is>
          <t>cf7e9767f070aa451123bb7477591661c984e767d32002ad03db21e2534d7e45</t>
        </is>
      </c>
      <c r="P39" s="131" t="inlineStr">
        <is>
          <t>Regulation on fees and charges relating to aquaculture activities</t>
        </is>
      </c>
      <c r="Q39" s="131" t="inlineStr">
        <is>
          <t>https://lovdata.no/dokument/SF/forskrift/2001-12-21-1597</t>
        </is>
      </c>
      <c r="R39" s="131" t="inlineStr">
        <is>
          <t>https://lovdata.no/dokument/SF/forskrift/2001-12-21-1597</t>
        </is>
      </c>
      <c r="S39" s="131" t="inlineStr">
        <is>
          <t>A_Public_Authority</t>
        </is>
      </c>
      <c r="T39" s="131" t="inlineStr">
        <is>
          <t>html</t>
        </is>
      </c>
      <c r="U39" s="131" t="inlineStr">
        <is>
          <t>Norwegian Ministry of Trade, Industry and Fisheries</t>
        </is>
      </c>
      <c r="V39" s="131" t="inlineStr">
        <is>
          <t>Norway</t>
        </is>
      </c>
      <c r="W39" s="131" t="inlineStr">
        <is>
          <t>Norwegian</t>
        </is>
      </c>
      <c r="X39" s="13" t="n"/>
      <c r="Y39" s="13" t="n"/>
      <c r="Z39" s="131" t="inlineStr">
        <is>
          <t>Public authority</t>
        </is>
      </c>
      <c r="AA39" s="131" t="inlineStr">
        <is>
          <t>Regulation</t>
        </is>
      </c>
      <c r="AB39" s="131" t="inlineStr">
        <is>
          <t>Referenced normative</t>
        </is>
      </c>
      <c r="AC39" s="131" t="inlineStr">
        <is>
          <t>Official referenced source from Norwegian Ministry of Trade, Industry and Fisheries; included because an applicable law, permit or certification scheme may make its provisions binding within the approved scope.</t>
        </is>
      </c>
      <c r="AD39" s="131" t="inlineStr">
        <is>
          <t>HIGH</t>
        </is>
      </c>
      <c r="AE39" s="131" t="inlineStr">
        <is>
          <t>MEDIUM</t>
        </is>
      </c>
      <c r="AF39" s="131" t="inlineStr">
        <is>
          <t>HIGH</t>
        </is>
      </c>
      <c r="AG39" s="131" t="inlineStr">
        <is>
          <t>HIGH</t>
        </is>
      </c>
      <c r="AH39" s="131" t="inlineStr">
        <is>
          <t>HIGH</t>
        </is>
      </c>
      <c r="AI39" s="131" t="inlineStr">
        <is>
          <t>HIGH</t>
        </is>
      </c>
      <c r="AJ39" s="131" t="inlineStr">
        <is>
          <t>PENDING</t>
        </is>
      </c>
      <c r="AK39" s="125" t="n"/>
      <c r="AL39" s="13" t="n"/>
      <c r="AM39" s="131" t="inlineStr">
        <is>
          <t>CURRENT</t>
        </is>
      </c>
      <c r="AN39" s="13" t="n"/>
      <c r="AO39" s="131" t="inlineStr">
        <is>
          <t>Official coverage expansion. Administrative and financial relevance depends on the permit or application process.</t>
        </is>
      </c>
      <c r="AP39" s="131" t="inlineStr">
        <is>
          <t>OFFICIAL_WEBSITE</t>
        </is>
      </c>
      <c r="AQ39" s="131" t="inlineStr">
        <is>
          <t>OFFICIAL_ORIGINAL</t>
        </is>
      </c>
      <c r="AR39" s="131" t="inlineStr">
        <is>
          <t>ROLLING</t>
        </is>
      </c>
      <c r="AS39" s="13" t="n"/>
    </row>
    <row r="40" ht="30" customHeight="1" s="41">
      <c r="A40" s="126" t="inlineStr">
        <is>
          <t>PA038</t>
        </is>
      </c>
      <c r="B40" s="126" t="inlineStr">
        <is>
          <t>PA038-001</t>
        </is>
      </c>
      <c r="C40" s="127" t="inlineStr">
        <is>
          <t>PA038-001_Regulation_on_sea_ranching.html</t>
        </is>
      </c>
      <c r="D40" s="128" t="inlineStr">
        <is>
          <t>STORED</t>
        </is>
      </c>
      <c r="E40" s="128">
        <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f>
        <v/>
      </c>
      <c r="F40" s="128" t="inlineStr">
        <is>
          <t>SUCCESS</t>
        </is>
      </c>
      <c r="G40" s="129" t="n">
        <v>46262.5309837963</v>
      </c>
      <c r="H40" s="129" t="n">
        <v>46262.53099537037</v>
      </c>
      <c r="I40" s="128" t="inlineStr">
        <is>
          <t>INITIAL</t>
        </is>
      </c>
      <c r="J40" s="128" t="inlineStr">
        <is>
          <t>AUTO</t>
        </is>
      </c>
      <c r="K40" s="130">
        <f>IF(A40="","",IF(J40="AUTO",H40,IF(J40="MANUAL",AK40,"")))</f>
        <v/>
      </c>
      <c r="L40" s="128" t="inlineStr">
        <is>
          <t>NONE</t>
        </is>
      </c>
      <c r="M40" s="12" t="n"/>
      <c r="N40" s="128">
        <f>IF(A40="","",IF(COUNTIFS('Human Operation Desktop'!$A$3:$A$502,A40,'Human Operation Desktop'!$I$3:$I$502,"&lt;&gt;APPLIED",'Human Operation Desktop'!$I$3:$I$502,"&lt;&gt;REJECTED")&gt;0,"YES","NO"))</f>
        <v/>
      </c>
      <c r="O40" s="128" t="inlineStr">
        <is>
          <t>94210cefeb809c7317a22a0b026762a996ea8a0fa4981cd5fd9d2966e3f39ae7</t>
        </is>
      </c>
      <c r="P40" s="131" t="inlineStr">
        <is>
          <t>Regulation on sea ranching</t>
        </is>
      </c>
      <c r="Q40" s="131" t="inlineStr">
        <is>
          <t>https://lovdata.no/dokument/SF/forskrift/2003-08-28-1110</t>
        </is>
      </c>
      <c r="R40" s="131" t="inlineStr">
        <is>
          <t>https://lovdata.no/dokument/SF/forskrift/2003-08-28-1110</t>
        </is>
      </c>
      <c r="S40" s="131" t="inlineStr">
        <is>
          <t>A_Public_Authority</t>
        </is>
      </c>
      <c r="T40" s="131" t="inlineStr">
        <is>
          <t>html</t>
        </is>
      </c>
      <c r="U40" s="131" t="inlineStr">
        <is>
          <t>Norwegian Ministry of Trade, Industry and Fisheries</t>
        </is>
      </c>
      <c r="V40" s="131" t="inlineStr">
        <is>
          <t>Norway</t>
        </is>
      </c>
      <c r="W40" s="131" t="inlineStr">
        <is>
          <t>Norwegian</t>
        </is>
      </c>
      <c r="X40" s="13" t="n"/>
      <c r="Y40" s="13" t="n"/>
      <c r="Z40" s="131" t="inlineStr">
        <is>
          <t>Public authority</t>
        </is>
      </c>
      <c r="AA40" s="131" t="inlineStr">
        <is>
          <t>Regulation</t>
        </is>
      </c>
      <c r="AB40" s="131" t="inlineStr">
        <is>
          <t>Primary normative</t>
        </is>
      </c>
      <c r="AC40" s="131" t="inlineStr">
        <is>
          <t>Official regulation issued by Norwegian Ministry of Trade, Industry and Fisheries; included because it may impose binding requirements on an in-scope aquaculture asset, activity, permit or certification.</t>
        </is>
      </c>
      <c r="AD40" s="131" t="inlineStr">
        <is>
          <t>HIGH</t>
        </is>
      </c>
      <c r="AE40" s="131" t="inlineStr">
        <is>
          <t>MEDIUM</t>
        </is>
      </c>
      <c r="AF40" s="131" t="inlineStr">
        <is>
          <t>HIGH</t>
        </is>
      </c>
      <c r="AG40" s="131" t="inlineStr">
        <is>
          <t>HIGH</t>
        </is>
      </c>
      <c r="AH40" s="131" t="inlineStr">
        <is>
          <t>HIGH</t>
        </is>
      </c>
      <c r="AI40" s="131" t="inlineStr">
        <is>
          <t>HIGH</t>
        </is>
      </c>
      <c r="AJ40" s="131" t="inlineStr">
        <is>
          <t>PENDING</t>
        </is>
      </c>
      <c r="AK40" s="125" t="n"/>
      <c r="AL40" s="13" t="n"/>
      <c r="AM40" s="131" t="inlineStr">
        <is>
          <t>CURRENT</t>
        </is>
      </c>
      <c r="AN40" s="13" t="n"/>
      <c r="AO40" s="131" t="inlineStr">
        <is>
          <t>Official coverage expansion. Include only for sea-ranching operations.</t>
        </is>
      </c>
      <c r="AP40" s="131" t="inlineStr">
        <is>
          <t>OFFICIAL_WEBSITE</t>
        </is>
      </c>
      <c r="AQ40" s="131" t="inlineStr">
        <is>
          <t>OFFICIAL_ORIGINAL</t>
        </is>
      </c>
      <c r="AR40" s="131" t="inlineStr">
        <is>
          <t>ROLLING</t>
        </is>
      </c>
      <c r="AS40" s="13" t="n"/>
    </row>
    <row r="41" ht="30" customHeight="1" s="41">
      <c r="A41" s="132" t="inlineStr">
        <is>
          <t>PA039</t>
        </is>
      </c>
      <c r="B41" s="132" t="inlineStr">
        <is>
          <t>PA039-001</t>
        </is>
      </c>
      <c r="C41" s="127" t="inlineStr">
        <is>
          <t>PA039-001_Animal_Health_Regulation.html</t>
        </is>
      </c>
      <c r="D41" s="128" t="inlineStr">
        <is>
          <t>STORED</t>
        </is>
      </c>
      <c r="E41" s="128">
        <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f>
        <v/>
      </c>
      <c r="F41" s="128" t="inlineStr">
        <is>
          <t>SUCCESS</t>
        </is>
      </c>
      <c r="G41" s="129" t="n">
        <v>46262.53099537037</v>
      </c>
      <c r="H41" s="129" t="n">
        <v>46262.53099537037</v>
      </c>
      <c r="I41" s="128" t="inlineStr">
        <is>
          <t>INITIAL</t>
        </is>
      </c>
      <c r="J41" s="128" t="inlineStr">
        <is>
          <t>AUTO</t>
        </is>
      </c>
      <c r="K41" s="130">
        <f>IF(A41="","",IF(J41="AUTO",H41,IF(J41="MANUAL",AK41,"")))</f>
        <v/>
      </c>
      <c r="L41" s="128" t="inlineStr">
        <is>
          <t>NONE</t>
        </is>
      </c>
      <c r="M41" s="12" t="n"/>
      <c r="N41" s="128">
        <f>IF(A41="","",IF(COUNTIFS('Human Operation Desktop'!$A$3:$A$502,A41,'Human Operation Desktop'!$I$3:$I$502,"&lt;&gt;APPLIED",'Human Operation Desktop'!$I$3:$I$502,"&lt;&gt;REJECTED")&gt;0,"YES","NO"))</f>
        <v/>
      </c>
      <c r="O41" s="128" t="inlineStr">
        <is>
          <t>9c505be3af04d8879ed1361628aaa96d5a45cacf20987849139a7636c1d97343</t>
        </is>
      </c>
      <c r="P41" s="131" t="inlineStr">
        <is>
          <t>Animal Health Regulation</t>
        </is>
      </c>
      <c r="Q41" s="131" t="inlineStr">
        <is>
          <t>https://lovdata.no/dokument/SF/forskrift/2022-04-06-631</t>
        </is>
      </c>
      <c r="R41" s="131" t="inlineStr">
        <is>
          <t>https://lovdata.no/dokument/SF/forskrift/2022-04-06-631</t>
        </is>
      </c>
      <c r="S41" s="131" t="inlineStr">
        <is>
          <t>A_Public_Authority</t>
        </is>
      </c>
      <c r="T41" s="131" t="inlineStr">
        <is>
          <t>html</t>
        </is>
      </c>
      <c r="U41" s="131" t="inlineStr">
        <is>
          <t>Norwegian Ministry of Agriculture and Food</t>
        </is>
      </c>
      <c r="V41" s="131" t="inlineStr">
        <is>
          <t>Norway</t>
        </is>
      </c>
      <c r="W41" s="131" t="inlineStr">
        <is>
          <t>Norwegian</t>
        </is>
      </c>
      <c r="X41" s="13" t="n"/>
      <c r="Y41" s="13" t="n"/>
      <c r="Z41" s="131" t="inlineStr">
        <is>
          <t>Public authority</t>
        </is>
      </c>
      <c r="AA41" s="131" t="inlineStr">
        <is>
          <t>Regulation</t>
        </is>
      </c>
      <c r="AB41" s="131" t="inlineStr">
        <is>
          <t>Primary normative</t>
        </is>
      </c>
      <c r="AC41" s="131" t="inlineStr">
        <is>
          <t>Official regulation issued by Norwegian Ministry of Agriculture and Food; included because it may impose binding requirements on an in-scope aquaculture asset, activity, permit or certification.</t>
        </is>
      </c>
      <c r="AD41" s="131" t="inlineStr">
        <is>
          <t>HIGH</t>
        </is>
      </c>
      <c r="AE41" s="131" t="inlineStr">
        <is>
          <t>HIGH</t>
        </is>
      </c>
      <c r="AF41" s="131" t="inlineStr">
        <is>
          <t>HIGH</t>
        </is>
      </c>
      <c r="AG41" s="131" t="inlineStr">
        <is>
          <t>HIGH</t>
        </is>
      </c>
      <c r="AH41" s="131" t="inlineStr">
        <is>
          <t>HIGH</t>
        </is>
      </c>
      <c r="AI41" s="131" t="inlineStr">
        <is>
          <t>HIGH</t>
        </is>
      </c>
      <c r="AJ41" s="131" t="inlineStr">
        <is>
          <t>INCLUDE</t>
        </is>
      </c>
      <c r="AK41" s="125" t="n"/>
      <c r="AL41" s="13" t="n"/>
      <c r="AM41" s="131" t="inlineStr">
        <is>
          <t>CURRENT</t>
        </is>
      </c>
      <c r="AN41" s="131" t="inlineStr">
        <is>
          <t>PA010</t>
        </is>
      </c>
      <c r="AO41" s="131" t="inlineStr">
        <is>
          <t>Official Norwegian implementation package for the EU Animal Health Law. Confirm species and activity-specific provisions.</t>
        </is>
      </c>
      <c r="AP41" s="131" t="inlineStr">
        <is>
          <t>OFFICIAL_WEBSITE</t>
        </is>
      </c>
      <c r="AQ41" s="131" t="inlineStr">
        <is>
          <t>OFFICIAL_ORIGINAL</t>
        </is>
      </c>
      <c r="AR41" s="131" t="inlineStr">
        <is>
          <t>ROLLING</t>
        </is>
      </c>
      <c r="AS41" s="13" t="n"/>
    </row>
    <row r="42" ht="30" customHeight="1" s="41">
      <c r="A42" s="126" t="inlineStr">
        <is>
          <t>PA040</t>
        </is>
      </c>
      <c r="B42" s="126" t="inlineStr">
        <is>
          <t>PA040-001</t>
        </is>
      </c>
      <c r="C42" s="127" t="inlineStr">
        <is>
          <t>PA040-001_Aquabiosafety_Regulation.html</t>
        </is>
      </c>
      <c r="D42" s="128" t="inlineStr">
        <is>
          <t>STORED</t>
        </is>
      </c>
      <c r="E42" s="128">
        <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f>
        <v/>
      </c>
      <c r="F42" s="128" t="inlineStr">
        <is>
          <t>SUCCESS</t>
        </is>
      </c>
      <c r="G42" s="129" t="n">
        <v>46262.53099537037</v>
      </c>
      <c r="H42" s="129" t="n">
        <v>46262.53099537037</v>
      </c>
      <c r="I42" s="128" t="inlineStr">
        <is>
          <t>INITIAL</t>
        </is>
      </c>
      <c r="J42" s="128" t="inlineStr">
        <is>
          <t>AUTO</t>
        </is>
      </c>
      <c r="K42" s="130">
        <f>IF(A42="","",IF(J42="AUTO",H42,IF(J42="MANUAL",AK42,"")))</f>
        <v/>
      </c>
      <c r="L42" s="128" t="inlineStr">
        <is>
          <t>NONE</t>
        </is>
      </c>
      <c r="M42" s="12" t="n"/>
      <c r="N42" s="128">
        <f>IF(A42="","",IF(COUNTIFS('Human Operation Desktop'!$A$3:$A$502,A42,'Human Operation Desktop'!$I$3:$I$502,"&lt;&gt;APPLIED",'Human Operation Desktop'!$I$3:$I$502,"&lt;&gt;REJECTED")&gt;0,"YES","NO"))</f>
        <v/>
      </c>
      <c r="O42" s="128" t="inlineStr">
        <is>
          <t>ede876a30d12f3085e1e83584a4c2c3fd16c39afd42a1722c9c6ddd4bdca5bf9</t>
        </is>
      </c>
      <c r="P42" s="131" t="inlineStr">
        <is>
          <t>Aquabiosafety Regulation</t>
        </is>
      </c>
      <c r="Q42" s="131" t="inlineStr">
        <is>
          <t>https://lovdata.no/dokument/SF/forskrift/2022-04-05-624</t>
        </is>
      </c>
      <c r="R42" s="131" t="inlineStr">
        <is>
          <t>https://lovdata.no/dokument/SF/forskrift/2022-04-05-624</t>
        </is>
      </c>
      <c r="S42" s="131" t="inlineStr">
        <is>
          <t>A_Public_Authority</t>
        </is>
      </c>
      <c r="T42" s="131" t="inlineStr">
        <is>
          <t>html</t>
        </is>
      </c>
      <c r="U42" s="131" t="inlineStr">
        <is>
          <t>Norwegian Ministry of Trade, Industry and Fisheries</t>
        </is>
      </c>
      <c r="V42" s="131" t="inlineStr">
        <is>
          <t>Norway</t>
        </is>
      </c>
      <c r="W42" s="131" t="inlineStr">
        <is>
          <t>Norwegian</t>
        </is>
      </c>
      <c r="X42" s="13" t="n"/>
      <c r="Y42" s="13" t="n"/>
      <c r="Z42" s="131" t="inlineStr">
        <is>
          <t>Public authority</t>
        </is>
      </c>
      <c r="AA42" s="131" t="inlineStr">
        <is>
          <t>Regulation</t>
        </is>
      </c>
      <c r="AB42" s="131" t="inlineStr">
        <is>
          <t>Primary normative</t>
        </is>
      </c>
      <c r="AC42" s="131" t="inlineStr">
        <is>
          <t>Official regulation issued by Norwegian Ministry of Trade, Industry and Fisheries; included because it may impose binding requirements on an in-scope aquaculture asset, activity, permit or certification.</t>
        </is>
      </c>
      <c r="AD42" s="131" t="inlineStr">
        <is>
          <t>HIGH</t>
        </is>
      </c>
      <c r="AE42" s="131" t="inlineStr">
        <is>
          <t>HIGH</t>
        </is>
      </c>
      <c r="AF42" s="131" t="inlineStr">
        <is>
          <t>HIGH</t>
        </is>
      </c>
      <c r="AG42" s="131" t="inlineStr">
        <is>
          <t>HIGH</t>
        </is>
      </c>
      <c r="AH42" s="131" t="inlineStr">
        <is>
          <t>HIGH</t>
        </is>
      </c>
      <c r="AI42" s="131" t="inlineStr">
        <is>
          <t>HIGH</t>
        </is>
      </c>
      <c r="AJ42" s="131" t="inlineStr">
        <is>
          <t>INCLUDE</t>
        </is>
      </c>
      <c r="AK42" s="125" t="n"/>
      <c r="AL42" s="13" t="n"/>
      <c r="AM42" s="131" t="inlineStr">
        <is>
          <t>CURRENT</t>
        </is>
      </c>
      <c r="AN42" s="131" t="inlineStr">
        <is>
          <t>PA010</t>
        </is>
      </c>
      <c r="AO42" s="131" t="inlineStr">
        <is>
          <t>Official expansion from Mattilsynet's aquaculture biosafety guidance. Core candidate for biosecurity planning and operation.</t>
        </is>
      </c>
      <c r="AP42" s="131" t="inlineStr">
        <is>
          <t>OFFICIAL_WEBSITE</t>
        </is>
      </c>
      <c r="AQ42" s="131" t="inlineStr">
        <is>
          <t>OFFICIAL_ORIGINAL</t>
        </is>
      </c>
      <c r="AR42" s="131" t="inlineStr">
        <is>
          <t>ROLLING</t>
        </is>
      </c>
      <c r="AS42" s="13" t="n"/>
    </row>
    <row r="43" ht="30" customHeight="1" s="41">
      <c r="A43" s="132" t="inlineStr">
        <is>
          <t>PA041</t>
        </is>
      </c>
      <c r="B43" s="132" t="inlineStr">
        <is>
          <t>PA041-001</t>
        </is>
      </c>
      <c r="C43" s="127" t="inlineStr">
        <is>
          <t>PA041-001_Animal_Health_Surveillance_Regulation.html</t>
        </is>
      </c>
      <c r="D43" s="128" t="inlineStr">
        <is>
          <t>STORED</t>
        </is>
      </c>
      <c r="E43" s="128">
        <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f>
        <v/>
      </c>
      <c r="F43" s="128" t="inlineStr">
        <is>
          <t>SUCCESS</t>
        </is>
      </c>
      <c r="G43" s="129" t="n">
        <v>46262.53100694445</v>
      </c>
      <c r="H43" s="129" t="n">
        <v>46262.53100694445</v>
      </c>
      <c r="I43" s="128" t="inlineStr">
        <is>
          <t>INITIAL</t>
        </is>
      </c>
      <c r="J43" s="128" t="inlineStr">
        <is>
          <t>AUTO</t>
        </is>
      </c>
      <c r="K43" s="130">
        <f>IF(A43="","",IF(J43="AUTO",H43,IF(J43="MANUAL",AK43,"")))</f>
        <v/>
      </c>
      <c r="L43" s="128" t="inlineStr">
        <is>
          <t>NONE</t>
        </is>
      </c>
      <c r="M43" s="12" t="n"/>
      <c r="N43" s="128">
        <f>IF(A43="","",IF(COUNTIFS('Human Operation Desktop'!$A$3:$A$502,A43,'Human Operation Desktop'!$I$3:$I$502,"&lt;&gt;APPLIED",'Human Operation Desktop'!$I$3:$I$502,"&lt;&gt;REJECTED")&gt;0,"YES","NO"))</f>
        <v/>
      </c>
      <c r="O43" s="128" t="inlineStr">
        <is>
          <t>ac4adc7d9df4f75a93328f2fd196b1fb854fcc4696e26c150015ec3b30f6ff65</t>
        </is>
      </c>
      <c r="P43" s="131" t="inlineStr">
        <is>
          <t>Animal Health Surveillance Regulation</t>
        </is>
      </c>
      <c r="Q43" s="131" t="inlineStr">
        <is>
          <t>https://lovdata.no/dokument/SF/forskrift/2022-04-06-632</t>
        </is>
      </c>
      <c r="R43" s="131" t="inlineStr">
        <is>
          <t>https://lovdata.no/dokument/SF/forskrift/2022-04-06-632</t>
        </is>
      </c>
      <c r="S43" s="131" t="inlineStr">
        <is>
          <t>A_Public_Authority</t>
        </is>
      </c>
      <c r="T43" s="131" t="inlineStr">
        <is>
          <t>html</t>
        </is>
      </c>
      <c r="U43" s="131" t="inlineStr">
        <is>
          <t>Norwegian Ministry of Agriculture and Food</t>
        </is>
      </c>
      <c r="V43" s="131" t="inlineStr">
        <is>
          <t>Norway</t>
        </is>
      </c>
      <c r="W43" s="131" t="inlineStr">
        <is>
          <t>Norwegian</t>
        </is>
      </c>
      <c r="X43" s="13" t="n"/>
      <c r="Y43" s="13" t="n"/>
      <c r="Z43" s="131" t="inlineStr">
        <is>
          <t>Public authority</t>
        </is>
      </c>
      <c r="AA43" s="131" t="inlineStr">
        <is>
          <t>Regulation</t>
        </is>
      </c>
      <c r="AB43" s="131" t="inlineStr">
        <is>
          <t>Primary normative</t>
        </is>
      </c>
      <c r="AC43" s="131" t="inlineStr">
        <is>
          <t>Official regulation issued by Norwegian Ministry of Agriculture and Food; included because it may impose binding requirements on an in-scope aquaculture asset, activity, permit or certification.</t>
        </is>
      </c>
      <c r="AD43" s="131" t="inlineStr">
        <is>
          <t>HIGH</t>
        </is>
      </c>
      <c r="AE43" s="131" t="inlineStr">
        <is>
          <t>HIGH</t>
        </is>
      </c>
      <c r="AF43" s="131" t="inlineStr">
        <is>
          <t>HIGH</t>
        </is>
      </c>
      <c r="AG43" s="131" t="inlineStr">
        <is>
          <t>HIGH</t>
        </is>
      </c>
      <c r="AH43" s="131" t="inlineStr">
        <is>
          <t>HIGH</t>
        </is>
      </c>
      <c r="AI43" s="131" t="inlineStr">
        <is>
          <t>HIGH</t>
        </is>
      </c>
      <c r="AJ43" s="131" t="inlineStr">
        <is>
          <t>INCLUDE</t>
        </is>
      </c>
      <c r="AK43" s="125" t="n"/>
      <c r="AL43" s="13" t="n"/>
      <c r="AM43" s="131" t="inlineStr">
        <is>
          <t>CURRENT</t>
        </is>
      </c>
      <c r="AN43" s="131" t="inlineStr">
        <is>
          <t>PA010</t>
        </is>
      </c>
      <c r="AO43" s="131" t="inlineStr">
        <is>
          <t>Official Norwegian implementation package for animal-health surveillance. Applicability must be mapped to farm species and status.</t>
        </is>
      </c>
      <c r="AP43" s="131" t="inlineStr">
        <is>
          <t>OFFICIAL_WEBSITE</t>
        </is>
      </c>
      <c r="AQ43" s="131" t="inlineStr">
        <is>
          <t>OFFICIAL_ORIGINAL</t>
        </is>
      </c>
      <c r="AR43" s="131" t="inlineStr">
        <is>
          <t>ROLLING</t>
        </is>
      </c>
      <c r="AS43" s="13" t="n"/>
    </row>
    <row r="44" ht="30" customHeight="1" s="41">
      <c r="A44" s="126" t="inlineStr">
        <is>
          <t>PA042</t>
        </is>
      </c>
      <c r="B44" s="126" t="inlineStr">
        <is>
          <t>PA042-001</t>
        </is>
      </c>
      <c r="C44" s="127" t="inlineStr">
        <is>
          <t>PA042-001_Animal_Disease_Control_Regulation.html</t>
        </is>
      </c>
      <c r="D44" s="128" t="inlineStr">
        <is>
          <t>STORED</t>
        </is>
      </c>
      <c r="E44" s="128">
        <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f>
        <v/>
      </c>
      <c r="F44" s="128" t="inlineStr">
        <is>
          <t>SUCCESS</t>
        </is>
      </c>
      <c r="G44" s="129" t="n">
        <v>46262.53100694445</v>
      </c>
      <c r="H44" s="129" t="n">
        <v>46262.53100694445</v>
      </c>
      <c r="I44" s="128" t="inlineStr">
        <is>
          <t>INITIAL</t>
        </is>
      </c>
      <c r="J44" s="128" t="inlineStr">
        <is>
          <t>AUTO</t>
        </is>
      </c>
      <c r="K44" s="130">
        <f>IF(A44="","",IF(J44="AUTO",H44,IF(J44="MANUAL",AK44,"")))</f>
        <v/>
      </c>
      <c r="L44" s="128" t="inlineStr">
        <is>
          <t>NONE</t>
        </is>
      </c>
      <c r="M44" s="12" t="n"/>
      <c r="N44" s="128">
        <f>IF(A44="","",IF(COUNTIFS('Human Operation Desktop'!$A$3:$A$502,A44,'Human Operation Desktop'!$I$3:$I$502,"&lt;&gt;APPLIED",'Human Operation Desktop'!$I$3:$I$502,"&lt;&gt;REJECTED")&gt;0,"YES","NO"))</f>
        <v/>
      </c>
      <c r="O44" s="128" t="inlineStr">
        <is>
          <t>0c5693b8397db63986f66ac880a8fae1ba72a0f02771de366f103d3ee196e2e8</t>
        </is>
      </c>
      <c r="P44" s="131" t="inlineStr">
        <is>
          <t>Animal Disease Control Regulation</t>
        </is>
      </c>
      <c r="Q44" s="131" t="inlineStr">
        <is>
          <t>https://lovdata.no/dokument/SF/forskrift/2022-04-06-634</t>
        </is>
      </c>
      <c r="R44" s="131" t="inlineStr">
        <is>
          <t>https://lovdata.no/dokument/SF/forskrift/2022-04-06-634</t>
        </is>
      </c>
      <c r="S44" s="131" t="inlineStr">
        <is>
          <t>A_Public_Authority</t>
        </is>
      </c>
      <c r="T44" s="131" t="inlineStr">
        <is>
          <t>html</t>
        </is>
      </c>
      <c r="U44" s="131" t="inlineStr">
        <is>
          <t>Norwegian Ministry of Agriculture and Food</t>
        </is>
      </c>
      <c r="V44" s="131" t="inlineStr">
        <is>
          <t>Norway</t>
        </is>
      </c>
      <c r="W44" s="131" t="inlineStr">
        <is>
          <t>Norwegian</t>
        </is>
      </c>
      <c r="X44" s="13" t="n"/>
      <c r="Y44" s="13" t="n"/>
      <c r="Z44" s="131" t="inlineStr">
        <is>
          <t>Public authority</t>
        </is>
      </c>
      <c r="AA44" s="131" t="inlineStr">
        <is>
          <t>Regulation</t>
        </is>
      </c>
      <c r="AB44" s="131" t="inlineStr">
        <is>
          <t>Primary normative</t>
        </is>
      </c>
      <c r="AC44" s="131" t="inlineStr">
        <is>
          <t>Official regulation issued by Norwegian Ministry of Agriculture and Food; included because it may impose binding requirements on an in-scope aquaculture asset, activity, permit or certification.</t>
        </is>
      </c>
      <c r="AD44" s="131" t="inlineStr">
        <is>
          <t>HIGH</t>
        </is>
      </c>
      <c r="AE44" s="131" t="inlineStr">
        <is>
          <t>HIGH</t>
        </is>
      </c>
      <c r="AF44" s="131" t="inlineStr">
        <is>
          <t>HIGH</t>
        </is>
      </c>
      <c r="AG44" s="131" t="inlineStr">
        <is>
          <t>HIGH</t>
        </is>
      </c>
      <c r="AH44" s="131" t="inlineStr">
        <is>
          <t>HIGH</t>
        </is>
      </c>
      <c r="AI44" s="131" t="inlineStr">
        <is>
          <t>HIGH</t>
        </is>
      </c>
      <c r="AJ44" s="131" t="inlineStr">
        <is>
          <t>INCLUDE</t>
        </is>
      </c>
      <c r="AK44" s="125" t="n"/>
      <c r="AL44" s="13" t="n"/>
      <c r="AM44" s="131" t="inlineStr">
        <is>
          <t>CURRENT</t>
        </is>
      </c>
      <c r="AN44" s="131" t="inlineStr">
        <is>
          <t>PA010</t>
        </is>
      </c>
      <c r="AO44" s="131" t="inlineStr">
        <is>
          <t>Official Norwegian implementation package for disease control. Requirements are condition-dependent and may be triggered by disease status.</t>
        </is>
      </c>
      <c r="AP44" s="131" t="inlineStr">
        <is>
          <t>OFFICIAL_WEBSITE</t>
        </is>
      </c>
      <c r="AQ44" s="131" t="inlineStr">
        <is>
          <t>OFFICIAL_ORIGINAL</t>
        </is>
      </c>
      <c r="AR44" s="131" t="inlineStr">
        <is>
          <t>ROLLING</t>
        </is>
      </c>
      <c r="AS44" s="13" t="n"/>
    </row>
    <row r="45" ht="30" customHeight="1" s="41">
      <c r="A45" s="132" t="inlineStr">
        <is>
          <t>PA043</t>
        </is>
      </c>
      <c r="B45" s="132" t="inlineStr">
        <is>
          <t>PA043-001</t>
        </is>
      </c>
      <c r="C45" s="127" t="inlineStr">
        <is>
          <t>PA043-001_Mattilsynet_guidance_on_biosafety_plans_in_aquaculture_facilities.html</t>
        </is>
      </c>
      <c r="D45" s="128" t="inlineStr">
        <is>
          <t>STORED</t>
        </is>
      </c>
      <c r="E45" s="128">
        <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f>
        <v/>
      </c>
      <c r="F45" s="128" t="inlineStr">
        <is>
          <t>SUCCESS</t>
        </is>
      </c>
      <c r="G45" s="129" t="n">
        <v>46262.53100694445</v>
      </c>
      <c r="H45" s="129" t="n">
        <v>46262.53104166667</v>
      </c>
      <c r="I45" s="128" t="inlineStr">
        <is>
          <t>INITIAL</t>
        </is>
      </c>
      <c r="J45" s="128" t="inlineStr">
        <is>
          <t>AUTO</t>
        </is>
      </c>
      <c r="K45" s="130">
        <f>IF(A45="","",IF(J45="AUTO",H45,IF(J45="MANUAL",AK45,"")))</f>
        <v/>
      </c>
      <c r="L45" s="128" t="inlineStr">
        <is>
          <t>NONE</t>
        </is>
      </c>
      <c r="M45" s="12" t="n"/>
      <c r="N45" s="128">
        <f>IF(A45="","",IF(COUNTIFS('Human Operation Desktop'!$A$3:$A$502,A45,'Human Operation Desktop'!$I$3:$I$502,"&lt;&gt;APPLIED",'Human Operation Desktop'!$I$3:$I$502,"&lt;&gt;REJECTED")&gt;0,"YES","NO"))</f>
        <v/>
      </c>
      <c r="O45" s="128" t="inlineStr">
        <is>
          <t>56101f0aa402aaec3c59774403a0047534b1c05a5cd4541a00e64f5fb52970ad</t>
        </is>
      </c>
      <c r="P45" s="131" t="inlineStr">
        <is>
          <t>Mattilsynet guidance on biosafety plans in aquaculture facilities</t>
        </is>
      </c>
      <c r="Q45" s="131" t="inlineStr">
        <is>
          <t>https://mattilsynet.no/fisk-og-akvakultur/biosikkerhetsplan-i-akvakulturanlegg</t>
        </is>
      </c>
      <c r="R45" s="131" t="inlineStr">
        <is>
          <t>https://mattilsynet.no/fisk-og-akvakultur/biosikkerhetsplan-i-akvakulturanlegg</t>
        </is>
      </c>
      <c r="S45" s="131" t="inlineStr">
        <is>
          <t>A_Public_Authority</t>
        </is>
      </c>
      <c r="T45" s="131" t="inlineStr">
        <is>
          <t>html</t>
        </is>
      </c>
      <c r="U45" s="131" t="inlineStr">
        <is>
          <t>Norwegian Food Safety Authority</t>
        </is>
      </c>
      <c r="V45" s="131" t="inlineStr">
        <is>
          <t>Norway</t>
        </is>
      </c>
      <c r="W45" s="131" t="inlineStr">
        <is>
          <t>Norwegian</t>
        </is>
      </c>
      <c r="X45" s="13" t="n"/>
      <c r="Y45" s="13" t="n"/>
      <c r="Z45" s="131" t="inlineStr">
        <is>
          <t>Public authority</t>
        </is>
      </c>
      <c r="AA45" s="131" t="inlineStr">
        <is>
          <t>Interpretation document</t>
        </is>
      </c>
      <c r="AB45" s="131" t="inlineStr">
        <is>
          <t>Guidance / interpretation</t>
        </is>
      </c>
      <c r="AC45" s="131" t="inlineStr">
        <is>
          <t>Official guidance from Norwegian Food Safety Authority; included to interpret and operationalise linked normative requirements, not as independent legal or certification authority.</t>
        </is>
      </c>
      <c r="AD45" s="131" t="inlineStr">
        <is>
          <t>HIGH</t>
        </is>
      </c>
      <c r="AE45" s="131" t="inlineStr">
        <is>
          <t>HIGH</t>
        </is>
      </c>
      <c r="AF45" s="131" t="inlineStr">
        <is>
          <t>HIGH</t>
        </is>
      </c>
      <c r="AG45" s="131" t="inlineStr">
        <is>
          <t>HIGH</t>
        </is>
      </c>
      <c r="AH45" s="131" t="inlineStr">
        <is>
          <t>HIGH</t>
        </is>
      </c>
      <c r="AI45" s="131" t="inlineStr">
        <is>
          <t>HIGH</t>
        </is>
      </c>
      <c r="AJ45" s="131" t="inlineStr">
        <is>
          <t>INCLUDE</t>
        </is>
      </c>
      <c r="AK45" s="125" t="n"/>
      <c r="AL45" s="13" t="n"/>
      <c r="AM45" s="131" t="inlineStr">
        <is>
          <t>CURRENT</t>
        </is>
      </c>
      <c r="AN45" s="131" t="inlineStr">
        <is>
          <t>PA040</t>
        </is>
      </c>
      <c r="AO45" s="131" t="inlineStr">
        <is>
          <t>Official guidance connecting the animal-health implementation package to a practical biosafety plan. It does not replace PA039 to PA042.</t>
        </is>
      </c>
      <c r="AP45" s="131" t="inlineStr">
        <is>
          <t>OFFICIAL_WEBSITE</t>
        </is>
      </c>
      <c r="AQ45" s="131" t="inlineStr">
        <is>
          <t>OFFICIAL_ORIGINAL</t>
        </is>
      </c>
      <c r="AR45" s="131" t="inlineStr">
        <is>
          <t>ROLLING</t>
        </is>
      </c>
      <c r="AS45" s="13" t="n"/>
    </row>
    <row r="46" ht="30" customHeight="1" s="41">
      <c r="A46" s="126" t="inlineStr">
        <is>
          <t>PA044</t>
        </is>
      </c>
      <c r="B46" s="126" t="inlineStr">
        <is>
          <t>PA044-001</t>
        </is>
      </c>
      <c r="C46" s="127" t="inlineStr">
        <is>
          <t>PA044-001_Pollution_Regulations_including_Chapter_34_on_pollution_from_aquaculture.html</t>
        </is>
      </c>
      <c r="D46" s="128" t="inlineStr">
        <is>
          <t>STORED</t>
        </is>
      </c>
      <c r="E46" s="128">
        <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f>
        <v/>
      </c>
      <c r="F46" s="128" t="inlineStr">
        <is>
          <t>SUCCESS</t>
        </is>
      </c>
      <c r="G46" s="129" t="n">
        <v>46262.53104166667</v>
      </c>
      <c r="H46" s="129" t="n">
        <v>46262.53104166667</v>
      </c>
      <c r="I46" s="128" t="inlineStr">
        <is>
          <t>INITIAL</t>
        </is>
      </c>
      <c r="J46" s="128" t="inlineStr">
        <is>
          <t>AUTO</t>
        </is>
      </c>
      <c r="K46" s="130">
        <f>IF(A46="","",IF(J46="AUTO",H46,IF(J46="MANUAL",AK46,"")))</f>
        <v/>
      </c>
      <c r="L46" s="128" t="inlineStr">
        <is>
          <t>NONE</t>
        </is>
      </c>
      <c r="M46" s="12" t="n"/>
      <c r="N46" s="128">
        <f>IF(A46="","",IF(COUNTIFS('Human Operation Desktop'!$A$3:$A$502,A46,'Human Operation Desktop'!$I$3:$I$502,"&lt;&gt;APPLIED",'Human Operation Desktop'!$I$3:$I$502,"&lt;&gt;REJECTED")&gt;0,"YES","NO"))</f>
        <v/>
      </c>
      <c r="O46" s="128" t="inlineStr">
        <is>
          <t>64436e3a3f3ade668fd3eaa53ce867914caf1d3a2f972c3bfd8d034b37641848</t>
        </is>
      </c>
      <c r="P46" s="131" t="inlineStr">
        <is>
          <t>Pollution Regulations, including Chapter 34 on pollution from aquaculture</t>
        </is>
      </c>
      <c r="Q46" s="131" t="inlineStr">
        <is>
          <t>https://lovdata.no/dokument/SF/forskrift/2004-06-01-931</t>
        </is>
      </c>
      <c r="R46" s="131" t="inlineStr">
        <is>
          <t>https://lovdata.no/dokument/SF/forskrift/2004-06-01-931</t>
        </is>
      </c>
      <c r="S46" s="131" t="inlineStr">
        <is>
          <t>A_Public_Authority</t>
        </is>
      </c>
      <c r="T46" s="131" t="inlineStr">
        <is>
          <t>html</t>
        </is>
      </c>
      <c r="U46" s="131" t="inlineStr">
        <is>
          <t>Norwegian Ministry of Climate and Environment</t>
        </is>
      </c>
      <c r="V46" s="131" t="inlineStr">
        <is>
          <t>Norway</t>
        </is>
      </c>
      <c r="W46" s="131" t="inlineStr">
        <is>
          <t>Norwegian</t>
        </is>
      </c>
      <c r="X46" s="13" t="n"/>
      <c r="Y46" s="13" t="n"/>
      <c r="Z46" s="131" t="inlineStr">
        <is>
          <t>Public authority</t>
        </is>
      </c>
      <c r="AA46" s="131" t="inlineStr">
        <is>
          <t>Regulation</t>
        </is>
      </c>
      <c r="AB46" s="131" t="inlineStr">
        <is>
          <t>Primary normative</t>
        </is>
      </c>
      <c r="AC46" s="131" t="inlineStr">
        <is>
          <t>Official regulation issued by Norwegian Ministry of Climate and Environment; included because it may impose binding requirements on an in-scope aquaculture asset, activity, permit or certification.</t>
        </is>
      </c>
      <c r="AD46" s="131" t="inlineStr">
        <is>
          <t>HIGH</t>
        </is>
      </c>
      <c r="AE46" s="131" t="inlineStr">
        <is>
          <t>HIGH</t>
        </is>
      </c>
      <c r="AF46" s="131" t="inlineStr">
        <is>
          <t>HIGH</t>
        </is>
      </c>
      <c r="AG46" s="131" t="inlineStr">
        <is>
          <t>HIGH</t>
        </is>
      </c>
      <c r="AH46" s="131" t="inlineStr">
        <is>
          <t>HIGH</t>
        </is>
      </c>
      <c r="AI46" s="131" t="inlineStr">
        <is>
          <t>HIGH</t>
        </is>
      </c>
      <c r="AJ46" s="131" t="inlineStr">
        <is>
          <t>INCLUDE</t>
        </is>
      </c>
      <c r="AK46" s="125" t="n"/>
      <c r="AL46" s="13" t="n"/>
      <c r="AM46" s="131" t="inlineStr">
        <is>
          <t>CURRENT</t>
        </is>
      </c>
      <c r="AN46" s="131" t="inlineStr">
        <is>
          <t>PA007</t>
        </is>
      </c>
      <c r="AO46" s="131" t="inlineStr">
        <is>
          <t>Official environmental coverage expansion. Chapter-level and permit-specific applicability must be confirmed.</t>
        </is>
      </c>
      <c r="AP46" s="131" t="inlineStr">
        <is>
          <t>OFFICIAL_WEBSITE</t>
        </is>
      </c>
      <c r="AQ46" s="131" t="inlineStr">
        <is>
          <t>OFFICIAL_ORIGINAL</t>
        </is>
      </c>
      <c r="AR46" s="131" t="inlineStr">
        <is>
          <t>ROLLING</t>
        </is>
      </c>
      <c r="AS46" s="13" t="n"/>
    </row>
    <row r="47" ht="30" customHeight="1" s="41">
      <c r="A47" s="132" t="inlineStr">
        <is>
          <t>PA045</t>
        </is>
      </c>
      <c r="B47" s="132" t="inlineStr">
        <is>
          <t>PA045-001</t>
        </is>
      </c>
      <c r="C47" s="127" t="inlineStr">
        <is>
          <t>PA045-001_Regulations_concerning_organisation_management_and_employee_participation.html</t>
        </is>
      </c>
      <c r="D47" s="128" t="inlineStr">
        <is>
          <t>STORED</t>
        </is>
      </c>
      <c r="E47" s="128">
        <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f>
        <v/>
      </c>
      <c r="F47" s="128" t="inlineStr">
        <is>
          <t>SUCCESS</t>
        </is>
      </c>
      <c r="G47" s="129" t="n">
        <v>46262.53104166667</v>
      </c>
      <c r="H47" s="129" t="n">
        <v>46262.53104166667</v>
      </c>
      <c r="I47" s="128" t="inlineStr">
        <is>
          <t>INITIAL</t>
        </is>
      </c>
      <c r="J47" s="128" t="inlineStr">
        <is>
          <t>AUTO</t>
        </is>
      </c>
      <c r="K47" s="130">
        <f>IF(A47="","",IF(J47="AUTO",H47,IF(J47="MANUAL",AK47,"")))</f>
        <v/>
      </c>
      <c r="L47" s="128" t="inlineStr">
        <is>
          <t>NONE</t>
        </is>
      </c>
      <c r="M47" s="12" t="n"/>
      <c r="N47" s="128">
        <f>IF(A47="","",IF(COUNTIFS('Human Operation Desktop'!$A$3:$A$502,A47,'Human Operation Desktop'!$I$3:$I$502,"&lt;&gt;APPLIED",'Human Operation Desktop'!$I$3:$I$502,"&lt;&gt;REJECTED")&gt;0,"YES","NO"))</f>
        <v/>
      </c>
      <c r="O47" s="128" t="inlineStr">
        <is>
          <t>e43d868a759780431d3e95d2b6e6910c66ca52fe42f12adc15e0380a3a81e1e2</t>
        </is>
      </c>
      <c r="P47" s="131" t="inlineStr">
        <is>
          <t>Regulations concerning organisation, management and employee participation</t>
        </is>
      </c>
      <c r="Q47" s="131" t="inlineStr">
        <is>
          <t>https://lovdata.no/dokument/SF/forskrift/2011-12-06-1355</t>
        </is>
      </c>
      <c r="R47" s="131" t="inlineStr">
        <is>
          <t>https://lovdata.no/dokument/SF/forskrift/2011-12-06-1355</t>
        </is>
      </c>
      <c r="S47" s="131" t="inlineStr">
        <is>
          <t>A_Public_Authority</t>
        </is>
      </c>
      <c r="T47" s="131" t="inlineStr">
        <is>
          <t>html</t>
        </is>
      </c>
      <c r="U47" s="131" t="inlineStr">
        <is>
          <t>Norwegian Ministry of Labour and Social Inclusion</t>
        </is>
      </c>
      <c r="V47" s="131" t="inlineStr">
        <is>
          <t>Norway</t>
        </is>
      </c>
      <c r="W47" s="131" t="inlineStr">
        <is>
          <t>Norwegian</t>
        </is>
      </c>
      <c r="X47" s="13" t="n"/>
      <c r="Y47" s="13" t="n"/>
      <c r="Z47" s="131" t="inlineStr">
        <is>
          <t>Public authority</t>
        </is>
      </c>
      <c r="AA47" s="131" t="inlineStr">
        <is>
          <t>Regulation</t>
        </is>
      </c>
      <c r="AB47" s="131" t="inlineStr">
        <is>
          <t>Primary normative</t>
        </is>
      </c>
      <c r="AC47" s="131" t="inlineStr">
        <is>
          <t>Official regulation issued by Norwegian Ministry of Labour and Social Inclusion; included because it may impose binding requirements on an in-scope aquaculture asset, activity, permit or certification.</t>
        </is>
      </c>
      <c r="AD47" s="131" t="inlineStr">
        <is>
          <t>HIGH</t>
        </is>
      </c>
      <c r="AE47" s="131" t="inlineStr">
        <is>
          <t>HIGH</t>
        </is>
      </c>
      <c r="AF47" s="131" t="inlineStr">
        <is>
          <t>HIGH</t>
        </is>
      </c>
      <c r="AG47" s="131" t="inlineStr">
        <is>
          <t>HIGH</t>
        </is>
      </c>
      <c r="AH47" s="131" t="inlineStr">
        <is>
          <t>HIGH</t>
        </is>
      </c>
      <c r="AI47" s="131" t="inlineStr">
        <is>
          <t>HIGH</t>
        </is>
      </c>
      <c r="AJ47" s="131" t="inlineStr">
        <is>
          <t>INCLUDE</t>
        </is>
      </c>
      <c r="AK47" s="125" t="n"/>
      <c r="AL47" s="13" t="n"/>
      <c r="AM47" s="131" t="inlineStr">
        <is>
          <t>CURRENT</t>
        </is>
      </c>
      <c r="AN47" s="131" t="inlineStr">
        <is>
          <t>PA011</t>
        </is>
      </c>
      <c r="AO47" s="131" t="inlineStr">
        <is>
          <t>Official HSE framework expansion. Applies according to work organisation, competence and participation arrangements.</t>
        </is>
      </c>
      <c r="AP47" s="131" t="inlineStr">
        <is>
          <t>OFFICIAL_WEBSITE</t>
        </is>
      </c>
      <c r="AQ47" s="131" t="inlineStr">
        <is>
          <t>OFFICIAL_ORIGINAL</t>
        </is>
      </c>
      <c r="AR47" s="131" t="inlineStr">
        <is>
          <t>ROLLING</t>
        </is>
      </c>
      <c r="AS47" s="13" t="n"/>
    </row>
    <row r="48" ht="30" customHeight="1" s="41">
      <c r="A48" s="126" t="inlineStr">
        <is>
          <t>PA046</t>
        </is>
      </c>
      <c r="B48" s="126" t="inlineStr">
        <is>
          <t>PA046-001</t>
        </is>
      </c>
      <c r="C48" s="127" t="inlineStr">
        <is>
          <t>PA046-001_Workplace_Regulations.html</t>
        </is>
      </c>
      <c r="D48" s="128" t="inlineStr">
        <is>
          <t>STORED</t>
        </is>
      </c>
      <c r="E48" s="128">
        <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f>
        <v/>
      </c>
      <c r="F48" s="128" t="inlineStr">
        <is>
          <t>SUCCESS</t>
        </is>
      </c>
      <c r="G48" s="129" t="n">
        <v>46262.53104166667</v>
      </c>
      <c r="H48" s="129" t="n">
        <v>46262.53105324074</v>
      </c>
      <c r="I48" s="128" t="inlineStr">
        <is>
          <t>INITIAL</t>
        </is>
      </c>
      <c r="J48" s="128" t="inlineStr">
        <is>
          <t>AUTO</t>
        </is>
      </c>
      <c r="K48" s="130">
        <f>IF(A48="","",IF(J48="AUTO",H48,IF(J48="MANUAL",AK48,"")))</f>
        <v/>
      </c>
      <c r="L48" s="128" t="inlineStr">
        <is>
          <t>NONE</t>
        </is>
      </c>
      <c r="M48" s="12" t="n"/>
      <c r="N48" s="128">
        <f>IF(A48="","",IF(COUNTIFS('Human Operation Desktop'!$A$3:$A$502,A48,'Human Operation Desktop'!$I$3:$I$502,"&lt;&gt;APPLIED",'Human Operation Desktop'!$I$3:$I$502,"&lt;&gt;REJECTED")&gt;0,"YES","NO"))</f>
        <v/>
      </c>
      <c r="O48" s="128" t="inlineStr">
        <is>
          <t>3f3b6a9810b38e87332d03d59568a8724e83682d4ab914996dbf9b4d160dd951</t>
        </is>
      </c>
      <c r="P48" s="131" t="inlineStr">
        <is>
          <t>Workplace Regulations</t>
        </is>
      </c>
      <c r="Q48" s="131" t="inlineStr">
        <is>
          <t>https://lovdata.no/dokument/SF/forskrift/2011-12-06-1356</t>
        </is>
      </c>
      <c r="R48" s="131" t="inlineStr">
        <is>
          <t>https://lovdata.no/dokument/SF/forskrift/2011-12-06-1356</t>
        </is>
      </c>
      <c r="S48" s="131" t="inlineStr">
        <is>
          <t>A_Public_Authority</t>
        </is>
      </c>
      <c r="T48" s="131" t="inlineStr">
        <is>
          <t>html</t>
        </is>
      </c>
      <c r="U48" s="131" t="inlineStr">
        <is>
          <t>Norwegian Ministry of Labour and Social Inclusion</t>
        </is>
      </c>
      <c r="V48" s="131" t="inlineStr">
        <is>
          <t>Norway</t>
        </is>
      </c>
      <c r="W48" s="131" t="inlineStr">
        <is>
          <t>Norwegian</t>
        </is>
      </c>
      <c r="X48" s="13" t="n"/>
      <c r="Y48" s="13" t="n"/>
      <c r="Z48" s="131" t="inlineStr">
        <is>
          <t>Public authority</t>
        </is>
      </c>
      <c r="AA48" s="131" t="inlineStr">
        <is>
          <t>Regulation</t>
        </is>
      </c>
      <c r="AB48" s="131" t="inlineStr">
        <is>
          <t>Primary normative</t>
        </is>
      </c>
      <c r="AC48" s="131" t="inlineStr">
        <is>
          <t>Official regulation issued by Norwegian Ministry of Labour and Social Inclusion; included because it may impose binding requirements on an in-scope aquaculture asset, activity, permit or certification.</t>
        </is>
      </c>
      <c r="AD48" s="131" t="inlineStr">
        <is>
          <t>HIGH</t>
        </is>
      </c>
      <c r="AE48" s="131" t="inlineStr">
        <is>
          <t>HIGH</t>
        </is>
      </c>
      <c r="AF48" s="131" t="inlineStr">
        <is>
          <t>HIGH</t>
        </is>
      </c>
      <c r="AG48" s="131" t="inlineStr">
        <is>
          <t>HIGH</t>
        </is>
      </c>
      <c r="AH48" s="131" t="inlineStr">
        <is>
          <t>HIGH</t>
        </is>
      </c>
      <c r="AI48" s="131" t="inlineStr">
        <is>
          <t>HIGH</t>
        </is>
      </c>
      <c r="AJ48" s="131" t="inlineStr">
        <is>
          <t>INCLUDE</t>
        </is>
      </c>
      <c r="AK48" s="125" t="n"/>
      <c r="AL48" s="13" t="n"/>
      <c r="AM48" s="131" t="inlineStr">
        <is>
          <t>CURRENT</t>
        </is>
      </c>
      <c r="AN48" s="131" t="inlineStr">
        <is>
          <t>PA011</t>
        </is>
      </c>
      <c r="AO48" s="131" t="inlineStr">
        <is>
          <t>Official HSE framework expansion. Site and facility applicability must be mapped to actual workplaces.</t>
        </is>
      </c>
      <c r="AP48" s="131" t="inlineStr">
        <is>
          <t>OFFICIAL_WEBSITE</t>
        </is>
      </c>
      <c r="AQ48" s="131" t="inlineStr">
        <is>
          <t>OFFICIAL_ORIGINAL</t>
        </is>
      </c>
      <c r="AR48" s="131" t="inlineStr">
        <is>
          <t>ROLLING</t>
        </is>
      </c>
      <c r="AS48" s="13" t="n"/>
    </row>
    <row r="49" ht="30" customHeight="1" s="41">
      <c r="A49" s="132" t="inlineStr">
        <is>
          <t>PA047</t>
        </is>
      </c>
      <c r="B49" s="132" t="inlineStr">
        <is>
          <t>PA047-001</t>
        </is>
      </c>
      <c r="C49" s="127" t="inlineStr">
        <is>
          <t>PA047-001_Regulations_concerning_action_and_limit_values.html</t>
        </is>
      </c>
      <c r="D49" s="128" t="inlineStr">
        <is>
          <t>STORED</t>
        </is>
      </c>
      <c r="E49" s="128">
        <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f>
        <v/>
      </c>
      <c r="F49" s="128" t="inlineStr">
        <is>
          <t>SUCCESS</t>
        </is>
      </c>
      <c r="G49" s="129" t="n">
        <v>46262.53105324074</v>
      </c>
      <c r="H49" s="129" t="n">
        <v>46262.53105324074</v>
      </c>
      <c r="I49" s="128" t="inlineStr">
        <is>
          <t>INITIAL</t>
        </is>
      </c>
      <c r="J49" s="128" t="inlineStr">
        <is>
          <t>AUTO</t>
        </is>
      </c>
      <c r="K49" s="130">
        <f>IF(A49="","",IF(J49="AUTO",H49,IF(J49="MANUAL",AK49,"")))</f>
        <v/>
      </c>
      <c r="L49" s="128" t="inlineStr">
        <is>
          <t>NONE</t>
        </is>
      </c>
      <c r="M49" s="12" t="n"/>
      <c r="N49" s="128">
        <f>IF(A49="","",IF(COUNTIFS('Human Operation Desktop'!$A$3:$A$502,A49,'Human Operation Desktop'!$I$3:$I$502,"&lt;&gt;APPLIED",'Human Operation Desktop'!$I$3:$I$502,"&lt;&gt;REJECTED")&gt;0,"YES","NO"))</f>
        <v/>
      </c>
      <c r="O49" s="128" t="inlineStr">
        <is>
          <t>c30790d1b5cdb2e3fc192d1e2141a7996f5e3a3d42983671189edd232c7cbd14</t>
        </is>
      </c>
      <c r="P49" s="131" t="inlineStr">
        <is>
          <t>Regulations concerning action and limit values</t>
        </is>
      </c>
      <c r="Q49" s="131" t="inlineStr">
        <is>
          <t>https://lovdata.no/dokument/SF/forskrift/2011-12-06-1358</t>
        </is>
      </c>
      <c r="R49" s="131" t="inlineStr">
        <is>
          <t>https://lovdata.no/dokument/SF/forskrift/2011-12-06-1358</t>
        </is>
      </c>
      <c r="S49" s="131" t="inlineStr">
        <is>
          <t>A_Public_Authority</t>
        </is>
      </c>
      <c r="T49" s="131" t="inlineStr">
        <is>
          <t>html</t>
        </is>
      </c>
      <c r="U49" s="131" t="inlineStr">
        <is>
          <t>Norwegian Ministry of Labour and Social Inclusion</t>
        </is>
      </c>
      <c r="V49" s="131" t="inlineStr">
        <is>
          <t>Norway</t>
        </is>
      </c>
      <c r="W49" s="131" t="inlineStr">
        <is>
          <t>Norwegian</t>
        </is>
      </c>
      <c r="X49" s="13" t="n"/>
      <c r="Y49" s="13" t="n"/>
      <c r="Z49" s="131" t="inlineStr">
        <is>
          <t>Public authority</t>
        </is>
      </c>
      <c r="AA49" s="131" t="inlineStr">
        <is>
          <t>Regulation</t>
        </is>
      </c>
      <c r="AB49" s="131" t="inlineStr">
        <is>
          <t>Primary normative</t>
        </is>
      </c>
      <c r="AC49" s="131" t="inlineStr">
        <is>
          <t>Official regulation issued by Norwegian Ministry of Labour and Social Inclusion; included because it may impose binding requirements on an in-scope aquaculture asset, activity, permit or certification.</t>
        </is>
      </c>
      <c r="AD49" s="131" t="inlineStr">
        <is>
          <t>HIGH</t>
        </is>
      </c>
      <c r="AE49" s="131" t="inlineStr">
        <is>
          <t>HIGH</t>
        </is>
      </c>
      <c r="AF49" s="131" t="inlineStr">
        <is>
          <t>HIGH</t>
        </is>
      </c>
      <c r="AG49" s="131" t="inlineStr">
        <is>
          <t>HIGH</t>
        </is>
      </c>
      <c r="AH49" s="131" t="inlineStr">
        <is>
          <t>HIGH</t>
        </is>
      </c>
      <c r="AI49" s="131" t="inlineStr">
        <is>
          <t>HIGH</t>
        </is>
      </c>
      <c r="AJ49" s="131" t="inlineStr">
        <is>
          <t>INCLUDE</t>
        </is>
      </c>
      <c r="AK49" s="125" t="n"/>
      <c r="AL49" s="13" t="n"/>
      <c r="AM49" s="131" t="inlineStr">
        <is>
          <t>CURRENT</t>
        </is>
      </c>
      <c r="AN49" s="131" t="inlineStr">
        <is>
          <t>PA011</t>
        </is>
      </c>
      <c r="AO49" s="131" t="inlineStr">
        <is>
          <t>Official HSE framework expansion. Include applicable exposure limits after activity and hazard mapping.</t>
        </is>
      </c>
      <c r="AP49" s="131" t="inlineStr">
        <is>
          <t>OFFICIAL_WEBSITE</t>
        </is>
      </c>
      <c r="AQ49" s="131" t="inlineStr">
        <is>
          <t>OFFICIAL_ORIGINAL</t>
        </is>
      </c>
      <c r="AR49" s="131" t="inlineStr">
        <is>
          <t>ROLLING</t>
        </is>
      </c>
      <c r="AS49" s="13" t="n"/>
    </row>
    <row r="50" ht="30" customHeight="1" s="41">
      <c r="A50" s="126" t="inlineStr">
        <is>
          <t>PA048</t>
        </is>
      </c>
      <c r="B50" s="126" t="inlineStr">
        <is>
          <t>PA048-001</t>
        </is>
      </c>
      <c r="C50" s="127" t="inlineStr">
        <is>
          <t>PA048-001_Regulations_concerning_administrative_arrangements_in_the_area_of_the_Working_Environment_Act.html</t>
        </is>
      </c>
      <c r="D50" s="128" t="inlineStr">
        <is>
          <t>STORED</t>
        </is>
      </c>
      <c r="E50" s="128">
        <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f>
        <v/>
      </c>
      <c r="F50" s="128" t="inlineStr">
        <is>
          <t>SUCCESS</t>
        </is>
      </c>
      <c r="G50" s="129" t="n">
        <v>46262.53105324074</v>
      </c>
      <c r="H50" s="129" t="n">
        <v>46262.53105324074</v>
      </c>
      <c r="I50" s="128" t="inlineStr">
        <is>
          <t>INITIAL</t>
        </is>
      </c>
      <c r="J50" s="128" t="inlineStr">
        <is>
          <t>AUTO</t>
        </is>
      </c>
      <c r="K50" s="130">
        <f>IF(A50="","",IF(J50="AUTO",H50,IF(J50="MANUAL",AK50,"")))</f>
        <v/>
      </c>
      <c r="L50" s="128" t="inlineStr">
        <is>
          <t>NONE</t>
        </is>
      </c>
      <c r="M50" s="12" t="n"/>
      <c r="N50" s="128">
        <f>IF(A50="","",IF(COUNTIFS('Human Operation Desktop'!$A$3:$A$502,A50,'Human Operation Desktop'!$I$3:$I$502,"&lt;&gt;APPLIED",'Human Operation Desktop'!$I$3:$I$502,"&lt;&gt;REJECTED")&gt;0,"YES","NO"))</f>
        <v/>
      </c>
      <c r="O50" s="128" t="inlineStr">
        <is>
          <t>a1d40a88d0a41bd2a9b66a59e0f3e46a4769483174bae327b4ca5fc43e07b6be</t>
        </is>
      </c>
      <c r="P50" s="131" t="inlineStr">
        <is>
          <t>Regulations concerning administrative arrangements in the area of the Working Environment Act</t>
        </is>
      </c>
      <c r="Q50" s="131" t="inlineStr">
        <is>
          <t>https://lovdata.no/dokument/SF/forskrift/2011-12-06-1360</t>
        </is>
      </c>
      <c r="R50" s="131" t="inlineStr">
        <is>
          <t>https://lovdata.no/dokument/SF/forskrift/2011-12-06-1360</t>
        </is>
      </c>
      <c r="S50" s="131" t="inlineStr">
        <is>
          <t>A_Public_Authority</t>
        </is>
      </c>
      <c r="T50" s="131" t="inlineStr">
        <is>
          <t>html</t>
        </is>
      </c>
      <c r="U50" s="131" t="inlineStr">
        <is>
          <t>Norwegian Ministry of Labour and Social Inclusion</t>
        </is>
      </c>
      <c r="V50" s="131" t="inlineStr">
        <is>
          <t>Norway</t>
        </is>
      </c>
      <c r="W50" s="131" t="inlineStr">
        <is>
          <t>Norwegian</t>
        </is>
      </c>
      <c r="X50" s="13" t="n"/>
      <c r="Y50" s="13" t="n"/>
      <c r="Z50" s="131" t="inlineStr">
        <is>
          <t>Public authority</t>
        </is>
      </c>
      <c r="AA50" s="131" t="inlineStr">
        <is>
          <t>Regulation</t>
        </is>
      </c>
      <c r="AB50" s="131" t="inlineStr">
        <is>
          <t>Referenced normative</t>
        </is>
      </c>
      <c r="AC50" s="131" t="inlineStr">
        <is>
          <t>Official referenced source from Norwegian Ministry of Labour and Social Inclusion; included because an applicable law, permit or certification scheme may make its provisions binding within the approved scope.</t>
        </is>
      </c>
      <c r="AD50" s="131" t="inlineStr">
        <is>
          <t>HIGH</t>
        </is>
      </c>
      <c r="AE50" s="131" t="inlineStr">
        <is>
          <t>HIGH</t>
        </is>
      </c>
      <c r="AF50" s="131" t="inlineStr">
        <is>
          <t>HIGH</t>
        </is>
      </c>
      <c r="AG50" s="131" t="inlineStr">
        <is>
          <t>HIGH</t>
        </is>
      </c>
      <c r="AH50" s="131" t="inlineStr">
        <is>
          <t>HIGH</t>
        </is>
      </c>
      <c r="AI50" s="131" t="inlineStr">
        <is>
          <t>HIGH</t>
        </is>
      </c>
      <c r="AJ50" s="131" t="inlineStr">
        <is>
          <t>INCLUDE</t>
        </is>
      </c>
      <c r="AK50" s="125" t="n"/>
      <c r="AL50" s="13" t="n"/>
      <c r="AM50" s="131" t="inlineStr">
        <is>
          <t>CURRENT</t>
        </is>
      </c>
      <c r="AN50" s="131" t="inlineStr">
        <is>
          <t>PA011</t>
        </is>
      </c>
      <c r="AO50" s="131" t="inlineStr">
        <is>
          <t>Official HSE framework expansion. Relevant to designated roles, approvals and administrative arrangements.</t>
        </is>
      </c>
      <c r="AP50" s="131" t="inlineStr">
        <is>
          <t>OFFICIAL_WEBSITE</t>
        </is>
      </c>
      <c r="AQ50" s="131" t="inlineStr">
        <is>
          <t>OFFICIAL_ORIGINAL</t>
        </is>
      </c>
      <c r="AR50" s="131" t="inlineStr">
        <is>
          <t>ROLLING</t>
        </is>
      </c>
      <c r="AS50" s="13" t="n"/>
    </row>
    <row r="51" ht="30" customHeight="1" s="41">
      <c r="A51" s="132" t="inlineStr">
        <is>
          <t>PA049</t>
        </is>
      </c>
      <c r="B51" s="132" t="inlineStr">
        <is>
          <t>PA049-001</t>
        </is>
      </c>
      <c r="C51" s="127" t="inlineStr">
        <is>
          <t>PA049-001_Regulation_on_working_environment_safety_and_health_for_persons_working_on_board_ships.html</t>
        </is>
      </c>
      <c r="D51" s="128" t="inlineStr">
        <is>
          <t>STORED</t>
        </is>
      </c>
      <c r="E51" s="128">
        <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f>
        <v/>
      </c>
      <c r="F51" s="128" t="inlineStr">
        <is>
          <t>SUCCESS</t>
        </is>
      </c>
      <c r="G51" s="129" t="n">
        <v>46262.53106481482</v>
      </c>
      <c r="H51" s="129" t="n">
        <v>46262.53106481482</v>
      </c>
      <c r="I51" s="128" t="inlineStr">
        <is>
          <t>INITIAL</t>
        </is>
      </c>
      <c r="J51" s="128" t="inlineStr">
        <is>
          <t>AUTO</t>
        </is>
      </c>
      <c r="K51" s="130">
        <f>IF(A51="","",IF(J51="AUTO",H51,IF(J51="MANUAL",AK51,"")))</f>
        <v/>
      </c>
      <c r="L51" s="128" t="inlineStr">
        <is>
          <t>NONE</t>
        </is>
      </c>
      <c r="M51" s="12" t="n"/>
      <c r="N51" s="128">
        <f>IF(A51="","",IF(COUNTIFS('Human Operation Desktop'!$A$3:$A$502,A51,'Human Operation Desktop'!$I$3:$I$502,"&lt;&gt;APPLIED",'Human Operation Desktop'!$I$3:$I$502,"&lt;&gt;REJECTED")&gt;0,"YES","NO"))</f>
        <v/>
      </c>
      <c r="O51" s="128" t="inlineStr">
        <is>
          <t>669c8fb7232983d365c22bc01253bfe1b6d121397439e31345698e43fa3fcba1</t>
        </is>
      </c>
      <c r="P51" s="131" t="inlineStr">
        <is>
          <t>Regulation on working environment, safety and health for persons working on board ships</t>
        </is>
      </c>
      <c r="Q51" s="131" t="inlineStr">
        <is>
          <t>https://lovdata.no/dokument/SF/forskrift/2005-01-01-8</t>
        </is>
      </c>
      <c r="R51" s="131" t="inlineStr">
        <is>
          <t>https://lovdata.no/dokument/SF/forskrift/2005-01-01-8</t>
        </is>
      </c>
      <c r="S51" s="131" t="inlineStr">
        <is>
          <t>A_Public_Authority</t>
        </is>
      </c>
      <c r="T51" s="131" t="inlineStr">
        <is>
          <t>html</t>
        </is>
      </c>
      <c r="U51" s="131" t="inlineStr">
        <is>
          <t>Norwegian Ministry of Trade, Industry and Fisheries</t>
        </is>
      </c>
      <c r="V51" s="131" t="inlineStr">
        <is>
          <t>Norway</t>
        </is>
      </c>
      <c r="W51" s="131" t="inlineStr">
        <is>
          <t>Norwegian</t>
        </is>
      </c>
      <c r="X51" s="13" t="n"/>
      <c r="Y51" s="13" t="n"/>
      <c r="Z51" s="131" t="inlineStr">
        <is>
          <t>Public authority</t>
        </is>
      </c>
      <c r="AA51" s="131" t="inlineStr">
        <is>
          <t>Regulation</t>
        </is>
      </c>
      <c r="AB51" s="131" t="inlineStr">
        <is>
          <t>Primary normative</t>
        </is>
      </c>
      <c r="AC51" s="131" t="inlineStr">
        <is>
          <t>Official regulation issued by Norwegian Ministry of Trade, Industry and Fisheries; included because it may impose binding requirements on an in-scope aquaculture asset, activity, permit or certification.</t>
        </is>
      </c>
      <c r="AD51" s="131" t="inlineStr">
        <is>
          <t>HIGH</t>
        </is>
      </c>
      <c r="AE51" s="131" t="inlineStr">
        <is>
          <t>MEDIUM</t>
        </is>
      </c>
      <c r="AF51" s="131" t="inlineStr">
        <is>
          <t>HIGH</t>
        </is>
      </c>
      <c r="AG51" s="131" t="inlineStr">
        <is>
          <t>HIGH</t>
        </is>
      </c>
      <c r="AH51" s="131" t="inlineStr">
        <is>
          <t>HIGH</t>
        </is>
      </c>
      <c r="AI51" s="131" t="inlineStr">
        <is>
          <t>HIGH</t>
        </is>
      </c>
      <c r="AJ51" s="131" t="inlineStr">
        <is>
          <t>PENDING</t>
        </is>
      </c>
      <c r="AK51" s="125" t="n"/>
      <c r="AL51" s="13" t="n"/>
      <c r="AM51" s="131" t="inlineStr">
        <is>
          <t>CURRENT</t>
        </is>
      </c>
      <c r="AN51" s="131" t="inlineStr">
        <is>
          <t>PA018</t>
        </is>
      </c>
      <c r="AO51" s="131" t="inlineStr">
        <is>
          <t>Official maritime HSE expansion. Include only for personnel and vessels falling within maritime scope.</t>
        </is>
      </c>
      <c r="AP51" s="131" t="inlineStr">
        <is>
          <t>OFFICIAL_WEBSITE</t>
        </is>
      </c>
      <c r="AQ51" s="131" t="inlineStr">
        <is>
          <t>OFFICIAL_ORIGINAL</t>
        </is>
      </c>
      <c r="AR51" s="131" t="inlineStr">
        <is>
          <t>ROLLING</t>
        </is>
      </c>
      <c r="AS51" s="13" t="n"/>
    </row>
    <row r="52" ht="30" customHeight="1" s="41">
      <c r="A52" s="126" t="inlineStr">
        <is>
          <t>PA050</t>
        </is>
      </c>
      <c r="B52" s="126" t="inlineStr">
        <is>
          <t>PA050-001</t>
        </is>
      </c>
      <c r="C52" s="127" t="inlineStr">
        <is>
          <t>PA050-001_Harbours_and_Fairways_Act.html</t>
        </is>
      </c>
      <c r="D52" s="128" t="inlineStr">
        <is>
          <t>STORED</t>
        </is>
      </c>
      <c r="E52" s="128">
        <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f>
        <v/>
      </c>
      <c r="F52" s="128" t="inlineStr">
        <is>
          <t>SUCCESS</t>
        </is>
      </c>
      <c r="G52" s="129" t="n">
        <v>46262.53106481482</v>
      </c>
      <c r="H52" s="129" t="n">
        <v>46262.53106481482</v>
      </c>
      <c r="I52" s="128" t="inlineStr">
        <is>
          <t>INITIAL</t>
        </is>
      </c>
      <c r="J52" s="128" t="inlineStr">
        <is>
          <t>AUTO</t>
        </is>
      </c>
      <c r="K52" s="130">
        <f>IF(A52="","",IF(J52="AUTO",H52,IF(J52="MANUAL",AK52,"")))</f>
        <v/>
      </c>
      <c r="L52" s="128" t="inlineStr">
        <is>
          <t>NONE</t>
        </is>
      </c>
      <c r="M52" s="12" t="n"/>
      <c r="N52" s="128">
        <f>IF(A52="","",IF(COUNTIFS('Human Operation Desktop'!$A$3:$A$502,A52,'Human Operation Desktop'!$I$3:$I$502,"&lt;&gt;APPLIED",'Human Operation Desktop'!$I$3:$I$502,"&lt;&gt;REJECTED")&gt;0,"YES","NO"))</f>
        <v/>
      </c>
      <c r="O52" s="128" t="inlineStr">
        <is>
          <t>b3340595ebd0e5912f032c385ccebc254cd79b719a1f625d87b4a340b66df3d7</t>
        </is>
      </c>
      <c r="P52" s="131" t="inlineStr">
        <is>
          <t>Harbours and Fairways Act</t>
        </is>
      </c>
      <c r="Q52" s="131" t="inlineStr">
        <is>
          <t>https://lovdata.no/dokument/NL/lov/2019-06-21-70</t>
        </is>
      </c>
      <c r="R52" s="131" t="inlineStr">
        <is>
          <t>https://lovdata.no/dokument/NL/lov/2019-06-21-70</t>
        </is>
      </c>
      <c r="S52" s="131" t="inlineStr">
        <is>
          <t>A_Public_Authority</t>
        </is>
      </c>
      <c r="T52" s="131" t="inlineStr">
        <is>
          <t>html</t>
        </is>
      </c>
      <c r="U52" s="131" t="inlineStr">
        <is>
          <t>Norwegian Ministry of Trade, Industry and Fisheries</t>
        </is>
      </c>
      <c r="V52" s="131" t="inlineStr">
        <is>
          <t>Norway</t>
        </is>
      </c>
      <c r="W52" s="131" t="inlineStr">
        <is>
          <t>Norwegian</t>
        </is>
      </c>
      <c r="X52" s="13" t="n"/>
      <c r="Y52" s="13" t="n"/>
      <c r="Z52" s="131" t="inlineStr">
        <is>
          <t>Public authority</t>
        </is>
      </c>
      <c r="AA52" s="131" t="inlineStr">
        <is>
          <t>Law</t>
        </is>
      </c>
      <c r="AB52" s="131" t="inlineStr">
        <is>
          <t>Primary normative</t>
        </is>
      </c>
      <c r="AC52" s="131" t="inlineStr">
        <is>
          <t>Official law issued by Norwegian Ministry of Trade, Industry and Fisheries; included because it may impose binding requirements on an in-scope aquaculture asset, activity, permit or certification.</t>
        </is>
      </c>
      <c r="AD52" s="131" t="inlineStr">
        <is>
          <t>HIGH</t>
        </is>
      </c>
      <c r="AE52" s="131" t="inlineStr">
        <is>
          <t>HIGH</t>
        </is>
      </c>
      <c r="AF52" s="131" t="inlineStr">
        <is>
          <t>HIGH</t>
        </is>
      </c>
      <c r="AG52" s="131" t="inlineStr">
        <is>
          <t>HIGH</t>
        </is>
      </c>
      <c r="AH52" s="131" t="inlineStr">
        <is>
          <t>HIGH</t>
        </is>
      </c>
      <c r="AI52" s="131" t="inlineStr">
        <is>
          <t>HIGH</t>
        </is>
      </c>
      <c r="AJ52" s="131" t="inlineStr">
        <is>
          <t>INCLUDE</t>
        </is>
      </c>
      <c r="AK52" s="125" t="n"/>
      <c r="AL52" s="13" t="n"/>
      <c r="AM52" s="131" t="inlineStr">
        <is>
          <t>CURRENT</t>
        </is>
      </c>
      <c r="AN52" s="13" t="n"/>
      <c r="AO52" s="131" t="inlineStr">
        <is>
          <t>Official permitting expansion. Relevant to sea-based site placement, navigation and measures in fairways.</t>
        </is>
      </c>
      <c r="AP52" s="131" t="inlineStr">
        <is>
          <t>OFFICIAL_WEBSITE</t>
        </is>
      </c>
      <c r="AQ52" s="131" t="inlineStr">
        <is>
          <t>OFFICIAL_ORIGINAL</t>
        </is>
      </c>
      <c r="AR52" s="131" t="inlineStr">
        <is>
          <t>ROLLING</t>
        </is>
      </c>
      <c r="AS52" s="13" t="n"/>
    </row>
    <row r="53" ht="30" customHeight="1" s="41">
      <c r="A53" s="132" t="inlineStr">
        <is>
          <t>PA051</t>
        </is>
      </c>
      <c r="B53" s="132" t="inlineStr">
        <is>
          <t>PA051-001</t>
        </is>
      </c>
      <c r="C53" s="127" t="inlineStr">
        <is>
          <t>PA051-001_Planning_and_Building_Act.html</t>
        </is>
      </c>
      <c r="D53" s="128" t="inlineStr">
        <is>
          <t>STORED</t>
        </is>
      </c>
      <c r="E53" s="128">
        <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f>
        <v/>
      </c>
      <c r="F53" s="128" t="inlineStr">
        <is>
          <t>SUCCESS</t>
        </is>
      </c>
      <c r="G53" s="129" t="n">
        <v>46262.53106481482</v>
      </c>
      <c r="H53" s="129" t="n">
        <v>46262.53106481482</v>
      </c>
      <c r="I53" s="128" t="inlineStr">
        <is>
          <t>INITIAL</t>
        </is>
      </c>
      <c r="J53" s="128" t="inlineStr">
        <is>
          <t>AUTO</t>
        </is>
      </c>
      <c r="K53" s="130">
        <f>IF(A53="","",IF(J53="AUTO",H53,IF(J53="MANUAL",AK53,"")))</f>
        <v/>
      </c>
      <c r="L53" s="128" t="inlineStr">
        <is>
          <t>NONE</t>
        </is>
      </c>
      <c r="M53" s="12" t="n"/>
      <c r="N53" s="128">
        <f>IF(A53="","",IF(COUNTIFS('Human Operation Desktop'!$A$3:$A$502,A53,'Human Operation Desktop'!$I$3:$I$502,"&lt;&gt;APPLIED",'Human Operation Desktop'!$I$3:$I$502,"&lt;&gt;REJECTED")&gt;0,"YES","NO"))</f>
        <v/>
      </c>
      <c r="O53" s="128" t="inlineStr">
        <is>
          <t>f2cb33416ae233a0616722ffb0ebf377bf1eea2da309fbee385495f01062c5d2</t>
        </is>
      </c>
      <c r="P53" s="131" t="inlineStr">
        <is>
          <t>Planning and Building Act</t>
        </is>
      </c>
      <c r="Q53" s="131" t="inlineStr">
        <is>
          <t>https://lovdata.no/dokument/NL/lov/2008-06-27-71</t>
        </is>
      </c>
      <c r="R53" s="131" t="inlineStr">
        <is>
          <t>https://lovdata.no/dokument/NL/lov/2008-06-27-71</t>
        </is>
      </c>
      <c r="S53" s="131" t="inlineStr">
        <is>
          <t>A_Public_Authority</t>
        </is>
      </c>
      <c r="T53" s="131" t="inlineStr">
        <is>
          <t>html</t>
        </is>
      </c>
      <c r="U53" s="131" t="inlineStr">
        <is>
          <t>Norwegian Ministry of Local Government and Regional Development</t>
        </is>
      </c>
      <c r="V53" s="131" t="inlineStr">
        <is>
          <t>Norway</t>
        </is>
      </c>
      <c r="W53" s="131" t="inlineStr">
        <is>
          <t>Norwegian</t>
        </is>
      </c>
      <c r="X53" s="13" t="n"/>
      <c r="Y53" s="13" t="n"/>
      <c r="Z53" s="131" t="inlineStr">
        <is>
          <t>Public authority</t>
        </is>
      </c>
      <c r="AA53" s="131" t="inlineStr">
        <is>
          <t>Law</t>
        </is>
      </c>
      <c r="AB53" s="131" t="inlineStr">
        <is>
          <t>Referenced normative</t>
        </is>
      </c>
      <c r="AC53" s="131" t="inlineStr">
        <is>
          <t>Official referenced source from Norwegian Ministry of Local Government and Regional Development; included because an applicable law, permit or certification scheme may make its provisions binding within the approved scope.</t>
        </is>
      </c>
      <c r="AD53" s="131" t="inlineStr">
        <is>
          <t>HIGH</t>
        </is>
      </c>
      <c r="AE53" s="131" t="inlineStr">
        <is>
          <t>MEDIUM</t>
        </is>
      </c>
      <c r="AF53" s="131" t="inlineStr">
        <is>
          <t>HIGH</t>
        </is>
      </c>
      <c r="AG53" s="131" t="inlineStr">
        <is>
          <t>HIGH</t>
        </is>
      </c>
      <c r="AH53" s="131" t="inlineStr">
        <is>
          <t>HIGH</t>
        </is>
      </c>
      <c r="AI53" s="131" t="inlineStr">
        <is>
          <t>HIGH</t>
        </is>
      </c>
      <c r="AJ53" s="131" t="inlineStr">
        <is>
          <t>PENDING</t>
        </is>
      </c>
      <c r="AK53" s="125" t="n"/>
      <c r="AL53" s="13" t="n"/>
      <c r="AM53" s="131" t="inlineStr">
        <is>
          <t>CURRENT</t>
        </is>
      </c>
      <c r="AN53" s="13" t="n"/>
      <c r="AO53" s="131" t="inlineStr">
        <is>
          <t>Official permitting expansion. Relevance depends on municipal plans, land-based works and the specific application.</t>
        </is>
      </c>
      <c r="AP53" s="131" t="inlineStr">
        <is>
          <t>OFFICIAL_WEBSITE</t>
        </is>
      </c>
      <c r="AQ53" s="131" t="inlineStr">
        <is>
          <t>OFFICIAL_ORIGINAL</t>
        </is>
      </c>
      <c r="AR53" s="131" t="inlineStr">
        <is>
          <t>ROLLING</t>
        </is>
      </c>
      <c r="AS53" s="13" t="n"/>
    </row>
    <row r="54" ht="30" customHeight="1" s="41">
      <c r="A54" s="126" t="inlineStr">
        <is>
          <t>PA052</t>
        </is>
      </c>
      <c r="B54" s="126" t="inlineStr">
        <is>
          <t>PA052-001</t>
        </is>
      </c>
      <c r="C54" s="127" t="inlineStr">
        <is>
          <t>PA052-001_Cultural_Heritage_Act.html</t>
        </is>
      </c>
      <c r="D54" s="128" t="inlineStr">
        <is>
          <t>STORED</t>
        </is>
      </c>
      <c r="E54" s="128">
        <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f>
        <v/>
      </c>
      <c r="F54" s="128" t="inlineStr">
        <is>
          <t>SUCCESS</t>
        </is>
      </c>
      <c r="G54" s="129" t="n">
        <v>46262.53106481482</v>
      </c>
      <c r="H54" s="129" t="n">
        <v>46262.53107638889</v>
      </c>
      <c r="I54" s="128" t="inlineStr">
        <is>
          <t>INITIAL</t>
        </is>
      </c>
      <c r="J54" s="128" t="inlineStr">
        <is>
          <t>AUTO</t>
        </is>
      </c>
      <c r="K54" s="130">
        <f>IF(A54="","",IF(J54="AUTO",H54,IF(J54="MANUAL",AK54,"")))</f>
        <v/>
      </c>
      <c r="L54" s="128" t="inlineStr">
        <is>
          <t>NONE</t>
        </is>
      </c>
      <c r="M54" s="12" t="n"/>
      <c r="N54" s="128">
        <f>IF(A54="","",IF(COUNTIFS('Human Operation Desktop'!$A$3:$A$502,A54,'Human Operation Desktop'!$I$3:$I$502,"&lt;&gt;APPLIED",'Human Operation Desktop'!$I$3:$I$502,"&lt;&gt;REJECTED")&gt;0,"YES","NO"))</f>
        <v/>
      </c>
      <c r="O54" s="128" t="inlineStr">
        <is>
          <t>70a7268b5afd45f369ef12f9d167fc6b9b87d65af7bbc46a28e19a40563b2bcb</t>
        </is>
      </c>
      <c r="P54" s="131" t="inlineStr">
        <is>
          <t>Cultural Heritage Act</t>
        </is>
      </c>
      <c r="Q54" s="131" t="inlineStr">
        <is>
          <t>https://lovdata.no/dokument/NL/lov/1978-06-09-50</t>
        </is>
      </c>
      <c r="R54" s="131" t="inlineStr">
        <is>
          <t>https://lovdata.no/dokument/NL/lov/1978-06-09-50</t>
        </is>
      </c>
      <c r="S54" s="131" t="inlineStr">
        <is>
          <t>A_Public_Authority</t>
        </is>
      </c>
      <c r="T54" s="131" t="inlineStr">
        <is>
          <t>html</t>
        </is>
      </c>
      <c r="U54" s="131" t="inlineStr">
        <is>
          <t>Norwegian Ministry of Climate and Environment</t>
        </is>
      </c>
      <c r="V54" s="131" t="inlineStr">
        <is>
          <t>Norway</t>
        </is>
      </c>
      <c r="W54" s="131" t="inlineStr">
        <is>
          <t>Norwegian</t>
        </is>
      </c>
      <c r="X54" s="13" t="n"/>
      <c r="Y54" s="13" t="n"/>
      <c r="Z54" s="131" t="inlineStr">
        <is>
          <t>Public authority</t>
        </is>
      </c>
      <c r="AA54" s="131" t="inlineStr">
        <is>
          <t>Law</t>
        </is>
      </c>
      <c r="AB54" s="131" t="inlineStr">
        <is>
          <t>Referenced normative</t>
        </is>
      </c>
      <c r="AC54" s="131" t="inlineStr">
        <is>
          <t>Official referenced source from Norwegian Ministry of Climate and Environment; included because an applicable law, permit or certification scheme may make its provisions binding within the approved scope.</t>
        </is>
      </c>
      <c r="AD54" s="131" t="inlineStr">
        <is>
          <t>HIGH</t>
        </is>
      </c>
      <c r="AE54" s="131" t="inlineStr">
        <is>
          <t>MEDIUM</t>
        </is>
      </c>
      <c r="AF54" s="131" t="inlineStr">
        <is>
          <t>HIGH</t>
        </is>
      </c>
      <c r="AG54" s="131" t="inlineStr">
        <is>
          <t>HIGH</t>
        </is>
      </c>
      <c r="AH54" s="131" t="inlineStr">
        <is>
          <t>HIGH</t>
        </is>
      </c>
      <c r="AI54" s="131" t="inlineStr">
        <is>
          <t>HIGH</t>
        </is>
      </c>
      <c r="AJ54" s="131" t="inlineStr">
        <is>
          <t>PENDING</t>
        </is>
      </c>
      <c r="AK54" s="125" t="n"/>
      <c r="AL54" s="13" t="n"/>
      <c r="AM54" s="131" t="inlineStr">
        <is>
          <t>CURRENT</t>
        </is>
      </c>
      <c r="AN54" s="13" t="n"/>
      <c r="AO54" s="131" t="inlineStr">
        <is>
          <t>Official permitting expansion. Site-specific relevance depends on registered or discovered cultural heritage.</t>
        </is>
      </c>
      <c r="AP54" s="131" t="inlineStr">
        <is>
          <t>OFFICIAL_WEBSITE</t>
        </is>
      </c>
      <c r="AQ54" s="131" t="inlineStr">
        <is>
          <t>OFFICIAL_ORIGINAL</t>
        </is>
      </c>
      <c r="AR54" s="131" t="inlineStr">
        <is>
          <t>ROLLING</t>
        </is>
      </c>
      <c r="AS54" s="13" t="n"/>
    </row>
    <row r="55" ht="30" customHeight="1" s="41">
      <c r="A55" s="132" t="inlineStr">
        <is>
          <t>PA053</t>
        </is>
      </c>
      <c r="B55" s="132" t="inlineStr">
        <is>
          <t>PA053-001</t>
        </is>
      </c>
      <c r="C55" s="127" t="inlineStr">
        <is>
          <t>PA053-001_Water_Resources_Act.html</t>
        </is>
      </c>
      <c r="D55" s="128" t="inlineStr">
        <is>
          <t>STORED</t>
        </is>
      </c>
      <c r="E55" s="128">
        <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f>
        <v/>
      </c>
      <c r="F55" s="128" t="inlineStr">
        <is>
          <t>SUCCESS</t>
        </is>
      </c>
      <c r="G55" s="129" t="n">
        <v>46262.53107638889</v>
      </c>
      <c r="H55" s="129" t="n">
        <v>46262.53107638889</v>
      </c>
      <c r="I55" s="128" t="inlineStr">
        <is>
          <t>INITIAL</t>
        </is>
      </c>
      <c r="J55" s="128" t="inlineStr">
        <is>
          <t>AUTO</t>
        </is>
      </c>
      <c r="K55" s="130">
        <f>IF(A55="","",IF(J55="AUTO",H55,IF(J55="MANUAL",AK55,"")))</f>
        <v/>
      </c>
      <c r="L55" s="128" t="inlineStr">
        <is>
          <t>NONE</t>
        </is>
      </c>
      <c r="M55" s="12" t="n"/>
      <c r="N55" s="128">
        <f>IF(A55="","",IF(COUNTIFS('Human Operation Desktop'!$A$3:$A$502,A55,'Human Operation Desktop'!$I$3:$I$502,"&lt;&gt;APPLIED",'Human Operation Desktop'!$I$3:$I$502,"&lt;&gt;REJECTED")&gt;0,"YES","NO"))</f>
        <v/>
      </c>
      <c r="O55" s="128" t="inlineStr">
        <is>
          <t>4f34d5e27c31a36b0d4578795a149e441341f41df43c89eb9aac6a5da9e075f8</t>
        </is>
      </c>
      <c r="P55" s="131" t="inlineStr">
        <is>
          <t>Water Resources Act</t>
        </is>
      </c>
      <c r="Q55" s="131" t="inlineStr">
        <is>
          <t>https://lovdata.no/dokument/NL/lov/2000-11-24-82</t>
        </is>
      </c>
      <c r="R55" s="131" t="inlineStr">
        <is>
          <t>https://lovdata.no/dokument/NL/lov/2000-11-24-82</t>
        </is>
      </c>
      <c r="S55" s="131" t="inlineStr">
        <is>
          <t>A_Public_Authority</t>
        </is>
      </c>
      <c r="T55" s="131" t="inlineStr">
        <is>
          <t>html</t>
        </is>
      </c>
      <c r="U55" s="131" t="inlineStr">
        <is>
          <t>Norwegian Ministry of Energy</t>
        </is>
      </c>
      <c r="V55" s="131" t="inlineStr">
        <is>
          <t>Norway</t>
        </is>
      </c>
      <c r="W55" s="131" t="inlineStr">
        <is>
          <t>Norwegian</t>
        </is>
      </c>
      <c r="X55" s="13" t="n"/>
      <c r="Y55" s="13" t="n"/>
      <c r="Z55" s="131" t="inlineStr">
        <is>
          <t>Public authority</t>
        </is>
      </c>
      <c r="AA55" s="131" t="inlineStr">
        <is>
          <t>Law</t>
        </is>
      </c>
      <c r="AB55" s="131" t="inlineStr">
        <is>
          <t>Referenced normative</t>
        </is>
      </c>
      <c r="AC55" s="131" t="inlineStr">
        <is>
          <t>Official referenced source from Norwegian Ministry of Energy; included because an applicable law, permit or certification scheme may make its provisions binding within the approved scope.</t>
        </is>
      </c>
      <c r="AD55" s="131" t="inlineStr">
        <is>
          <t>HIGH</t>
        </is>
      </c>
      <c r="AE55" s="131" t="inlineStr">
        <is>
          <t>MEDIUM</t>
        </is>
      </c>
      <c r="AF55" s="131" t="inlineStr">
        <is>
          <t>HIGH</t>
        </is>
      </c>
      <c r="AG55" s="131" t="inlineStr">
        <is>
          <t>HIGH</t>
        </is>
      </c>
      <c r="AH55" s="131" t="inlineStr">
        <is>
          <t>HIGH</t>
        </is>
      </c>
      <c r="AI55" s="131" t="inlineStr">
        <is>
          <t>HIGH</t>
        </is>
      </c>
      <c r="AJ55" s="131" t="inlineStr">
        <is>
          <t>PENDING</t>
        </is>
      </c>
      <c r="AK55" s="125" t="n"/>
      <c r="AL55" s="13" t="n"/>
      <c r="AM55" s="131" t="inlineStr">
        <is>
          <t>CURRENT</t>
        </is>
      </c>
      <c r="AN55" s="13" t="n"/>
      <c r="AO55" s="131" t="inlineStr">
        <is>
          <t>Official permitting expansion. Particularly relevant to freshwater or water-abstraction and discharge arrangements.</t>
        </is>
      </c>
      <c r="AP55" s="131" t="inlineStr">
        <is>
          <t>OFFICIAL_WEBSITE</t>
        </is>
      </c>
      <c r="AQ55" s="131" t="inlineStr">
        <is>
          <t>OFFICIAL_ORIGINAL</t>
        </is>
      </c>
      <c r="AR55" s="131" t="inlineStr">
        <is>
          <t>ROLLING</t>
        </is>
      </c>
      <c r="AS55" s="13" t="n"/>
    </row>
    <row r="56" ht="30" customHeight="1" s="41">
      <c r="A56" s="126" t="inlineStr">
        <is>
          <t>PA054</t>
        </is>
      </c>
      <c r="B56" s="126" t="inlineStr">
        <is>
          <t>PA054-001</t>
        </is>
      </c>
      <c r="C56" s="127" t="inlineStr">
        <is>
          <t>PA054-001_Marine_Nature_Protection_Act.html</t>
        </is>
      </c>
      <c r="D56" s="128" t="inlineStr">
        <is>
          <t>STORED</t>
        </is>
      </c>
      <c r="E56" s="128">
        <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f>
        <v/>
      </c>
      <c r="F56" s="128" t="inlineStr">
        <is>
          <t>SUCCESS</t>
        </is>
      </c>
      <c r="G56" s="129" t="n">
        <v>46262.53107638889</v>
      </c>
      <c r="H56" s="129" t="n">
        <v>46262.53107638889</v>
      </c>
      <c r="I56" s="128" t="inlineStr">
        <is>
          <t>INITIAL</t>
        </is>
      </c>
      <c r="J56" s="128" t="inlineStr">
        <is>
          <t>AUTO</t>
        </is>
      </c>
      <c r="K56" s="130">
        <f>IF(A56="","",IF(J56="AUTO",H56,IF(J56="MANUAL",AK56,"")))</f>
        <v/>
      </c>
      <c r="L56" s="128" t="inlineStr">
        <is>
          <t>NONE</t>
        </is>
      </c>
      <c r="M56" s="12" t="n"/>
      <c r="N56" s="128">
        <f>IF(A56="","",IF(COUNTIFS('Human Operation Desktop'!$A$3:$A$502,A56,'Human Operation Desktop'!$I$3:$I$502,"&lt;&gt;APPLIED",'Human Operation Desktop'!$I$3:$I$502,"&lt;&gt;REJECTED")&gt;0,"YES","NO"))</f>
        <v/>
      </c>
      <c r="O56" s="128" t="inlineStr">
        <is>
          <t>4dce1de2f48bf0d24398b17145c4c2286152eb61a354107445022488b2808c71</t>
        </is>
      </c>
      <c r="P56" s="131" t="inlineStr">
        <is>
          <t>Marine Nature Protection Act</t>
        </is>
      </c>
      <c r="Q56" s="131" t="inlineStr">
        <is>
          <t>https://lovdata.no/dokument/NL/lov/2025-06-10-33</t>
        </is>
      </c>
      <c r="R56" s="131" t="inlineStr">
        <is>
          <t>https://lovdata.no/dokument/NL/lov/2025-06-10-33</t>
        </is>
      </c>
      <c r="S56" s="131" t="inlineStr">
        <is>
          <t>A_Public_Authority</t>
        </is>
      </c>
      <c r="T56" s="131" t="inlineStr">
        <is>
          <t>html</t>
        </is>
      </c>
      <c r="U56" s="131" t="inlineStr">
        <is>
          <t>Norwegian Ministry of Climate and Environment</t>
        </is>
      </c>
      <c r="V56" s="131" t="inlineStr">
        <is>
          <t>Norway</t>
        </is>
      </c>
      <c r="W56" s="131" t="inlineStr">
        <is>
          <t>Norwegian</t>
        </is>
      </c>
      <c r="X56" s="13" t="n"/>
      <c r="Y56" s="131" t="n">
        <v>46023</v>
      </c>
      <c r="Z56" s="131" t="inlineStr">
        <is>
          <t>Public authority</t>
        </is>
      </c>
      <c r="AA56" s="131" t="inlineStr">
        <is>
          <t>Law</t>
        </is>
      </c>
      <c r="AB56" s="131" t="inlineStr">
        <is>
          <t>Referenced normative</t>
        </is>
      </c>
      <c r="AC56" s="131" t="inlineStr">
        <is>
          <t>Official referenced source from Norwegian Ministry of Climate and Environment; included because an applicable law, permit or certification scheme may make its provisions binding within the approved scope.</t>
        </is>
      </c>
      <c r="AD56" s="131" t="inlineStr">
        <is>
          <t>HIGH</t>
        </is>
      </c>
      <c r="AE56" s="131" t="inlineStr">
        <is>
          <t>MEDIUM</t>
        </is>
      </c>
      <c r="AF56" s="131" t="inlineStr">
        <is>
          <t>HIGH</t>
        </is>
      </c>
      <c r="AG56" s="131" t="inlineStr">
        <is>
          <t>HIGH</t>
        </is>
      </c>
      <c r="AH56" s="131" t="inlineStr">
        <is>
          <t>HIGH</t>
        </is>
      </c>
      <c r="AI56" s="131" t="inlineStr">
        <is>
          <t>HIGH</t>
        </is>
      </c>
      <c r="AJ56" s="131" t="inlineStr">
        <is>
          <t>PENDING</t>
        </is>
      </c>
      <c r="AK56" s="125" t="n"/>
      <c r="AL56" s="13" t="n"/>
      <c r="AM56" s="131" t="inlineStr">
        <is>
          <t>CURRENT</t>
        </is>
      </c>
      <c r="AN56" s="13" t="n"/>
      <c r="AO56" s="131" t="inlineStr">
        <is>
          <t>Official future-facing coverage expansion. Offshore and site-specific applicability must be confirmed before use.</t>
        </is>
      </c>
      <c r="AP56" s="131" t="inlineStr">
        <is>
          <t>OFFICIAL_WEBSITE</t>
        </is>
      </c>
      <c r="AQ56" s="131" t="inlineStr">
        <is>
          <t>OFFICIAL_ORIGINAL</t>
        </is>
      </c>
      <c r="AR56" s="131" t="inlineStr">
        <is>
          <t>ROLLING</t>
        </is>
      </c>
      <c r="AS56" s="13" t="n"/>
    </row>
    <row r="57" ht="30" customHeight="1" s="41">
      <c r="A57" s="132" t="inlineStr">
        <is>
          <t>PA055</t>
        </is>
      </c>
      <c r="B57" s="132" t="inlineStr">
        <is>
          <t>PA055-001</t>
        </is>
      </c>
      <c r="C57" s="127" t="inlineStr">
        <is>
          <t>PA055-001_Regulation_on_fairway_signs_and_navigational_devices.html</t>
        </is>
      </c>
      <c r="D57" s="128" t="inlineStr">
        <is>
          <t>STORED</t>
        </is>
      </c>
      <c r="E57" s="128">
        <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f>
        <v/>
      </c>
      <c r="F57" s="128" t="inlineStr">
        <is>
          <t>SUCCESS</t>
        </is>
      </c>
      <c r="G57" s="129" t="n">
        <v>46262.53107638889</v>
      </c>
      <c r="H57" s="129" t="n">
        <v>46262.53107638889</v>
      </c>
      <c r="I57" s="128" t="inlineStr">
        <is>
          <t>INITIAL</t>
        </is>
      </c>
      <c r="J57" s="128" t="inlineStr">
        <is>
          <t>AUTO</t>
        </is>
      </c>
      <c r="K57" s="130">
        <f>IF(A57="","",IF(J57="AUTO",H57,IF(J57="MANUAL",AK57,"")))</f>
        <v/>
      </c>
      <c r="L57" s="128" t="inlineStr">
        <is>
          <t>NONE</t>
        </is>
      </c>
      <c r="M57" s="12" t="n"/>
      <c r="N57" s="128">
        <f>IF(A57="","",IF(COUNTIFS('Human Operation Desktop'!$A$3:$A$502,A57,'Human Operation Desktop'!$I$3:$I$502,"&lt;&gt;APPLIED",'Human Operation Desktop'!$I$3:$I$502,"&lt;&gt;REJECTED")&gt;0,"YES","NO"))</f>
        <v/>
      </c>
      <c r="O57" s="128" t="inlineStr">
        <is>
          <t>c497ee186adeef3c2a97e4c9c9508a5b132a1e58eaf76ec1517408bd22fa25d9</t>
        </is>
      </c>
      <c r="P57" s="131" t="inlineStr">
        <is>
          <t>Regulation on fairway signs and navigational devices</t>
        </is>
      </c>
      <c r="Q57" s="131" t="inlineStr">
        <is>
          <t>https://lovdata.no/dokument/SF/forskrift/2012-12-19-1329</t>
        </is>
      </c>
      <c r="R57" s="131" t="inlineStr">
        <is>
          <t>https://lovdata.no/dokument/SF/forskrift/2012-12-19-1329</t>
        </is>
      </c>
      <c r="S57" s="131" t="inlineStr">
        <is>
          <t>A_Public_Authority</t>
        </is>
      </c>
      <c r="T57" s="131" t="inlineStr">
        <is>
          <t>html</t>
        </is>
      </c>
      <c r="U57" s="131" t="inlineStr">
        <is>
          <t>Norwegian Ministry of Trade, Industry and Fisheries</t>
        </is>
      </c>
      <c r="V57" s="131" t="inlineStr">
        <is>
          <t>Norway</t>
        </is>
      </c>
      <c r="W57" s="131" t="inlineStr">
        <is>
          <t>Norwegian</t>
        </is>
      </c>
      <c r="X57" s="13" t="n"/>
      <c r="Y57" s="13" t="n"/>
      <c r="Z57" s="131" t="inlineStr">
        <is>
          <t>Public authority</t>
        </is>
      </c>
      <c r="AA57" s="131" t="inlineStr">
        <is>
          <t>Regulation</t>
        </is>
      </c>
      <c r="AB57" s="131" t="inlineStr">
        <is>
          <t>Primary normative</t>
        </is>
      </c>
      <c r="AC57" s="131" t="inlineStr">
        <is>
          <t>Official regulation issued by Norwegian Ministry of Trade, Industry and Fisheries; included because it may impose binding requirements on an in-scope aquaculture asset, activity, permit or certification.</t>
        </is>
      </c>
      <c r="AD57" s="131" t="inlineStr">
        <is>
          <t>HIGH</t>
        </is>
      </c>
      <c r="AE57" s="131" t="inlineStr">
        <is>
          <t>HIGH</t>
        </is>
      </c>
      <c r="AF57" s="131" t="inlineStr">
        <is>
          <t>HIGH</t>
        </is>
      </c>
      <c r="AG57" s="131" t="inlineStr">
        <is>
          <t>HIGH</t>
        </is>
      </c>
      <c r="AH57" s="131" t="inlineStr">
        <is>
          <t>HIGH</t>
        </is>
      </c>
      <c r="AI57" s="131" t="inlineStr">
        <is>
          <t>HIGH</t>
        </is>
      </c>
      <c r="AJ57" s="131" t="inlineStr">
        <is>
          <t>INCLUDE</t>
        </is>
      </c>
      <c r="AK57" s="125" t="n"/>
      <c r="AL57" s="13" t="n"/>
      <c r="AM57" s="131" t="inlineStr">
        <is>
          <t>CURRENT</t>
        </is>
      </c>
      <c r="AN57" s="131" t="inlineStr">
        <is>
          <t>PA050</t>
        </is>
      </c>
      <c r="AO57" s="131" t="inlineStr">
        <is>
          <t>Official sea-site expansion. Includes marking and navigation-related provisions relevant to applicable aquaculture installations.</t>
        </is>
      </c>
      <c r="AP57" s="131" t="inlineStr">
        <is>
          <t>OFFICIAL_WEBSITE</t>
        </is>
      </c>
      <c r="AQ57" s="131" t="inlineStr">
        <is>
          <t>OFFICIAL_ORIGINAL</t>
        </is>
      </c>
      <c r="AR57" s="131" t="inlineStr">
        <is>
          <t>ROLLING</t>
        </is>
      </c>
      <c r="AS57" s="13" t="n"/>
    </row>
    <row r="58" ht="30" customHeight="1" s="41">
      <c r="A58" s="126" t="inlineStr">
        <is>
          <t>PA056</t>
        </is>
      </c>
      <c r="B58" s="126" t="inlineStr">
        <is>
          <t>PA056-001</t>
        </is>
      </c>
      <c r="C58" s="127" t="inlineStr">
        <is>
          <t>PA056-001_Fiskeridirektoratet_guidance_for_land-based_aquaculture_facilities.html</t>
        </is>
      </c>
      <c r="D58" s="128" t="inlineStr">
        <is>
          <t>STORED</t>
        </is>
      </c>
      <c r="E58" s="128">
        <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f>
        <v/>
      </c>
      <c r="F58" s="128" t="inlineStr">
        <is>
          <t>SUCCESS</t>
        </is>
      </c>
      <c r="G58" s="129" t="n">
        <v>46262.53108796296</v>
      </c>
      <c r="H58" s="129" t="n">
        <v>46262.53108796296</v>
      </c>
      <c r="I58" s="128" t="inlineStr">
        <is>
          <t>INITIAL</t>
        </is>
      </c>
      <c r="J58" s="128" t="inlineStr">
        <is>
          <t>AUTO</t>
        </is>
      </c>
      <c r="K58" s="130">
        <f>IF(A58="","",IF(J58="AUTO",H58,IF(J58="MANUAL",AK58,"")))</f>
        <v/>
      </c>
      <c r="L58" s="128" t="inlineStr">
        <is>
          <t>NONE</t>
        </is>
      </c>
      <c r="M58" s="12" t="n"/>
      <c r="N58" s="128">
        <f>IF(A58="","",IF(COUNTIFS('Human Operation Desktop'!$A$3:$A$502,A58,'Human Operation Desktop'!$I$3:$I$502,"&lt;&gt;APPLIED",'Human Operation Desktop'!$I$3:$I$502,"&lt;&gt;REJECTED")&gt;0,"YES","NO"))</f>
        <v/>
      </c>
      <c r="O58" s="128" t="inlineStr">
        <is>
          <t>73c197182a2280a093d6c7ec0a273ab6f46ad0e55edfddc0f31373937b21de93</t>
        </is>
      </c>
      <c r="P58" s="131" t="inlineStr">
        <is>
          <t>Fiskeridirektoratet guidance for land-based aquaculture facilities</t>
        </is>
      </c>
      <c r="Q58" s="131" t="inlineStr">
        <is>
          <t>https://www.fiskeridir.no/akvakultur/landbaserte-anlegg</t>
        </is>
      </c>
      <c r="R58" s="131" t="inlineStr">
        <is>
          <t>https://www.fiskeridir.no/akvakultur/landbaserte-anlegg</t>
        </is>
      </c>
      <c r="S58" s="131" t="inlineStr">
        <is>
          <t>A_Public_Authority</t>
        </is>
      </c>
      <c r="T58" s="131" t="inlineStr">
        <is>
          <t>html</t>
        </is>
      </c>
      <c r="U58" s="131" t="inlineStr">
        <is>
          <t>Norwegian Directorate of Fisheries</t>
        </is>
      </c>
      <c r="V58" s="131" t="inlineStr">
        <is>
          <t>Norway</t>
        </is>
      </c>
      <c r="W58" s="131" t="inlineStr">
        <is>
          <t>Norwegian</t>
        </is>
      </c>
      <c r="X58" s="13" t="n"/>
      <c r="Y58" s="13" t="n"/>
      <c r="Z58" s="131" t="inlineStr">
        <is>
          <t>Public authority</t>
        </is>
      </c>
      <c r="AA58" s="131" t="inlineStr">
        <is>
          <t>Interpretation document</t>
        </is>
      </c>
      <c r="AB58" s="131" t="inlineStr">
        <is>
          <t>Guidance / interpretation</t>
        </is>
      </c>
      <c r="AC58" s="131" t="inlineStr">
        <is>
          <t>Official guidance from Norwegian Directorate of Fisheries; included to interpret and operationalise linked normative requirements, not as independent legal or certification authority.</t>
        </is>
      </c>
      <c r="AD58" s="131" t="inlineStr">
        <is>
          <t>HIGH</t>
        </is>
      </c>
      <c r="AE58" s="131" t="inlineStr">
        <is>
          <t>MEDIUM</t>
        </is>
      </c>
      <c r="AF58" s="131" t="inlineStr">
        <is>
          <t>HIGH</t>
        </is>
      </c>
      <c r="AG58" s="131" t="inlineStr">
        <is>
          <t>HIGH</t>
        </is>
      </c>
      <c r="AH58" s="131" t="inlineStr">
        <is>
          <t>HIGH</t>
        </is>
      </c>
      <c r="AI58" s="131" t="inlineStr">
        <is>
          <t>HIGH</t>
        </is>
      </c>
      <c r="AJ58" s="131" t="inlineStr">
        <is>
          <t>PENDING</t>
        </is>
      </c>
      <c r="AK58" s="125" t="n"/>
      <c r="AL58" s="13" t="n"/>
      <c r="AM58" s="131" t="inlineStr">
        <is>
          <t>CURRENT</t>
        </is>
      </c>
      <c r="AN58" s="131" t="inlineStr">
        <is>
          <t>PA022</t>
        </is>
      </c>
      <c r="AO58" s="131" t="inlineStr">
        <is>
          <t>Official land-based facility guidance. Include only when land-based facilities are within scope.</t>
        </is>
      </c>
      <c r="AP58" s="131" t="inlineStr">
        <is>
          <t>OFFICIAL_WEBSITE</t>
        </is>
      </c>
      <c r="AQ58" s="131" t="inlineStr">
        <is>
          <t>OFFICIAL_ORIGINAL</t>
        </is>
      </c>
      <c r="AR58" s="131" t="inlineStr">
        <is>
          <t>ROLLING</t>
        </is>
      </c>
      <c r="AS58" s="13" t="n"/>
    </row>
    <row r="59" ht="30" customHeight="1" s="41">
      <c r="A59" s="132" t="inlineStr">
        <is>
          <t>PA057</t>
        </is>
      </c>
      <c r="B59" s="132" t="inlineStr">
        <is>
          <t>PA057-001</t>
        </is>
      </c>
      <c r="C59" s="127" t="inlineStr">
        <is>
          <t>PA057-001_Guidance_for_condition_assessment_of_land-based_aquaculture_facilities.pdf</t>
        </is>
      </c>
      <c r="D59" s="128" t="inlineStr">
        <is>
          <t>STORED</t>
        </is>
      </c>
      <c r="E59" s="128">
        <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f>
        <v/>
      </c>
      <c r="F59" s="128" t="inlineStr">
        <is>
          <t>SUCCESS</t>
        </is>
      </c>
      <c r="G59" s="129" t="n">
        <v>46262.53108796296</v>
      </c>
      <c r="H59" s="129" t="n">
        <v>46262.53109953704</v>
      </c>
      <c r="I59" s="128" t="inlineStr">
        <is>
          <t>INITIAL</t>
        </is>
      </c>
      <c r="J59" s="128" t="inlineStr">
        <is>
          <t>AUTO</t>
        </is>
      </c>
      <c r="K59" s="130">
        <f>IF(A59="","",IF(J59="AUTO",H59,IF(J59="MANUAL",AK59,"")))</f>
        <v/>
      </c>
      <c r="L59" s="128" t="inlineStr">
        <is>
          <t>NONE</t>
        </is>
      </c>
      <c r="M59" s="12" t="n"/>
      <c r="N59" s="128">
        <f>IF(A59="","",IF(COUNTIFS('Human Operation Desktop'!$A$3:$A$502,A59,'Human Operation Desktop'!$I$3:$I$502,"&lt;&gt;APPLIED",'Human Operation Desktop'!$I$3:$I$502,"&lt;&gt;REJECTED")&gt;0,"YES","NO"))</f>
        <v/>
      </c>
      <c r="O59" s="128" t="inlineStr">
        <is>
          <t>f9f6bd8531c2cd8a4cc7dd49e4035aaef6ff33cb2f7dbf93f0e340ca0b454778</t>
        </is>
      </c>
      <c r="P59" s="131" t="inlineStr">
        <is>
          <t>Guidance for condition assessment of land-based aquaculture facilities</t>
        </is>
      </c>
      <c r="Q59" s="131" t="inlineStr">
        <is>
          <t>https://www.fiskeridir.no/Akvakultur/Dokumenter/Veiledere/Tilstandsanalyse-av-landbaserte-anlegg</t>
        </is>
      </c>
      <c r="R59" s="131" t="inlineStr">
        <is>
          <t>https://www.fiskeridir.no/Akvakultur/Dokumenter/Veiledere/Tilstandsanalyse-av-landbaserte-anlegg/_/attachment/download/df2fc451-04b7-4984-8628-770e2cf13ac9%3Ad6ae5a53d45201b6bb2458a1e3506f3f9cd7e3fe/Veileder_tilstandsanalyse_20241011.pdf</t>
        </is>
      </c>
      <c r="S59" s="131" t="inlineStr">
        <is>
          <t>A_Public_Authority</t>
        </is>
      </c>
      <c r="T59" s="131" t="inlineStr">
        <is>
          <t>pdf</t>
        </is>
      </c>
      <c r="U59" s="131" t="inlineStr">
        <is>
          <t>Norwegian Directorate of Fisheries</t>
        </is>
      </c>
      <c r="V59" s="131" t="inlineStr">
        <is>
          <t>Norway</t>
        </is>
      </c>
      <c r="W59" s="131" t="inlineStr">
        <is>
          <t>Norwegian</t>
        </is>
      </c>
      <c r="X59" s="131" t="inlineStr">
        <is>
          <t>2024-10-11</t>
        </is>
      </c>
      <c r="Y59" s="13" t="n"/>
      <c r="Z59" s="131" t="inlineStr">
        <is>
          <t>Public authority</t>
        </is>
      </c>
      <c r="AA59" s="131" t="inlineStr">
        <is>
          <t>Interpretation document</t>
        </is>
      </c>
      <c r="AB59" s="131" t="inlineStr">
        <is>
          <t>Guidance / interpretation</t>
        </is>
      </c>
      <c r="AC59" s="131" t="inlineStr">
        <is>
          <t>Official guidance from Norwegian Directorate of Fisheries; included to interpret and operationalise linked normative requirements, not as independent legal or certification authority.</t>
        </is>
      </c>
      <c r="AD59" s="131" t="inlineStr">
        <is>
          <t>HIGH</t>
        </is>
      </c>
      <c r="AE59" s="131" t="inlineStr">
        <is>
          <t>MEDIUM</t>
        </is>
      </c>
      <c r="AF59" s="131" t="inlineStr">
        <is>
          <t>HIGH</t>
        </is>
      </c>
      <c r="AG59" s="131" t="inlineStr">
        <is>
          <t>HIGH</t>
        </is>
      </c>
      <c r="AH59" s="131" t="inlineStr">
        <is>
          <t>HIGH</t>
        </is>
      </c>
      <c r="AI59" s="131" t="inlineStr">
        <is>
          <t>HIGH</t>
        </is>
      </c>
      <c r="AJ59" s="131" t="inlineStr">
        <is>
          <t>PENDING</t>
        </is>
      </c>
      <c r="AK59" s="125" t="n"/>
      <c r="AL59" s="13" t="n"/>
      <c r="AM59" s="131" t="inlineStr">
        <is>
          <t>CURRENT</t>
        </is>
      </c>
      <c r="AN59" s="131" t="inlineStr">
        <is>
          <t>PA022</t>
        </is>
      </c>
      <c r="AO59" s="131" t="inlineStr">
        <is>
          <t>Official technical guidance linked to land-based facility regulation and NS 3424. Conditional on land-based scope.</t>
        </is>
      </c>
      <c r="AP59" s="131" t="inlineStr">
        <is>
          <t>OFFICIAL_WEBSITE</t>
        </is>
      </c>
      <c r="AQ59" s="131" t="inlineStr">
        <is>
          <t>OFFICIAL_ORIGINAL</t>
        </is>
      </c>
      <c r="AR59" s="131" t="inlineStr">
        <is>
          <t>VERSIONED</t>
        </is>
      </c>
      <c r="AS59" s="13" t="n"/>
    </row>
    <row r="60" ht="30" customHeight="1" s="41">
      <c r="A60" s="126" t="inlineStr">
        <is>
          <t>PA058</t>
        </is>
      </c>
      <c r="B60" s="126" t="inlineStr">
        <is>
          <t>PA058-001</t>
        </is>
      </c>
      <c r="C60" s="127" t="inlineStr">
        <is>
          <t>PA058-001_Animal_By-Products_Regulations.html</t>
        </is>
      </c>
      <c r="D60" s="128" t="inlineStr">
        <is>
          <t>STORED</t>
        </is>
      </c>
      <c r="E60" s="128">
        <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f>
        <v/>
      </c>
      <c r="F60" s="128" t="inlineStr">
        <is>
          <t>SUCCESS</t>
        </is>
      </c>
      <c r="G60" s="129" t="n">
        <v>46262.53109953704</v>
      </c>
      <c r="H60" s="129" t="n">
        <v>46262.53109953704</v>
      </c>
      <c r="I60" s="128" t="inlineStr">
        <is>
          <t>INITIAL</t>
        </is>
      </c>
      <c r="J60" s="128" t="inlineStr">
        <is>
          <t>AUTO</t>
        </is>
      </c>
      <c r="K60" s="130">
        <f>IF(A60="","",IF(J60="AUTO",H60,IF(J60="MANUAL",AK60,"")))</f>
        <v/>
      </c>
      <c r="L60" s="128" t="inlineStr">
        <is>
          <t>NONE</t>
        </is>
      </c>
      <c r="M60" s="12" t="n"/>
      <c r="N60" s="128">
        <f>IF(A60="","",IF(COUNTIFS('Human Operation Desktop'!$A$3:$A$502,A60,'Human Operation Desktop'!$I$3:$I$502,"&lt;&gt;APPLIED",'Human Operation Desktop'!$I$3:$I$502,"&lt;&gt;REJECTED")&gt;0,"YES","NO"))</f>
        <v/>
      </c>
      <c r="O60" s="128" t="inlineStr">
        <is>
          <t>fd75ab8dd58b68417b6da68c10c92a6952c7e7e2c8fdb7d48b02c8a46c6dee6a</t>
        </is>
      </c>
      <c r="P60" s="131" t="inlineStr">
        <is>
          <t>Animal By-Products Regulations</t>
        </is>
      </c>
      <c r="Q60" s="131" t="inlineStr">
        <is>
          <t>https://lovdata.no/dokument/SF/forskrift/2016-09-14-1064</t>
        </is>
      </c>
      <c r="R60" s="131" t="inlineStr">
        <is>
          <t>https://lovdata.no/dokument/SF/forskrift/2016-09-14-1064</t>
        </is>
      </c>
      <c r="S60" s="131" t="inlineStr">
        <is>
          <t>A_Public_Authority</t>
        </is>
      </c>
      <c r="T60" s="131" t="inlineStr">
        <is>
          <t>html</t>
        </is>
      </c>
      <c r="U60" s="131" t="inlineStr">
        <is>
          <t>Norwegian Ministry of Agriculture and Food</t>
        </is>
      </c>
      <c r="V60" s="131" t="inlineStr">
        <is>
          <t>Norway</t>
        </is>
      </c>
      <c r="W60" s="131" t="inlineStr">
        <is>
          <t>Norwegian</t>
        </is>
      </c>
      <c r="X60" s="13" t="n"/>
      <c r="Y60" s="13" t="n"/>
      <c r="Z60" s="131" t="inlineStr">
        <is>
          <t>Public authority</t>
        </is>
      </c>
      <c r="AA60" s="131" t="inlineStr">
        <is>
          <t>Regulation</t>
        </is>
      </c>
      <c r="AB60" s="131" t="inlineStr">
        <is>
          <t>Primary normative</t>
        </is>
      </c>
      <c r="AC60" s="131" t="inlineStr">
        <is>
          <t>Official regulation issued by Norwegian Ministry of Agriculture and Food; included because it may impose binding requirements on an in-scope aquaculture asset, activity, permit or certification.</t>
        </is>
      </c>
      <c r="AD60" s="131" t="inlineStr">
        <is>
          <t>HIGH</t>
        </is>
      </c>
      <c r="AE60" s="131" t="inlineStr">
        <is>
          <t>HIGH</t>
        </is>
      </c>
      <c r="AF60" s="131" t="inlineStr">
        <is>
          <t>HIGH</t>
        </is>
      </c>
      <c r="AG60" s="131" t="inlineStr">
        <is>
          <t>HIGH</t>
        </is>
      </c>
      <c r="AH60" s="131" t="inlineStr">
        <is>
          <t>HIGH</t>
        </is>
      </c>
      <c r="AI60" s="131" t="inlineStr">
        <is>
          <t>HIGH</t>
        </is>
      </c>
      <c r="AJ60" s="131" t="inlineStr">
        <is>
          <t>INCLUDE</t>
        </is>
      </c>
      <c r="AK60" s="125" t="n"/>
      <c r="AL60" s="13" t="n"/>
      <c r="AM60" s="131" t="inlineStr">
        <is>
          <t>CURRENT</t>
        </is>
      </c>
      <c r="AN60" s="13" t="n"/>
      <c r="AO60" s="131" t="inlineStr">
        <is>
          <t>Official food and animal-health expansion. Relevant to mortality, biological waste and animal by-product handling.</t>
        </is>
      </c>
      <c r="AP60" s="131" t="inlineStr">
        <is>
          <t>OFFICIAL_WEBSITE</t>
        </is>
      </c>
      <c r="AQ60" s="131" t="inlineStr">
        <is>
          <t>OFFICIAL_ORIGINAL</t>
        </is>
      </c>
      <c r="AR60" s="131" t="inlineStr">
        <is>
          <t>ROLLING</t>
        </is>
      </c>
      <c r="AS60" s="13" t="n"/>
    </row>
    <row r="61" ht="30" customHeight="1" s="41">
      <c r="A61" s="132" t="inlineStr">
        <is>
          <t>PA059</t>
        </is>
      </c>
      <c r="B61" s="132" t="inlineStr">
        <is>
          <t>PA059-001</t>
        </is>
      </c>
      <c r="C61" s="127" t="inlineStr">
        <is>
          <t>PA059-001_Feed_Hygiene_Regulations.html</t>
        </is>
      </c>
      <c r="D61" s="128" t="inlineStr">
        <is>
          <t>STORED</t>
        </is>
      </c>
      <c r="E61" s="128">
        <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f>
        <v/>
      </c>
      <c r="F61" s="128" t="inlineStr">
        <is>
          <t>SUCCESS</t>
        </is>
      </c>
      <c r="G61" s="129" t="n">
        <v>46262.53109953704</v>
      </c>
      <c r="H61" s="129" t="n">
        <v>46262.53109953704</v>
      </c>
      <c r="I61" s="128" t="inlineStr">
        <is>
          <t>INITIAL</t>
        </is>
      </c>
      <c r="J61" s="128" t="inlineStr">
        <is>
          <t>AUTO</t>
        </is>
      </c>
      <c r="K61" s="130">
        <f>IF(A61="","",IF(J61="AUTO",H61,IF(J61="MANUAL",AK61,"")))</f>
        <v/>
      </c>
      <c r="L61" s="128" t="inlineStr">
        <is>
          <t>NONE</t>
        </is>
      </c>
      <c r="M61" s="12" t="n"/>
      <c r="N61" s="128">
        <f>IF(A61="","",IF(COUNTIFS('Human Operation Desktop'!$A$3:$A$502,A61,'Human Operation Desktop'!$I$3:$I$502,"&lt;&gt;APPLIED",'Human Operation Desktop'!$I$3:$I$502,"&lt;&gt;REJECTED")&gt;0,"YES","NO"))</f>
        <v/>
      </c>
      <c r="O61" s="128" t="inlineStr">
        <is>
          <t>ed6c7697859784b170a511c1cf2959184626790cd65ed05c36bc863c6769a793</t>
        </is>
      </c>
      <c r="P61" s="131" t="inlineStr">
        <is>
          <t>Feed Hygiene Regulations</t>
        </is>
      </c>
      <c r="Q61" s="131" t="inlineStr">
        <is>
          <t>https://lovdata.no/dokument/SF/forskrift/2010-01-14-39</t>
        </is>
      </c>
      <c r="R61" s="131" t="inlineStr">
        <is>
          <t>https://lovdata.no/dokument/SF/forskrift/2010-01-14-39</t>
        </is>
      </c>
      <c r="S61" s="131" t="inlineStr">
        <is>
          <t>A_Public_Authority</t>
        </is>
      </c>
      <c r="T61" s="131" t="inlineStr">
        <is>
          <t>html</t>
        </is>
      </c>
      <c r="U61" s="131" t="inlineStr">
        <is>
          <t>Norwegian Ministry of Agriculture and Food</t>
        </is>
      </c>
      <c r="V61" s="131" t="inlineStr">
        <is>
          <t>Norway</t>
        </is>
      </c>
      <c r="W61" s="131" t="inlineStr">
        <is>
          <t>Norwegian</t>
        </is>
      </c>
      <c r="X61" s="13" t="n"/>
      <c r="Y61" s="13" t="n"/>
      <c r="Z61" s="131" t="inlineStr">
        <is>
          <t>Public authority</t>
        </is>
      </c>
      <c r="AA61" s="131" t="inlineStr">
        <is>
          <t>Regulation</t>
        </is>
      </c>
      <c r="AB61" s="131" t="inlineStr">
        <is>
          <t>Primary normative</t>
        </is>
      </c>
      <c r="AC61" s="131" t="inlineStr">
        <is>
          <t>Official regulation issued by Norwegian Ministry of Agriculture and Food; included because it may impose binding requirements on an in-scope aquaculture asset, activity, permit or certification.</t>
        </is>
      </c>
      <c r="AD61" s="131" t="inlineStr">
        <is>
          <t>HIGH</t>
        </is>
      </c>
      <c r="AE61" s="131" t="inlineStr">
        <is>
          <t>HIGH</t>
        </is>
      </c>
      <c r="AF61" s="131" t="inlineStr">
        <is>
          <t>HIGH</t>
        </is>
      </c>
      <c r="AG61" s="131" t="inlineStr">
        <is>
          <t>HIGH</t>
        </is>
      </c>
      <c r="AH61" s="131" t="inlineStr">
        <is>
          <t>HIGH</t>
        </is>
      </c>
      <c r="AI61" s="131" t="inlineStr">
        <is>
          <t>HIGH</t>
        </is>
      </c>
      <c r="AJ61" s="131" t="inlineStr">
        <is>
          <t>INCLUDE</t>
        </is>
      </c>
      <c r="AK61" s="125" t="n"/>
      <c r="AL61" s="13" t="n"/>
      <c r="AM61" s="131" t="inlineStr">
        <is>
          <t>CURRENT</t>
        </is>
      </c>
      <c r="AN61" s="13" t="n"/>
      <c r="AO61" s="131" t="inlineStr">
        <is>
          <t>Official feed-safety expansion. Applicability depends on storage, handling and feed-business activities.</t>
        </is>
      </c>
      <c r="AP61" s="131" t="inlineStr">
        <is>
          <t>OFFICIAL_WEBSITE</t>
        </is>
      </c>
      <c r="AQ61" s="131" t="inlineStr">
        <is>
          <t>OFFICIAL_ORIGINAL</t>
        </is>
      </c>
      <c r="AR61" s="131" t="inlineStr">
        <is>
          <t>ROLLING</t>
        </is>
      </c>
      <c r="AS61" s="13" t="n"/>
    </row>
    <row r="62" ht="30" customHeight="1" s="41">
      <c r="A62" s="126" t="inlineStr">
        <is>
          <t>PA060</t>
        </is>
      </c>
      <c r="B62" s="126" t="inlineStr">
        <is>
          <t>PA060-001</t>
        </is>
      </c>
      <c r="C62" s="127" t="inlineStr">
        <is>
          <t>PA060-001_Regulation_on_veterinary_medicinal_products.html</t>
        </is>
      </c>
      <c r="D62" s="128" t="inlineStr">
        <is>
          <t>STORED</t>
        </is>
      </c>
      <c r="E62" s="128">
        <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f>
        <v/>
      </c>
      <c r="F62" s="128" t="inlineStr">
        <is>
          <t>SUCCESS</t>
        </is>
      </c>
      <c r="G62" s="129" t="n">
        <v>46262.53109953704</v>
      </c>
      <c r="H62" s="129" t="n">
        <v>46262.53111111111</v>
      </c>
      <c r="I62" s="128" t="inlineStr">
        <is>
          <t>INITIAL</t>
        </is>
      </c>
      <c r="J62" s="128" t="inlineStr">
        <is>
          <t>AUTO</t>
        </is>
      </c>
      <c r="K62" s="130">
        <f>IF(A62="","",IF(J62="AUTO",H62,IF(J62="MANUAL",AK62,"")))</f>
        <v/>
      </c>
      <c r="L62" s="128" t="inlineStr">
        <is>
          <t>NONE</t>
        </is>
      </c>
      <c r="M62" s="12" t="n"/>
      <c r="N62" s="128">
        <f>IF(A62="","",IF(COUNTIFS('Human Operation Desktop'!$A$3:$A$502,A62,'Human Operation Desktop'!$I$3:$I$502,"&lt;&gt;APPLIED",'Human Operation Desktop'!$I$3:$I$502,"&lt;&gt;REJECTED")&gt;0,"YES","NO"))</f>
        <v/>
      </c>
      <c r="O62" s="128" t="inlineStr">
        <is>
          <t>744c31829906a7667ae58957380386b0baab1a1ad56b468b6a9ce452b7f0ff8b</t>
        </is>
      </c>
      <c r="P62" s="131" t="inlineStr">
        <is>
          <t>Regulation on veterinary medicinal products</t>
        </is>
      </c>
      <c r="Q62" s="131" t="inlineStr">
        <is>
          <t>https://lovdata.no/dokument/SF/forskrift/2022-09-08-1573</t>
        </is>
      </c>
      <c r="R62" s="131" t="inlineStr">
        <is>
          <t>https://lovdata.no/dokument/SF/forskrift/2022-09-08-1573</t>
        </is>
      </c>
      <c r="S62" s="131" t="inlineStr">
        <is>
          <t>A_Public_Authority</t>
        </is>
      </c>
      <c r="T62" s="131" t="inlineStr">
        <is>
          <t>html</t>
        </is>
      </c>
      <c r="U62" s="131" t="inlineStr">
        <is>
          <t>Norwegian Ministry of Health and Care Services</t>
        </is>
      </c>
      <c r="V62" s="131" t="inlineStr">
        <is>
          <t>Norway</t>
        </is>
      </c>
      <c r="W62" s="131" t="inlineStr">
        <is>
          <t>Norwegian</t>
        </is>
      </c>
      <c r="X62" s="13" t="n"/>
      <c r="Y62" s="13" t="n"/>
      <c r="Z62" s="131" t="inlineStr">
        <is>
          <t>Public authority</t>
        </is>
      </c>
      <c r="AA62" s="131" t="inlineStr">
        <is>
          <t>Regulation</t>
        </is>
      </c>
      <c r="AB62" s="131" t="inlineStr">
        <is>
          <t>Primary normative</t>
        </is>
      </c>
      <c r="AC62" s="131" t="inlineStr">
        <is>
          <t>Official regulation issued by Norwegian Ministry of Health and Care Services; included because it may impose binding requirements on an in-scope aquaculture asset, activity, permit or certification.</t>
        </is>
      </c>
      <c r="AD62" s="131" t="inlineStr">
        <is>
          <t>HIGH</t>
        </is>
      </c>
      <c r="AE62" s="131" t="inlineStr">
        <is>
          <t>HIGH</t>
        </is>
      </c>
      <c r="AF62" s="131" t="inlineStr">
        <is>
          <t>HIGH</t>
        </is>
      </c>
      <c r="AG62" s="131" t="inlineStr">
        <is>
          <t>HIGH</t>
        </is>
      </c>
      <c r="AH62" s="131" t="inlineStr">
        <is>
          <t>HIGH</t>
        </is>
      </c>
      <c r="AI62" s="131" t="inlineStr">
        <is>
          <t>HIGH</t>
        </is>
      </c>
      <c r="AJ62" s="131" t="inlineStr">
        <is>
          <t>INCLUDE</t>
        </is>
      </c>
      <c r="AK62" s="125" t="n"/>
      <c r="AL62" s="13" t="n"/>
      <c r="AM62" s="131" t="inlineStr">
        <is>
          <t>CURRENT</t>
        </is>
      </c>
      <c r="AN62" s="13" t="n"/>
      <c r="AO62" s="131" t="inlineStr">
        <is>
          <t>Official animal-health expansion. Include applicable provisions for procurement, use, records and handling of veterinary medicines.</t>
        </is>
      </c>
      <c r="AP62" s="131" t="inlineStr">
        <is>
          <t>OFFICIAL_WEBSITE</t>
        </is>
      </c>
      <c r="AQ62" s="131" t="inlineStr">
        <is>
          <t>OFFICIAL_ORIGINAL</t>
        </is>
      </c>
      <c r="AR62" s="131" t="inlineStr">
        <is>
          <t>ROLLING</t>
        </is>
      </c>
      <c r="AS62" s="13" t="n"/>
    </row>
    <row r="63" ht="30" customHeight="1" s="41">
      <c r="A63" s="132" t="inlineStr">
        <is>
          <t>SB001</t>
        </is>
      </c>
      <c r="B63" s="132" t="inlineStr">
        <is>
          <t>SB001-001</t>
        </is>
      </c>
      <c r="C63" s="127" t="inlineStr">
        <is>
          <t>SB001-001_NS_9415_2021_AC_2024_Floating_aquaculture_farms_-_Site_survey_design_execution_and_use.pdf</t>
        </is>
      </c>
      <c r="D63" s="128" t="inlineStr">
        <is>
          <t>NOT_COLLECTED</t>
        </is>
      </c>
      <c r="E63" s="128">
        <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f>
        <v/>
      </c>
      <c r="F63" s="128" t="inlineStr">
        <is>
          <t>PAYWALL_BLOCKED</t>
        </is>
      </c>
      <c r="G63" s="134" t="n"/>
      <c r="H63" s="134" t="n"/>
      <c r="I63" s="128" t="inlineStr">
        <is>
          <t>UNKNOWN</t>
        </is>
      </c>
      <c r="J63" s="128" t="inlineStr">
        <is>
          <t>NONE</t>
        </is>
      </c>
      <c r="K63" s="130">
        <f>IF(A63="","",IF(J63="AUTO",H63,IF(J63="MANUAL",AK63,"")))</f>
        <v/>
      </c>
      <c r="L63" s="128" t="inlineStr">
        <is>
          <t>HTTP</t>
        </is>
      </c>
      <c r="M63" s="128" t="inlineStr">
        <is>
          <t>Official access is restricted by a paywall or licence; provide an authorised copy or retrieval route.</t>
        </is>
      </c>
      <c r="N63" s="128">
        <f>IF(A63="","",IF(COUNTIFS('Human Operation Desktop'!$A$3:$A$502,A63,'Human Operation Desktop'!$I$3:$I$502,"&lt;&gt;APPLIED",'Human Operation Desktop'!$I$3:$I$502,"&lt;&gt;REJECTED")&gt;0,"YES","NO"))</f>
        <v/>
      </c>
      <c r="O63" s="12" t="n"/>
      <c r="P63" s="131" t="inlineStr">
        <is>
          <t>NS 9415:2021+AC:2024 Floating aquaculture farms - Site survey, design, execution and use</t>
        </is>
      </c>
      <c r="Q63" s="131" t="inlineStr">
        <is>
          <t>https://online.standard.no/nb/ns-9415-2021</t>
        </is>
      </c>
      <c r="R63" s="13" t="n"/>
      <c r="S63" s="131" t="inlineStr">
        <is>
          <t>B_Standards_Body</t>
        </is>
      </c>
      <c r="T63" s="131" t="inlineStr">
        <is>
          <t>pdf</t>
        </is>
      </c>
      <c r="U63" s="131" t="inlineStr">
        <is>
          <t>Standards Norway</t>
        </is>
      </c>
      <c r="V63" s="131" t="inlineStr">
        <is>
          <t>Norway</t>
        </is>
      </c>
      <c r="W63" s="131" t="inlineStr">
        <is>
          <t>Norwegian</t>
        </is>
      </c>
      <c r="X63" s="131" t="inlineStr">
        <is>
          <t>2021+AC:2024</t>
        </is>
      </c>
      <c r="Y63" s="13" t="n"/>
      <c r="Z63" s="131" t="inlineStr">
        <is>
          <t>Standards body</t>
        </is>
      </c>
      <c r="AA63" s="131" t="inlineStr">
        <is>
          <t>Technical standard</t>
        </is>
      </c>
      <c r="AB63" s="131" t="inlineStr">
        <is>
          <t>Referenced normative</t>
        </is>
      </c>
      <c r="AC63" s="131" t="inlineStr">
        <is>
          <t>Official referenced source from Standards Norway; included because an applicable law, permit or certification scheme may make its provisions binding within the approved scope.</t>
        </is>
      </c>
      <c r="AD63" s="131" t="inlineStr">
        <is>
          <t>HIGH</t>
        </is>
      </c>
      <c r="AE63" s="131" t="inlineStr">
        <is>
          <t>HIGH</t>
        </is>
      </c>
      <c r="AF63" s="131" t="inlineStr">
        <is>
          <t>HIGH</t>
        </is>
      </c>
      <c r="AG63" s="131" t="inlineStr">
        <is>
          <t>HIGH</t>
        </is>
      </c>
      <c r="AH63" s="131" t="inlineStr">
        <is>
          <t>MEDIUM</t>
        </is>
      </c>
      <c r="AI63" s="131" t="inlineStr">
        <is>
          <t>LOW</t>
        </is>
      </c>
      <c r="AJ63" s="131" t="inlineStr">
        <is>
          <t>PENDING</t>
        </is>
      </c>
      <c r="AK63" s="125" t="n"/>
      <c r="AL63" s="13" t="n"/>
      <c r="AM63" s="131" t="inlineStr">
        <is>
          <t>CURRENT</t>
        </is>
      </c>
      <c r="AN63" s="131" t="inlineStr">
        <is>
          <t>PA004</t>
        </is>
      </c>
      <c r="AO63" s="131" t="inlineStr">
        <is>
          <t>Project-mentioned standard referenced by NYTEK23. Licensed access is required before automated retrieval.</t>
        </is>
      </c>
      <c r="AP63" s="131" t="inlineStr">
        <is>
          <t>OFFICIAL_WEBSITE</t>
        </is>
      </c>
      <c r="AQ63" s="131" t="inlineStr">
        <is>
          <t>OFFICIAL_ORIGINAL</t>
        </is>
      </c>
      <c r="AR63" s="131" t="inlineStr">
        <is>
          <t>VERSIONED</t>
        </is>
      </c>
      <c r="AS63" s="13" t="n"/>
    </row>
    <row r="64" ht="30" customHeight="1" s="41">
      <c r="A64" s="126" t="inlineStr">
        <is>
          <t>SB002</t>
        </is>
      </c>
      <c r="B64" s="126" t="inlineStr">
        <is>
          <t>SB002-001</t>
        </is>
      </c>
      <c r="C64" s="127" t="inlineStr">
        <is>
          <t>SB002-001_NS_9410_2016_Environmental_monitoring_of_benthic_impact_from_marine_fish_farms.pdf</t>
        </is>
      </c>
      <c r="D64" s="128" t="inlineStr">
        <is>
          <t>NOT_COLLECTED</t>
        </is>
      </c>
      <c r="E64" s="128">
        <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f>
        <v/>
      </c>
      <c r="F64" s="128" t="inlineStr">
        <is>
          <t>PAYWALL_BLOCKED</t>
        </is>
      </c>
      <c r="G64" s="134" t="n"/>
      <c r="H64" s="134" t="n"/>
      <c r="I64" s="128" t="inlineStr">
        <is>
          <t>UNKNOWN</t>
        </is>
      </c>
      <c r="J64" s="128" t="inlineStr">
        <is>
          <t>NONE</t>
        </is>
      </c>
      <c r="K64" s="130">
        <f>IF(A64="","",IF(J64="AUTO",H64,IF(J64="MANUAL",AK64,"")))</f>
        <v/>
      </c>
      <c r="L64" s="128" t="inlineStr">
        <is>
          <t>HTTP</t>
        </is>
      </c>
      <c r="M64" s="128" t="inlineStr">
        <is>
          <t>Official access is restricted by a paywall or licence; provide an authorised copy or retrieval route.</t>
        </is>
      </c>
      <c r="N64" s="128">
        <f>IF(A64="","",IF(COUNTIFS('Human Operation Desktop'!$A$3:$A$502,A64,'Human Operation Desktop'!$I$3:$I$502,"&lt;&gt;APPLIED",'Human Operation Desktop'!$I$3:$I$502,"&lt;&gt;REJECTED")&gt;0,"YES","NO"))</f>
        <v/>
      </c>
      <c r="O64" s="12" t="n"/>
      <c r="P64" s="131" t="inlineStr">
        <is>
          <t>NS 9410:2016 Environmental monitoring of benthic impact from marine fish farms</t>
        </is>
      </c>
      <c r="Q64" s="131" t="inlineStr">
        <is>
          <t>https://online.standard.no/ns-9410-2016</t>
        </is>
      </c>
      <c r="R64" s="13" t="n"/>
      <c r="S64" s="131" t="inlineStr">
        <is>
          <t>B_Standards_Body</t>
        </is>
      </c>
      <c r="T64" s="131" t="inlineStr">
        <is>
          <t>pdf</t>
        </is>
      </c>
      <c r="U64" s="131" t="inlineStr">
        <is>
          <t>Standards Norway</t>
        </is>
      </c>
      <c r="V64" s="131" t="inlineStr">
        <is>
          <t>Norway</t>
        </is>
      </c>
      <c r="W64" s="131" t="inlineStr">
        <is>
          <t>Norwegian</t>
        </is>
      </c>
      <c r="X64" s="131" t="inlineStr">
        <is>
          <t>2016</t>
        </is>
      </c>
      <c r="Y64" s="13" t="n"/>
      <c r="Z64" s="131" t="inlineStr">
        <is>
          <t>Standards body</t>
        </is>
      </c>
      <c r="AA64" s="131" t="inlineStr">
        <is>
          <t>Technical standard</t>
        </is>
      </c>
      <c r="AB64" s="131" t="inlineStr">
        <is>
          <t>Referenced normative</t>
        </is>
      </c>
      <c r="AC64" s="131" t="inlineStr">
        <is>
          <t>Official referenced source from Standards Norway; included because an applicable law, permit or certification scheme may make its provisions binding within the approved scope.</t>
        </is>
      </c>
      <c r="AD64" s="131" t="inlineStr">
        <is>
          <t>HIGH</t>
        </is>
      </c>
      <c r="AE64" s="131" t="inlineStr">
        <is>
          <t>HIGH</t>
        </is>
      </c>
      <c r="AF64" s="131" t="inlineStr">
        <is>
          <t>MEDIUM</t>
        </is>
      </c>
      <c r="AG64" s="131" t="inlineStr">
        <is>
          <t>HIGH</t>
        </is>
      </c>
      <c r="AH64" s="131" t="inlineStr">
        <is>
          <t>MEDIUM</t>
        </is>
      </c>
      <c r="AI64" s="131" t="inlineStr">
        <is>
          <t>LOW</t>
        </is>
      </c>
      <c r="AJ64" s="131" t="inlineStr">
        <is>
          <t>PENDING</t>
        </is>
      </c>
      <c r="AK64" s="125" t="n"/>
      <c r="AL64" s="13" t="n"/>
      <c r="AM64" s="131" t="inlineStr">
        <is>
          <t>CURRENT</t>
        </is>
      </c>
      <c r="AN64" s="131" t="inlineStr">
        <is>
          <t>PA044</t>
        </is>
      </c>
      <c r="AO64" s="131" t="inlineStr">
        <is>
          <t>Official expansion from environmental authority guidance. Licensed access is required.</t>
        </is>
      </c>
      <c r="AP64" s="131" t="inlineStr">
        <is>
          <t>OFFICIAL_WEBSITE</t>
        </is>
      </c>
      <c r="AQ64" s="131" t="inlineStr">
        <is>
          <t>OFFICIAL_ORIGINAL</t>
        </is>
      </c>
      <c r="AR64" s="131" t="inlineStr">
        <is>
          <t>VERSIONED</t>
        </is>
      </c>
      <c r="AS64" s="13" t="n"/>
    </row>
    <row r="65" ht="30" customHeight="1" s="41">
      <c r="A65" s="132" t="inlineStr">
        <is>
          <t>SB003</t>
        </is>
      </c>
      <c r="B65" s="132" t="inlineStr">
        <is>
          <t>SB003-001</t>
        </is>
      </c>
      <c r="C65" s="127" t="inlineStr">
        <is>
          <t>SB003-001_NS_9416_2013_Land-based_aquaculture_facilities_for_fish.pdf</t>
        </is>
      </c>
      <c r="D65" s="128" t="inlineStr">
        <is>
          <t>NOT_COLLECTED</t>
        </is>
      </c>
      <c r="E65" s="128">
        <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f>
        <v/>
      </c>
      <c r="F65" s="128" t="inlineStr">
        <is>
          <t>PAYWALL_BLOCKED</t>
        </is>
      </c>
      <c r="G65" s="134" t="n"/>
      <c r="H65" s="134" t="n"/>
      <c r="I65" s="128" t="inlineStr">
        <is>
          <t>UNKNOWN</t>
        </is>
      </c>
      <c r="J65" s="128" t="inlineStr">
        <is>
          <t>NONE</t>
        </is>
      </c>
      <c r="K65" s="130">
        <f>IF(A65="","",IF(J65="AUTO",H65,IF(J65="MANUAL",AK65,"")))</f>
        <v/>
      </c>
      <c r="L65" s="128" t="inlineStr">
        <is>
          <t>HTTP</t>
        </is>
      </c>
      <c r="M65" s="128" t="inlineStr">
        <is>
          <t>Official access is restricted by a paywall or licence; provide an authorised copy or retrieval route.</t>
        </is>
      </c>
      <c r="N65" s="128">
        <f>IF(A65="","",IF(COUNTIFS('Human Operation Desktop'!$A$3:$A$502,A65,'Human Operation Desktop'!$I$3:$I$502,"&lt;&gt;APPLIED",'Human Operation Desktop'!$I$3:$I$502,"&lt;&gt;REJECTED")&gt;0,"YES","NO"))</f>
        <v/>
      </c>
      <c r="O65" s="12" t="n"/>
      <c r="P65" s="131" t="inlineStr">
        <is>
          <t>NS 9416:2013 Land-based aquaculture facilities for fish</t>
        </is>
      </c>
      <c r="Q65" s="131" t="inlineStr">
        <is>
          <t>https://online.standard.no/nb/ns-9416-2013</t>
        </is>
      </c>
      <c r="R65" s="13" t="n"/>
      <c r="S65" s="131" t="inlineStr">
        <is>
          <t>B_Standards_Body</t>
        </is>
      </c>
      <c r="T65" s="131" t="inlineStr">
        <is>
          <t>pdf</t>
        </is>
      </c>
      <c r="U65" s="131" t="inlineStr">
        <is>
          <t>Standards Norway</t>
        </is>
      </c>
      <c r="V65" s="131" t="inlineStr">
        <is>
          <t>Norway</t>
        </is>
      </c>
      <c r="W65" s="131" t="inlineStr">
        <is>
          <t>Norwegian</t>
        </is>
      </c>
      <c r="X65" s="131" t="inlineStr">
        <is>
          <t>2013</t>
        </is>
      </c>
      <c r="Y65" s="13" t="n"/>
      <c r="Z65" s="131" t="inlineStr">
        <is>
          <t>Standards body</t>
        </is>
      </c>
      <c r="AA65" s="131" t="inlineStr">
        <is>
          <t>Technical standard</t>
        </is>
      </c>
      <c r="AB65" s="131" t="inlineStr">
        <is>
          <t>Referenced normative</t>
        </is>
      </c>
      <c r="AC65" s="131" t="inlineStr">
        <is>
          <t>Official referenced source from Standards Norway; included because an applicable law, permit or certification scheme may make its provisions binding within the approved scope.</t>
        </is>
      </c>
      <c r="AD65" s="131" t="inlineStr">
        <is>
          <t>HIGH</t>
        </is>
      </c>
      <c r="AE65" s="131" t="inlineStr">
        <is>
          <t>MEDIUM</t>
        </is>
      </c>
      <c r="AF65" s="131" t="inlineStr">
        <is>
          <t>MEDIUM</t>
        </is>
      </c>
      <c r="AG65" s="131" t="inlineStr">
        <is>
          <t>HIGH</t>
        </is>
      </c>
      <c r="AH65" s="131" t="inlineStr">
        <is>
          <t>MEDIUM</t>
        </is>
      </c>
      <c r="AI65" s="131" t="inlineStr">
        <is>
          <t>LOW</t>
        </is>
      </c>
      <c r="AJ65" s="131" t="inlineStr">
        <is>
          <t>PENDING</t>
        </is>
      </c>
      <c r="AK65" s="125" t="n"/>
      <c r="AL65" s="13" t="n"/>
      <c r="AM65" s="131" t="inlineStr">
        <is>
          <t>CURRENT</t>
        </is>
      </c>
      <c r="AN65" s="131" t="inlineStr">
        <is>
          <t>PA022</t>
        </is>
      </c>
      <c r="AO65" s="131" t="inlineStr">
        <is>
          <t>Referenced by PA022. A revision project is active, so currency requires explicit monitoring.</t>
        </is>
      </c>
      <c r="AP65" s="131" t="inlineStr">
        <is>
          <t>OFFICIAL_WEBSITE</t>
        </is>
      </c>
      <c r="AQ65" s="131" t="inlineStr">
        <is>
          <t>OFFICIAL_ORIGINAL</t>
        </is>
      </c>
      <c r="AR65" s="131" t="inlineStr">
        <is>
          <t>VERSIONED</t>
        </is>
      </c>
      <c r="AS65" s="13" t="n"/>
    </row>
    <row r="66" ht="30" customHeight="1" s="41">
      <c r="A66" s="126" t="inlineStr">
        <is>
          <t>SB004</t>
        </is>
      </c>
      <c r="B66" s="126" t="inlineStr">
        <is>
          <t>SB004-001</t>
        </is>
      </c>
      <c r="C66" s="127" t="inlineStr">
        <is>
          <t>SB004-001_NS_5814_2021_AC_2023_Requirements_for_risk_assessments.pdf</t>
        </is>
      </c>
      <c r="D66" s="128" t="inlineStr">
        <is>
          <t>NOT_COLLECTED</t>
        </is>
      </c>
      <c r="E66" s="128">
        <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f>
        <v/>
      </c>
      <c r="F66" s="128" t="inlineStr">
        <is>
          <t>PAYWALL_BLOCKED</t>
        </is>
      </c>
      <c r="G66" s="134" t="n"/>
      <c r="H66" s="134" t="n"/>
      <c r="I66" s="128" t="inlineStr">
        <is>
          <t>UNKNOWN</t>
        </is>
      </c>
      <c r="J66" s="128" t="inlineStr">
        <is>
          <t>NONE</t>
        </is>
      </c>
      <c r="K66" s="130">
        <f>IF(A66="","",IF(J66="AUTO",H66,IF(J66="MANUAL",AK66,"")))</f>
        <v/>
      </c>
      <c r="L66" s="128" t="inlineStr">
        <is>
          <t>HTTP</t>
        </is>
      </c>
      <c r="M66" s="128" t="inlineStr">
        <is>
          <t>Official access is restricted by a paywall or licence; provide an authorised copy or retrieval route.</t>
        </is>
      </c>
      <c r="N66" s="128">
        <f>IF(A66="","",IF(COUNTIFS('Human Operation Desktop'!$A$3:$A$502,A66,'Human Operation Desktop'!$I$3:$I$502,"&lt;&gt;APPLIED",'Human Operation Desktop'!$I$3:$I$502,"&lt;&gt;REJECTED")&gt;0,"YES","NO"))</f>
        <v/>
      </c>
      <c r="O66" s="12" t="n"/>
      <c r="P66" s="131" t="inlineStr">
        <is>
          <t>NS 5814:2021+AC:2023 Requirements for risk assessments</t>
        </is>
      </c>
      <c r="Q66" s="131" t="inlineStr">
        <is>
          <t>https://standard.no/fagomrader/risikostyring/ns-5814-krav-til-risikovurderinger/</t>
        </is>
      </c>
      <c r="R66" s="13" t="n"/>
      <c r="S66" s="131" t="inlineStr">
        <is>
          <t>B_Standards_Body</t>
        </is>
      </c>
      <c r="T66" s="131" t="inlineStr">
        <is>
          <t>pdf</t>
        </is>
      </c>
      <c r="U66" s="131" t="inlineStr">
        <is>
          <t>Standards Norway</t>
        </is>
      </c>
      <c r="V66" s="131" t="inlineStr">
        <is>
          <t>Norway</t>
        </is>
      </c>
      <c r="W66" s="131" t="inlineStr">
        <is>
          <t>Norwegian</t>
        </is>
      </c>
      <c r="X66" s="131" t="inlineStr">
        <is>
          <t>2021+AC:2023</t>
        </is>
      </c>
      <c r="Y66" s="13" t="n"/>
      <c r="Z66" s="131" t="inlineStr">
        <is>
          <t>Standards body</t>
        </is>
      </c>
      <c r="AA66" s="131" t="inlineStr">
        <is>
          <t>Technical standard</t>
        </is>
      </c>
      <c r="AB66" s="131" t="inlineStr">
        <is>
          <t>Guidance / interpretation</t>
        </is>
      </c>
      <c r="AC66" s="131" t="inlineStr">
        <is>
          <t>Official guidance from Standards Norway; included to interpret and operationalise linked normative requirements, not as independent legal or certification authority.</t>
        </is>
      </c>
      <c r="AD66" s="131" t="inlineStr">
        <is>
          <t>HIGH</t>
        </is>
      </c>
      <c r="AE66" s="131" t="inlineStr">
        <is>
          <t>MEDIUM</t>
        </is>
      </c>
      <c r="AF66" s="131" t="inlineStr">
        <is>
          <t>HIGH</t>
        </is>
      </c>
      <c r="AG66" s="131" t="inlineStr">
        <is>
          <t>HIGH</t>
        </is>
      </c>
      <c r="AH66" s="131" t="inlineStr">
        <is>
          <t>MEDIUM</t>
        </is>
      </c>
      <c r="AI66" s="131" t="inlineStr">
        <is>
          <t>LOW</t>
        </is>
      </c>
      <c r="AJ66" s="131" t="inlineStr">
        <is>
          <t>PENDING</t>
        </is>
      </c>
      <c r="AK66" s="125" t="n"/>
      <c r="AL66" s="13" t="n"/>
      <c r="AM66" s="131" t="inlineStr">
        <is>
          <t>CURRENT</t>
        </is>
      </c>
      <c r="AN66" s="13" t="n"/>
      <c r="AO66" s="131" t="inlineStr">
        <is>
          <t>Official expansion from Fiskeridirektoratet risk-management guidance. Include only if adopted by contract, policy or method.</t>
        </is>
      </c>
      <c r="AP66" s="131" t="inlineStr">
        <is>
          <t>OFFICIAL_WEBSITE</t>
        </is>
      </c>
      <c r="AQ66" s="131" t="inlineStr">
        <is>
          <t>OFFICIAL_ORIGINAL</t>
        </is>
      </c>
      <c r="AR66" s="131" t="inlineStr">
        <is>
          <t>VERSIONED</t>
        </is>
      </c>
      <c r="AS66" s="13" t="n"/>
    </row>
    <row r="67" ht="30" customHeight="1" s="41">
      <c r="A67" s="132" t="inlineStr">
        <is>
          <t>SB005</t>
        </is>
      </c>
      <c r="B67" s="132" t="inlineStr">
        <is>
          <t>SB005-001</t>
        </is>
      </c>
      <c r="C67" s="127" t="inlineStr">
        <is>
          <t>SB005-001_NS-ISO_31000_2018_Risk_management_-_Guidelines.pdf</t>
        </is>
      </c>
      <c r="D67" s="128" t="inlineStr">
        <is>
          <t>NOT_COLLECTED</t>
        </is>
      </c>
      <c r="E67" s="128">
        <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
      </c>
      <c r="F67" s="128" t="inlineStr">
        <is>
          <t>PAYWALL_BLOCKED</t>
        </is>
      </c>
      <c r="G67" s="134" t="n"/>
      <c r="H67" s="134" t="n"/>
      <c r="I67" s="128" t="inlineStr">
        <is>
          <t>UNKNOWN</t>
        </is>
      </c>
      <c r="J67" s="128" t="inlineStr">
        <is>
          <t>NONE</t>
        </is>
      </c>
      <c r="K67" s="130">
        <f>IF(A67="","",IF(J67="AUTO",H67,IF(J67="MANUAL",AK67,"")))</f>
        <v/>
      </c>
      <c r="L67" s="128" t="inlineStr">
        <is>
          <t>HTTP</t>
        </is>
      </c>
      <c r="M67" s="128" t="inlineStr">
        <is>
          <t>Official access is restricted by a paywall or licence; provide an authorised copy or retrieval route.</t>
        </is>
      </c>
      <c r="N67" s="128">
        <f>IF(A67="","",IF(COUNTIFS('Human Operation Desktop'!$A$3:$A$502,A67,'Human Operation Desktop'!$I$3:$I$502,"&lt;&gt;APPLIED",'Human Operation Desktop'!$I$3:$I$502,"&lt;&gt;REJECTED")&gt;0,"YES","NO"))</f>
        <v/>
      </c>
      <c r="O67" s="12" t="n"/>
      <c r="P67" s="131" t="inlineStr">
        <is>
          <t>NS-ISO 31000:2018 Risk management - Guidelines</t>
        </is>
      </c>
      <c r="Q67" s="131" t="inlineStr">
        <is>
          <t>https://standard.no/fagomrader/risikostyring/iso-31000-risikostyring--retningslinjer/</t>
        </is>
      </c>
      <c r="R67" s="13" t="n"/>
      <c r="S67" s="131" t="inlineStr">
        <is>
          <t>B_Standards_Body</t>
        </is>
      </c>
      <c r="T67" s="131" t="inlineStr">
        <is>
          <t>pdf</t>
        </is>
      </c>
      <c r="U67" s="131" t="inlineStr">
        <is>
          <t>Standards Norway / ISO</t>
        </is>
      </c>
      <c r="V67" s="131" t="inlineStr">
        <is>
          <t>International</t>
        </is>
      </c>
      <c r="W67" s="131" t="inlineStr">
        <is>
          <t>Norwegian</t>
        </is>
      </c>
      <c r="X67" s="131" t="inlineStr">
        <is>
          <t>2018</t>
        </is>
      </c>
      <c r="Y67" s="13" t="n"/>
      <c r="Z67" s="131" t="inlineStr">
        <is>
          <t>Standards body</t>
        </is>
      </c>
      <c r="AA67" s="131" t="inlineStr">
        <is>
          <t>Technical standard</t>
        </is>
      </c>
      <c r="AB67" s="131" t="inlineStr">
        <is>
          <t>Guidance / interpretation</t>
        </is>
      </c>
      <c r="AC67" s="131" t="inlineStr">
        <is>
          <t>Official guidance from Standards Norway / ISO; included to interpret and operationalise linked normative requirements, not as independent legal or certification authority.</t>
        </is>
      </c>
      <c r="AD67" s="131" t="inlineStr">
        <is>
          <t>HIGH</t>
        </is>
      </c>
      <c r="AE67" s="131" t="inlineStr">
        <is>
          <t>MEDIUM</t>
        </is>
      </c>
      <c r="AF67" s="131" t="inlineStr">
        <is>
          <t>HIGH</t>
        </is>
      </c>
      <c r="AG67" s="131" t="inlineStr">
        <is>
          <t>HIGH</t>
        </is>
      </c>
      <c r="AH67" s="131" t="inlineStr">
        <is>
          <t>MEDIUM</t>
        </is>
      </c>
      <c r="AI67" s="131" t="inlineStr">
        <is>
          <t>LOW</t>
        </is>
      </c>
      <c r="AJ67" s="131" t="inlineStr">
        <is>
          <t>PENDING</t>
        </is>
      </c>
      <c r="AK67" s="125" t="n"/>
      <c r="AL67" s="13" t="n"/>
      <c r="AM67" s="131" t="inlineStr">
        <is>
          <t>CURRENT</t>
        </is>
      </c>
      <c r="AN67" s="13" t="n"/>
      <c r="AO67" s="131" t="inlineStr">
        <is>
          <t>Official expansion. Provides guidance rather than certifiable requirements unless contractually adopted.</t>
        </is>
      </c>
      <c r="AP67" s="131" t="inlineStr">
        <is>
          <t>OFFICIAL_WEBSITE</t>
        </is>
      </c>
      <c r="AQ67" s="131" t="inlineStr">
        <is>
          <t>OFFICIAL_ORIGINAL</t>
        </is>
      </c>
      <c r="AR67" s="131" t="inlineStr">
        <is>
          <t>VERSIONED</t>
        </is>
      </c>
      <c r="AS67" s="13" t="n"/>
    </row>
    <row r="68" ht="30" customHeight="1" s="41">
      <c r="A68" s="126" t="inlineStr">
        <is>
          <t>SB006</t>
        </is>
      </c>
      <c r="B68" s="126" t="inlineStr">
        <is>
          <t>SB006-001</t>
        </is>
      </c>
      <c r="C68" s="127" t="inlineStr">
        <is>
          <t>SB006-001_NS-EN_ISO_9001_2015_Quality_management_systems_-_Requirements.pdf</t>
        </is>
      </c>
      <c r="D68" s="128" t="inlineStr">
        <is>
          <t>NOT_COLLECTED</t>
        </is>
      </c>
      <c r="E68" s="128">
        <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f>
        <v/>
      </c>
      <c r="F68" s="128" t="inlineStr">
        <is>
          <t>PAYWALL_BLOCKED</t>
        </is>
      </c>
      <c r="G68" s="134" t="n"/>
      <c r="H68" s="134" t="n"/>
      <c r="I68" s="128" t="inlineStr">
        <is>
          <t>UNKNOWN</t>
        </is>
      </c>
      <c r="J68" s="128" t="inlineStr">
        <is>
          <t>NONE</t>
        </is>
      </c>
      <c r="K68" s="130">
        <f>IF(A68="","",IF(J68="AUTO",H68,IF(J68="MANUAL",AK68,"")))</f>
        <v/>
      </c>
      <c r="L68" s="128" t="inlineStr">
        <is>
          <t>HTTP</t>
        </is>
      </c>
      <c r="M68" s="128" t="inlineStr">
        <is>
          <t>Official access is restricted by a paywall or licence; provide an authorised copy or retrieval route.</t>
        </is>
      </c>
      <c r="N68" s="128">
        <f>IF(A68="","",IF(COUNTIFS('Human Operation Desktop'!$A$3:$A$502,A68,'Human Operation Desktop'!$I$3:$I$502,"&lt;&gt;APPLIED",'Human Operation Desktop'!$I$3:$I$502,"&lt;&gt;REJECTED")&gt;0,"YES","NO"))</f>
        <v/>
      </c>
      <c r="O68" s="12" t="n"/>
      <c r="P68" s="131" t="inlineStr">
        <is>
          <t>NS-EN ISO 9001:2015 Quality management systems - Requirements</t>
        </is>
      </c>
      <c r="Q68" s="131" t="inlineStr">
        <is>
          <t>https://standard.no/fagomrader/kvalitetsstyring---iso-9000/ledelsessystemer-for-kvalitet--iso-9001/</t>
        </is>
      </c>
      <c r="R68" s="13" t="n"/>
      <c r="S68" s="131" t="inlineStr">
        <is>
          <t>B_Standards_Body</t>
        </is>
      </c>
      <c r="T68" s="131" t="inlineStr">
        <is>
          <t>pdf</t>
        </is>
      </c>
      <c r="U68" s="131" t="inlineStr">
        <is>
          <t>Standards Norway / ISO</t>
        </is>
      </c>
      <c r="V68" s="131" t="inlineStr">
        <is>
          <t>International</t>
        </is>
      </c>
      <c r="W68" s="131" t="inlineStr">
        <is>
          <t>Norwegian</t>
        </is>
      </c>
      <c r="X68" s="131" t="inlineStr">
        <is>
          <t>2015</t>
        </is>
      </c>
      <c r="Y68" s="13" t="n"/>
      <c r="Z68" s="131" t="inlineStr">
        <is>
          <t>Standards body</t>
        </is>
      </c>
      <c r="AA68" s="131" t="inlineStr">
        <is>
          <t>Technical standard</t>
        </is>
      </c>
      <c r="AB68" s="131" t="inlineStr">
        <is>
          <t>Referenced normative</t>
        </is>
      </c>
      <c r="AC68" s="131" t="inlineStr">
        <is>
          <t>Official referenced source from Standards Norway / ISO; included because an applicable law, permit or certification scheme may make its provisions binding within the approved scope.</t>
        </is>
      </c>
      <c r="AD68" s="131" t="inlineStr">
        <is>
          <t>HIGH</t>
        </is>
      </c>
      <c r="AE68" s="131" t="inlineStr">
        <is>
          <t>MEDIUM</t>
        </is>
      </c>
      <c r="AF68" s="131" t="inlineStr">
        <is>
          <t>HIGH</t>
        </is>
      </c>
      <c r="AG68" s="131" t="inlineStr">
        <is>
          <t>HIGH</t>
        </is>
      </c>
      <c r="AH68" s="131" t="inlineStr">
        <is>
          <t>MEDIUM</t>
        </is>
      </c>
      <c r="AI68" s="131" t="inlineStr">
        <is>
          <t>LOW</t>
        </is>
      </c>
      <c r="AJ68" s="131" t="inlineStr">
        <is>
          <t>PENDING</t>
        </is>
      </c>
      <c r="AK68" s="125" t="n"/>
      <c r="AL68" s="13" t="n"/>
      <c r="AM68" s="131" t="inlineStr">
        <is>
          <t>CURRENT</t>
        </is>
      </c>
      <c r="AN68" s="13" t="n"/>
      <c r="AO68" s="131" t="inlineStr">
        <is>
          <t>Official expansion from Fiskeridirektoratet risk-management guidance. Include only if client certification or contract makes it applicable.</t>
        </is>
      </c>
      <c r="AP68" s="131" t="inlineStr">
        <is>
          <t>OFFICIAL_WEBSITE</t>
        </is>
      </c>
      <c r="AQ68" s="131" t="inlineStr">
        <is>
          <t>OFFICIAL_ORIGINAL</t>
        </is>
      </c>
      <c r="AR68" s="131" t="inlineStr">
        <is>
          <t>VERSIONED</t>
        </is>
      </c>
      <c r="AS68" s="13" t="n"/>
    </row>
    <row r="69" ht="30" customHeight="1" s="41">
      <c r="A69" s="132" t="inlineStr">
        <is>
          <t>SB007</t>
        </is>
      </c>
      <c r="B69" s="132" t="inlineStr">
        <is>
          <t>SB007-001</t>
        </is>
      </c>
      <c r="C69" s="127" t="inlineStr">
        <is>
          <t>SB007-001_NS_3424_2012_Condition_survey_of_construction_works_-_Content_and_execution.pdf</t>
        </is>
      </c>
      <c r="D69" s="128" t="inlineStr">
        <is>
          <t>NOT_COLLECTED</t>
        </is>
      </c>
      <c r="E69" s="128">
        <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f>
        <v/>
      </c>
      <c r="F69" s="128" t="inlineStr">
        <is>
          <t>PAYWALL_BLOCKED</t>
        </is>
      </c>
      <c r="G69" s="134" t="n"/>
      <c r="H69" s="134" t="n"/>
      <c r="I69" s="128" t="inlineStr">
        <is>
          <t>UNKNOWN</t>
        </is>
      </c>
      <c r="J69" s="128" t="inlineStr">
        <is>
          <t>NONE</t>
        </is>
      </c>
      <c r="K69" s="130">
        <f>IF(A69="","",IF(J69="AUTO",H69,IF(J69="MANUAL",AK69,"")))</f>
        <v/>
      </c>
      <c r="L69" s="128" t="inlineStr">
        <is>
          <t>HTTP</t>
        </is>
      </c>
      <c r="M69" s="128" t="inlineStr">
        <is>
          <t>Official access is restricted by a paywall or licence; provide an authorised copy or retrieval route.</t>
        </is>
      </c>
      <c r="N69" s="128">
        <f>IF(A69="","",IF(COUNTIFS('Human Operation Desktop'!$A$3:$A$502,A69,'Human Operation Desktop'!$I$3:$I$502,"&lt;&gt;APPLIED",'Human Operation Desktop'!$I$3:$I$502,"&lt;&gt;REJECTED")&gt;0,"YES","NO"))</f>
        <v/>
      </c>
      <c r="O69" s="12" t="n"/>
      <c r="P69" s="131" t="inlineStr">
        <is>
          <t>NS 3424:2012 Condition survey of construction works - Content and execution</t>
        </is>
      </c>
      <c r="Q69" s="131" t="inlineStr">
        <is>
          <t>https://online.standard.no/nb/ns-3424-2012</t>
        </is>
      </c>
      <c r="R69" s="13" t="n"/>
      <c r="S69" s="131" t="inlineStr">
        <is>
          <t>B_Standards_Body</t>
        </is>
      </c>
      <c r="T69" s="131" t="inlineStr">
        <is>
          <t>pdf</t>
        </is>
      </c>
      <c r="U69" s="131" t="inlineStr">
        <is>
          <t>Standards Norway</t>
        </is>
      </c>
      <c r="V69" s="131" t="inlineStr">
        <is>
          <t>Norway</t>
        </is>
      </c>
      <c r="W69" s="131" t="inlineStr">
        <is>
          <t>Norwegian</t>
        </is>
      </c>
      <c r="X69" s="131" t="inlineStr">
        <is>
          <t>2012</t>
        </is>
      </c>
      <c r="Y69" s="13" t="n"/>
      <c r="Z69" s="131" t="inlineStr">
        <is>
          <t>Standards body</t>
        </is>
      </c>
      <c r="AA69" s="131" t="inlineStr">
        <is>
          <t>Technical standard</t>
        </is>
      </c>
      <c r="AB69" s="131" t="inlineStr">
        <is>
          <t>Referenced normative</t>
        </is>
      </c>
      <c r="AC69" s="131" t="inlineStr">
        <is>
          <t>Official referenced source from Standards Norway; included because an applicable law, permit or certification scheme may make its provisions binding within the approved scope.</t>
        </is>
      </c>
      <c r="AD69" s="131" t="inlineStr">
        <is>
          <t>HIGH</t>
        </is>
      </c>
      <c r="AE69" s="131" t="inlineStr">
        <is>
          <t>MEDIUM</t>
        </is>
      </c>
      <c r="AF69" s="131" t="inlineStr">
        <is>
          <t>HIGH</t>
        </is>
      </c>
      <c r="AG69" s="131" t="inlineStr">
        <is>
          <t>HIGH</t>
        </is>
      </c>
      <c r="AH69" s="131" t="inlineStr">
        <is>
          <t>MEDIUM</t>
        </is>
      </c>
      <c r="AI69" s="131" t="inlineStr">
        <is>
          <t>LOW</t>
        </is>
      </c>
      <c r="AJ69" s="131" t="inlineStr">
        <is>
          <t>PENDING</t>
        </is>
      </c>
      <c r="AK69" s="125" t="n"/>
      <c r="AL69" s="13" t="n"/>
      <c r="AM69" s="131" t="inlineStr">
        <is>
          <t>CURRENT</t>
        </is>
      </c>
      <c r="AN69" s="131" t="inlineStr">
        <is>
          <t>PA022</t>
        </is>
      </c>
      <c r="AO69" s="131" t="inlineStr">
        <is>
          <t>Directly referenced by PA057 for condition assessment of land-based facilities. Licensed access is required.</t>
        </is>
      </c>
      <c r="AP69" s="131" t="inlineStr">
        <is>
          <t>OFFICIAL_WEBSITE</t>
        </is>
      </c>
      <c r="AQ69" s="131" t="inlineStr">
        <is>
          <t>OFFICIAL_ORIGINAL</t>
        </is>
      </c>
      <c r="AR69" s="131" t="inlineStr">
        <is>
          <t>VERSIONED</t>
        </is>
      </c>
      <c r="AS69" s="13" t="n"/>
    </row>
    <row r="70" ht="30" customHeight="1" s="41">
      <c r="A70" s="126" t="inlineStr">
        <is>
          <t>CS001</t>
        </is>
      </c>
      <c r="B70" s="126" t="inlineStr">
        <is>
          <t>CS001-001</t>
        </is>
      </c>
      <c r="C70" s="127" t="inlineStr">
        <is>
          <t>CS001-001_ASC_Farm_Standard.html</t>
        </is>
      </c>
      <c r="D70" s="128" t="inlineStr">
        <is>
          <t>STORED</t>
        </is>
      </c>
      <c r="E70" s="128">
        <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f>
        <v/>
      </c>
      <c r="F70" s="128" t="inlineStr">
        <is>
          <t>SUCCESS</t>
        </is>
      </c>
      <c r="G70" s="129" t="n">
        <v>46262.53111111111</v>
      </c>
      <c r="H70" s="129" t="n">
        <v>46262.53112268518</v>
      </c>
      <c r="I70" s="128" t="inlineStr">
        <is>
          <t>INITIAL</t>
        </is>
      </c>
      <c r="J70" s="128" t="inlineStr">
        <is>
          <t>AUTO</t>
        </is>
      </c>
      <c r="K70" s="130">
        <f>IF(A70="","",IF(J70="AUTO",H70,IF(J70="MANUAL",AK70,"")))</f>
        <v/>
      </c>
      <c r="L70" s="128" t="inlineStr">
        <is>
          <t>NONE</t>
        </is>
      </c>
      <c r="M70" s="12" t="n"/>
      <c r="N70" s="128">
        <f>IF(A70="","",IF(COUNTIFS('Human Operation Desktop'!$A$3:$A$502,A70,'Human Operation Desktop'!$I$3:$I$502,"&lt;&gt;APPLIED",'Human Operation Desktop'!$I$3:$I$502,"&lt;&gt;REJECTED")&gt;0,"YES","NO"))</f>
        <v/>
      </c>
      <c r="O70" s="128" t="inlineStr">
        <is>
          <t>a40846bb23436f8ab6c5971f8a33577660eaed1059861ee01cdb2ca3f60c062b</t>
        </is>
      </c>
      <c r="P70" s="131" t="inlineStr">
        <is>
          <t>ASC Farm Standard</t>
        </is>
      </c>
      <c r="Q70" s="131" t="inlineStr">
        <is>
          <t>https://programme-centre.asc-aqua.org/farm-v1/farm-standard/</t>
        </is>
      </c>
      <c r="R70" s="131" t="inlineStr">
        <is>
          <t>https://programme-centre.asc-aqua.org/farm-v1/farm-standard/</t>
        </is>
      </c>
      <c r="S70" s="131" t="inlineStr">
        <is>
          <t>C_Certification_Scheme</t>
        </is>
      </c>
      <c r="T70" s="131" t="inlineStr">
        <is>
          <t>html</t>
        </is>
      </c>
      <c r="U70" s="131" t="inlineStr">
        <is>
          <t>Aquaculture Stewardship Council</t>
        </is>
      </c>
      <c r="V70" s="131" t="inlineStr">
        <is>
          <t>International</t>
        </is>
      </c>
      <c r="W70" s="131" t="inlineStr">
        <is>
          <t>English</t>
        </is>
      </c>
      <c r="X70" s="131" t="inlineStr">
        <is>
          <t>1.0.1A2</t>
        </is>
      </c>
      <c r="Y70" s="131" t="n">
        <v>46239</v>
      </c>
      <c r="Z70" s="131" t="inlineStr">
        <is>
          <t>Certification scheme</t>
        </is>
      </c>
      <c r="AA70" s="131" t="inlineStr">
        <is>
          <t>Scheme standard</t>
        </is>
      </c>
      <c r="AB70" s="131" t="inlineStr">
        <is>
          <t>Primary normative</t>
        </is>
      </c>
      <c r="AC70" s="131" t="inlineStr">
        <is>
          <t>Official scheme standard issued by Aquaculture Stewardship Council; included because it may impose binding requirements on an in-scope aquaculture asset, activity, permit or certification.</t>
        </is>
      </c>
      <c r="AD70" s="131" t="inlineStr">
        <is>
          <t>HIGH</t>
        </is>
      </c>
      <c r="AE70" s="131" t="inlineStr">
        <is>
          <t>HIGH</t>
        </is>
      </c>
      <c r="AF70" s="131" t="inlineStr">
        <is>
          <t>HIGH</t>
        </is>
      </c>
      <c r="AG70" s="131" t="inlineStr">
        <is>
          <t>HIGH</t>
        </is>
      </c>
      <c r="AH70" s="131" t="inlineStr">
        <is>
          <t>HIGH</t>
        </is>
      </c>
      <c r="AI70" s="131" t="inlineStr">
        <is>
          <t>HIGH</t>
        </is>
      </c>
      <c r="AJ70" s="131" t="inlineStr">
        <is>
          <t>INCLUDE</t>
        </is>
      </c>
      <c r="AK70" s="125" t="n"/>
      <c r="AL70" s="13" t="n"/>
      <c r="AM70" s="131" t="inlineStr">
        <is>
          <t>CURRENT</t>
        </is>
      </c>
      <c r="AN70" s="13" t="n"/>
      <c r="AO70" s="131" t="inlineStr">
        <is>
          <t>Project-mentioned candidate. Official source is newer than the repository PDF; certification scope still requires confirmation.</t>
        </is>
      </c>
      <c r="AP70" s="131" t="inlineStr">
        <is>
          <t>OFFICIAL_WEBSITE</t>
        </is>
      </c>
      <c r="AQ70" s="131" t="inlineStr">
        <is>
          <t>OFFICIAL_ORIGINAL</t>
        </is>
      </c>
      <c r="AR70" s="131" t="inlineStr">
        <is>
          <t>VERSIONED</t>
        </is>
      </c>
      <c r="AS70" s="13" t="n"/>
    </row>
    <row r="71" ht="30" customHeight="1" s="41">
      <c r="A71" s="132" t="inlineStr">
        <is>
          <t>CS002</t>
        </is>
      </c>
      <c r="B71" s="132" t="inlineStr">
        <is>
          <t>CS002-001</t>
        </is>
      </c>
      <c r="C71" s="127" t="inlineStr">
        <is>
          <t>CS002-001_ASC_Farm_Standard_Interpretation_Manual.html</t>
        </is>
      </c>
      <c r="D71" s="128" t="inlineStr">
        <is>
          <t>STORED</t>
        </is>
      </c>
      <c r="E71" s="128">
        <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f>
        <v/>
      </c>
      <c r="F71" s="128" t="inlineStr">
        <is>
          <t>SUCCESS</t>
        </is>
      </c>
      <c r="G71" s="129" t="n">
        <v>46262.53112268518</v>
      </c>
      <c r="H71" s="129" t="n">
        <v>46262.53113425926</v>
      </c>
      <c r="I71" s="128" t="inlineStr">
        <is>
          <t>INITIAL</t>
        </is>
      </c>
      <c r="J71" s="128" t="inlineStr">
        <is>
          <t>AUTO</t>
        </is>
      </c>
      <c r="K71" s="130">
        <f>IF(A71="","",IF(J71="AUTO",H71,IF(J71="MANUAL",AK71,"")))</f>
        <v/>
      </c>
      <c r="L71" s="128" t="inlineStr">
        <is>
          <t>NONE</t>
        </is>
      </c>
      <c r="M71" s="12" t="n"/>
      <c r="N71" s="128">
        <f>IF(A71="","",IF(COUNTIFS('Human Operation Desktop'!$A$3:$A$502,A71,'Human Operation Desktop'!$I$3:$I$502,"&lt;&gt;APPLIED",'Human Operation Desktop'!$I$3:$I$502,"&lt;&gt;REJECTED")&gt;0,"YES","NO"))</f>
        <v/>
      </c>
      <c r="O71" s="128" t="inlineStr">
        <is>
          <t>44da418c7669b1b9162a153aa76389722f9d0e6415864d2618b5d381e82232ea</t>
        </is>
      </c>
      <c r="P71" s="131" t="inlineStr">
        <is>
          <t>ASC Farm Standard Interpretation Manual</t>
        </is>
      </c>
      <c r="Q71" s="131" t="inlineStr">
        <is>
          <t>https://programme-centre.asc-aqua.org/farm-v1/farm-interpretation/</t>
        </is>
      </c>
      <c r="R71" s="131" t="inlineStr">
        <is>
          <t>https://programme-centre.asc-aqua.org/farm-v1/farm-interpretation/</t>
        </is>
      </c>
      <c r="S71" s="131" t="inlineStr">
        <is>
          <t>C_Certification_Scheme</t>
        </is>
      </c>
      <c r="T71" s="131" t="inlineStr">
        <is>
          <t>html</t>
        </is>
      </c>
      <c r="U71" s="131" t="inlineStr">
        <is>
          <t>Aquaculture Stewardship Council</t>
        </is>
      </c>
      <c r="V71" s="131" t="inlineStr">
        <is>
          <t>International</t>
        </is>
      </c>
      <c r="W71" s="131" t="inlineStr">
        <is>
          <t>English</t>
        </is>
      </c>
      <c r="X71" s="131" t="inlineStr">
        <is>
          <t>1.0.1</t>
        </is>
      </c>
      <c r="Y71" s="131" t="n">
        <v>45901</v>
      </c>
      <c r="Z71" s="131" t="inlineStr">
        <is>
          <t>Certification scheme</t>
        </is>
      </c>
      <c r="AA71" s="131" t="inlineStr">
        <is>
          <t>Interpretation document</t>
        </is>
      </c>
      <c r="AB71" s="131" t="inlineStr">
        <is>
          <t>Guidance / interpretation</t>
        </is>
      </c>
      <c r="AC71" s="131" t="inlineStr">
        <is>
          <t>Official guidance from Aquaculture Stewardship Council; included to interpret and operationalise linked normative requirements, not as independent legal or certification authority.</t>
        </is>
      </c>
      <c r="AD71" s="131" t="inlineStr">
        <is>
          <t>HIGH</t>
        </is>
      </c>
      <c r="AE71" s="131" t="inlineStr">
        <is>
          <t>HIGH</t>
        </is>
      </c>
      <c r="AF71" s="131" t="inlineStr">
        <is>
          <t>HIGH</t>
        </is>
      </c>
      <c r="AG71" s="131" t="inlineStr">
        <is>
          <t>HIGH</t>
        </is>
      </c>
      <c r="AH71" s="131" t="inlineStr">
        <is>
          <t>HIGH</t>
        </is>
      </c>
      <c r="AI71" s="131" t="inlineStr">
        <is>
          <t>HIGH</t>
        </is>
      </c>
      <c r="AJ71" s="131" t="inlineStr">
        <is>
          <t>INCLUDE</t>
        </is>
      </c>
      <c r="AK71" s="125" t="n"/>
      <c r="AL71" s="13" t="n"/>
      <c r="AM71" s="131" t="inlineStr">
        <is>
          <t>CURRENT</t>
        </is>
      </c>
      <c r="AN71" s="131" t="inlineStr">
        <is>
          <t>CS001</t>
        </is>
      </c>
      <c r="AO71" s="131" t="inlineStr">
        <is>
          <t>Project-mentioned source. The repository copy is an obsolete draft; use the official current manual.</t>
        </is>
      </c>
      <c r="AP71" s="131" t="inlineStr">
        <is>
          <t>OFFICIAL_WEBSITE</t>
        </is>
      </c>
      <c r="AQ71" s="131" t="inlineStr">
        <is>
          <t>OFFICIAL_ORIGINAL</t>
        </is>
      </c>
      <c r="AR71" s="131" t="inlineStr">
        <is>
          <t>VERSIONED</t>
        </is>
      </c>
      <c r="AS71" s="13" t="n"/>
    </row>
    <row r="72" ht="30" customHeight="1" s="41">
      <c r="A72" s="126" t="inlineStr">
        <is>
          <t>CS003</t>
        </is>
      </c>
      <c r="B72" s="126" t="inlineStr">
        <is>
          <t>CS003-001</t>
        </is>
      </c>
      <c r="C72" s="127" t="inlineStr">
        <is>
          <t>CS003-001_ASC_Salmon_Audit_Manual.pdf</t>
        </is>
      </c>
      <c r="D72" s="128" t="inlineStr">
        <is>
          <t>STORED</t>
        </is>
      </c>
      <c r="E72" s="128">
        <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f>
        <v/>
      </c>
      <c r="F72" s="128" t="inlineStr">
        <is>
          <t>SUCCESS</t>
        </is>
      </c>
      <c r="G72" s="129" t="n">
        <v>46262.53113425926</v>
      </c>
      <c r="H72" s="129" t="n">
        <v>46262.53113425926</v>
      </c>
      <c r="I72" s="128" t="inlineStr">
        <is>
          <t>INITIAL</t>
        </is>
      </c>
      <c r="J72" s="128" t="inlineStr">
        <is>
          <t>AUTO</t>
        </is>
      </c>
      <c r="K72" s="130">
        <f>IF(A72="","",IF(J72="AUTO",H72,IF(J72="MANUAL",AK72,"")))</f>
        <v/>
      </c>
      <c r="L72" s="128" t="inlineStr">
        <is>
          <t>NONE</t>
        </is>
      </c>
      <c r="M72" s="12" t="n"/>
      <c r="N72" s="128">
        <f>IF(A72="","",IF(COUNTIFS('Human Operation Desktop'!$A$3:$A$502,A72,'Human Operation Desktop'!$I$3:$I$502,"&lt;&gt;APPLIED",'Human Operation Desktop'!$I$3:$I$502,"&lt;&gt;REJECTED")&gt;0,"YES","NO"))</f>
        <v/>
      </c>
      <c r="O72" s="128" t="inlineStr">
        <is>
          <t>911b716d6e4f9aacc1e0c7999dbcf1e009f08c3b322269c748d867006521e76d</t>
        </is>
      </c>
      <c r="P72" s="131" t="inlineStr">
        <is>
          <t>ASC Salmon Audit Manual</t>
        </is>
      </c>
      <c r="Q72" s="131" t="inlineStr">
        <is>
          <t>https://asc-aqua.org/producers/asc-standards/species-standards/salmon-cod/</t>
        </is>
      </c>
      <c r="R72" s="131" t="inlineStr">
        <is>
          <t>https://asc-aqua.org/wp-content/uploads/2023/04/ASC-Salmon-Audit-Manual_v1.4.pdf</t>
        </is>
      </c>
      <c r="S72" s="131" t="inlineStr">
        <is>
          <t>C_Certification_Scheme</t>
        </is>
      </c>
      <c r="T72" s="131" t="inlineStr">
        <is>
          <t>pdf</t>
        </is>
      </c>
      <c r="U72" s="131" t="inlineStr">
        <is>
          <t>Aquaculture Stewardship Council</t>
        </is>
      </c>
      <c r="V72" s="131" t="inlineStr">
        <is>
          <t>International</t>
        </is>
      </c>
      <c r="W72" s="131" t="inlineStr">
        <is>
          <t>English</t>
        </is>
      </c>
      <c r="X72" s="131" t="inlineStr">
        <is>
          <t>1.4</t>
        </is>
      </c>
      <c r="Y72" s="13" t="n"/>
      <c r="Z72" s="131" t="inlineStr">
        <is>
          <t>Certification scheme</t>
        </is>
      </c>
      <c r="AA72" s="131" t="inlineStr">
        <is>
          <t>Audit / assessment document</t>
        </is>
      </c>
      <c r="AB72" s="131" t="inlineStr">
        <is>
          <t>Audit / assessment tool</t>
        </is>
      </c>
      <c r="AC72" s="131" t="inlineStr">
        <is>
          <t>Official assessment tool from Aquaculture Stewardship Council; included to structure compliance checks and trace evidence back to its linked normative source.</t>
        </is>
      </c>
      <c r="AD72" s="131" t="inlineStr">
        <is>
          <t>HIGH</t>
        </is>
      </c>
      <c r="AE72" s="131" t="inlineStr">
        <is>
          <t>HIGH</t>
        </is>
      </c>
      <c r="AF72" s="131" t="inlineStr">
        <is>
          <t>HIGH</t>
        </is>
      </c>
      <c r="AG72" s="131" t="inlineStr">
        <is>
          <t>HIGH</t>
        </is>
      </c>
      <c r="AH72" s="131" t="inlineStr">
        <is>
          <t>HIGH</t>
        </is>
      </c>
      <c r="AI72" s="131" t="inlineStr">
        <is>
          <t>HIGH</t>
        </is>
      </c>
      <c r="AJ72" s="131" t="inlineStr">
        <is>
          <t>INCLUDE</t>
        </is>
      </c>
      <c r="AK72" s="125" t="n"/>
      <c r="AL72" s="13" t="n"/>
      <c r="AM72" s="131" t="inlineStr">
        <is>
          <t>CURRENT</t>
        </is>
      </c>
      <c r="AN72" s="131" t="inlineStr">
        <is>
          <t>CS004</t>
        </is>
      </c>
      <c r="AO72" s="131" t="inlineStr">
        <is>
          <t>Repository-held assessment tool. Trace extracted requirements to the applicable normative ASC standard.</t>
        </is>
      </c>
      <c r="AP72" s="131" t="inlineStr">
        <is>
          <t>OFFICIAL_WEBSITE</t>
        </is>
      </c>
      <c r="AQ72" s="131" t="inlineStr">
        <is>
          <t>OFFICIAL_ORIGINAL</t>
        </is>
      </c>
      <c r="AR72" s="131" t="inlineStr">
        <is>
          <t>VERSIONED</t>
        </is>
      </c>
      <c r="AS72" s="13" t="n"/>
    </row>
    <row r="73" ht="30" customHeight="1" s="41">
      <c r="A73" s="132" t="inlineStr">
        <is>
          <t>CS004</t>
        </is>
      </c>
      <c r="B73" s="132" t="inlineStr">
        <is>
          <t>CS004-001</t>
        </is>
      </c>
      <c r="C73" s="127" t="inlineStr">
        <is>
          <t>CS004-001_ASC_Salmon_and_Cod_Standard.pdf</t>
        </is>
      </c>
      <c r="D73" s="128" t="inlineStr">
        <is>
          <t>STORED</t>
        </is>
      </c>
      <c r="E73" s="128">
        <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f>
        <v/>
      </c>
      <c r="F73" s="128" t="inlineStr">
        <is>
          <t>SUCCESS</t>
        </is>
      </c>
      <c r="G73" s="129" t="n">
        <v>46262.53114583333</v>
      </c>
      <c r="H73" s="129" t="n">
        <v>46262.53114583333</v>
      </c>
      <c r="I73" s="128" t="inlineStr">
        <is>
          <t>INITIAL</t>
        </is>
      </c>
      <c r="J73" s="128" t="inlineStr">
        <is>
          <t>AUTO</t>
        </is>
      </c>
      <c r="K73" s="130">
        <f>IF(A73="","",IF(J73="AUTO",H73,IF(J73="MANUAL",AK73,"")))</f>
        <v/>
      </c>
      <c r="L73" s="128" t="inlineStr">
        <is>
          <t>NONE</t>
        </is>
      </c>
      <c r="M73" s="12" t="n"/>
      <c r="N73" s="128">
        <f>IF(A73="","",IF(COUNTIFS('Human Operation Desktop'!$A$3:$A$502,A73,'Human Operation Desktop'!$I$3:$I$502,"&lt;&gt;APPLIED",'Human Operation Desktop'!$I$3:$I$502,"&lt;&gt;REJECTED")&gt;0,"YES","NO"))</f>
        <v/>
      </c>
      <c r="O73" s="128" t="inlineStr">
        <is>
          <t>a34e5f4fc78486136ddbf3d661d26aad85e4b8a1990b2e6eda3f3ac1df7f7b5c</t>
        </is>
      </c>
      <c r="P73" s="131" t="inlineStr">
        <is>
          <t>ASC Salmon and Cod Standard</t>
        </is>
      </c>
      <c r="Q73" s="131" t="inlineStr">
        <is>
          <t>https://asc-aqua.org/producers/asc-standards/species-standards/salmon-cod/</t>
        </is>
      </c>
      <c r="R73" s="131" t="inlineStr">
        <is>
          <t>https://asc-aqua.org/wp-content/uploads/2025/10/ASC-STD-010-ASC-Salmon-and-Cod-Standard-V1.5-Oct-2025-1.pdf</t>
        </is>
      </c>
      <c r="S73" s="131" t="inlineStr">
        <is>
          <t>C_Certification_Scheme</t>
        </is>
      </c>
      <c r="T73" s="131" t="inlineStr">
        <is>
          <t>pdf</t>
        </is>
      </c>
      <c r="U73" s="131" t="inlineStr">
        <is>
          <t>Aquaculture Stewardship Council</t>
        </is>
      </c>
      <c r="V73" s="131" t="inlineStr">
        <is>
          <t>International</t>
        </is>
      </c>
      <c r="W73" s="131" t="inlineStr">
        <is>
          <t>English</t>
        </is>
      </c>
      <c r="X73" s="131" t="inlineStr">
        <is>
          <t>1.5</t>
        </is>
      </c>
      <c r="Y73" s="131" t="n">
        <v>45943</v>
      </c>
      <c r="Z73" s="131" t="inlineStr">
        <is>
          <t>Certification scheme</t>
        </is>
      </c>
      <c r="AA73" s="131" t="inlineStr">
        <is>
          <t>Scheme standard</t>
        </is>
      </c>
      <c r="AB73" s="131" t="inlineStr">
        <is>
          <t>Primary normative</t>
        </is>
      </c>
      <c r="AC73" s="131" t="inlineStr">
        <is>
          <t>Official scheme standard issued by Aquaculture Stewardship Council; included because it may impose binding requirements on an in-scope aquaculture asset, activity, permit or certification.</t>
        </is>
      </c>
      <c r="AD73" s="131" t="inlineStr">
        <is>
          <t>HIGH</t>
        </is>
      </c>
      <c r="AE73" s="131" t="inlineStr">
        <is>
          <t>HIGH</t>
        </is>
      </c>
      <c r="AF73" s="131" t="inlineStr">
        <is>
          <t>HIGH</t>
        </is>
      </c>
      <c r="AG73" s="131" t="inlineStr">
        <is>
          <t>HIGH</t>
        </is>
      </c>
      <c r="AH73" s="131" t="inlineStr">
        <is>
          <t>HIGH</t>
        </is>
      </c>
      <c r="AI73" s="131" t="inlineStr">
        <is>
          <t>HIGH</t>
        </is>
      </c>
      <c r="AJ73" s="131" t="inlineStr">
        <is>
          <t>INCLUDE</t>
        </is>
      </c>
      <c r="AK73" s="125" t="n"/>
      <c r="AL73" s="13" t="n"/>
      <c r="AM73" s="131" t="inlineStr">
        <is>
          <t>CURRENT</t>
        </is>
      </c>
      <c r="AN73" s="13" t="n"/>
      <c r="AO73" s="131" t="inlineStr">
        <is>
          <t>Project-mentioned candidate. Include while the species standard remains applicable during ASC transition.</t>
        </is>
      </c>
      <c r="AP73" s="131" t="inlineStr">
        <is>
          <t>OFFICIAL_WEBSITE</t>
        </is>
      </c>
      <c r="AQ73" s="131" t="inlineStr">
        <is>
          <t>OFFICIAL_ORIGINAL</t>
        </is>
      </c>
      <c r="AR73" s="131" t="inlineStr">
        <is>
          <t>VERSIONED</t>
        </is>
      </c>
      <c r="AS73" s="13" t="n"/>
    </row>
    <row r="74" ht="30" customHeight="1" s="41">
      <c r="A74" s="126" t="inlineStr">
        <is>
          <t>CS005</t>
        </is>
      </c>
      <c r="B74" s="126" t="inlineStr">
        <is>
          <t>CS005-001</t>
        </is>
      </c>
      <c r="C74" s="127" t="inlineStr">
        <is>
          <t>CS005-001_ASC_Farm_and_Feed_Certification_and_Accreditation_Requirements.pdf</t>
        </is>
      </c>
      <c r="D74" s="128" t="inlineStr">
        <is>
          <t>STORED</t>
        </is>
      </c>
      <c r="E74" s="128">
        <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f>
        <v/>
      </c>
      <c r="F74" s="128" t="inlineStr">
        <is>
          <t>SUCCESS</t>
        </is>
      </c>
      <c r="G74" s="129" t="n">
        <v>46262.53114583333</v>
      </c>
      <c r="H74" s="129" t="n">
        <v>46262.53115740741</v>
      </c>
      <c r="I74" s="128" t="inlineStr">
        <is>
          <t>INITIAL</t>
        </is>
      </c>
      <c r="J74" s="128" t="inlineStr">
        <is>
          <t>AUTO</t>
        </is>
      </c>
      <c r="K74" s="130">
        <f>IF(A74="","",IF(J74="AUTO",H74,IF(J74="MANUAL",AK74,"")))</f>
        <v/>
      </c>
      <c r="L74" s="128" t="inlineStr">
        <is>
          <t>NONE</t>
        </is>
      </c>
      <c r="M74" s="12" t="n"/>
      <c r="N74" s="128">
        <f>IF(A74="","",IF(COUNTIFS('Human Operation Desktop'!$A$3:$A$502,A74,'Human Operation Desktop'!$I$3:$I$502,"&lt;&gt;APPLIED",'Human Operation Desktop'!$I$3:$I$502,"&lt;&gt;REJECTED")&gt;0,"YES","NO"))</f>
        <v/>
      </c>
      <c r="O74" s="128" t="inlineStr">
        <is>
          <t>77e1d87383382fda4f27dc9be79937cc3017ce350b8b1d436a74500561083838</t>
        </is>
      </c>
      <c r="P74" s="131" t="inlineStr">
        <is>
          <t>ASC Farm and Feed Certification and Accreditation Requirements</t>
        </is>
      </c>
      <c r="Q74" s="131" t="inlineStr">
        <is>
          <t>https://programme-centre.asc-aqua.org/resource-hub/?filter=farm</t>
        </is>
      </c>
      <c r="R74" s="131" t="inlineStr">
        <is>
          <t>https://programme-centre.asc-aqua.org/app/uploads/2025/04/ASC-CAR-001-ASC-Farm-and-Feed-CAR-V1.0-May-2025.pdf</t>
        </is>
      </c>
      <c r="S74" s="131" t="inlineStr">
        <is>
          <t>C_Certification_Scheme</t>
        </is>
      </c>
      <c r="T74" s="131" t="inlineStr">
        <is>
          <t>pdf</t>
        </is>
      </c>
      <c r="U74" s="131" t="inlineStr">
        <is>
          <t>Aquaculture Stewardship Council</t>
        </is>
      </c>
      <c r="V74" s="131" t="inlineStr">
        <is>
          <t>International</t>
        </is>
      </c>
      <c r="W74" s="131" t="inlineStr">
        <is>
          <t>English</t>
        </is>
      </c>
      <c r="X74" s="131" t="inlineStr">
        <is>
          <t>1.0</t>
        </is>
      </c>
      <c r="Y74" s="13" t="n"/>
      <c r="Z74" s="131" t="inlineStr">
        <is>
          <t>Certification scheme</t>
        </is>
      </c>
      <c r="AA74" s="131" t="inlineStr">
        <is>
          <t>Scheme standard</t>
        </is>
      </c>
      <c r="AB74" s="131" t="inlineStr">
        <is>
          <t>Referenced normative</t>
        </is>
      </c>
      <c r="AC74" s="131" t="inlineStr">
        <is>
          <t>Official referenced source from Aquaculture Stewardship Council; included because an applicable law, permit or certification scheme may make its provisions binding within the approved scope.</t>
        </is>
      </c>
      <c r="AD74" s="131" t="inlineStr">
        <is>
          <t>HIGH</t>
        </is>
      </c>
      <c r="AE74" s="131" t="inlineStr">
        <is>
          <t>HIGH</t>
        </is>
      </c>
      <c r="AF74" s="131" t="inlineStr">
        <is>
          <t>HIGH</t>
        </is>
      </c>
      <c r="AG74" s="131" t="inlineStr">
        <is>
          <t>HIGH</t>
        </is>
      </c>
      <c r="AH74" s="131" t="inlineStr">
        <is>
          <t>HIGH</t>
        </is>
      </c>
      <c r="AI74" s="131" t="inlineStr">
        <is>
          <t>HIGH</t>
        </is>
      </c>
      <c r="AJ74" s="131" t="inlineStr">
        <is>
          <t>INCLUDE</t>
        </is>
      </c>
      <c r="AK74" s="125" t="n"/>
      <c r="AL74" s="13" t="n"/>
      <c r="AM74" s="131" t="inlineStr">
        <is>
          <t>CURRENT</t>
        </is>
      </c>
      <c r="AN74" s="131" t="inlineStr">
        <is>
          <t>CS001</t>
        </is>
      </c>
      <c r="AO74" s="131" t="inlineStr">
        <is>
          <t>Official expansion. The ASC Farm Standard identifies this CAR as normative.</t>
        </is>
      </c>
      <c r="AP74" s="131" t="inlineStr">
        <is>
          <t>OFFICIAL_WEBSITE</t>
        </is>
      </c>
      <c r="AQ74" s="131" t="inlineStr">
        <is>
          <t>OFFICIAL_ORIGINAL</t>
        </is>
      </c>
      <c r="AR74" s="131" t="inlineStr">
        <is>
          <t>VERSIONED</t>
        </is>
      </c>
      <c r="AS74" s="13" t="n"/>
    </row>
    <row r="75" ht="30" customHeight="1" s="41">
      <c r="A75" s="132" t="inlineStr">
        <is>
          <t>CS006</t>
        </is>
      </c>
      <c r="B75" s="132" t="inlineStr">
        <is>
          <t>CS006-001</t>
        </is>
      </c>
      <c r="C75" s="127" t="inlineStr">
        <is>
          <t>CS006-001_ASC_Group_Requirements_for_Farms.pdf</t>
        </is>
      </c>
      <c r="D75" s="128" t="inlineStr">
        <is>
          <t>NOT_COLLECTED</t>
        </is>
      </c>
      <c r="E75" s="128">
        <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f>
        <v/>
      </c>
      <c r="F75" s="128" t="inlineStr">
        <is>
          <t>NOT_RUN</t>
        </is>
      </c>
      <c r="G75" s="134" t="n"/>
      <c r="H75" s="134" t="n"/>
      <c r="I75" s="128" t="inlineStr">
        <is>
          <t>UNKNOWN</t>
        </is>
      </c>
      <c r="J75" s="128" t="inlineStr">
        <is>
          <t>NONE</t>
        </is>
      </c>
      <c r="K75" s="130">
        <f>IF(A75="","",IF(J75="AUTO",H75,IF(J75="MANUAL",AK75,"")))</f>
        <v/>
      </c>
      <c r="L75" s="128" t="inlineStr">
        <is>
          <t>NONE</t>
        </is>
      </c>
      <c r="M75" s="12" t="n"/>
      <c r="N75" s="128">
        <f>IF(A75="","",IF(COUNTIFS('Human Operation Desktop'!$A$3:$A$502,A75,'Human Operation Desktop'!$I$3:$I$502,"&lt;&gt;APPLIED",'Human Operation Desktop'!$I$3:$I$502,"&lt;&gt;REJECTED")&gt;0,"YES","NO"))</f>
        <v/>
      </c>
      <c r="O75" s="12" t="n"/>
      <c r="P75" s="131" t="inlineStr">
        <is>
          <t>ASC Group Requirements for Farms</t>
        </is>
      </c>
      <c r="Q75" s="131" t="inlineStr">
        <is>
          <t>https://programme-centre.asc-aqua.org/resource-hub/?filter=farm</t>
        </is>
      </c>
      <c r="R75" s="13" t="n"/>
      <c r="S75" s="131" t="inlineStr">
        <is>
          <t>C_Certification_Scheme</t>
        </is>
      </c>
      <c r="T75" s="131" t="inlineStr">
        <is>
          <t>pdf</t>
        </is>
      </c>
      <c r="U75" s="131" t="inlineStr">
        <is>
          <t>Aquaculture Stewardship Council</t>
        </is>
      </c>
      <c r="V75" s="131" t="inlineStr">
        <is>
          <t>International</t>
        </is>
      </c>
      <c r="W75" s="131" t="inlineStr">
        <is>
          <t>English</t>
        </is>
      </c>
      <c r="X75" s="131" t="inlineStr">
        <is>
          <t>1.0</t>
        </is>
      </c>
      <c r="Y75" s="13" t="n"/>
      <c r="Z75" s="131" t="inlineStr">
        <is>
          <t>Certification scheme</t>
        </is>
      </c>
      <c r="AA75" s="131" t="inlineStr">
        <is>
          <t>Scheme standard</t>
        </is>
      </c>
      <c r="AB75" s="131" t="inlineStr">
        <is>
          <t>Referenced normative</t>
        </is>
      </c>
      <c r="AC75" s="131" t="inlineStr">
        <is>
          <t>Official referenced source from Aquaculture Stewardship Council; included because an applicable law, permit or certification scheme may make its provisions binding within the approved scope.</t>
        </is>
      </c>
      <c r="AD75" s="131" t="inlineStr">
        <is>
          <t>HIGH</t>
        </is>
      </c>
      <c r="AE75" s="131" t="inlineStr">
        <is>
          <t>MEDIUM</t>
        </is>
      </c>
      <c r="AF75" s="131" t="inlineStr">
        <is>
          <t>MEDIUM</t>
        </is>
      </c>
      <c r="AG75" s="131" t="inlineStr">
        <is>
          <t>MEDIUM</t>
        </is>
      </c>
      <c r="AH75" s="131" t="inlineStr">
        <is>
          <t>HIGH</t>
        </is>
      </c>
      <c r="AI75" s="131" t="inlineStr">
        <is>
          <t>LOW</t>
        </is>
      </c>
      <c r="AJ75" s="131" t="inlineStr">
        <is>
          <t>PENDING</t>
        </is>
      </c>
      <c r="AK75" s="125" t="n"/>
      <c r="AL75" s="13" t="n"/>
      <c r="AM75" s="131" t="inlineStr">
        <is>
          <t>CURRENT</t>
        </is>
      </c>
      <c r="AN75" s="131" t="inlineStr">
        <is>
          <t>CS001</t>
        </is>
      </c>
      <c r="AO75" s="131" t="inlineStr">
        <is>
          <t>Official expansion. Conditional on group certification structure.</t>
        </is>
      </c>
      <c r="AP75" s="131" t="inlineStr">
        <is>
          <t>OFFICIAL_WEBSITE</t>
        </is>
      </c>
      <c r="AQ75" s="131" t="inlineStr">
        <is>
          <t>OFFICIAL_ORIGINAL</t>
        </is>
      </c>
      <c r="AR75" s="131" t="inlineStr">
        <is>
          <t>VERSIONED</t>
        </is>
      </c>
      <c r="AS75" s="13" t="n"/>
    </row>
    <row r="76" ht="30" customHeight="1" s="41">
      <c r="A76" s="126" t="inlineStr">
        <is>
          <t>CS007</t>
        </is>
      </c>
      <c r="B76" s="126" t="inlineStr">
        <is>
          <t>CS007-001</t>
        </is>
      </c>
      <c r="C76" s="127" t="inlineStr">
        <is>
          <t>CS007-001_ASC_Data_Submission_Procedure.pdf</t>
        </is>
      </c>
      <c r="D76" s="128" t="inlineStr">
        <is>
          <t>NOT_COLLECTED</t>
        </is>
      </c>
      <c r="E76" s="128">
        <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f>
        <v/>
      </c>
      <c r="F76" s="128" t="inlineStr">
        <is>
          <t>NOT_RUN</t>
        </is>
      </c>
      <c r="G76" s="134" t="n"/>
      <c r="H76" s="134" t="n"/>
      <c r="I76" s="128" t="inlineStr">
        <is>
          <t>UNKNOWN</t>
        </is>
      </c>
      <c r="J76" s="128" t="inlineStr">
        <is>
          <t>NONE</t>
        </is>
      </c>
      <c r="K76" s="130">
        <f>IF(A76="","",IF(J76="AUTO",H76,IF(J76="MANUAL",AK76,"")))</f>
        <v/>
      </c>
      <c r="L76" s="128" t="inlineStr">
        <is>
          <t>NONE</t>
        </is>
      </c>
      <c r="M76" s="12" t="n"/>
      <c r="N76" s="128">
        <f>IF(A76="","",IF(COUNTIFS('Human Operation Desktop'!$A$3:$A$502,A76,'Human Operation Desktop'!$I$3:$I$502,"&lt;&gt;APPLIED",'Human Operation Desktop'!$I$3:$I$502,"&lt;&gt;REJECTED")&gt;0,"YES","NO"))</f>
        <v/>
      </c>
      <c r="O76" s="12" t="n"/>
      <c r="P76" s="131" t="inlineStr">
        <is>
          <t>ASC Data Submission Procedure</t>
        </is>
      </c>
      <c r="Q76" s="131" t="inlineStr">
        <is>
          <t>https://programme-centre.asc-aqua.org/resource-hub/?filter=farm</t>
        </is>
      </c>
      <c r="R76" s="13" t="n"/>
      <c r="S76" s="131" t="inlineStr">
        <is>
          <t>C_Certification_Scheme</t>
        </is>
      </c>
      <c r="T76" s="131" t="inlineStr">
        <is>
          <t>pdf</t>
        </is>
      </c>
      <c r="U76" s="131" t="inlineStr">
        <is>
          <t>Aquaculture Stewardship Council</t>
        </is>
      </c>
      <c r="V76" s="131" t="inlineStr">
        <is>
          <t>International</t>
        </is>
      </c>
      <c r="W76" s="131" t="inlineStr">
        <is>
          <t>English</t>
        </is>
      </c>
      <c r="X76" s="131" t="inlineStr">
        <is>
          <t>1.0</t>
        </is>
      </c>
      <c r="Y76" s="13" t="n"/>
      <c r="Z76" s="131" t="inlineStr">
        <is>
          <t>Certification scheme</t>
        </is>
      </c>
      <c r="AA76" s="131" t="inlineStr">
        <is>
          <t>Scheme standard</t>
        </is>
      </c>
      <c r="AB76" s="131" t="inlineStr">
        <is>
          <t>Referenced normative</t>
        </is>
      </c>
      <c r="AC76" s="131" t="inlineStr">
        <is>
          <t>Official referenced source from Aquaculture Stewardship Council; included because an applicable law, permit or certification scheme may make its provisions binding within the approved scope.</t>
        </is>
      </c>
      <c r="AD76" s="131" t="inlineStr">
        <is>
          <t>HIGH</t>
        </is>
      </c>
      <c r="AE76" s="131" t="inlineStr">
        <is>
          <t>HIGH</t>
        </is>
      </c>
      <c r="AF76" s="131" t="inlineStr">
        <is>
          <t>MEDIUM</t>
        </is>
      </c>
      <c r="AG76" s="131" t="inlineStr">
        <is>
          <t>MEDIUM</t>
        </is>
      </c>
      <c r="AH76" s="131" t="inlineStr">
        <is>
          <t>HIGH</t>
        </is>
      </c>
      <c r="AI76" s="131" t="inlineStr">
        <is>
          <t>LOW</t>
        </is>
      </c>
      <c r="AJ76" s="131" t="inlineStr">
        <is>
          <t>PENDING</t>
        </is>
      </c>
      <c r="AK76" s="125" t="n"/>
      <c r="AL76" s="13" t="n"/>
      <c r="AM76" s="131" t="inlineStr">
        <is>
          <t>CURRENT</t>
        </is>
      </c>
      <c r="AN76" s="131" t="inlineStr">
        <is>
          <t>CS001</t>
        </is>
      </c>
      <c r="AO76" s="131" t="inlineStr">
        <is>
          <t>Official expansion. The ASC Farm Standard lists this procedure among normative references.</t>
        </is>
      </c>
      <c r="AP76" s="131" t="inlineStr">
        <is>
          <t>OFFICIAL_WEBSITE</t>
        </is>
      </c>
      <c r="AQ76" s="131" t="inlineStr">
        <is>
          <t>OFFICIAL_ORIGINAL</t>
        </is>
      </c>
      <c r="AR76" s="131" t="inlineStr">
        <is>
          <t>VERSIONED</t>
        </is>
      </c>
      <c r="AS76" s="13" t="n"/>
    </row>
    <row r="77" ht="30" customHeight="1" s="41">
      <c r="A77" s="132" t="inlineStr">
        <is>
          <t>CS008</t>
        </is>
      </c>
      <c r="B77" s="132" t="inlineStr">
        <is>
          <t>CS008-001</t>
        </is>
      </c>
      <c r="C77" s="127" t="inlineStr">
        <is>
          <t>CS008-001_GLOBALG.A.P._IFA_v6_Smart_for_aquaculture_-_Principles_and_criteria.pdf</t>
        </is>
      </c>
      <c r="D77" s="128" t="inlineStr">
        <is>
          <t>NOT_COLLECTED</t>
        </is>
      </c>
      <c r="E77" s="128">
        <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f>
        <v/>
      </c>
      <c r="F77" s="128" t="inlineStr">
        <is>
          <t>NOT_RUN</t>
        </is>
      </c>
      <c r="G77" s="134" t="n"/>
      <c r="H77" s="134" t="n"/>
      <c r="I77" s="128" t="inlineStr">
        <is>
          <t>UNKNOWN</t>
        </is>
      </c>
      <c r="J77" s="128" t="inlineStr">
        <is>
          <t>NONE</t>
        </is>
      </c>
      <c r="K77" s="130">
        <f>IF(A77="","",IF(J77="AUTO",H77,IF(J77="MANUAL",AK77,"")))</f>
        <v/>
      </c>
      <c r="L77" s="128" t="inlineStr">
        <is>
          <t>NONE</t>
        </is>
      </c>
      <c r="M77" s="12" t="n"/>
      <c r="N77" s="128">
        <f>IF(A77="","",IF(COUNTIFS('Human Operation Desktop'!$A$3:$A$502,A77,'Human Operation Desktop'!$I$3:$I$502,"&lt;&gt;APPLIED",'Human Operation Desktop'!$I$3:$I$502,"&lt;&gt;REJECTED")&gt;0,"YES","NO"))</f>
        <v/>
      </c>
      <c r="O77" s="12" t="n"/>
      <c r="P77" s="131" t="inlineStr">
        <is>
          <t>GLOBALG.A.P. IFA v6 Smart for aquaculture - Principles and criteria</t>
        </is>
      </c>
      <c r="Q77" s="131" t="inlineStr">
        <is>
          <t>https://globalgap.org/what-we-offer/solutions/ifa-aquaculture/</t>
        </is>
      </c>
      <c r="R77" s="13" t="n"/>
      <c r="S77" s="131" t="inlineStr">
        <is>
          <t>C_Certification_Scheme</t>
        </is>
      </c>
      <c r="T77" s="131" t="inlineStr">
        <is>
          <t>pdf</t>
        </is>
      </c>
      <c r="U77" s="131" t="inlineStr">
        <is>
          <t>GLOBALG.A.P.</t>
        </is>
      </c>
      <c r="V77" s="131" t="inlineStr">
        <is>
          <t>International</t>
        </is>
      </c>
      <c r="W77" s="131" t="inlineStr">
        <is>
          <t>English</t>
        </is>
      </c>
      <c r="X77" s="131" t="inlineStr">
        <is>
          <t>V6</t>
        </is>
      </c>
      <c r="Y77" s="13" t="n"/>
      <c r="Z77" s="131" t="inlineStr">
        <is>
          <t>Certification scheme</t>
        </is>
      </c>
      <c r="AA77" s="131" t="inlineStr">
        <is>
          <t>Scheme standard</t>
        </is>
      </c>
      <c r="AB77" s="131" t="inlineStr">
        <is>
          <t>Primary normative</t>
        </is>
      </c>
      <c r="AC77" s="131" t="inlineStr">
        <is>
          <t>Official scheme standard issued by GLOBALG.A.P.; included because it may impose binding requirements on an in-scope aquaculture asset, activity, permit or certification.</t>
        </is>
      </c>
      <c r="AD77" s="131" t="inlineStr">
        <is>
          <t>HIGH</t>
        </is>
      </c>
      <c r="AE77" s="131" t="inlineStr">
        <is>
          <t>HIGH</t>
        </is>
      </c>
      <c r="AF77" s="131" t="inlineStr">
        <is>
          <t>MEDIUM</t>
        </is>
      </c>
      <c r="AG77" s="131" t="inlineStr">
        <is>
          <t>MEDIUM</t>
        </is>
      </c>
      <c r="AH77" s="131" t="inlineStr">
        <is>
          <t>HIGH</t>
        </is>
      </c>
      <c r="AI77" s="131" t="inlineStr">
        <is>
          <t>LOW</t>
        </is>
      </c>
      <c r="AJ77" s="131" t="inlineStr">
        <is>
          <t>PENDING</t>
        </is>
      </c>
      <c r="AK77" s="125" t="n"/>
      <c r="AL77" s="13" t="n"/>
      <c r="AM77" s="131" t="inlineStr">
        <is>
          <t>CURRENT</t>
        </is>
      </c>
      <c r="AN77" s="13" t="n"/>
      <c r="AO77" s="131" t="inlineStr">
        <is>
          <t>Project-mentioned scheme source. The repository contains the checklist, but the P&amp;C document is the primary normative source.</t>
        </is>
      </c>
      <c r="AP77" s="131" t="inlineStr">
        <is>
          <t>OFFICIAL_WEBSITE</t>
        </is>
      </c>
      <c r="AQ77" s="131" t="inlineStr">
        <is>
          <t>OFFICIAL_ORIGINAL</t>
        </is>
      </c>
      <c r="AR77" s="131" t="inlineStr">
        <is>
          <t>VERSIONED</t>
        </is>
      </c>
      <c r="AS77" s="13" t="n"/>
    </row>
    <row r="78" ht="30" customHeight="1" s="41">
      <c r="A78" s="126" t="inlineStr">
        <is>
          <t>CS009</t>
        </is>
      </c>
      <c r="B78" s="126" t="inlineStr">
        <is>
          <t>CS009-001</t>
        </is>
      </c>
      <c r="C78" s="127" t="inlineStr">
        <is>
          <t>CS009-001_GLOBALG.A.P._IFA_v6_Smart_for_aquaculture_-_Checklist.xlsx</t>
        </is>
      </c>
      <c r="D78" s="128" t="inlineStr">
        <is>
          <t>NOT_COLLECTED</t>
        </is>
      </c>
      <c r="E78" s="128">
        <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f>
        <v/>
      </c>
      <c r="F78" s="128" t="inlineStr">
        <is>
          <t>NOT_RUN</t>
        </is>
      </c>
      <c r="G78" s="134" t="n"/>
      <c r="H78" s="134" t="n"/>
      <c r="I78" s="128" t="inlineStr">
        <is>
          <t>UNKNOWN</t>
        </is>
      </c>
      <c r="J78" s="128" t="inlineStr">
        <is>
          <t>NONE</t>
        </is>
      </c>
      <c r="K78" s="130">
        <f>IF(A78="","",IF(J78="AUTO",H78,IF(J78="MANUAL",AK78,"")))</f>
        <v/>
      </c>
      <c r="L78" s="128" t="inlineStr">
        <is>
          <t>NONE</t>
        </is>
      </c>
      <c r="M78" s="12" t="n"/>
      <c r="N78" s="128">
        <f>IF(A78="","",IF(COUNTIFS('Human Operation Desktop'!$A$3:$A$502,A78,'Human Operation Desktop'!$I$3:$I$502,"&lt;&gt;APPLIED",'Human Operation Desktop'!$I$3:$I$502,"&lt;&gt;REJECTED")&gt;0,"YES","NO"))</f>
        <v/>
      </c>
      <c r="O78" s="12" t="n"/>
      <c r="P78" s="131" t="inlineStr">
        <is>
          <t>GLOBALG.A.P. IFA v6 Smart for aquaculture - Checklist</t>
        </is>
      </c>
      <c r="Q78" s="131" t="inlineStr">
        <is>
          <t>https://globalgap.org/what-we-offer/solutions/ifa-aquaculture/</t>
        </is>
      </c>
      <c r="R78" s="13" t="n"/>
      <c r="S78" s="131" t="inlineStr">
        <is>
          <t>C_Certification_Scheme</t>
        </is>
      </c>
      <c r="T78" s="131" t="inlineStr">
        <is>
          <t>xlsx</t>
        </is>
      </c>
      <c r="U78" s="131" t="inlineStr">
        <is>
          <t>GLOBALG.A.P.</t>
        </is>
      </c>
      <c r="V78" s="131" t="inlineStr">
        <is>
          <t>International</t>
        </is>
      </c>
      <c r="W78" s="131" t="inlineStr">
        <is>
          <t>English</t>
        </is>
      </c>
      <c r="X78" s="131" t="inlineStr">
        <is>
          <t>V6</t>
        </is>
      </c>
      <c r="Y78" s="13" t="n"/>
      <c r="Z78" s="131" t="inlineStr">
        <is>
          <t>Certification scheme</t>
        </is>
      </c>
      <c r="AA78" s="131" t="inlineStr">
        <is>
          <t>Audit / assessment document</t>
        </is>
      </c>
      <c r="AB78" s="131" t="inlineStr">
        <is>
          <t>Audit / assessment tool</t>
        </is>
      </c>
      <c r="AC78" s="131" t="inlineStr">
        <is>
          <t>Official assessment tool from GLOBALG.A.P.; included to structure compliance checks and trace evidence back to its linked normative source.</t>
        </is>
      </c>
      <c r="AD78" s="131" t="inlineStr">
        <is>
          <t>HIGH</t>
        </is>
      </c>
      <c r="AE78" s="131" t="inlineStr">
        <is>
          <t>HIGH</t>
        </is>
      </c>
      <c r="AF78" s="131" t="inlineStr">
        <is>
          <t>MEDIUM</t>
        </is>
      </c>
      <c r="AG78" s="131" t="inlineStr">
        <is>
          <t>MEDIUM</t>
        </is>
      </c>
      <c r="AH78" s="131" t="inlineStr">
        <is>
          <t>HIGH</t>
        </is>
      </c>
      <c r="AI78" s="131" t="inlineStr">
        <is>
          <t>LOW</t>
        </is>
      </c>
      <c r="AJ78" s="131" t="inlineStr">
        <is>
          <t>PENDING</t>
        </is>
      </c>
      <c r="AK78" s="125" t="n"/>
      <c r="AL78" s="13" t="n"/>
      <c r="AM78" s="131" t="inlineStr">
        <is>
          <t>CURRENT</t>
        </is>
      </c>
      <c r="AN78" s="131" t="inlineStr">
        <is>
          <t>CS008</t>
        </is>
      </c>
      <c r="AO78" s="131" t="inlineStr">
        <is>
          <t>Repository-held assessment artifact. Official distribution may be ZIP/XLSX; trace requirements to CS008.</t>
        </is>
      </c>
      <c r="AP78" s="131" t="inlineStr">
        <is>
          <t>OFFICIAL_WEBSITE</t>
        </is>
      </c>
      <c r="AQ78" s="131" t="inlineStr">
        <is>
          <t>OFFICIAL_ORIGINAL</t>
        </is>
      </c>
      <c r="AR78" s="131" t="inlineStr">
        <is>
          <t>VERSIONED</t>
        </is>
      </c>
      <c r="AS78" s="13" t="n"/>
    </row>
    <row r="79" ht="30" customHeight="1" s="41">
      <c r="A79" s="132" t="inlineStr">
        <is>
          <t>CS010</t>
        </is>
      </c>
      <c r="B79" s="132" t="inlineStr">
        <is>
          <t>CS010-001</t>
        </is>
      </c>
      <c r="C79" s="127" t="inlineStr">
        <is>
          <t>CS010-001_GLOBALG.A.P._General_Regulations_-_Rules_for_aquaculture_scope.pdf</t>
        </is>
      </c>
      <c r="D79" s="128" t="inlineStr">
        <is>
          <t>STORED</t>
        </is>
      </c>
      <c r="E79" s="128">
        <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f>
        <v/>
      </c>
      <c r="F79" s="128" t="inlineStr">
        <is>
          <t>SUCCESS</t>
        </is>
      </c>
      <c r="G79" s="129" t="n">
        <v>46262.53115740741</v>
      </c>
      <c r="H79" s="129" t="n">
        <v>46262.53115740741</v>
      </c>
      <c r="I79" s="128" t="inlineStr">
        <is>
          <t>INITIAL</t>
        </is>
      </c>
      <c r="J79" s="128" t="inlineStr">
        <is>
          <t>AUTO</t>
        </is>
      </c>
      <c r="K79" s="130">
        <f>IF(A79="","",IF(J79="AUTO",H79,IF(J79="MANUAL",AK79,"")))</f>
        <v/>
      </c>
      <c r="L79" s="128" t="inlineStr">
        <is>
          <t>NONE</t>
        </is>
      </c>
      <c r="M79" s="12" t="n"/>
      <c r="N79" s="128">
        <f>IF(A79="","",IF(COUNTIFS('Human Operation Desktop'!$A$3:$A$502,A79,'Human Operation Desktop'!$I$3:$I$502,"&lt;&gt;APPLIED",'Human Operation Desktop'!$I$3:$I$502,"&lt;&gt;REJECTED")&gt;0,"YES","NO"))</f>
        <v/>
      </c>
      <c r="O79" s="128" t="inlineStr">
        <is>
          <t>ce5c8950c69e3b5b60b85110f5abd2c6d8637c83291c6c00ac03f28b102dac54</t>
        </is>
      </c>
      <c r="P79" s="131" t="inlineStr">
        <is>
          <t>GLOBALG.A.P. General Regulations - Rules for aquaculture scope</t>
        </is>
      </c>
      <c r="Q79" s="131" t="inlineStr">
        <is>
          <t>https://globalgap.org/what-we-offer/solutions/ifa-aquaculture/</t>
        </is>
      </c>
      <c r="R79" s="131" t="inlineStr">
        <is>
          <t>https://documents.globalgap.org/documents/220929_GG_GR_Rules_for_aquaculture_v6_0_Sep22_en.pdf</t>
        </is>
      </c>
      <c r="S79" s="131" t="inlineStr">
        <is>
          <t>C_Certification_Scheme</t>
        </is>
      </c>
      <c r="T79" s="131" t="inlineStr">
        <is>
          <t>pdf</t>
        </is>
      </c>
      <c r="U79" s="131" t="inlineStr">
        <is>
          <t>GLOBALG.A.P.</t>
        </is>
      </c>
      <c r="V79" s="131" t="inlineStr">
        <is>
          <t>International</t>
        </is>
      </c>
      <c r="W79" s="131" t="inlineStr">
        <is>
          <t>English</t>
        </is>
      </c>
      <c r="X79" s="131" t="inlineStr">
        <is>
          <t>6.0</t>
        </is>
      </c>
      <c r="Y79" s="13" t="n"/>
      <c r="Z79" s="131" t="inlineStr">
        <is>
          <t>Certification scheme</t>
        </is>
      </c>
      <c r="AA79" s="131" t="inlineStr">
        <is>
          <t>Scheme standard</t>
        </is>
      </c>
      <c r="AB79" s="131" t="inlineStr">
        <is>
          <t>Referenced normative</t>
        </is>
      </c>
      <c r="AC79" s="131" t="inlineStr">
        <is>
          <t>Official referenced source from GLOBALG.A.P.; included because an applicable law, permit or certification scheme may make its provisions binding within the approved scope.</t>
        </is>
      </c>
      <c r="AD79" s="131" t="inlineStr">
        <is>
          <t>HIGH</t>
        </is>
      </c>
      <c r="AE79" s="131" t="inlineStr">
        <is>
          <t>HIGH</t>
        </is>
      </c>
      <c r="AF79" s="131" t="inlineStr">
        <is>
          <t>HIGH</t>
        </is>
      </c>
      <c r="AG79" s="131" t="inlineStr">
        <is>
          <t>HIGH</t>
        </is>
      </c>
      <c r="AH79" s="131" t="inlineStr">
        <is>
          <t>HIGH</t>
        </is>
      </c>
      <c r="AI79" s="131" t="inlineStr">
        <is>
          <t>HIGH</t>
        </is>
      </c>
      <c r="AJ79" s="131" t="inlineStr">
        <is>
          <t>INCLUDE</t>
        </is>
      </c>
      <c r="AK79" s="125" t="n"/>
      <c r="AL79" s="13" t="n"/>
      <c r="AM79" s="131" t="inlineStr">
        <is>
          <t>CURRENT</t>
        </is>
      </c>
      <c r="AN79" s="131" t="inlineStr">
        <is>
          <t>CS008</t>
        </is>
      </c>
      <c r="AO79" s="131" t="inlineStr">
        <is>
          <t>Official expansion. GLOBALG.A.P. identifies the general regulations as required for certification.</t>
        </is>
      </c>
      <c r="AP79" s="131" t="inlineStr">
        <is>
          <t>OFFICIAL_WEBSITE</t>
        </is>
      </c>
      <c r="AQ79" s="131" t="inlineStr">
        <is>
          <t>OFFICIAL_ORIGINAL</t>
        </is>
      </c>
      <c r="AR79" s="131" t="inlineStr">
        <is>
          <t>VERSIONED</t>
        </is>
      </c>
      <c r="AS79" s="13" t="n"/>
    </row>
    <row r="80" ht="30" customHeight="1" s="41">
      <c r="A80" s="126" t="inlineStr">
        <is>
          <t>CS011</t>
        </is>
      </c>
      <c r="B80" s="126" t="inlineStr">
        <is>
          <t>CS011-001</t>
        </is>
      </c>
      <c r="C80" s="127" t="inlineStr">
        <is>
          <t>CS011-001_GLOBALG.A.P._GRASP_v2_-_Principles_and_criteria.pdf</t>
        </is>
      </c>
      <c r="D80" s="128" t="inlineStr">
        <is>
          <t>STORED</t>
        </is>
      </c>
      <c r="E80" s="128">
        <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f>
        <v/>
      </c>
      <c r="F80" s="128" t="inlineStr">
        <is>
          <t>SUCCESS</t>
        </is>
      </c>
      <c r="G80" s="129" t="n">
        <v>46262.53115740741</v>
      </c>
      <c r="H80" s="129" t="n">
        <v>46262.53116898148</v>
      </c>
      <c r="I80" s="128" t="inlineStr">
        <is>
          <t>INITIAL</t>
        </is>
      </c>
      <c r="J80" s="128" t="inlineStr">
        <is>
          <t>AUTO</t>
        </is>
      </c>
      <c r="K80" s="130">
        <f>IF(A80="","",IF(J80="AUTO",H80,IF(J80="MANUAL",AK80,"")))</f>
        <v/>
      </c>
      <c r="L80" s="128" t="inlineStr">
        <is>
          <t>NONE</t>
        </is>
      </c>
      <c r="M80" s="12" t="n"/>
      <c r="N80" s="128">
        <f>IF(A80="","",IF(COUNTIFS('Human Operation Desktop'!$A$3:$A$502,A80,'Human Operation Desktop'!$I$3:$I$502,"&lt;&gt;APPLIED",'Human Operation Desktop'!$I$3:$I$502,"&lt;&gt;REJECTED")&gt;0,"YES","NO"))</f>
        <v/>
      </c>
      <c r="O80" s="128" t="inlineStr">
        <is>
          <t>5b5c05855c1b0c422755facc234a7d4584eb37f8671421885d7dcc62f9a0e9e8</t>
        </is>
      </c>
      <c r="P80" s="131" t="inlineStr">
        <is>
          <t>GLOBALG.A.P. GRASP v2 - Principles and criteria</t>
        </is>
      </c>
      <c r="Q80" s="131" t="inlineStr">
        <is>
          <t>https://globalgap.org/what-we-offer/solutions/grasp/</t>
        </is>
      </c>
      <c r="R80" s="131" t="inlineStr">
        <is>
          <t>https://documents.globalgap.org/documents/220929_GRASP_PCs_v2_0_Sep22_en.pdf</t>
        </is>
      </c>
      <c r="S80" s="131" t="inlineStr">
        <is>
          <t>C_Certification_Scheme</t>
        </is>
      </c>
      <c r="T80" s="131" t="inlineStr">
        <is>
          <t>pdf</t>
        </is>
      </c>
      <c r="U80" s="131" t="inlineStr">
        <is>
          <t>GLOBALG.A.P.</t>
        </is>
      </c>
      <c r="V80" s="131" t="inlineStr">
        <is>
          <t>International</t>
        </is>
      </c>
      <c r="W80" s="131" t="inlineStr">
        <is>
          <t>English</t>
        </is>
      </c>
      <c r="X80" s="131" t="inlineStr">
        <is>
          <t>2.0_Sep22</t>
        </is>
      </c>
      <c r="Y80" s="13" t="n"/>
      <c r="Z80" s="131" t="inlineStr">
        <is>
          <t>Certification scheme</t>
        </is>
      </c>
      <c r="AA80" s="131" t="inlineStr">
        <is>
          <t>Scheme standard</t>
        </is>
      </c>
      <c r="AB80" s="131" t="inlineStr">
        <is>
          <t>Referenced normative</t>
        </is>
      </c>
      <c r="AC80" s="131" t="inlineStr">
        <is>
          <t>Official referenced source from GLOBALG.A.P.; included because an applicable law, permit or certification scheme may make its provisions binding within the approved scope.</t>
        </is>
      </c>
      <c r="AD80" s="131" t="inlineStr">
        <is>
          <t>HIGH</t>
        </is>
      </c>
      <c r="AE80" s="131" t="inlineStr">
        <is>
          <t>HIGH</t>
        </is>
      </c>
      <c r="AF80" s="131" t="inlineStr">
        <is>
          <t>HIGH</t>
        </is>
      </c>
      <c r="AG80" s="131" t="inlineStr">
        <is>
          <t>HIGH</t>
        </is>
      </c>
      <c r="AH80" s="131" t="inlineStr">
        <is>
          <t>HIGH</t>
        </is>
      </c>
      <c r="AI80" s="131" t="inlineStr">
        <is>
          <t>HIGH</t>
        </is>
      </c>
      <c r="AJ80" s="131" t="inlineStr">
        <is>
          <t>INCLUDE</t>
        </is>
      </c>
      <c r="AK80" s="125" t="n"/>
      <c r="AL80" s="13" t="n"/>
      <c r="AM80" s="131" t="inlineStr">
        <is>
          <t>CURRENT</t>
        </is>
      </c>
      <c r="AN80" s="131" t="inlineStr">
        <is>
          <t>CS008</t>
        </is>
      </c>
      <c r="AO80" s="131" t="inlineStr">
        <is>
          <t>Official expansion. GLOBALG.A.P. states GRASP is mandatory for IFA aquaculture audits.</t>
        </is>
      </c>
      <c r="AP80" s="131" t="inlineStr">
        <is>
          <t>OFFICIAL_WEBSITE</t>
        </is>
      </c>
      <c r="AQ80" s="131" t="inlineStr">
        <is>
          <t>OFFICIAL_ORIGINAL</t>
        </is>
      </c>
      <c r="AR80" s="131" t="inlineStr">
        <is>
          <t>VERSIONED</t>
        </is>
      </c>
      <c r="AS80" s="13" t="n"/>
    </row>
    <row r="81" ht="30" customHeight="1" s="41">
      <c r="A81" s="132" t="inlineStr">
        <is>
          <t>CS012</t>
        </is>
      </c>
      <c r="B81" s="132" t="inlineStr">
        <is>
          <t>CS012-001</t>
        </is>
      </c>
      <c r="C81" s="127" t="inlineStr">
        <is>
          <t>CS012-001_GLOBALG.A.P._Compound_Feed_Manufacturing_Standard.pdf</t>
        </is>
      </c>
      <c r="D81" s="128" t="inlineStr">
        <is>
          <t>NOT_COLLECTED</t>
        </is>
      </c>
      <c r="E81" s="128">
        <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f>
        <v/>
      </c>
      <c r="F81" s="128" t="inlineStr">
        <is>
          <t>NOT_RUN</t>
        </is>
      </c>
      <c r="G81" s="134" t="n"/>
      <c r="H81" s="134" t="n"/>
      <c r="I81" s="128" t="inlineStr">
        <is>
          <t>UNKNOWN</t>
        </is>
      </c>
      <c r="J81" s="128" t="inlineStr">
        <is>
          <t>NONE</t>
        </is>
      </c>
      <c r="K81" s="130">
        <f>IF(A81="","",IF(J81="AUTO",H81,IF(J81="MANUAL",AK81,"")))</f>
        <v/>
      </c>
      <c r="L81" s="128" t="inlineStr">
        <is>
          <t>NONE</t>
        </is>
      </c>
      <c r="M81" s="12" t="n"/>
      <c r="N81" s="128">
        <f>IF(A81="","",IF(COUNTIFS('Human Operation Desktop'!$A$3:$A$502,A81,'Human Operation Desktop'!$I$3:$I$502,"&lt;&gt;APPLIED",'Human Operation Desktop'!$I$3:$I$502,"&lt;&gt;REJECTED")&gt;0,"YES","NO"))</f>
        <v/>
      </c>
      <c r="O81" s="12" t="n"/>
      <c r="P81" s="131" t="inlineStr">
        <is>
          <t>GLOBALG.A.P. Compound Feed Manufacturing Standard</t>
        </is>
      </c>
      <c r="Q81" s="131" t="inlineStr">
        <is>
          <t>https://globalgap.org/what-we-offer/solutions/compound-feed-manufacturing/</t>
        </is>
      </c>
      <c r="R81" s="13" t="n"/>
      <c r="S81" s="131" t="inlineStr">
        <is>
          <t>C_Certification_Scheme</t>
        </is>
      </c>
      <c r="T81" s="131" t="inlineStr">
        <is>
          <t>pdf</t>
        </is>
      </c>
      <c r="U81" s="131" t="inlineStr">
        <is>
          <t>GLOBALG.A.P.</t>
        </is>
      </c>
      <c r="V81" s="131" t="inlineStr">
        <is>
          <t>International</t>
        </is>
      </c>
      <c r="W81" s="131" t="inlineStr">
        <is>
          <t>English</t>
        </is>
      </c>
      <c r="X81" s="13" t="n"/>
      <c r="Y81" s="13" t="n"/>
      <c r="Z81" s="131" t="inlineStr">
        <is>
          <t>Certification scheme</t>
        </is>
      </c>
      <c r="AA81" s="131" t="inlineStr">
        <is>
          <t>Scheme standard</t>
        </is>
      </c>
      <c r="AB81" s="131" t="inlineStr">
        <is>
          <t>Referenced normative</t>
        </is>
      </c>
      <c r="AC81" s="131" t="inlineStr">
        <is>
          <t>Official referenced source from GLOBALG.A.P.; included because an applicable law, permit or certification scheme may make its provisions binding within the approved scope.</t>
        </is>
      </c>
      <c r="AD81" s="131" t="inlineStr">
        <is>
          <t>HIGH</t>
        </is>
      </c>
      <c r="AE81" s="131" t="inlineStr">
        <is>
          <t>HIGH</t>
        </is>
      </c>
      <c r="AF81" s="131" t="inlineStr">
        <is>
          <t>MEDIUM</t>
        </is>
      </c>
      <c r="AG81" s="131" t="inlineStr">
        <is>
          <t>MEDIUM</t>
        </is>
      </c>
      <c r="AH81" s="131" t="inlineStr">
        <is>
          <t>HIGH</t>
        </is>
      </c>
      <c r="AI81" s="131" t="inlineStr">
        <is>
          <t>LOW</t>
        </is>
      </c>
      <c r="AJ81" s="131" t="inlineStr">
        <is>
          <t>PENDING</t>
        </is>
      </c>
      <c r="AK81" s="125" t="n"/>
      <c r="AL81" s="13" t="n"/>
      <c r="AM81" s="131" t="inlineStr">
        <is>
          <t>CURRENT</t>
        </is>
      </c>
      <c r="AN81" s="131" t="inlineStr">
        <is>
          <t>CS008</t>
        </is>
      </c>
      <c r="AO81" s="131" t="inlineStr">
        <is>
          <t>Official expansion. Relevant to feed-sourcing requirements under IFA aquaculture.</t>
        </is>
      </c>
      <c r="AP81" s="131" t="inlineStr">
        <is>
          <t>OFFICIAL_WEBSITE</t>
        </is>
      </c>
      <c r="AQ81" s="131" t="inlineStr">
        <is>
          <t>OFFICIAL_ORIGINAL</t>
        </is>
      </c>
      <c r="AR81" s="131" t="inlineStr">
        <is>
          <t>VERSIONED</t>
        </is>
      </c>
      <c r="AS81" s="13" t="n"/>
    </row>
    <row r="82" ht="30" customHeight="1" s="41">
      <c r="A82" s="126" t="inlineStr">
        <is>
          <t>CS013</t>
        </is>
      </c>
      <c r="B82" s="126" t="inlineStr">
        <is>
          <t>CS013-001</t>
        </is>
      </c>
      <c r="C82" s="127" t="inlineStr">
        <is>
          <t>CS013-001_GLOBALG.A.P._General_Regulations_-_Rules_for_individual_producers.pdf</t>
        </is>
      </c>
      <c r="D82" s="128" t="inlineStr">
        <is>
          <t>STORED</t>
        </is>
      </c>
      <c r="E82" s="128">
        <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f>
        <v/>
      </c>
      <c r="F82" s="128" t="inlineStr">
        <is>
          <t>SUCCESS</t>
        </is>
      </c>
      <c r="G82" s="129" t="n">
        <v>46262.53116898148</v>
      </c>
      <c r="H82" s="129" t="n">
        <v>46262.53118055555</v>
      </c>
      <c r="I82" s="128" t="inlineStr">
        <is>
          <t>INITIAL</t>
        </is>
      </c>
      <c r="J82" s="128" t="inlineStr">
        <is>
          <t>AUTO</t>
        </is>
      </c>
      <c r="K82" s="130">
        <f>IF(A82="","",IF(J82="AUTO",H82,IF(J82="MANUAL",AK82,"")))</f>
        <v/>
      </c>
      <c r="L82" s="128" t="inlineStr">
        <is>
          <t>NONE</t>
        </is>
      </c>
      <c r="M82" s="12" t="n"/>
      <c r="N82" s="128">
        <f>IF(A82="","",IF(COUNTIFS('Human Operation Desktop'!$A$3:$A$502,A82,'Human Operation Desktop'!$I$3:$I$502,"&lt;&gt;APPLIED",'Human Operation Desktop'!$I$3:$I$502,"&lt;&gt;REJECTED")&gt;0,"YES","NO"))</f>
        <v/>
      </c>
      <c r="O82" s="128" t="inlineStr">
        <is>
          <t>1015d3e9d049ce63876f8e511408e9d9e61c38598caf48442dc42be26c6d2716</t>
        </is>
      </c>
      <c r="P82" s="131" t="inlineStr">
        <is>
          <t>GLOBALG.A.P. General Regulations - Rules for individual producers</t>
        </is>
      </c>
      <c r="Q82" s="131" t="inlineStr">
        <is>
          <t>https://globalgap.org/what-we-offer/solutions/ifa-aquaculture/</t>
        </is>
      </c>
      <c r="R82" s="131" t="inlineStr">
        <is>
          <t>https://documents.globalgap.org/documents/240902_GG_GR_Rules_for_IP_v6_0_Aug24_en.pdf</t>
        </is>
      </c>
      <c r="S82" s="131" t="inlineStr">
        <is>
          <t>C_Certification_Scheme</t>
        </is>
      </c>
      <c r="T82" s="131" t="inlineStr">
        <is>
          <t>pdf</t>
        </is>
      </c>
      <c r="U82" s="131" t="inlineStr">
        <is>
          <t>GLOBALG.A.P.</t>
        </is>
      </c>
      <c r="V82" s="131" t="inlineStr">
        <is>
          <t>International</t>
        </is>
      </c>
      <c r="W82" s="131" t="inlineStr">
        <is>
          <t>English</t>
        </is>
      </c>
      <c r="X82" s="131" t="inlineStr">
        <is>
          <t>6.0_Aug24</t>
        </is>
      </c>
      <c r="Y82" s="131" t="n">
        <v>45510</v>
      </c>
      <c r="Z82" s="131" t="inlineStr">
        <is>
          <t>Certification scheme</t>
        </is>
      </c>
      <c r="AA82" s="131" t="inlineStr">
        <is>
          <t>Scheme standard</t>
        </is>
      </c>
      <c r="AB82" s="131" t="inlineStr">
        <is>
          <t>Referenced normative</t>
        </is>
      </c>
      <c r="AC82" s="131" t="inlineStr">
        <is>
          <t>Official referenced source from GLOBALG.A.P.; included because an applicable law, permit or certification scheme may make its provisions binding within the approved scope.</t>
        </is>
      </c>
      <c r="AD82" s="131" t="inlineStr">
        <is>
          <t>HIGH</t>
        </is>
      </c>
      <c r="AE82" s="131" t="inlineStr">
        <is>
          <t>MEDIUM</t>
        </is>
      </c>
      <c r="AF82" s="131" t="inlineStr">
        <is>
          <t>HIGH</t>
        </is>
      </c>
      <c r="AG82" s="131" t="inlineStr">
        <is>
          <t>HIGH</t>
        </is>
      </c>
      <c r="AH82" s="131" t="inlineStr">
        <is>
          <t>HIGH</t>
        </is>
      </c>
      <c r="AI82" s="131" t="inlineStr">
        <is>
          <t>HIGH</t>
        </is>
      </c>
      <c r="AJ82" s="131" t="inlineStr">
        <is>
          <t>PENDING</t>
        </is>
      </c>
      <c r="AK82" s="125" t="n"/>
      <c r="AL82" s="13" t="n"/>
      <c r="AM82" s="131" t="inlineStr">
        <is>
          <t>CURRENT</t>
        </is>
      </c>
      <c r="AN82" s="131" t="inlineStr">
        <is>
          <t>CS008</t>
        </is>
      </c>
      <c r="AO82" s="131" t="inlineStr">
        <is>
          <t>Coverage-audit expansion. The project checklist explicitly cites these rules for individual-producer self-assessment and certification.</t>
        </is>
      </c>
      <c r="AP82" s="131" t="inlineStr">
        <is>
          <t>OFFICIAL_WEBSITE</t>
        </is>
      </c>
      <c r="AQ82" s="131" t="inlineStr">
        <is>
          <t>OFFICIAL_ORIGINAL</t>
        </is>
      </c>
      <c r="AR82" s="131" t="inlineStr">
        <is>
          <t>VERSIONED</t>
        </is>
      </c>
      <c r="AS82" s="13" t="n"/>
    </row>
    <row r="83" ht="30" customHeight="1" s="41">
      <c r="A83" s="132" t="inlineStr">
        <is>
          <t>CS014</t>
        </is>
      </c>
      <c r="B83" s="132" t="inlineStr">
        <is>
          <t>CS014-001</t>
        </is>
      </c>
      <c r="C83" s="127" t="inlineStr">
        <is>
          <t>CS014-001_GLOBALG.A.P._General_Regulations_-_Rules_for_producer_groups_and_multisite_producers_with_QMS.pdf</t>
        </is>
      </c>
      <c r="D83" s="128" t="inlineStr">
        <is>
          <t>STORED</t>
        </is>
      </c>
      <c r="E83" s="128">
        <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f>
        <v/>
      </c>
      <c r="F83" s="128" t="inlineStr">
        <is>
          <t>SUCCESS</t>
        </is>
      </c>
      <c r="G83" s="129" t="n">
        <v>46262.53118055555</v>
      </c>
      <c r="H83" s="129" t="n">
        <v>46262.53119212963</v>
      </c>
      <c r="I83" s="128" t="inlineStr">
        <is>
          <t>INITIAL</t>
        </is>
      </c>
      <c r="J83" s="128" t="inlineStr">
        <is>
          <t>AUTO</t>
        </is>
      </c>
      <c r="K83" s="130">
        <f>IF(A83="","",IF(J83="AUTO",H83,IF(J83="MANUAL",AK83,"")))</f>
        <v/>
      </c>
      <c r="L83" s="128" t="inlineStr">
        <is>
          <t>NONE</t>
        </is>
      </c>
      <c r="M83" s="12" t="n"/>
      <c r="N83" s="128">
        <f>IF(A83="","",IF(COUNTIFS('Human Operation Desktop'!$A$3:$A$502,A83,'Human Operation Desktop'!$I$3:$I$502,"&lt;&gt;APPLIED",'Human Operation Desktop'!$I$3:$I$502,"&lt;&gt;REJECTED")&gt;0,"YES","NO"))</f>
        <v/>
      </c>
      <c r="O83" s="128" t="inlineStr">
        <is>
          <t>28042ea052f0ef9fe863d94d9035ef3fe4b390ef0f51c304eeb677cf22156dcf</t>
        </is>
      </c>
      <c r="P83" s="131" t="inlineStr">
        <is>
          <t>GLOBALG.A.P. General Regulations - Rules for producer groups and multisite producers with QMS</t>
        </is>
      </c>
      <c r="Q83" s="131" t="inlineStr">
        <is>
          <t>https://globalgap.org/what-we-offer/solutions/ifa-aquaculture/</t>
        </is>
      </c>
      <c r="R83" s="131" t="inlineStr">
        <is>
          <t>https://documents.globalgap.org/documents/240902_GG_GR_Rules_for_QMS_v6_0_Aug24_en.pdf</t>
        </is>
      </c>
      <c r="S83" s="131" t="inlineStr">
        <is>
          <t>C_Certification_Scheme</t>
        </is>
      </c>
      <c r="T83" s="131" t="inlineStr">
        <is>
          <t>pdf</t>
        </is>
      </c>
      <c r="U83" s="131" t="inlineStr">
        <is>
          <t>GLOBALG.A.P.</t>
        </is>
      </c>
      <c r="V83" s="131" t="inlineStr">
        <is>
          <t>International</t>
        </is>
      </c>
      <c r="W83" s="131" t="inlineStr">
        <is>
          <t>English</t>
        </is>
      </c>
      <c r="X83" s="131" t="inlineStr">
        <is>
          <t>6.0_Aug24</t>
        </is>
      </c>
      <c r="Y83" s="131" t="n">
        <v>45510</v>
      </c>
      <c r="Z83" s="131" t="inlineStr">
        <is>
          <t>Certification scheme</t>
        </is>
      </c>
      <c r="AA83" s="131" t="inlineStr">
        <is>
          <t>Scheme standard</t>
        </is>
      </c>
      <c r="AB83" s="131" t="inlineStr">
        <is>
          <t>Referenced normative</t>
        </is>
      </c>
      <c r="AC83" s="131" t="inlineStr">
        <is>
          <t>Official referenced source from GLOBALG.A.P.; included because an applicable law, permit or certification scheme may make its provisions binding within the approved scope.</t>
        </is>
      </c>
      <c r="AD83" s="131" t="inlineStr">
        <is>
          <t>HIGH</t>
        </is>
      </c>
      <c r="AE83" s="131" t="inlineStr">
        <is>
          <t>MEDIUM</t>
        </is>
      </c>
      <c r="AF83" s="131" t="inlineStr">
        <is>
          <t>HIGH</t>
        </is>
      </c>
      <c r="AG83" s="131" t="inlineStr">
        <is>
          <t>HIGH</t>
        </is>
      </c>
      <c r="AH83" s="131" t="inlineStr">
        <is>
          <t>HIGH</t>
        </is>
      </c>
      <c r="AI83" s="131" t="inlineStr">
        <is>
          <t>HIGH</t>
        </is>
      </c>
      <c r="AJ83" s="131" t="inlineStr">
        <is>
          <t>PENDING</t>
        </is>
      </c>
      <c r="AK83" s="125" t="n"/>
      <c r="AL83" s="13" t="n"/>
      <c r="AM83" s="131" t="inlineStr">
        <is>
          <t>CURRENT</t>
        </is>
      </c>
      <c r="AN83" s="131" t="inlineStr">
        <is>
          <t>CS008</t>
        </is>
      </c>
      <c r="AO83" s="131" t="inlineStr">
        <is>
          <t>Coverage-audit expansion. The project checklist explicitly cites these rules for QMS audits and group or multisite certification.</t>
        </is>
      </c>
      <c r="AP83" s="131" t="inlineStr">
        <is>
          <t>OFFICIAL_WEBSITE</t>
        </is>
      </c>
      <c r="AQ83" s="131" t="inlineStr">
        <is>
          <t>OFFICIAL_ORIGINAL</t>
        </is>
      </c>
      <c r="AR83" s="131" t="inlineStr">
        <is>
          <t>VERSIONED</t>
        </is>
      </c>
      <c r="AS83" s="13" t="n"/>
    </row>
    <row r="84" ht="30" customHeight="1" s="41">
      <c r="A84" s="126" t="inlineStr">
        <is>
          <t>CS015</t>
        </is>
      </c>
      <c r="B84" s="126" t="inlineStr">
        <is>
          <t>CS015-001</t>
        </is>
      </c>
      <c r="C84" s="127" t="inlineStr">
        <is>
          <t>CS015-001_GLOBALG.A.P._trademarks_use_Policy_and_guidelines.pdf</t>
        </is>
      </c>
      <c r="D84" s="128" t="inlineStr">
        <is>
          <t>STORED</t>
        </is>
      </c>
      <c r="E84" s="128">
        <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f>
        <v/>
      </c>
      <c r="F84" s="128" t="inlineStr">
        <is>
          <t>SUCCESS</t>
        </is>
      </c>
      <c r="G84" s="129" t="n">
        <v>46262.53119212963</v>
      </c>
      <c r="H84" s="129" t="n">
        <v>46262.5312037037</v>
      </c>
      <c r="I84" s="128" t="inlineStr">
        <is>
          <t>INITIAL</t>
        </is>
      </c>
      <c r="J84" s="128" t="inlineStr">
        <is>
          <t>AUTO</t>
        </is>
      </c>
      <c r="K84" s="130">
        <f>IF(A84="","",IF(J84="AUTO",H84,IF(J84="MANUAL",AK84,"")))</f>
        <v/>
      </c>
      <c r="L84" s="128" t="inlineStr">
        <is>
          <t>NONE</t>
        </is>
      </c>
      <c r="M84" s="12" t="n"/>
      <c r="N84" s="128">
        <f>IF(A84="","",IF(COUNTIFS('Human Operation Desktop'!$A$3:$A$502,A84,'Human Operation Desktop'!$I$3:$I$502,"&lt;&gt;APPLIED",'Human Operation Desktop'!$I$3:$I$502,"&lt;&gt;REJECTED")&gt;0,"YES","NO"))</f>
        <v/>
      </c>
      <c r="O84" s="128" t="inlineStr">
        <is>
          <t>7279130c3617610cebaaceb4ecae44014f8df742aa4a7ac741a4e4346a066096</t>
        </is>
      </c>
      <c r="P84" s="131" t="inlineStr">
        <is>
          <t>GLOBALG.A.P. trademarks use: Policy and guidelines</t>
        </is>
      </c>
      <c r="Q84" s="131" t="inlineStr">
        <is>
          <t>https://globalgap.org/what-we-offer/solutions/ifa-aquaculture/</t>
        </is>
      </c>
      <c r="R84" s="131" t="inlineStr">
        <is>
          <t>https://documents.globalgap.org/documents/230523_GG_Trademarks_policy_v1_0-1_en.pdf</t>
        </is>
      </c>
      <c r="S84" s="131" t="inlineStr">
        <is>
          <t>C_Certification_Scheme</t>
        </is>
      </c>
      <c r="T84" s="131" t="inlineStr">
        <is>
          <t>pdf</t>
        </is>
      </c>
      <c r="U84" s="131" t="inlineStr">
        <is>
          <t>GLOBALG.A.P.</t>
        </is>
      </c>
      <c r="V84" s="131" t="inlineStr">
        <is>
          <t>International</t>
        </is>
      </c>
      <c r="W84" s="131" t="inlineStr">
        <is>
          <t>English</t>
        </is>
      </c>
      <c r="X84" s="131" t="inlineStr">
        <is>
          <t>1.0-1</t>
        </is>
      </c>
      <c r="Y84" s="13" t="n"/>
      <c r="Z84" s="131" t="inlineStr">
        <is>
          <t>Certification scheme</t>
        </is>
      </c>
      <c r="AA84" s="131" t="inlineStr">
        <is>
          <t>Scheme standard</t>
        </is>
      </c>
      <c r="AB84" s="131" t="inlineStr">
        <is>
          <t>Referenced normative</t>
        </is>
      </c>
      <c r="AC84" s="131" t="inlineStr">
        <is>
          <t>Official referenced source from GLOBALG.A.P.; included because an applicable law, permit or certification scheme may make its provisions binding within the approved scope.</t>
        </is>
      </c>
      <c r="AD84" s="131" t="inlineStr">
        <is>
          <t>HIGH</t>
        </is>
      </c>
      <c r="AE84" s="131" t="inlineStr">
        <is>
          <t>HIGH</t>
        </is>
      </c>
      <c r="AF84" s="131" t="inlineStr">
        <is>
          <t>HIGH</t>
        </is>
      </c>
      <c r="AG84" s="131" t="inlineStr">
        <is>
          <t>HIGH</t>
        </is>
      </c>
      <c r="AH84" s="131" t="inlineStr">
        <is>
          <t>HIGH</t>
        </is>
      </c>
      <c r="AI84" s="131" t="inlineStr">
        <is>
          <t>HIGH</t>
        </is>
      </c>
      <c r="AJ84" s="131" t="inlineStr">
        <is>
          <t>INCLUDE</t>
        </is>
      </c>
      <c r="AK84" s="125" t="n"/>
      <c r="AL84" s="13" t="n"/>
      <c r="AM84" s="131" t="inlineStr">
        <is>
          <t>CURRENT</t>
        </is>
      </c>
      <c r="AN84" s="131" t="inlineStr">
        <is>
          <t>CS008</t>
        </is>
      </c>
      <c r="AO84" s="131" t="inlineStr">
        <is>
          <t>Coverage-audit expansion. The project checklist cites this policy for certification claims, marks and identification numbers.</t>
        </is>
      </c>
      <c r="AP84" s="131" t="inlineStr">
        <is>
          <t>OFFICIAL_WEBSITE</t>
        </is>
      </c>
      <c r="AQ84" s="131" t="inlineStr">
        <is>
          <t>OFFICIAL_ORIGINAL</t>
        </is>
      </c>
      <c r="AR84" s="131" t="inlineStr">
        <is>
          <t>VERSIONED</t>
        </is>
      </c>
      <c r="AS84" s="13" t="n"/>
    </row>
    <row r="85" ht="30" customHeight="1" s="41">
      <c r="A85" s="132" t="inlineStr">
        <is>
          <t>CS016</t>
        </is>
      </c>
      <c r="B85" s="132" t="inlineStr">
        <is>
          <t>CS016-001</t>
        </is>
      </c>
      <c r="C85" s="127" t="inlineStr">
        <is>
          <t>CS016-001_GLOBALG.A.P._GRASP_-_General_Rules.pdf</t>
        </is>
      </c>
      <c r="D85" s="128" t="inlineStr">
        <is>
          <t>STORED</t>
        </is>
      </c>
      <c r="E85" s="128">
        <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f>
        <v/>
      </c>
      <c r="F85" s="128" t="inlineStr">
        <is>
          <t>SUCCESS</t>
        </is>
      </c>
      <c r="G85" s="129" t="n">
        <v>46262.5312037037</v>
      </c>
      <c r="H85" s="129" t="n">
        <v>46262.53121527778</v>
      </c>
      <c r="I85" s="128" t="inlineStr">
        <is>
          <t>INITIAL</t>
        </is>
      </c>
      <c r="J85" s="128" t="inlineStr">
        <is>
          <t>AUTO</t>
        </is>
      </c>
      <c r="K85" s="130">
        <f>IF(A85="","",IF(J85="AUTO",H85,IF(J85="MANUAL",AK85,"")))</f>
        <v/>
      </c>
      <c r="L85" s="128" t="inlineStr">
        <is>
          <t>NONE</t>
        </is>
      </c>
      <c r="M85" s="12" t="n"/>
      <c r="N85" s="128">
        <f>IF(A85="","",IF(COUNTIFS('Human Operation Desktop'!$A$3:$A$502,A85,'Human Operation Desktop'!$I$3:$I$502,"&lt;&gt;APPLIED",'Human Operation Desktop'!$I$3:$I$502,"&lt;&gt;REJECTED")&gt;0,"YES","NO"))</f>
        <v/>
      </c>
      <c r="O85" s="128" t="inlineStr">
        <is>
          <t>57c35d150287f8092a9af4a79842d206e1761e9428cf9201d828f9ac563a96e5</t>
        </is>
      </c>
      <c r="P85" s="131" t="inlineStr">
        <is>
          <t>GLOBALG.A.P. GRASP - General Rules</t>
        </is>
      </c>
      <c r="Q85" s="131" t="inlineStr">
        <is>
          <t>https://globalgap.org/what-we-offer/solutions/grasp/</t>
        </is>
      </c>
      <c r="R85" s="131" t="inlineStr">
        <is>
          <t>https://documents.globalgap.org/documents/220929_GRASP_general_rules_v2_0_Sep22_en.pdf</t>
        </is>
      </c>
      <c r="S85" s="131" t="inlineStr">
        <is>
          <t>C_Certification_Scheme</t>
        </is>
      </c>
      <c r="T85" s="131" t="inlineStr">
        <is>
          <t>pdf</t>
        </is>
      </c>
      <c r="U85" s="131" t="inlineStr">
        <is>
          <t>GLOBALG.A.P.</t>
        </is>
      </c>
      <c r="V85" s="131" t="inlineStr">
        <is>
          <t>International</t>
        </is>
      </c>
      <c r="W85" s="131" t="inlineStr">
        <is>
          <t>English</t>
        </is>
      </c>
      <c r="X85" s="131" t="inlineStr">
        <is>
          <t>2.0_Sep22</t>
        </is>
      </c>
      <c r="Y85" s="131" t="n">
        <v>45292</v>
      </c>
      <c r="Z85" s="131" t="inlineStr">
        <is>
          <t>Certification scheme</t>
        </is>
      </c>
      <c r="AA85" s="131" t="inlineStr">
        <is>
          <t>Scheme standard</t>
        </is>
      </c>
      <c r="AB85" s="131" t="inlineStr">
        <is>
          <t>Referenced normative</t>
        </is>
      </c>
      <c r="AC85" s="131" t="inlineStr">
        <is>
          <t>Official referenced source from GLOBALG.A.P.; included because an applicable law, permit or certification scheme may make its provisions binding within the approved scope.</t>
        </is>
      </c>
      <c r="AD85" s="131" t="inlineStr">
        <is>
          <t>HIGH</t>
        </is>
      </c>
      <c r="AE85" s="131" t="inlineStr">
        <is>
          <t>HIGH</t>
        </is>
      </c>
      <c r="AF85" s="131" t="inlineStr">
        <is>
          <t>HIGH</t>
        </is>
      </c>
      <c r="AG85" s="131" t="inlineStr">
        <is>
          <t>HIGH</t>
        </is>
      </c>
      <c r="AH85" s="131" t="inlineStr">
        <is>
          <t>HIGH</t>
        </is>
      </c>
      <c r="AI85" s="131" t="inlineStr">
        <is>
          <t>HIGH</t>
        </is>
      </c>
      <c r="AJ85" s="131" t="inlineStr">
        <is>
          <t>INCLUDE</t>
        </is>
      </c>
      <c r="AK85" s="125" t="n"/>
      <c r="AL85" s="13" t="n"/>
      <c r="AM85" s="131" t="inlineStr">
        <is>
          <t>CURRENT</t>
        </is>
      </c>
      <c r="AN85" s="131" t="inlineStr">
        <is>
          <t>CS011</t>
        </is>
      </c>
      <c r="AO85" s="131" t="inlineStr">
        <is>
          <t>Coverage-audit expansion. GRASP is mandatory for IFA v6 aquaculture and these rules define its application and assessment process.</t>
        </is>
      </c>
      <c r="AP85" s="131" t="inlineStr">
        <is>
          <t>OFFICIAL_WEBSITE</t>
        </is>
      </c>
      <c r="AQ85" s="131" t="inlineStr">
        <is>
          <t>OFFICIAL_ORIGINAL</t>
        </is>
      </c>
      <c r="AR85" s="131" t="inlineStr">
        <is>
          <t>VERSIONED</t>
        </is>
      </c>
      <c r="AS85" s="13" t="n"/>
    </row>
    <row r="86" ht="30" customHeight="1" s="41">
      <c r="A86" s="126" t="inlineStr">
        <is>
          <t>CS017</t>
        </is>
      </c>
      <c r="B86" s="126" t="inlineStr">
        <is>
          <t>CS017-001</t>
        </is>
      </c>
      <c r="C86" s="127" t="inlineStr">
        <is>
          <t>CS017-001_GLOBALG.A.P._GRASP_v2_National_Interpretation_Guideline_for_Norway.pdf</t>
        </is>
      </c>
      <c r="D86" s="128" t="inlineStr">
        <is>
          <t>NOT_COLLECTED</t>
        </is>
      </c>
      <c r="E86" s="128">
        <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f>
        <v/>
      </c>
      <c r="F86" s="128" t="inlineStr">
        <is>
          <t>NOT_RUN</t>
        </is>
      </c>
      <c r="G86" s="134" t="n"/>
      <c r="H86" s="134" t="n"/>
      <c r="I86" s="128" t="inlineStr">
        <is>
          <t>UNKNOWN</t>
        </is>
      </c>
      <c r="J86" s="128" t="inlineStr">
        <is>
          <t>NONE</t>
        </is>
      </c>
      <c r="K86" s="130">
        <f>IF(A86="","",IF(J86="AUTO",H86,IF(J86="MANUAL",AK86,"")))</f>
        <v/>
      </c>
      <c r="L86" s="128" t="inlineStr">
        <is>
          <t>NONE</t>
        </is>
      </c>
      <c r="M86" s="12" t="n"/>
      <c r="N86" s="128">
        <f>IF(A86="","",IF(COUNTIFS('Human Operation Desktop'!$A$3:$A$502,A86,'Human Operation Desktop'!$I$3:$I$502,"&lt;&gt;APPLIED",'Human Operation Desktop'!$I$3:$I$502,"&lt;&gt;REJECTED")&gt;0,"YES","NO"))</f>
        <v/>
      </c>
      <c r="O86" s="12" t="n"/>
      <c r="P86" s="131" t="inlineStr">
        <is>
          <t>GLOBALG.A.P. GRASP v2 National Interpretation Guideline for Norway</t>
        </is>
      </c>
      <c r="Q86" s="131" t="inlineStr">
        <is>
          <t>https://globalgap.org/what-we-offer/solutions/grasp/</t>
        </is>
      </c>
      <c r="R86" s="13" t="n"/>
      <c r="S86" s="131" t="inlineStr">
        <is>
          <t>C_Certification_Scheme</t>
        </is>
      </c>
      <c r="T86" s="131" t="inlineStr">
        <is>
          <t>pdf</t>
        </is>
      </c>
      <c r="U86" s="131" t="inlineStr">
        <is>
          <t>GLOBALG.A.P.</t>
        </is>
      </c>
      <c r="V86" s="131" t="inlineStr">
        <is>
          <t>Norway</t>
        </is>
      </c>
      <c r="W86" s="131" t="inlineStr">
        <is>
          <t>Norwegian</t>
        </is>
      </c>
      <c r="X86" s="131" t="inlineStr">
        <is>
          <t>V2</t>
        </is>
      </c>
      <c r="Y86" s="13" t="n"/>
      <c r="Z86" s="131" t="inlineStr">
        <is>
          <t>Certification scheme</t>
        </is>
      </c>
      <c r="AA86" s="131" t="inlineStr">
        <is>
          <t>Interpretation document</t>
        </is>
      </c>
      <c r="AB86" s="131" t="inlineStr">
        <is>
          <t>Referenced normative</t>
        </is>
      </c>
      <c r="AC86" s="131" t="inlineStr">
        <is>
          <t>Official referenced source from GLOBALG.A.P.; included because an applicable law, permit or certification scheme may make its provisions binding within the approved scope.</t>
        </is>
      </c>
      <c r="AD86" s="131" t="inlineStr">
        <is>
          <t>HIGH</t>
        </is>
      </c>
      <c r="AE86" s="131" t="inlineStr">
        <is>
          <t>HIGH</t>
        </is>
      </c>
      <c r="AF86" s="131" t="inlineStr">
        <is>
          <t>MEDIUM</t>
        </is>
      </c>
      <c r="AG86" s="131" t="inlineStr">
        <is>
          <t>MEDIUM</t>
        </is>
      </c>
      <c r="AH86" s="131" t="inlineStr">
        <is>
          <t>HIGH</t>
        </is>
      </c>
      <c r="AI86" s="131" t="inlineStr">
        <is>
          <t>LOW</t>
        </is>
      </c>
      <c r="AJ86" s="131" t="inlineStr">
        <is>
          <t>PENDING</t>
        </is>
      </c>
      <c r="AK86" s="125" t="n"/>
      <c r="AL86" s="13" t="n"/>
      <c r="AM86" s="131" t="inlineStr">
        <is>
          <t>CURRENT</t>
        </is>
      </c>
      <c r="AN86" s="131" t="inlineStr">
        <is>
          <t>CS011</t>
        </is>
      </c>
      <c r="AO86" s="131" t="inlineStr">
        <is>
          <t>Coverage-audit expansion. An existing country NIG must be applied; confirm the current Norway document and direct download in the GLOBALG.A.P. document center.</t>
        </is>
      </c>
      <c r="AP86" s="131" t="inlineStr">
        <is>
          <t>OFFICIAL_WEBSITE</t>
        </is>
      </c>
      <c r="AQ86" s="131" t="inlineStr">
        <is>
          <t>OFFICIAL_ORIGINAL</t>
        </is>
      </c>
      <c r="AR86" s="131" t="inlineStr">
        <is>
          <t>VERSIONED</t>
        </is>
      </c>
      <c r="AS86" s="13" t="n"/>
    </row>
    <row r="87" ht="30" customHeight="1" s="41">
      <c r="A87" s="132" t="inlineStr">
        <is>
          <t>CS018</t>
        </is>
      </c>
      <c r="B87" s="132" t="inlineStr">
        <is>
          <t>CS018-001</t>
        </is>
      </c>
      <c r="C87" s="127" t="inlineStr">
        <is>
          <t>CS018-001_ASC_Vocabulary.pdf</t>
        </is>
      </c>
      <c r="D87" s="128" t="inlineStr">
        <is>
          <t>NOT_COLLECTED</t>
        </is>
      </c>
      <c r="E87" s="128">
        <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f>
        <v/>
      </c>
      <c r="F87" s="128" t="inlineStr">
        <is>
          <t>NOT_RUN</t>
        </is>
      </c>
      <c r="G87" s="134" t="n"/>
      <c r="H87" s="134" t="n"/>
      <c r="I87" s="128" t="inlineStr">
        <is>
          <t>UNKNOWN</t>
        </is>
      </c>
      <c r="J87" s="128" t="inlineStr">
        <is>
          <t>NONE</t>
        </is>
      </c>
      <c r="K87" s="130">
        <f>IF(A87="","",IF(J87="AUTO",H87,IF(J87="MANUAL",AK87,"")))</f>
        <v/>
      </c>
      <c r="L87" s="128" t="inlineStr">
        <is>
          <t>NONE</t>
        </is>
      </c>
      <c r="M87" s="12" t="n"/>
      <c r="N87" s="128">
        <f>IF(A87="","",IF(COUNTIFS('Human Operation Desktop'!$A$3:$A$502,A87,'Human Operation Desktop'!$I$3:$I$502,"&lt;&gt;APPLIED",'Human Operation Desktop'!$I$3:$I$502,"&lt;&gt;REJECTED")&gt;0,"YES","NO"))</f>
        <v/>
      </c>
      <c r="O87" s="12" t="n"/>
      <c r="P87" s="131" t="inlineStr">
        <is>
          <t>ASC Vocabulary</t>
        </is>
      </c>
      <c r="Q87" s="131" t="inlineStr">
        <is>
          <t>https://programme-centre.asc-aqua.org/resource-hub/?filter=farm</t>
        </is>
      </c>
      <c r="R87" s="13" t="n"/>
      <c r="S87" s="131" t="inlineStr">
        <is>
          <t>C_Certification_Scheme</t>
        </is>
      </c>
      <c r="T87" s="131" t="inlineStr">
        <is>
          <t>pdf</t>
        </is>
      </c>
      <c r="U87" s="131" t="inlineStr">
        <is>
          <t>Aquaculture Stewardship Council</t>
        </is>
      </c>
      <c r="V87" s="131" t="inlineStr">
        <is>
          <t>International</t>
        </is>
      </c>
      <c r="W87" s="131" t="inlineStr">
        <is>
          <t>English</t>
        </is>
      </c>
      <c r="X87" s="13" t="n"/>
      <c r="Y87" s="13" t="n"/>
      <c r="Z87" s="131" t="inlineStr">
        <is>
          <t>Certification scheme</t>
        </is>
      </c>
      <c r="AA87" s="131" t="inlineStr">
        <is>
          <t>Scheme standard</t>
        </is>
      </c>
      <c r="AB87" s="131" t="inlineStr">
        <is>
          <t>Referenced normative</t>
        </is>
      </c>
      <c r="AC87" s="131" t="inlineStr">
        <is>
          <t>Official referenced source from Aquaculture Stewardship Council; included because an applicable law, permit or certification scheme may make its provisions binding within the approved scope.</t>
        </is>
      </c>
      <c r="AD87" s="131" t="inlineStr">
        <is>
          <t>HIGH</t>
        </is>
      </c>
      <c r="AE87" s="131" t="inlineStr">
        <is>
          <t>HIGH</t>
        </is>
      </c>
      <c r="AF87" s="131" t="inlineStr">
        <is>
          <t>MEDIUM</t>
        </is>
      </c>
      <c r="AG87" s="131" t="inlineStr">
        <is>
          <t>MEDIUM</t>
        </is>
      </c>
      <c r="AH87" s="131" t="inlineStr">
        <is>
          <t>HIGH</t>
        </is>
      </c>
      <c r="AI87" s="131" t="inlineStr">
        <is>
          <t>LOW</t>
        </is>
      </c>
      <c r="AJ87" s="131" t="inlineStr">
        <is>
          <t>PENDING</t>
        </is>
      </c>
      <c r="AK87" s="125" t="n"/>
      <c r="AL87" s="13" t="n"/>
      <c r="AM87" s="131" t="inlineStr">
        <is>
          <t>CURRENT</t>
        </is>
      </c>
      <c r="AN87" s="131" t="inlineStr">
        <is>
          <t>CS001</t>
        </is>
      </c>
      <c r="AO87" s="131" t="inlineStr">
        <is>
          <t>Official coverage expansion. The current ASC Farm Standard lists the vocabulary as a normative reference; direct-file traceability still requires confirmation.</t>
        </is>
      </c>
      <c r="AP87" s="131" t="inlineStr">
        <is>
          <t>OFFICIAL_WEBSITE</t>
        </is>
      </c>
      <c r="AQ87" s="131" t="inlineStr">
        <is>
          <t>OFFICIAL_ORIGINAL</t>
        </is>
      </c>
      <c r="AR87" s="131" t="inlineStr">
        <is>
          <t>VERSIONED</t>
        </is>
      </c>
      <c r="AS87" s="13" t="n"/>
    </row>
    <row r="88" ht="30" customHeight="1" s="41">
      <c r="A88" s="126" t="inlineStr">
        <is>
          <t>CS019</t>
        </is>
      </c>
      <c r="B88" s="126" t="inlineStr">
        <is>
          <t>CS019-001</t>
        </is>
      </c>
      <c r="C88" s="127" t="inlineStr">
        <is>
          <t>CS019-001_ASC_Data_Submission_Requirements.pdf</t>
        </is>
      </c>
      <c r="D88" s="128" t="inlineStr">
        <is>
          <t>NOT_COLLECTED</t>
        </is>
      </c>
      <c r="E88" s="128">
        <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f>
        <v/>
      </c>
      <c r="F88" s="128" t="inlineStr">
        <is>
          <t>NOT_RUN</t>
        </is>
      </c>
      <c r="G88" s="134" t="n"/>
      <c r="H88" s="134" t="n"/>
      <c r="I88" s="128" t="inlineStr">
        <is>
          <t>UNKNOWN</t>
        </is>
      </c>
      <c r="J88" s="128" t="inlineStr">
        <is>
          <t>NONE</t>
        </is>
      </c>
      <c r="K88" s="130">
        <f>IF(A88="","",IF(J88="AUTO",H88,IF(J88="MANUAL",AK88,"")))</f>
        <v/>
      </c>
      <c r="L88" s="128" t="inlineStr">
        <is>
          <t>NONE</t>
        </is>
      </c>
      <c r="M88" s="12" t="n"/>
      <c r="N88" s="128">
        <f>IF(A88="","",IF(COUNTIFS('Human Operation Desktop'!$A$3:$A$502,A88,'Human Operation Desktop'!$I$3:$I$502,"&lt;&gt;APPLIED",'Human Operation Desktop'!$I$3:$I$502,"&lt;&gt;REJECTED")&gt;0,"YES","NO"))</f>
        <v/>
      </c>
      <c r="O88" s="12" t="n"/>
      <c r="P88" s="131" t="inlineStr">
        <is>
          <t>ASC Data Submission Requirements</t>
        </is>
      </c>
      <c r="Q88" s="131" t="inlineStr">
        <is>
          <t>https://programme-centre.asc-aqua.org/resource-hub/?filter=farm</t>
        </is>
      </c>
      <c r="R88" s="13" t="n"/>
      <c r="S88" s="131" t="inlineStr">
        <is>
          <t>C_Certification_Scheme</t>
        </is>
      </c>
      <c r="T88" s="131" t="inlineStr">
        <is>
          <t>pdf</t>
        </is>
      </c>
      <c r="U88" s="131" t="inlineStr">
        <is>
          <t>Aquaculture Stewardship Council</t>
        </is>
      </c>
      <c r="V88" s="131" t="inlineStr">
        <is>
          <t>International</t>
        </is>
      </c>
      <c r="W88" s="131" t="inlineStr">
        <is>
          <t>English</t>
        </is>
      </c>
      <c r="X88" s="13" t="n"/>
      <c r="Y88" s="13" t="n"/>
      <c r="Z88" s="131" t="inlineStr">
        <is>
          <t>Certification scheme</t>
        </is>
      </c>
      <c r="AA88" s="131" t="inlineStr">
        <is>
          <t>Scheme standard</t>
        </is>
      </c>
      <c r="AB88" s="131" t="inlineStr">
        <is>
          <t>Referenced normative</t>
        </is>
      </c>
      <c r="AC88" s="131" t="inlineStr">
        <is>
          <t>Official referenced source from Aquaculture Stewardship Council; included because an applicable law, permit or certification scheme may make its provisions binding within the approved scope.</t>
        </is>
      </c>
      <c r="AD88" s="131" t="inlineStr">
        <is>
          <t>HIGH</t>
        </is>
      </c>
      <c r="AE88" s="131" t="inlineStr">
        <is>
          <t>HIGH</t>
        </is>
      </c>
      <c r="AF88" s="131" t="inlineStr">
        <is>
          <t>MEDIUM</t>
        </is>
      </c>
      <c r="AG88" s="131" t="inlineStr">
        <is>
          <t>MEDIUM</t>
        </is>
      </c>
      <c r="AH88" s="131" t="inlineStr">
        <is>
          <t>HIGH</t>
        </is>
      </c>
      <c r="AI88" s="131" t="inlineStr">
        <is>
          <t>LOW</t>
        </is>
      </c>
      <c r="AJ88" s="131" t="inlineStr">
        <is>
          <t>PENDING</t>
        </is>
      </c>
      <c r="AK88" s="125" t="n"/>
      <c r="AL88" s="13" t="n"/>
      <c r="AM88" s="131" t="inlineStr">
        <is>
          <t>CURRENT</t>
        </is>
      </c>
      <c r="AN88" s="131" t="inlineStr">
        <is>
          <t>CS001</t>
        </is>
      </c>
      <c r="AO88" s="131" t="inlineStr">
        <is>
          <t>Official coverage expansion. The current ASC Farm Standard lists data submission requirements as a normative reference; direct-file traceability still requires confirmation.</t>
        </is>
      </c>
      <c r="AP88" s="131" t="inlineStr">
        <is>
          <t>OFFICIAL_WEBSITE</t>
        </is>
      </c>
      <c r="AQ88" s="131" t="inlineStr">
        <is>
          <t>OFFICIAL_ORIGINAL</t>
        </is>
      </c>
      <c r="AR88" s="131" t="inlineStr">
        <is>
          <t>VERSIONED</t>
        </is>
      </c>
      <c r="AS88" s="13" t="n"/>
    </row>
    <row r="89" ht="30" customHeight="1" s="41">
      <c r="A89" s="132" t="inlineStr">
        <is>
          <t>CS020</t>
        </is>
      </c>
      <c r="B89" s="132" t="inlineStr">
        <is>
          <t>CS020-001</t>
        </is>
      </c>
      <c r="C89" s="127" t="inlineStr">
        <is>
          <t>CS020-001_GLOBALG.A.P._GRASP_v2_-_Checklist.xlsx</t>
        </is>
      </c>
      <c r="D89" s="128" t="inlineStr">
        <is>
          <t>NOT_COLLECTED</t>
        </is>
      </c>
      <c r="E89" s="128">
        <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f>
        <v/>
      </c>
      <c r="F89" s="128" t="inlineStr">
        <is>
          <t>NOT_RUN</t>
        </is>
      </c>
      <c r="G89" s="134" t="n"/>
      <c r="H89" s="134" t="n"/>
      <c r="I89" s="128" t="inlineStr">
        <is>
          <t>UNKNOWN</t>
        </is>
      </c>
      <c r="J89" s="128" t="inlineStr">
        <is>
          <t>NONE</t>
        </is>
      </c>
      <c r="K89" s="130">
        <f>IF(A89="","",IF(J89="AUTO",H89,IF(J89="MANUAL",AK89,"")))</f>
        <v/>
      </c>
      <c r="L89" s="128" t="inlineStr">
        <is>
          <t>NONE</t>
        </is>
      </c>
      <c r="M89" s="12" t="n"/>
      <c r="N89" s="128">
        <f>IF(A89="","",IF(COUNTIFS('Human Operation Desktop'!$A$3:$A$502,A89,'Human Operation Desktop'!$I$3:$I$502,"&lt;&gt;APPLIED",'Human Operation Desktop'!$I$3:$I$502,"&lt;&gt;REJECTED")&gt;0,"YES","NO"))</f>
        <v/>
      </c>
      <c r="O89" s="12" t="n"/>
      <c r="P89" s="131" t="inlineStr">
        <is>
          <t>GLOBALG.A.P. GRASP v2 - Checklist</t>
        </is>
      </c>
      <c r="Q89" s="131" t="inlineStr">
        <is>
          <t>https://globalgap.org/what-we-offer/solutions/grasp/</t>
        </is>
      </c>
      <c r="R89" s="13" t="n"/>
      <c r="S89" s="131" t="inlineStr">
        <is>
          <t>C_Certification_Scheme</t>
        </is>
      </c>
      <c r="T89" s="131" t="inlineStr">
        <is>
          <t>xlsx</t>
        </is>
      </c>
      <c r="U89" s="131" t="inlineStr">
        <is>
          <t>GLOBALG.A.P.</t>
        </is>
      </c>
      <c r="V89" s="131" t="inlineStr">
        <is>
          <t>International</t>
        </is>
      </c>
      <c r="W89" s="131" t="inlineStr">
        <is>
          <t>English</t>
        </is>
      </c>
      <c r="X89" s="131" t="inlineStr">
        <is>
          <t>V2</t>
        </is>
      </c>
      <c r="Y89" s="13" t="n"/>
      <c r="Z89" s="131" t="inlineStr">
        <is>
          <t>Certification scheme</t>
        </is>
      </c>
      <c r="AA89" s="131" t="inlineStr">
        <is>
          <t>Audit / assessment document</t>
        </is>
      </c>
      <c r="AB89" s="131" t="inlineStr">
        <is>
          <t>Audit / assessment tool</t>
        </is>
      </c>
      <c r="AC89" s="131" t="inlineStr">
        <is>
          <t>Official assessment tool from GLOBALG.A.P.; included to structure compliance checks and trace evidence back to its linked normative source.</t>
        </is>
      </c>
      <c r="AD89" s="131" t="inlineStr">
        <is>
          <t>HIGH</t>
        </is>
      </c>
      <c r="AE89" s="131" t="inlineStr">
        <is>
          <t>HIGH</t>
        </is>
      </c>
      <c r="AF89" s="131" t="inlineStr">
        <is>
          <t>HIGH</t>
        </is>
      </c>
      <c r="AG89" s="131" t="inlineStr">
        <is>
          <t>MEDIUM</t>
        </is>
      </c>
      <c r="AH89" s="131" t="inlineStr">
        <is>
          <t>HIGH</t>
        </is>
      </c>
      <c r="AI89" s="131" t="inlineStr">
        <is>
          <t>LOW</t>
        </is>
      </c>
      <c r="AJ89" s="131" t="inlineStr">
        <is>
          <t>PENDING</t>
        </is>
      </c>
      <c r="AK89" s="125" t="n"/>
      <c r="AL89" s="13" t="n"/>
      <c r="AM89" s="131" t="inlineStr">
        <is>
          <t>CURRENT</t>
        </is>
      </c>
      <c r="AN89" s="131" t="inlineStr">
        <is>
          <t>CS011</t>
        </is>
      </c>
      <c r="AO89" s="131" t="inlineStr">
        <is>
          <t>Official coverage expansion. Assessment tool linked to CS011 and CS016; direct-file URL must be confirmed before automated retrieval.</t>
        </is>
      </c>
      <c r="AP89" s="131" t="inlineStr">
        <is>
          <t>OFFICIAL_WEBSITE</t>
        </is>
      </c>
      <c r="AQ89" s="131" t="inlineStr">
        <is>
          <t>OFFICIAL_ORIGINAL</t>
        </is>
      </c>
      <c r="AR89" s="131" t="inlineStr">
        <is>
          <t>VERSIONED</t>
        </is>
      </c>
      <c r="AS89" s="13" t="n"/>
    </row>
    <row r="90" ht="30" customHeight="1" s="41">
      <c r="A90" s="12" t="n"/>
      <c r="B90" s="12" t="n"/>
      <c r="C90" s="12" t="n"/>
      <c r="D90" s="12" t="n"/>
      <c r="E90" s="128">
        <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f>
        <v/>
      </c>
      <c r="F90" s="12" t="n"/>
      <c r="G90" s="134" t="n"/>
      <c r="H90" s="134" t="n"/>
      <c r="I90" s="12" t="n"/>
      <c r="J90" s="12" t="n"/>
      <c r="K90" s="130">
        <f>IF(A90="","",IF(J90="AUTO",H90,IF(J90="MANUAL",AK90,"")))</f>
        <v/>
      </c>
      <c r="L90" s="12" t="n"/>
      <c r="M90" s="12" t="n"/>
      <c r="N90" s="128">
        <f>IF(A90="","",IF(COUNTIFS('Human Operation Desktop'!$A$3:$A$502,A90,'Human Operation Desktop'!$I$3:$I$502,"&lt;&gt;APPLIED",'Human Operation Desktop'!$I$3:$I$502,"&lt;&gt;REJECTED")&gt;0,"YES","NO"))</f>
        <v/>
      </c>
      <c r="O90" s="12"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25" t="n"/>
      <c r="AL90" s="13" t="n"/>
      <c r="AM90" s="13" t="n"/>
      <c r="AN90" s="13" t="n"/>
      <c r="AO90" s="13" t="n"/>
      <c r="AP90" s="13" t="n"/>
      <c r="AQ90" s="13" t="n"/>
      <c r="AR90" s="13" t="n"/>
      <c r="AS90" s="13" t="n"/>
    </row>
    <row r="91" ht="30" customHeight="1" s="41">
      <c r="A91" s="12" t="n"/>
      <c r="B91" s="12" t="n"/>
      <c r="C91" s="12" t="n"/>
      <c r="D91" s="12" t="n"/>
      <c r="E91" s="128">
        <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f>
        <v/>
      </c>
      <c r="F91" s="12" t="n"/>
      <c r="G91" s="134" t="n"/>
      <c r="H91" s="134" t="n"/>
      <c r="I91" s="12" t="n"/>
      <c r="J91" s="12" t="n"/>
      <c r="K91" s="130">
        <f>IF(A91="","",IF(J91="AUTO",H91,IF(J91="MANUAL",AK91,"")))</f>
        <v/>
      </c>
      <c r="L91" s="12" t="n"/>
      <c r="M91" s="12" t="n"/>
      <c r="N91" s="128">
        <f>IF(A91="","",IF(COUNTIFS('Human Operation Desktop'!$A$3:$A$502,A91,'Human Operation Desktop'!$I$3:$I$502,"&lt;&gt;APPLIED",'Human Operation Desktop'!$I$3:$I$502,"&lt;&gt;REJECTED")&gt;0,"YES","NO"))</f>
        <v/>
      </c>
      <c r="O91" s="12"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25" t="n"/>
      <c r="AL91" s="13" t="n"/>
      <c r="AM91" s="13" t="n"/>
      <c r="AN91" s="13" t="n"/>
      <c r="AO91" s="13" t="n"/>
      <c r="AP91" s="13" t="n"/>
      <c r="AQ91" s="13" t="n"/>
      <c r="AR91" s="13" t="n"/>
      <c r="AS91" s="13" t="n"/>
    </row>
    <row r="92" ht="30" customHeight="1" s="41">
      <c r="A92" s="12" t="n"/>
      <c r="B92" s="12" t="n"/>
      <c r="C92" s="12" t="n"/>
      <c r="D92" s="12" t="n"/>
      <c r="E92" s="128">
        <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f>
        <v/>
      </c>
      <c r="F92" s="12" t="n"/>
      <c r="G92" s="134" t="n"/>
      <c r="H92" s="134" t="n"/>
      <c r="I92" s="12" t="n"/>
      <c r="J92" s="12" t="n"/>
      <c r="K92" s="130">
        <f>IF(A92="","",IF(J92="AUTO",H92,IF(J92="MANUAL",AK92,"")))</f>
        <v/>
      </c>
      <c r="L92" s="12" t="n"/>
      <c r="M92" s="12" t="n"/>
      <c r="N92" s="128">
        <f>IF(A92="","",IF(COUNTIFS('Human Operation Desktop'!$A$3:$A$502,A92,'Human Operation Desktop'!$I$3:$I$502,"&lt;&gt;APPLIED",'Human Operation Desktop'!$I$3:$I$502,"&lt;&gt;REJECTED")&gt;0,"YES","NO"))</f>
        <v/>
      </c>
      <c r="O92" s="12"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25" t="n"/>
      <c r="AL92" s="13" t="n"/>
      <c r="AM92" s="13" t="n"/>
      <c r="AN92" s="13" t="n"/>
      <c r="AO92" s="13" t="n"/>
      <c r="AP92" s="13" t="n"/>
      <c r="AQ92" s="13" t="n"/>
      <c r="AR92" s="13" t="n"/>
      <c r="AS92" s="13" t="n"/>
    </row>
    <row r="93" ht="30" customHeight="1" s="41">
      <c r="A93" s="12" t="n"/>
      <c r="B93" s="12" t="n"/>
      <c r="C93" s="12" t="n"/>
      <c r="D93" s="12" t="n"/>
      <c r="E93" s="128">
        <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f>
        <v/>
      </c>
      <c r="F93" s="12" t="n"/>
      <c r="G93" s="134" t="n"/>
      <c r="H93" s="134" t="n"/>
      <c r="I93" s="12" t="n"/>
      <c r="J93" s="12" t="n"/>
      <c r="K93" s="130">
        <f>IF(A93="","",IF(J93="AUTO",H93,IF(J93="MANUAL",AK93,"")))</f>
        <v/>
      </c>
      <c r="L93" s="12" t="n"/>
      <c r="M93" s="12" t="n"/>
      <c r="N93" s="128">
        <f>IF(A93="","",IF(COUNTIFS('Human Operation Desktop'!$A$3:$A$502,A93,'Human Operation Desktop'!$I$3:$I$502,"&lt;&gt;APPLIED",'Human Operation Desktop'!$I$3:$I$502,"&lt;&gt;REJECTED")&gt;0,"YES","NO"))</f>
        <v/>
      </c>
      <c r="O93" s="12"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25" t="n"/>
      <c r="AL93" s="13" t="n"/>
      <c r="AM93" s="13" t="n"/>
      <c r="AN93" s="13" t="n"/>
      <c r="AO93" s="13" t="n"/>
      <c r="AP93" s="13" t="n"/>
      <c r="AQ93" s="13" t="n"/>
      <c r="AR93" s="13" t="n"/>
      <c r="AS93" s="13" t="n"/>
    </row>
    <row r="94" ht="30" customHeight="1" s="41">
      <c r="A94" s="12" t="n"/>
      <c r="B94" s="12" t="n"/>
      <c r="C94" s="12" t="n"/>
      <c r="D94" s="12" t="n"/>
      <c r="E94" s="128">
        <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f>
        <v/>
      </c>
      <c r="F94" s="12" t="n"/>
      <c r="G94" s="134" t="n"/>
      <c r="H94" s="134" t="n"/>
      <c r="I94" s="12" t="n"/>
      <c r="J94" s="12" t="n"/>
      <c r="K94" s="130">
        <f>IF(A94="","",IF(J94="AUTO",H94,IF(J94="MANUAL",AK94,"")))</f>
        <v/>
      </c>
      <c r="L94" s="12" t="n"/>
      <c r="M94" s="12" t="n"/>
      <c r="N94" s="128">
        <f>IF(A94="","",IF(COUNTIFS('Human Operation Desktop'!$A$3:$A$502,A94,'Human Operation Desktop'!$I$3:$I$502,"&lt;&gt;APPLIED",'Human Operation Desktop'!$I$3:$I$502,"&lt;&gt;REJECTED")&gt;0,"YES","NO"))</f>
        <v/>
      </c>
      <c r="O94" s="12"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25" t="n"/>
      <c r="AL94" s="13" t="n"/>
      <c r="AM94" s="13" t="n"/>
      <c r="AN94" s="13" t="n"/>
      <c r="AO94" s="13" t="n"/>
      <c r="AP94" s="13" t="n"/>
      <c r="AQ94" s="13" t="n"/>
      <c r="AR94" s="13" t="n"/>
      <c r="AS94" s="13" t="n"/>
    </row>
    <row r="95" ht="30" customHeight="1" s="41">
      <c r="A95" s="12" t="n"/>
      <c r="B95" s="12" t="n"/>
      <c r="C95" s="12" t="n"/>
      <c r="D95" s="12" t="n"/>
      <c r="E95" s="128">
        <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f>
        <v/>
      </c>
      <c r="F95" s="12" t="n"/>
      <c r="G95" s="134" t="n"/>
      <c r="H95" s="134" t="n"/>
      <c r="I95" s="12" t="n"/>
      <c r="J95" s="12" t="n"/>
      <c r="K95" s="130">
        <f>IF(A95="","",IF(J95="AUTO",H95,IF(J95="MANUAL",AK95,"")))</f>
        <v/>
      </c>
      <c r="L95" s="12" t="n"/>
      <c r="M95" s="12" t="n"/>
      <c r="N95" s="128">
        <f>IF(A95="","",IF(COUNTIFS('Human Operation Desktop'!$A$3:$A$502,A95,'Human Operation Desktop'!$I$3:$I$502,"&lt;&gt;APPLIED",'Human Operation Desktop'!$I$3:$I$502,"&lt;&gt;REJECTED")&gt;0,"YES","NO"))</f>
        <v/>
      </c>
      <c r="O95" s="12"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25" t="n"/>
      <c r="AL95" s="13" t="n"/>
      <c r="AM95" s="13" t="n"/>
      <c r="AN95" s="13" t="n"/>
      <c r="AO95" s="13" t="n"/>
      <c r="AP95" s="13" t="n"/>
      <c r="AQ95" s="13" t="n"/>
      <c r="AR95" s="13" t="n"/>
      <c r="AS95" s="13" t="n"/>
    </row>
    <row r="96" ht="30" customHeight="1" s="41">
      <c r="A96" s="12" t="n"/>
      <c r="B96" s="12" t="n"/>
      <c r="C96" s="12" t="n"/>
      <c r="D96" s="12" t="n"/>
      <c r="E96" s="128">
        <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f>
        <v/>
      </c>
      <c r="F96" s="12" t="n"/>
      <c r="G96" s="134" t="n"/>
      <c r="H96" s="134" t="n"/>
      <c r="I96" s="12" t="n"/>
      <c r="J96" s="12" t="n"/>
      <c r="K96" s="130">
        <f>IF(A96="","",IF(J96="AUTO",H96,IF(J96="MANUAL",AK96,"")))</f>
        <v/>
      </c>
      <c r="L96" s="12" t="n"/>
      <c r="M96" s="12" t="n"/>
      <c r="N96" s="128">
        <f>IF(A96="","",IF(COUNTIFS('Human Operation Desktop'!$A$3:$A$502,A96,'Human Operation Desktop'!$I$3:$I$502,"&lt;&gt;APPLIED",'Human Operation Desktop'!$I$3:$I$502,"&lt;&gt;REJECTED")&gt;0,"YES","NO"))</f>
        <v/>
      </c>
      <c r="O96" s="12"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25" t="n"/>
      <c r="AL96" s="13" t="n"/>
      <c r="AM96" s="13" t="n"/>
      <c r="AN96" s="13" t="n"/>
      <c r="AO96" s="13" t="n"/>
      <c r="AP96" s="13" t="n"/>
      <c r="AQ96" s="13" t="n"/>
      <c r="AR96" s="13" t="n"/>
      <c r="AS96" s="13" t="n"/>
    </row>
    <row r="97" ht="30" customHeight="1" s="41">
      <c r="A97" s="12" t="n"/>
      <c r="B97" s="12" t="n"/>
      <c r="C97" s="12" t="n"/>
      <c r="D97" s="12" t="n"/>
      <c r="E97" s="128">
        <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f>
        <v/>
      </c>
      <c r="F97" s="12" t="n"/>
      <c r="G97" s="134" t="n"/>
      <c r="H97" s="134" t="n"/>
      <c r="I97" s="12" t="n"/>
      <c r="J97" s="12" t="n"/>
      <c r="K97" s="130">
        <f>IF(A97="","",IF(J97="AUTO",H97,IF(J97="MANUAL",AK97,"")))</f>
        <v/>
      </c>
      <c r="L97" s="12" t="n"/>
      <c r="M97" s="12" t="n"/>
      <c r="N97" s="128">
        <f>IF(A97="","",IF(COUNTIFS('Human Operation Desktop'!$A$3:$A$502,A97,'Human Operation Desktop'!$I$3:$I$502,"&lt;&gt;APPLIED",'Human Operation Desktop'!$I$3:$I$502,"&lt;&gt;REJECTED")&gt;0,"YES","NO"))</f>
        <v/>
      </c>
      <c r="O97" s="12"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25" t="n"/>
      <c r="AL97" s="13" t="n"/>
      <c r="AM97" s="13" t="n"/>
      <c r="AN97" s="13" t="n"/>
      <c r="AO97" s="13" t="n"/>
      <c r="AP97" s="13" t="n"/>
      <c r="AQ97" s="13" t="n"/>
      <c r="AR97" s="13" t="n"/>
      <c r="AS97" s="13" t="n"/>
    </row>
    <row r="98" ht="30" customHeight="1" s="41">
      <c r="A98" s="12" t="n"/>
      <c r="B98" s="12" t="n"/>
      <c r="C98" s="12" t="n"/>
      <c r="D98" s="12" t="n"/>
      <c r="E98" s="128">
        <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f>
        <v/>
      </c>
      <c r="F98" s="12" t="n"/>
      <c r="G98" s="134" t="n"/>
      <c r="H98" s="134" t="n"/>
      <c r="I98" s="12" t="n"/>
      <c r="J98" s="12" t="n"/>
      <c r="K98" s="130">
        <f>IF(A98="","",IF(J98="AUTO",H98,IF(J98="MANUAL",AK98,"")))</f>
        <v/>
      </c>
      <c r="L98" s="12" t="n"/>
      <c r="M98" s="12" t="n"/>
      <c r="N98" s="128">
        <f>IF(A98="","",IF(COUNTIFS('Human Operation Desktop'!$A$3:$A$502,A98,'Human Operation Desktop'!$I$3:$I$502,"&lt;&gt;APPLIED",'Human Operation Desktop'!$I$3:$I$502,"&lt;&gt;REJECTED")&gt;0,"YES","NO"))</f>
        <v/>
      </c>
      <c r="O98" s="12"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25" t="n"/>
      <c r="AL98" s="13" t="n"/>
      <c r="AM98" s="13" t="n"/>
      <c r="AN98" s="13" t="n"/>
      <c r="AO98" s="13" t="n"/>
      <c r="AP98" s="13" t="n"/>
      <c r="AQ98" s="13" t="n"/>
      <c r="AR98" s="13" t="n"/>
      <c r="AS98" s="13" t="n"/>
    </row>
    <row r="99" ht="30" customHeight="1" s="41">
      <c r="A99" s="12" t="n"/>
      <c r="B99" s="12" t="n"/>
      <c r="C99" s="12" t="n"/>
      <c r="D99" s="12" t="n"/>
      <c r="E99" s="128">
        <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f>
        <v/>
      </c>
      <c r="F99" s="12" t="n"/>
      <c r="G99" s="134" t="n"/>
      <c r="H99" s="134" t="n"/>
      <c r="I99" s="12" t="n"/>
      <c r="J99" s="12" t="n"/>
      <c r="K99" s="130">
        <f>IF(A99="","",IF(J99="AUTO",H99,IF(J99="MANUAL",AK99,"")))</f>
        <v/>
      </c>
      <c r="L99" s="12" t="n"/>
      <c r="M99" s="12" t="n"/>
      <c r="N99" s="128">
        <f>IF(A99="","",IF(COUNTIFS('Human Operation Desktop'!$A$3:$A$502,A99,'Human Operation Desktop'!$I$3:$I$502,"&lt;&gt;APPLIED",'Human Operation Desktop'!$I$3:$I$502,"&lt;&gt;REJECTED")&gt;0,"YES","NO"))</f>
        <v/>
      </c>
      <c r="O99" s="12"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25" t="n"/>
      <c r="AL99" s="13" t="n"/>
      <c r="AM99" s="13" t="n"/>
      <c r="AN99" s="13" t="n"/>
      <c r="AO99" s="13" t="n"/>
      <c r="AP99" s="13" t="n"/>
      <c r="AQ99" s="13" t="n"/>
      <c r="AR99" s="13" t="n"/>
      <c r="AS99" s="13" t="n"/>
    </row>
    <row r="100" ht="30" customHeight="1" s="41">
      <c r="A100" s="12" t="n"/>
      <c r="B100" s="12" t="n"/>
      <c r="C100" s="12" t="n"/>
      <c r="D100" s="12" t="n"/>
      <c r="E100" s="128">
        <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f>
        <v/>
      </c>
      <c r="F100" s="12" t="n"/>
      <c r="G100" s="134" t="n"/>
      <c r="H100" s="134" t="n"/>
      <c r="I100" s="12" t="n"/>
      <c r="J100" s="12" t="n"/>
      <c r="K100" s="130">
        <f>IF(A100="","",IF(J100="AUTO",H100,IF(J100="MANUAL",AK100,"")))</f>
        <v/>
      </c>
      <c r="L100" s="12" t="n"/>
      <c r="M100" s="12" t="n"/>
      <c r="N100" s="128">
        <f>IF(A100="","",IF(COUNTIFS('Human Operation Desktop'!$A$3:$A$502,A100,'Human Operation Desktop'!$I$3:$I$502,"&lt;&gt;APPLIED",'Human Operation Desktop'!$I$3:$I$502,"&lt;&gt;REJECTED")&gt;0,"YES","NO"))</f>
        <v/>
      </c>
      <c r="O100" s="12"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25" t="n"/>
      <c r="AL100" s="13" t="n"/>
      <c r="AM100" s="13" t="n"/>
      <c r="AN100" s="13" t="n"/>
      <c r="AO100" s="13" t="n"/>
      <c r="AP100" s="13" t="n"/>
      <c r="AQ100" s="13" t="n"/>
      <c r="AR100" s="13" t="n"/>
      <c r="AS100" s="13" t="n"/>
    </row>
    <row r="101" ht="30" customHeight="1" s="41">
      <c r="A101" s="12" t="n"/>
      <c r="B101" s="12" t="n"/>
      <c r="C101" s="12" t="n"/>
      <c r="D101" s="12" t="n"/>
      <c r="E101" s="128">
        <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f>
        <v/>
      </c>
      <c r="F101" s="12" t="n"/>
      <c r="G101" s="134" t="n"/>
      <c r="H101" s="134" t="n"/>
      <c r="I101" s="12" t="n"/>
      <c r="J101" s="12" t="n"/>
      <c r="K101" s="130">
        <f>IF(A101="","",IF(J101="AUTO",H101,IF(J101="MANUAL",AK101,"")))</f>
        <v/>
      </c>
      <c r="L101" s="12" t="n"/>
      <c r="M101" s="12" t="n"/>
      <c r="N101" s="128">
        <f>IF(A101="","",IF(COUNTIFS('Human Operation Desktop'!$A$3:$A$502,A101,'Human Operation Desktop'!$I$3:$I$502,"&lt;&gt;APPLIED",'Human Operation Desktop'!$I$3:$I$502,"&lt;&gt;REJECTED")&gt;0,"YES","NO"))</f>
        <v/>
      </c>
      <c r="O101" s="12"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25" t="n"/>
      <c r="AL101" s="13" t="n"/>
      <c r="AM101" s="13" t="n"/>
      <c r="AN101" s="13" t="n"/>
      <c r="AO101" s="13" t="n"/>
      <c r="AP101" s="13" t="n"/>
      <c r="AQ101" s="13" t="n"/>
      <c r="AR101" s="13" t="n"/>
      <c r="AS101" s="13" t="n"/>
    </row>
    <row r="102" ht="30" customHeight="1" s="41">
      <c r="A102" s="12" t="n"/>
      <c r="B102" s="12" t="n"/>
      <c r="C102" s="12" t="n"/>
      <c r="D102" s="12" t="n"/>
      <c r="E102" s="128">
        <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f>
        <v/>
      </c>
      <c r="F102" s="12" t="n"/>
      <c r="G102" s="134" t="n"/>
      <c r="H102" s="134" t="n"/>
      <c r="I102" s="12" t="n"/>
      <c r="J102" s="12" t="n"/>
      <c r="K102" s="130">
        <f>IF(A102="","",IF(J102="AUTO",H102,IF(J102="MANUAL",AK102,"")))</f>
        <v/>
      </c>
      <c r="L102" s="12" t="n"/>
      <c r="M102" s="12" t="n"/>
      <c r="N102" s="128">
        <f>IF(A102="","",IF(COUNTIFS('Human Operation Desktop'!$A$3:$A$502,A102,'Human Operation Desktop'!$I$3:$I$502,"&lt;&gt;APPLIED",'Human Operation Desktop'!$I$3:$I$502,"&lt;&gt;REJECTED")&gt;0,"YES","NO"))</f>
        <v/>
      </c>
      <c r="O102" s="12"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25" t="n"/>
      <c r="AL102" s="13" t="n"/>
      <c r="AM102" s="13" t="n"/>
      <c r="AN102" s="13" t="n"/>
      <c r="AO102" s="13" t="n"/>
      <c r="AP102" s="13" t="n"/>
      <c r="AQ102" s="13" t="n"/>
      <c r="AR102" s="13" t="n"/>
      <c r="AS102" s="13" t="n"/>
    </row>
    <row r="103" ht="30" customHeight="1" s="41">
      <c r="A103" s="12" t="n"/>
      <c r="B103" s="12" t="n"/>
      <c r="C103" s="12" t="n"/>
      <c r="D103" s="12" t="n"/>
      <c r="E103" s="128">
        <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f>
        <v/>
      </c>
      <c r="F103" s="12" t="n"/>
      <c r="G103" s="134" t="n"/>
      <c r="H103" s="134" t="n"/>
      <c r="I103" s="12" t="n"/>
      <c r="J103" s="12" t="n"/>
      <c r="K103" s="130">
        <f>IF(A103="","",IF(J103="AUTO",H103,IF(J103="MANUAL",AK103,"")))</f>
        <v/>
      </c>
      <c r="L103" s="12" t="n"/>
      <c r="M103" s="12" t="n"/>
      <c r="N103" s="128">
        <f>IF(A103="","",IF(COUNTIFS('Human Operation Desktop'!$A$3:$A$502,A103,'Human Operation Desktop'!$I$3:$I$502,"&lt;&gt;APPLIED",'Human Operation Desktop'!$I$3:$I$502,"&lt;&gt;REJECTED")&gt;0,"YES","NO"))</f>
        <v/>
      </c>
      <c r="O103" s="12"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25" t="n"/>
      <c r="AL103" s="13" t="n"/>
      <c r="AM103" s="13" t="n"/>
      <c r="AN103" s="13" t="n"/>
      <c r="AO103" s="13" t="n"/>
      <c r="AP103" s="13" t="n"/>
      <c r="AQ103" s="13" t="n"/>
      <c r="AR103" s="13" t="n"/>
      <c r="AS103" s="13" t="n"/>
    </row>
    <row r="104" ht="30" customHeight="1" s="41">
      <c r="A104" s="12" t="n"/>
      <c r="B104" s="12" t="n"/>
      <c r="C104" s="12" t="n"/>
      <c r="D104" s="12" t="n"/>
      <c r="E104" s="128">
        <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f>
        <v/>
      </c>
      <c r="F104" s="12" t="n"/>
      <c r="G104" s="134" t="n"/>
      <c r="H104" s="134" t="n"/>
      <c r="I104" s="12" t="n"/>
      <c r="J104" s="12" t="n"/>
      <c r="K104" s="130">
        <f>IF(A104="","",IF(J104="AUTO",H104,IF(J104="MANUAL",AK104,"")))</f>
        <v/>
      </c>
      <c r="L104" s="12" t="n"/>
      <c r="M104" s="12" t="n"/>
      <c r="N104" s="128">
        <f>IF(A104="","",IF(COUNTIFS('Human Operation Desktop'!$A$3:$A$502,A104,'Human Operation Desktop'!$I$3:$I$502,"&lt;&gt;APPLIED",'Human Operation Desktop'!$I$3:$I$502,"&lt;&gt;REJECTED")&gt;0,"YES","NO"))</f>
        <v/>
      </c>
      <c r="O104" s="12"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25" t="n"/>
      <c r="AL104" s="13" t="n"/>
      <c r="AM104" s="13" t="n"/>
      <c r="AN104" s="13" t="n"/>
      <c r="AO104" s="13" t="n"/>
      <c r="AP104" s="13" t="n"/>
      <c r="AQ104" s="13" t="n"/>
      <c r="AR104" s="13" t="n"/>
      <c r="AS104" s="13" t="n"/>
    </row>
    <row r="105" ht="30" customHeight="1" s="41">
      <c r="A105" s="12" t="n"/>
      <c r="B105" s="12" t="n"/>
      <c r="C105" s="12" t="n"/>
      <c r="D105" s="12" t="n"/>
      <c r="E105" s="128">
        <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f>
        <v/>
      </c>
      <c r="F105" s="12" t="n"/>
      <c r="G105" s="134" t="n"/>
      <c r="H105" s="134" t="n"/>
      <c r="I105" s="12" t="n"/>
      <c r="J105" s="12" t="n"/>
      <c r="K105" s="130">
        <f>IF(A105="","",IF(J105="AUTO",H105,IF(J105="MANUAL",AK105,"")))</f>
        <v/>
      </c>
      <c r="L105" s="12" t="n"/>
      <c r="M105" s="12" t="n"/>
      <c r="N105" s="128">
        <f>IF(A105="","",IF(COUNTIFS('Human Operation Desktop'!$A$3:$A$502,A105,'Human Operation Desktop'!$I$3:$I$502,"&lt;&gt;APPLIED",'Human Operation Desktop'!$I$3:$I$502,"&lt;&gt;REJECTED")&gt;0,"YES","NO"))</f>
        <v/>
      </c>
      <c r="O105" s="12"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25" t="n"/>
      <c r="AL105" s="13" t="n"/>
      <c r="AM105" s="13" t="n"/>
      <c r="AN105" s="13" t="n"/>
      <c r="AO105" s="13" t="n"/>
      <c r="AP105" s="13" t="n"/>
      <c r="AQ105" s="13" t="n"/>
      <c r="AR105" s="13" t="n"/>
      <c r="AS105" s="13" t="n"/>
    </row>
    <row r="106" ht="30" customHeight="1" s="41">
      <c r="A106" s="12" t="n"/>
      <c r="B106" s="12" t="n"/>
      <c r="C106" s="12" t="n"/>
      <c r="D106" s="12" t="n"/>
      <c r="E106" s="128">
        <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f>
        <v/>
      </c>
      <c r="F106" s="12" t="n"/>
      <c r="G106" s="134" t="n"/>
      <c r="H106" s="134" t="n"/>
      <c r="I106" s="12" t="n"/>
      <c r="J106" s="12" t="n"/>
      <c r="K106" s="130">
        <f>IF(A106="","",IF(J106="AUTO",H106,IF(J106="MANUAL",AK106,"")))</f>
        <v/>
      </c>
      <c r="L106" s="12" t="n"/>
      <c r="M106" s="12" t="n"/>
      <c r="N106" s="128">
        <f>IF(A106="","",IF(COUNTIFS('Human Operation Desktop'!$A$3:$A$502,A106,'Human Operation Desktop'!$I$3:$I$502,"&lt;&gt;APPLIED",'Human Operation Desktop'!$I$3:$I$502,"&lt;&gt;REJECTED")&gt;0,"YES","NO"))</f>
        <v/>
      </c>
      <c r="O106" s="12"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25" t="n"/>
      <c r="AL106" s="13" t="n"/>
      <c r="AM106" s="13" t="n"/>
      <c r="AN106" s="13" t="n"/>
      <c r="AO106" s="13" t="n"/>
      <c r="AP106" s="13" t="n"/>
      <c r="AQ106" s="13" t="n"/>
      <c r="AR106" s="13" t="n"/>
      <c r="AS106" s="13" t="n"/>
    </row>
    <row r="107" ht="30" customHeight="1" s="41">
      <c r="A107" s="12" t="n"/>
      <c r="B107" s="12" t="n"/>
      <c r="C107" s="12" t="n"/>
      <c r="D107" s="12" t="n"/>
      <c r="E107" s="128">
        <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f>
        <v/>
      </c>
      <c r="F107" s="12" t="n"/>
      <c r="G107" s="134" t="n"/>
      <c r="H107" s="134" t="n"/>
      <c r="I107" s="12" t="n"/>
      <c r="J107" s="12" t="n"/>
      <c r="K107" s="130">
        <f>IF(A107="","",IF(J107="AUTO",H107,IF(J107="MANUAL",AK107,"")))</f>
        <v/>
      </c>
      <c r="L107" s="12" t="n"/>
      <c r="M107" s="12" t="n"/>
      <c r="N107" s="128">
        <f>IF(A107="","",IF(COUNTIFS('Human Operation Desktop'!$A$3:$A$502,A107,'Human Operation Desktop'!$I$3:$I$502,"&lt;&gt;APPLIED",'Human Operation Desktop'!$I$3:$I$502,"&lt;&gt;REJECTED")&gt;0,"YES","NO"))</f>
        <v/>
      </c>
      <c r="O107" s="12"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25" t="n"/>
      <c r="AL107" s="13" t="n"/>
      <c r="AM107" s="13" t="n"/>
      <c r="AN107" s="13" t="n"/>
      <c r="AO107" s="13" t="n"/>
      <c r="AP107" s="13" t="n"/>
      <c r="AQ107" s="13" t="n"/>
      <c r="AR107" s="13" t="n"/>
      <c r="AS107" s="13" t="n"/>
    </row>
    <row r="108" ht="30" customHeight="1" s="41">
      <c r="A108" s="12" t="n"/>
      <c r="B108" s="12" t="n"/>
      <c r="C108" s="12" t="n"/>
      <c r="D108" s="12" t="n"/>
      <c r="E108" s="128">
        <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f>
        <v/>
      </c>
      <c r="F108" s="12" t="n"/>
      <c r="G108" s="134" t="n"/>
      <c r="H108" s="134" t="n"/>
      <c r="I108" s="12" t="n"/>
      <c r="J108" s="12" t="n"/>
      <c r="K108" s="130">
        <f>IF(A108="","",IF(J108="AUTO",H108,IF(J108="MANUAL",AK108,"")))</f>
        <v/>
      </c>
      <c r="L108" s="12" t="n"/>
      <c r="M108" s="12" t="n"/>
      <c r="N108" s="128">
        <f>IF(A108="","",IF(COUNTIFS('Human Operation Desktop'!$A$3:$A$502,A108,'Human Operation Desktop'!$I$3:$I$502,"&lt;&gt;APPLIED",'Human Operation Desktop'!$I$3:$I$502,"&lt;&gt;REJECTED")&gt;0,"YES","NO"))</f>
        <v/>
      </c>
      <c r="O108" s="12"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25" t="n"/>
      <c r="AL108" s="13" t="n"/>
      <c r="AM108" s="13" t="n"/>
      <c r="AN108" s="13" t="n"/>
      <c r="AO108" s="13" t="n"/>
      <c r="AP108" s="13" t="n"/>
      <c r="AQ108" s="13" t="n"/>
      <c r="AR108" s="13" t="n"/>
      <c r="AS108" s="13" t="n"/>
    </row>
    <row r="109" ht="30" customHeight="1" s="41">
      <c r="A109" s="12" t="n"/>
      <c r="B109" s="12" t="n"/>
      <c r="C109" s="12" t="n"/>
      <c r="D109" s="12" t="n"/>
      <c r="E109" s="128">
        <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f>
        <v/>
      </c>
      <c r="F109" s="12" t="n"/>
      <c r="G109" s="134" t="n"/>
      <c r="H109" s="134" t="n"/>
      <c r="I109" s="12" t="n"/>
      <c r="J109" s="12" t="n"/>
      <c r="K109" s="130">
        <f>IF(A109="","",IF(J109="AUTO",H109,IF(J109="MANUAL",AK109,"")))</f>
        <v/>
      </c>
      <c r="L109" s="12" t="n"/>
      <c r="M109" s="12" t="n"/>
      <c r="N109" s="128">
        <f>IF(A109="","",IF(COUNTIFS('Human Operation Desktop'!$A$3:$A$502,A109,'Human Operation Desktop'!$I$3:$I$502,"&lt;&gt;APPLIED",'Human Operation Desktop'!$I$3:$I$502,"&lt;&gt;REJECTED")&gt;0,"YES","NO"))</f>
        <v/>
      </c>
      <c r="O109" s="12"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25" t="n"/>
      <c r="AL109" s="13" t="n"/>
      <c r="AM109" s="13" t="n"/>
      <c r="AN109" s="13" t="n"/>
      <c r="AO109" s="13" t="n"/>
      <c r="AP109" s="13" t="n"/>
      <c r="AQ109" s="13" t="n"/>
      <c r="AR109" s="13" t="n"/>
      <c r="AS109" s="13" t="n"/>
    </row>
    <row r="110" ht="30" customHeight="1" s="41">
      <c r="A110" s="12" t="n"/>
      <c r="B110" s="12" t="n"/>
      <c r="C110" s="12" t="n"/>
      <c r="D110" s="12" t="n"/>
      <c r="E110" s="128">
        <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f>
        <v/>
      </c>
      <c r="F110" s="12" t="n"/>
      <c r="G110" s="134" t="n"/>
      <c r="H110" s="134" t="n"/>
      <c r="I110" s="12" t="n"/>
      <c r="J110" s="12" t="n"/>
      <c r="K110" s="130">
        <f>IF(A110="","",IF(J110="AUTO",H110,IF(J110="MANUAL",AK110,"")))</f>
        <v/>
      </c>
      <c r="L110" s="12" t="n"/>
      <c r="M110" s="12" t="n"/>
      <c r="N110" s="128">
        <f>IF(A110="","",IF(COUNTIFS('Human Operation Desktop'!$A$3:$A$502,A110,'Human Operation Desktop'!$I$3:$I$502,"&lt;&gt;APPLIED",'Human Operation Desktop'!$I$3:$I$502,"&lt;&gt;REJECTED")&gt;0,"YES","NO"))</f>
        <v/>
      </c>
      <c r="O110" s="12"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25" t="n"/>
      <c r="AL110" s="13" t="n"/>
      <c r="AM110" s="13" t="n"/>
      <c r="AN110" s="13" t="n"/>
      <c r="AO110" s="13" t="n"/>
      <c r="AP110" s="13" t="n"/>
      <c r="AQ110" s="13" t="n"/>
      <c r="AR110" s="13" t="n"/>
      <c r="AS110" s="13" t="n"/>
    </row>
    <row r="111" ht="30" customHeight="1" s="41">
      <c r="A111" s="12" t="n"/>
      <c r="B111" s="12" t="n"/>
      <c r="C111" s="12" t="n"/>
      <c r="D111" s="12" t="n"/>
      <c r="E111" s="128">
        <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f>
        <v/>
      </c>
      <c r="F111" s="12" t="n"/>
      <c r="G111" s="134" t="n"/>
      <c r="H111" s="134" t="n"/>
      <c r="I111" s="12" t="n"/>
      <c r="J111" s="12" t="n"/>
      <c r="K111" s="130">
        <f>IF(A111="","",IF(J111="AUTO",H111,IF(J111="MANUAL",AK111,"")))</f>
        <v/>
      </c>
      <c r="L111" s="12" t="n"/>
      <c r="M111" s="12" t="n"/>
      <c r="N111" s="128">
        <f>IF(A111="","",IF(COUNTIFS('Human Operation Desktop'!$A$3:$A$502,A111,'Human Operation Desktop'!$I$3:$I$502,"&lt;&gt;APPLIED",'Human Operation Desktop'!$I$3:$I$502,"&lt;&gt;REJECTED")&gt;0,"YES","NO"))</f>
        <v/>
      </c>
      <c r="O111" s="12"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25" t="n"/>
      <c r="AL111" s="13" t="n"/>
      <c r="AM111" s="13" t="n"/>
      <c r="AN111" s="13" t="n"/>
      <c r="AO111" s="13" t="n"/>
      <c r="AP111" s="13" t="n"/>
      <c r="AQ111" s="13" t="n"/>
      <c r="AR111" s="13" t="n"/>
      <c r="AS111" s="13" t="n"/>
    </row>
    <row r="112" ht="30" customHeight="1" s="41">
      <c r="A112" s="12" t="n"/>
      <c r="B112" s="12" t="n"/>
      <c r="C112" s="12" t="n"/>
      <c r="D112" s="12" t="n"/>
      <c r="E112" s="128">
        <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f>
        <v/>
      </c>
      <c r="F112" s="12" t="n"/>
      <c r="G112" s="134" t="n"/>
      <c r="H112" s="134" t="n"/>
      <c r="I112" s="12" t="n"/>
      <c r="J112" s="12" t="n"/>
      <c r="K112" s="130">
        <f>IF(A112="","",IF(J112="AUTO",H112,IF(J112="MANUAL",AK112,"")))</f>
        <v/>
      </c>
      <c r="L112" s="12" t="n"/>
      <c r="M112" s="12" t="n"/>
      <c r="N112" s="128">
        <f>IF(A112="","",IF(COUNTIFS('Human Operation Desktop'!$A$3:$A$502,A112,'Human Operation Desktop'!$I$3:$I$502,"&lt;&gt;APPLIED",'Human Operation Desktop'!$I$3:$I$502,"&lt;&gt;REJECTED")&gt;0,"YES","NO"))</f>
        <v/>
      </c>
      <c r="O112" s="12"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25" t="n"/>
      <c r="AL112" s="13" t="n"/>
      <c r="AM112" s="13" t="n"/>
      <c r="AN112" s="13" t="n"/>
      <c r="AO112" s="13" t="n"/>
      <c r="AP112" s="13" t="n"/>
      <c r="AQ112" s="13" t="n"/>
      <c r="AR112" s="13" t="n"/>
      <c r="AS112" s="13" t="n"/>
    </row>
    <row r="113" ht="30" customHeight="1" s="41">
      <c r="A113" s="12" t="n"/>
      <c r="B113" s="12" t="n"/>
      <c r="C113" s="12" t="n"/>
      <c r="D113" s="12" t="n"/>
      <c r="E113" s="128">
        <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f>
        <v/>
      </c>
      <c r="F113" s="12" t="n"/>
      <c r="G113" s="134" t="n"/>
      <c r="H113" s="134" t="n"/>
      <c r="I113" s="12" t="n"/>
      <c r="J113" s="12" t="n"/>
      <c r="K113" s="130">
        <f>IF(A113="","",IF(J113="AUTO",H113,IF(J113="MANUAL",AK113,"")))</f>
        <v/>
      </c>
      <c r="L113" s="12" t="n"/>
      <c r="M113" s="12" t="n"/>
      <c r="N113" s="128">
        <f>IF(A113="","",IF(COUNTIFS('Human Operation Desktop'!$A$3:$A$502,A113,'Human Operation Desktop'!$I$3:$I$502,"&lt;&gt;APPLIED",'Human Operation Desktop'!$I$3:$I$502,"&lt;&gt;REJECTED")&gt;0,"YES","NO"))</f>
        <v/>
      </c>
      <c r="O113" s="12"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25" t="n"/>
      <c r="AL113" s="13" t="n"/>
      <c r="AM113" s="13" t="n"/>
      <c r="AN113" s="13" t="n"/>
      <c r="AO113" s="13" t="n"/>
      <c r="AP113" s="13" t="n"/>
      <c r="AQ113" s="13" t="n"/>
      <c r="AR113" s="13" t="n"/>
      <c r="AS113" s="13" t="n"/>
    </row>
    <row r="114" ht="30" customHeight="1" s="41">
      <c r="A114" s="12" t="n"/>
      <c r="B114" s="12" t="n"/>
      <c r="C114" s="12" t="n"/>
      <c r="D114" s="12" t="n"/>
      <c r="E114" s="128">
        <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f>
        <v/>
      </c>
      <c r="F114" s="12" t="n"/>
      <c r="G114" s="134" t="n"/>
      <c r="H114" s="134" t="n"/>
      <c r="I114" s="12" t="n"/>
      <c r="J114" s="12" t="n"/>
      <c r="K114" s="130">
        <f>IF(A114="","",IF(J114="AUTO",H114,IF(J114="MANUAL",AK114,"")))</f>
        <v/>
      </c>
      <c r="L114" s="12" t="n"/>
      <c r="M114" s="12" t="n"/>
      <c r="N114" s="128">
        <f>IF(A114="","",IF(COUNTIFS('Human Operation Desktop'!$A$3:$A$502,A114,'Human Operation Desktop'!$I$3:$I$502,"&lt;&gt;APPLIED",'Human Operation Desktop'!$I$3:$I$502,"&lt;&gt;REJECTED")&gt;0,"YES","NO"))</f>
        <v/>
      </c>
      <c r="O114" s="12"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25" t="n"/>
      <c r="AL114" s="13" t="n"/>
      <c r="AM114" s="13" t="n"/>
      <c r="AN114" s="13" t="n"/>
      <c r="AO114" s="13" t="n"/>
      <c r="AP114" s="13" t="n"/>
      <c r="AQ114" s="13" t="n"/>
      <c r="AR114" s="13" t="n"/>
      <c r="AS114" s="13" t="n"/>
    </row>
    <row r="115" ht="30" customHeight="1" s="41">
      <c r="A115" s="12" t="n"/>
      <c r="B115" s="12" t="n"/>
      <c r="C115" s="12" t="n"/>
      <c r="D115" s="12" t="n"/>
      <c r="E115" s="128">
        <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f>
        <v/>
      </c>
      <c r="F115" s="12" t="n"/>
      <c r="G115" s="134" t="n"/>
      <c r="H115" s="134" t="n"/>
      <c r="I115" s="12" t="n"/>
      <c r="J115" s="12" t="n"/>
      <c r="K115" s="130">
        <f>IF(A115="","",IF(J115="AUTO",H115,IF(J115="MANUAL",AK115,"")))</f>
        <v/>
      </c>
      <c r="L115" s="12" t="n"/>
      <c r="M115" s="12" t="n"/>
      <c r="N115" s="128">
        <f>IF(A115="","",IF(COUNTIFS('Human Operation Desktop'!$A$3:$A$502,A115,'Human Operation Desktop'!$I$3:$I$502,"&lt;&gt;APPLIED",'Human Operation Desktop'!$I$3:$I$502,"&lt;&gt;REJECTED")&gt;0,"YES","NO"))</f>
        <v/>
      </c>
      <c r="O115" s="12"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25" t="n"/>
      <c r="AL115" s="13" t="n"/>
      <c r="AM115" s="13" t="n"/>
      <c r="AN115" s="13" t="n"/>
      <c r="AO115" s="13" t="n"/>
      <c r="AP115" s="13" t="n"/>
      <c r="AQ115" s="13" t="n"/>
      <c r="AR115" s="13" t="n"/>
      <c r="AS115" s="13" t="n"/>
    </row>
    <row r="116" ht="30" customHeight="1" s="41">
      <c r="A116" s="12" t="n"/>
      <c r="B116" s="12" t="n"/>
      <c r="C116" s="12" t="n"/>
      <c r="D116" s="12" t="n"/>
      <c r="E116" s="128">
        <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f>
        <v/>
      </c>
      <c r="F116" s="12" t="n"/>
      <c r="G116" s="134" t="n"/>
      <c r="H116" s="134" t="n"/>
      <c r="I116" s="12" t="n"/>
      <c r="J116" s="12" t="n"/>
      <c r="K116" s="130">
        <f>IF(A116="","",IF(J116="AUTO",H116,IF(J116="MANUAL",AK116,"")))</f>
        <v/>
      </c>
      <c r="L116" s="12" t="n"/>
      <c r="M116" s="12" t="n"/>
      <c r="N116" s="128">
        <f>IF(A116="","",IF(COUNTIFS('Human Operation Desktop'!$A$3:$A$502,A116,'Human Operation Desktop'!$I$3:$I$502,"&lt;&gt;APPLIED",'Human Operation Desktop'!$I$3:$I$502,"&lt;&gt;REJECTED")&gt;0,"YES","NO"))</f>
        <v/>
      </c>
      <c r="O116" s="12"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25" t="n"/>
      <c r="AL116" s="13" t="n"/>
      <c r="AM116" s="13" t="n"/>
      <c r="AN116" s="13" t="n"/>
      <c r="AO116" s="13" t="n"/>
      <c r="AP116" s="13" t="n"/>
      <c r="AQ116" s="13" t="n"/>
      <c r="AR116" s="13" t="n"/>
      <c r="AS116" s="13" t="n"/>
    </row>
    <row r="117" ht="30" customHeight="1" s="41">
      <c r="A117" s="12" t="n"/>
      <c r="B117" s="12" t="n"/>
      <c r="C117" s="12" t="n"/>
      <c r="D117" s="12" t="n"/>
      <c r="E117" s="128">
        <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f>
        <v/>
      </c>
      <c r="F117" s="12" t="n"/>
      <c r="G117" s="134" t="n"/>
      <c r="H117" s="134" t="n"/>
      <c r="I117" s="12" t="n"/>
      <c r="J117" s="12" t="n"/>
      <c r="K117" s="130">
        <f>IF(A117="","",IF(J117="AUTO",H117,IF(J117="MANUAL",AK117,"")))</f>
        <v/>
      </c>
      <c r="L117" s="12" t="n"/>
      <c r="M117" s="12" t="n"/>
      <c r="N117" s="128">
        <f>IF(A117="","",IF(COUNTIFS('Human Operation Desktop'!$A$3:$A$502,A117,'Human Operation Desktop'!$I$3:$I$502,"&lt;&gt;APPLIED",'Human Operation Desktop'!$I$3:$I$502,"&lt;&gt;REJECTED")&gt;0,"YES","NO"))</f>
        <v/>
      </c>
      <c r="O117" s="12"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25" t="n"/>
      <c r="AL117" s="13" t="n"/>
      <c r="AM117" s="13" t="n"/>
      <c r="AN117" s="13" t="n"/>
      <c r="AO117" s="13" t="n"/>
      <c r="AP117" s="13" t="n"/>
      <c r="AQ117" s="13" t="n"/>
      <c r="AR117" s="13" t="n"/>
      <c r="AS117" s="13" t="n"/>
    </row>
    <row r="118" ht="30" customHeight="1" s="41">
      <c r="A118" s="12" t="n"/>
      <c r="B118" s="12" t="n"/>
      <c r="C118" s="12" t="n"/>
      <c r="D118" s="12" t="n"/>
      <c r="E118" s="128">
        <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f>
        <v/>
      </c>
      <c r="F118" s="12" t="n"/>
      <c r="G118" s="134" t="n"/>
      <c r="H118" s="134" t="n"/>
      <c r="I118" s="12" t="n"/>
      <c r="J118" s="12" t="n"/>
      <c r="K118" s="130">
        <f>IF(A118="","",IF(J118="AUTO",H118,IF(J118="MANUAL",AK118,"")))</f>
        <v/>
      </c>
      <c r="L118" s="12" t="n"/>
      <c r="M118" s="12" t="n"/>
      <c r="N118" s="128">
        <f>IF(A118="","",IF(COUNTIFS('Human Operation Desktop'!$A$3:$A$502,A118,'Human Operation Desktop'!$I$3:$I$502,"&lt;&gt;APPLIED",'Human Operation Desktop'!$I$3:$I$502,"&lt;&gt;REJECTED")&gt;0,"YES","NO"))</f>
        <v/>
      </c>
      <c r="O118" s="12"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25" t="n"/>
      <c r="AL118" s="13" t="n"/>
      <c r="AM118" s="13" t="n"/>
      <c r="AN118" s="13" t="n"/>
      <c r="AO118" s="13" t="n"/>
      <c r="AP118" s="13" t="n"/>
      <c r="AQ118" s="13" t="n"/>
      <c r="AR118" s="13" t="n"/>
      <c r="AS118" s="13" t="n"/>
    </row>
    <row r="119" ht="30" customHeight="1" s="41">
      <c r="A119" s="12" t="n"/>
      <c r="B119" s="12" t="n"/>
      <c r="C119" s="12" t="n"/>
      <c r="D119" s="12" t="n"/>
      <c r="E119" s="128">
        <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f>
        <v/>
      </c>
      <c r="F119" s="12" t="n"/>
      <c r="G119" s="134" t="n"/>
      <c r="H119" s="134" t="n"/>
      <c r="I119" s="12" t="n"/>
      <c r="J119" s="12" t="n"/>
      <c r="K119" s="130">
        <f>IF(A119="","",IF(J119="AUTO",H119,IF(J119="MANUAL",AK119,"")))</f>
        <v/>
      </c>
      <c r="L119" s="12" t="n"/>
      <c r="M119" s="12" t="n"/>
      <c r="N119" s="128">
        <f>IF(A119="","",IF(COUNTIFS('Human Operation Desktop'!$A$3:$A$502,A119,'Human Operation Desktop'!$I$3:$I$502,"&lt;&gt;APPLIED",'Human Operation Desktop'!$I$3:$I$502,"&lt;&gt;REJECTED")&gt;0,"YES","NO"))</f>
        <v/>
      </c>
      <c r="O119" s="12"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25" t="n"/>
      <c r="AL119" s="13" t="n"/>
      <c r="AM119" s="13" t="n"/>
      <c r="AN119" s="13" t="n"/>
      <c r="AO119" s="13" t="n"/>
      <c r="AP119" s="13" t="n"/>
      <c r="AQ119" s="13" t="n"/>
      <c r="AR119" s="13" t="n"/>
      <c r="AS119" s="13" t="n"/>
    </row>
    <row r="120" ht="30" customHeight="1" s="41">
      <c r="A120" s="12" t="n"/>
      <c r="B120" s="12" t="n"/>
      <c r="C120" s="12" t="n"/>
      <c r="D120" s="12" t="n"/>
      <c r="E120" s="128">
        <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f>
        <v/>
      </c>
      <c r="F120" s="12" t="n"/>
      <c r="G120" s="134" t="n"/>
      <c r="H120" s="134" t="n"/>
      <c r="I120" s="12" t="n"/>
      <c r="J120" s="12" t="n"/>
      <c r="K120" s="130">
        <f>IF(A120="","",IF(J120="AUTO",H120,IF(J120="MANUAL",AK120,"")))</f>
        <v/>
      </c>
      <c r="L120" s="12" t="n"/>
      <c r="M120" s="12" t="n"/>
      <c r="N120" s="128">
        <f>IF(A120="","",IF(COUNTIFS('Human Operation Desktop'!$A$3:$A$502,A120,'Human Operation Desktop'!$I$3:$I$502,"&lt;&gt;APPLIED",'Human Operation Desktop'!$I$3:$I$502,"&lt;&gt;REJECTED")&gt;0,"YES","NO"))</f>
        <v/>
      </c>
      <c r="O120" s="12"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25" t="n"/>
      <c r="AL120" s="13" t="n"/>
      <c r="AM120" s="13" t="n"/>
      <c r="AN120" s="13" t="n"/>
      <c r="AO120" s="13" t="n"/>
      <c r="AP120" s="13" t="n"/>
      <c r="AQ120" s="13" t="n"/>
      <c r="AR120" s="13" t="n"/>
      <c r="AS120" s="13" t="n"/>
    </row>
    <row r="121" ht="30" customHeight="1" s="41">
      <c r="A121" s="12" t="n"/>
      <c r="B121" s="12" t="n"/>
      <c r="C121" s="12" t="n"/>
      <c r="D121" s="12" t="n"/>
      <c r="E121" s="128">
        <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f>
        <v/>
      </c>
      <c r="F121" s="12" t="n"/>
      <c r="G121" s="134" t="n"/>
      <c r="H121" s="134" t="n"/>
      <c r="I121" s="12" t="n"/>
      <c r="J121" s="12" t="n"/>
      <c r="K121" s="130">
        <f>IF(A121="","",IF(J121="AUTO",H121,IF(J121="MANUAL",AK121,"")))</f>
        <v/>
      </c>
      <c r="L121" s="12" t="n"/>
      <c r="M121" s="12" t="n"/>
      <c r="N121" s="128">
        <f>IF(A121="","",IF(COUNTIFS('Human Operation Desktop'!$A$3:$A$502,A121,'Human Operation Desktop'!$I$3:$I$502,"&lt;&gt;APPLIED",'Human Operation Desktop'!$I$3:$I$502,"&lt;&gt;REJECTED")&gt;0,"YES","NO"))</f>
        <v/>
      </c>
      <c r="O121" s="12"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25" t="n"/>
      <c r="AL121" s="13" t="n"/>
      <c r="AM121" s="13" t="n"/>
      <c r="AN121" s="13" t="n"/>
      <c r="AO121" s="13" t="n"/>
      <c r="AP121" s="13" t="n"/>
      <c r="AQ121" s="13" t="n"/>
      <c r="AR121" s="13" t="n"/>
      <c r="AS121" s="13" t="n"/>
    </row>
    <row r="122" ht="30" customHeight="1" s="41">
      <c r="A122" s="12" t="n"/>
      <c r="B122" s="12" t="n"/>
      <c r="C122" s="12" t="n"/>
      <c r="D122" s="12" t="n"/>
      <c r="E122" s="128">
        <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f>
        <v/>
      </c>
      <c r="F122" s="12" t="n"/>
      <c r="G122" s="134" t="n"/>
      <c r="H122" s="134" t="n"/>
      <c r="I122" s="12" t="n"/>
      <c r="J122" s="12" t="n"/>
      <c r="K122" s="130">
        <f>IF(A122="","",IF(J122="AUTO",H122,IF(J122="MANUAL",AK122,"")))</f>
        <v/>
      </c>
      <c r="L122" s="12" t="n"/>
      <c r="M122" s="12" t="n"/>
      <c r="N122" s="128">
        <f>IF(A122="","",IF(COUNTIFS('Human Operation Desktop'!$A$3:$A$502,A122,'Human Operation Desktop'!$I$3:$I$502,"&lt;&gt;APPLIED",'Human Operation Desktop'!$I$3:$I$502,"&lt;&gt;REJECTED")&gt;0,"YES","NO"))</f>
        <v/>
      </c>
      <c r="O122" s="12"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25" t="n"/>
      <c r="AL122" s="13" t="n"/>
      <c r="AM122" s="13" t="n"/>
      <c r="AN122" s="13" t="n"/>
      <c r="AO122" s="13" t="n"/>
      <c r="AP122" s="13" t="n"/>
      <c r="AQ122" s="13" t="n"/>
      <c r="AR122" s="13" t="n"/>
      <c r="AS122" s="13" t="n"/>
    </row>
    <row r="123" ht="30" customHeight="1" s="41">
      <c r="A123" s="12" t="n"/>
      <c r="B123" s="12" t="n"/>
      <c r="C123" s="12" t="n"/>
      <c r="D123" s="12" t="n"/>
      <c r="E123" s="128">
        <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f>
        <v/>
      </c>
      <c r="F123" s="12" t="n"/>
      <c r="G123" s="134" t="n"/>
      <c r="H123" s="134" t="n"/>
      <c r="I123" s="12" t="n"/>
      <c r="J123" s="12" t="n"/>
      <c r="K123" s="130">
        <f>IF(A123="","",IF(J123="AUTO",H123,IF(J123="MANUAL",AK123,"")))</f>
        <v/>
      </c>
      <c r="L123" s="12" t="n"/>
      <c r="M123" s="12" t="n"/>
      <c r="N123" s="128">
        <f>IF(A123="","",IF(COUNTIFS('Human Operation Desktop'!$A$3:$A$502,A123,'Human Operation Desktop'!$I$3:$I$502,"&lt;&gt;APPLIED",'Human Operation Desktop'!$I$3:$I$502,"&lt;&gt;REJECTED")&gt;0,"YES","NO"))</f>
        <v/>
      </c>
      <c r="O123" s="12"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25" t="n"/>
      <c r="AL123" s="13" t="n"/>
      <c r="AM123" s="13" t="n"/>
      <c r="AN123" s="13" t="n"/>
      <c r="AO123" s="13" t="n"/>
      <c r="AP123" s="13" t="n"/>
      <c r="AQ123" s="13" t="n"/>
      <c r="AR123" s="13" t="n"/>
      <c r="AS123" s="13" t="n"/>
    </row>
    <row r="124" ht="30" customHeight="1" s="41">
      <c r="A124" s="12" t="n"/>
      <c r="B124" s="12" t="n"/>
      <c r="C124" s="12" t="n"/>
      <c r="D124" s="12" t="n"/>
      <c r="E124" s="128">
        <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f>
        <v/>
      </c>
      <c r="F124" s="12" t="n"/>
      <c r="G124" s="134" t="n"/>
      <c r="H124" s="134" t="n"/>
      <c r="I124" s="12" t="n"/>
      <c r="J124" s="12" t="n"/>
      <c r="K124" s="130">
        <f>IF(A124="","",IF(J124="AUTO",H124,IF(J124="MANUAL",AK124,"")))</f>
        <v/>
      </c>
      <c r="L124" s="12" t="n"/>
      <c r="M124" s="12" t="n"/>
      <c r="N124" s="128">
        <f>IF(A124="","",IF(COUNTIFS('Human Operation Desktop'!$A$3:$A$502,A124,'Human Operation Desktop'!$I$3:$I$502,"&lt;&gt;APPLIED",'Human Operation Desktop'!$I$3:$I$502,"&lt;&gt;REJECTED")&gt;0,"YES","NO"))</f>
        <v/>
      </c>
      <c r="O124" s="12"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25" t="n"/>
      <c r="AL124" s="13" t="n"/>
      <c r="AM124" s="13" t="n"/>
      <c r="AN124" s="13" t="n"/>
      <c r="AO124" s="13" t="n"/>
      <c r="AP124" s="13" t="n"/>
      <c r="AQ124" s="13" t="n"/>
      <c r="AR124" s="13" t="n"/>
      <c r="AS124" s="13" t="n"/>
    </row>
    <row r="125" ht="30" customHeight="1" s="41">
      <c r="A125" s="12" t="n"/>
      <c r="B125" s="12" t="n"/>
      <c r="C125" s="12" t="n"/>
      <c r="D125" s="12" t="n"/>
      <c r="E125" s="128">
        <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f>
        <v/>
      </c>
      <c r="F125" s="12" t="n"/>
      <c r="G125" s="134" t="n"/>
      <c r="H125" s="134" t="n"/>
      <c r="I125" s="12" t="n"/>
      <c r="J125" s="12" t="n"/>
      <c r="K125" s="130">
        <f>IF(A125="","",IF(J125="AUTO",H125,IF(J125="MANUAL",AK125,"")))</f>
        <v/>
      </c>
      <c r="L125" s="12" t="n"/>
      <c r="M125" s="12" t="n"/>
      <c r="N125" s="128">
        <f>IF(A125="","",IF(COUNTIFS('Human Operation Desktop'!$A$3:$A$502,A125,'Human Operation Desktop'!$I$3:$I$502,"&lt;&gt;APPLIED",'Human Operation Desktop'!$I$3:$I$502,"&lt;&gt;REJECTED")&gt;0,"YES","NO"))</f>
        <v/>
      </c>
      <c r="O125" s="12"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25" t="n"/>
      <c r="AL125" s="13" t="n"/>
      <c r="AM125" s="13" t="n"/>
      <c r="AN125" s="13" t="n"/>
      <c r="AO125" s="13" t="n"/>
      <c r="AP125" s="13" t="n"/>
      <c r="AQ125" s="13" t="n"/>
      <c r="AR125" s="13" t="n"/>
      <c r="AS125" s="13" t="n"/>
    </row>
    <row r="126" ht="30" customHeight="1" s="41">
      <c r="A126" s="12" t="n"/>
      <c r="B126" s="12" t="n"/>
      <c r="C126" s="12" t="n"/>
      <c r="D126" s="12" t="n"/>
      <c r="E126" s="128">
        <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f>
        <v/>
      </c>
      <c r="F126" s="12" t="n"/>
      <c r="G126" s="134" t="n"/>
      <c r="H126" s="134" t="n"/>
      <c r="I126" s="12" t="n"/>
      <c r="J126" s="12" t="n"/>
      <c r="K126" s="130">
        <f>IF(A126="","",IF(J126="AUTO",H126,IF(J126="MANUAL",AK126,"")))</f>
        <v/>
      </c>
      <c r="L126" s="12" t="n"/>
      <c r="M126" s="12" t="n"/>
      <c r="N126" s="128">
        <f>IF(A126="","",IF(COUNTIFS('Human Operation Desktop'!$A$3:$A$502,A126,'Human Operation Desktop'!$I$3:$I$502,"&lt;&gt;APPLIED",'Human Operation Desktop'!$I$3:$I$502,"&lt;&gt;REJECTED")&gt;0,"YES","NO"))</f>
        <v/>
      </c>
      <c r="O126" s="12"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25" t="n"/>
      <c r="AL126" s="13" t="n"/>
      <c r="AM126" s="13" t="n"/>
      <c r="AN126" s="13" t="n"/>
      <c r="AO126" s="13" t="n"/>
      <c r="AP126" s="13" t="n"/>
      <c r="AQ126" s="13" t="n"/>
      <c r="AR126" s="13" t="n"/>
      <c r="AS126" s="13" t="n"/>
    </row>
    <row r="127" ht="30" customHeight="1" s="41">
      <c r="A127" s="12" t="n"/>
      <c r="B127" s="12" t="n"/>
      <c r="C127" s="12" t="n"/>
      <c r="D127" s="12" t="n"/>
      <c r="E127" s="128">
        <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f>
        <v/>
      </c>
      <c r="F127" s="12" t="n"/>
      <c r="G127" s="134" t="n"/>
      <c r="H127" s="134" t="n"/>
      <c r="I127" s="12" t="n"/>
      <c r="J127" s="12" t="n"/>
      <c r="K127" s="130">
        <f>IF(A127="","",IF(J127="AUTO",H127,IF(J127="MANUAL",AK127,"")))</f>
        <v/>
      </c>
      <c r="L127" s="12" t="n"/>
      <c r="M127" s="12" t="n"/>
      <c r="N127" s="128">
        <f>IF(A127="","",IF(COUNTIFS('Human Operation Desktop'!$A$3:$A$502,A127,'Human Operation Desktop'!$I$3:$I$502,"&lt;&gt;APPLIED",'Human Operation Desktop'!$I$3:$I$502,"&lt;&gt;REJECTED")&gt;0,"YES","NO"))</f>
        <v/>
      </c>
      <c r="O127" s="12"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25" t="n"/>
      <c r="AL127" s="13" t="n"/>
      <c r="AM127" s="13" t="n"/>
      <c r="AN127" s="13" t="n"/>
      <c r="AO127" s="13" t="n"/>
      <c r="AP127" s="13" t="n"/>
      <c r="AQ127" s="13" t="n"/>
      <c r="AR127" s="13" t="n"/>
      <c r="AS127" s="13" t="n"/>
    </row>
    <row r="128" ht="30" customHeight="1" s="41">
      <c r="A128" s="12" t="n"/>
      <c r="B128" s="12" t="n"/>
      <c r="C128" s="12" t="n"/>
      <c r="D128" s="12" t="n"/>
      <c r="E128" s="128">
        <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f>
        <v/>
      </c>
      <c r="F128" s="12" t="n"/>
      <c r="G128" s="134" t="n"/>
      <c r="H128" s="134" t="n"/>
      <c r="I128" s="12" t="n"/>
      <c r="J128" s="12" t="n"/>
      <c r="K128" s="130">
        <f>IF(A128="","",IF(J128="AUTO",H128,IF(J128="MANUAL",AK128,"")))</f>
        <v/>
      </c>
      <c r="L128" s="12" t="n"/>
      <c r="M128" s="12" t="n"/>
      <c r="N128" s="128">
        <f>IF(A128="","",IF(COUNTIFS('Human Operation Desktop'!$A$3:$A$502,A128,'Human Operation Desktop'!$I$3:$I$502,"&lt;&gt;APPLIED",'Human Operation Desktop'!$I$3:$I$502,"&lt;&gt;REJECTED")&gt;0,"YES","NO"))</f>
        <v/>
      </c>
      <c r="O128" s="12"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25" t="n"/>
      <c r="AL128" s="13" t="n"/>
      <c r="AM128" s="13" t="n"/>
      <c r="AN128" s="13" t="n"/>
      <c r="AO128" s="13" t="n"/>
      <c r="AP128" s="13" t="n"/>
      <c r="AQ128" s="13" t="n"/>
      <c r="AR128" s="13" t="n"/>
      <c r="AS128" s="13" t="n"/>
    </row>
    <row r="129" ht="30" customHeight="1" s="41">
      <c r="A129" s="12" t="n"/>
      <c r="B129" s="12" t="n"/>
      <c r="C129" s="12" t="n"/>
      <c r="D129" s="12" t="n"/>
      <c r="E129" s="128">
        <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f>
        <v/>
      </c>
      <c r="F129" s="12" t="n"/>
      <c r="G129" s="134" t="n"/>
      <c r="H129" s="134" t="n"/>
      <c r="I129" s="12" t="n"/>
      <c r="J129" s="12" t="n"/>
      <c r="K129" s="130">
        <f>IF(A129="","",IF(J129="AUTO",H129,IF(J129="MANUAL",AK129,"")))</f>
        <v/>
      </c>
      <c r="L129" s="12" t="n"/>
      <c r="M129" s="12" t="n"/>
      <c r="N129" s="128">
        <f>IF(A129="","",IF(COUNTIFS('Human Operation Desktop'!$A$3:$A$502,A129,'Human Operation Desktop'!$I$3:$I$502,"&lt;&gt;APPLIED",'Human Operation Desktop'!$I$3:$I$502,"&lt;&gt;REJECTED")&gt;0,"YES","NO"))</f>
        <v/>
      </c>
      <c r="O129" s="12"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25" t="n"/>
      <c r="AL129" s="13" t="n"/>
      <c r="AM129" s="13" t="n"/>
      <c r="AN129" s="13" t="n"/>
      <c r="AO129" s="13" t="n"/>
      <c r="AP129" s="13" t="n"/>
      <c r="AQ129" s="13" t="n"/>
      <c r="AR129" s="13" t="n"/>
      <c r="AS129" s="13" t="n"/>
    </row>
    <row r="130" ht="30" customHeight="1" s="41">
      <c r="A130" s="12" t="n"/>
      <c r="B130" s="12" t="n"/>
      <c r="C130" s="12" t="n"/>
      <c r="D130" s="12" t="n"/>
      <c r="E130" s="128">
        <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f>
        <v/>
      </c>
      <c r="F130" s="12" t="n"/>
      <c r="G130" s="134" t="n"/>
      <c r="H130" s="134" t="n"/>
      <c r="I130" s="12" t="n"/>
      <c r="J130" s="12" t="n"/>
      <c r="K130" s="130">
        <f>IF(A130="","",IF(J130="AUTO",H130,IF(J130="MANUAL",AK130,"")))</f>
        <v/>
      </c>
      <c r="L130" s="12" t="n"/>
      <c r="M130" s="12" t="n"/>
      <c r="N130" s="128">
        <f>IF(A130="","",IF(COUNTIFS('Human Operation Desktop'!$A$3:$A$502,A130,'Human Operation Desktop'!$I$3:$I$502,"&lt;&gt;APPLIED",'Human Operation Desktop'!$I$3:$I$502,"&lt;&gt;REJECTED")&gt;0,"YES","NO"))</f>
        <v/>
      </c>
      <c r="O130" s="12"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25" t="n"/>
      <c r="AL130" s="13" t="n"/>
      <c r="AM130" s="13" t="n"/>
      <c r="AN130" s="13" t="n"/>
      <c r="AO130" s="13" t="n"/>
      <c r="AP130" s="13" t="n"/>
      <c r="AQ130" s="13" t="n"/>
      <c r="AR130" s="13" t="n"/>
      <c r="AS130" s="13" t="n"/>
    </row>
    <row r="131" ht="30" customHeight="1" s="41">
      <c r="A131" s="12" t="n"/>
      <c r="B131" s="12" t="n"/>
      <c r="C131" s="12" t="n"/>
      <c r="D131" s="12" t="n"/>
      <c r="E131" s="128">
        <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12" t="n"/>
      <c r="G131" s="134" t="n"/>
      <c r="H131" s="134" t="n"/>
      <c r="I131" s="12" t="n"/>
      <c r="J131" s="12" t="n"/>
      <c r="K131" s="130">
        <f>IF(A131="","",IF(J131="AUTO",H131,IF(J131="MANUAL",AK131,"")))</f>
        <v/>
      </c>
      <c r="L131" s="12" t="n"/>
      <c r="M131" s="12" t="n"/>
      <c r="N131" s="128">
        <f>IF(A131="","",IF(COUNTIFS('Human Operation Desktop'!$A$3:$A$502,A131,'Human Operation Desktop'!$I$3:$I$502,"&lt;&gt;APPLIED",'Human Operation Desktop'!$I$3:$I$502,"&lt;&gt;REJECTED")&gt;0,"YES","NO"))</f>
        <v/>
      </c>
      <c r="O131" s="12"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25" t="n"/>
      <c r="AL131" s="13" t="n"/>
      <c r="AM131" s="13" t="n"/>
      <c r="AN131" s="13" t="n"/>
      <c r="AO131" s="13" t="n"/>
      <c r="AP131" s="13" t="n"/>
      <c r="AQ131" s="13" t="n"/>
      <c r="AR131" s="13" t="n"/>
      <c r="AS131" s="13" t="n"/>
    </row>
    <row r="132" ht="30" customHeight="1" s="41">
      <c r="A132" s="12" t="n"/>
      <c r="B132" s="12" t="n"/>
      <c r="C132" s="12" t="n"/>
      <c r="D132" s="12" t="n"/>
      <c r="E132" s="128">
        <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f>
        <v/>
      </c>
      <c r="F132" s="12" t="n"/>
      <c r="G132" s="134" t="n"/>
      <c r="H132" s="134" t="n"/>
      <c r="I132" s="12" t="n"/>
      <c r="J132" s="12" t="n"/>
      <c r="K132" s="130">
        <f>IF(A132="","",IF(J132="AUTO",H132,IF(J132="MANUAL",AK132,"")))</f>
        <v/>
      </c>
      <c r="L132" s="12" t="n"/>
      <c r="M132" s="12" t="n"/>
      <c r="N132" s="128">
        <f>IF(A132="","",IF(COUNTIFS('Human Operation Desktop'!$A$3:$A$502,A132,'Human Operation Desktop'!$I$3:$I$502,"&lt;&gt;APPLIED",'Human Operation Desktop'!$I$3:$I$502,"&lt;&gt;REJECTED")&gt;0,"YES","NO"))</f>
        <v/>
      </c>
      <c r="O132" s="12"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25" t="n"/>
      <c r="AL132" s="13" t="n"/>
      <c r="AM132" s="13" t="n"/>
      <c r="AN132" s="13" t="n"/>
      <c r="AO132" s="13" t="n"/>
      <c r="AP132" s="13" t="n"/>
      <c r="AQ132" s="13" t="n"/>
      <c r="AR132" s="13" t="n"/>
      <c r="AS132" s="13" t="n"/>
    </row>
    <row r="133" ht="30" customHeight="1" s="41">
      <c r="A133" s="12" t="n"/>
      <c r="B133" s="12" t="n"/>
      <c r="C133" s="12" t="n"/>
      <c r="D133" s="12" t="n"/>
      <c r="E133" s="128">
        <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f>
        <v/>
      </c>
      <c r="F133" s="12" t="n"/>
      <c r="G133" s="134" t="n"/>
      <c r="H133" s="134" t="n"/>
      <c r="I133" s="12" t="n"/>
      <c r="J133" s="12" t="n"/>
      <c r="K133" s="130">
        <f>IF(A133="","",IF(J133="AUTO",H133,IF(J133="MANUAL",AK133,"")))</f>
        <v/>
      </c>
      <c r="L133" s="12" t="n"/>
      <c r="M133" s="12" t="n"/>
      <c r="N133" s="128">
        <f>IF(A133="","",IF(COUNTIFS('Human Operation Desktop'!$A$3:$A$502,A133,'Human Operation Desktop'!$I$3:$I$502,"&lt;&gt;APPLIED",'Human Operation Desktop'!$I$3:$I$502,"&lt;&gt;REJECTED")&gt;0,"YES","NO"))</f>
        <v/>
      </c>
      <c r="O133" s="12"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25" t="n"/>
      <c r="AL133" s="13" t="n"/>
      <c r="AM133" s="13" t="n"/>
      <c r="AN133" s="13" t="n"/>
      <c r="AO133" s="13" t="n"/>
      <c r="AP133" s="13" t="n"/>
      <c r="AQ133" s="13" t="n"/>
      <c r="AR133" s="13" t="n"/>
      <c r="AS133" s="13" t="n"/>
    </row>
    <row r="134" ht="30" customHeight="1" s="41">
      <c r="A134" s="12" t="n"/>
      <c r="B134" s="12" t="n"/>
      <c r="C134" s="12" t="n"/>
      <c r="D134" s="12" t="n"/>
      <c r="E134" s="128">
        <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f>
        <v/>
      </c>
      <c r="F134" s="12" t="n"/>
      <c r="G134" s="134" t="n"/>
      <c r="H134" s="134" t="n"/>
      <c r="I134" s="12" t="n"/>
      <c r="J134" s="12" t="n"/>
      <c r="K134" s="130">
        <f>IF(A134="","",IF(J134="AUTO",H134,IF(J134="MANUAL",AK134,"")))</f>
        <v/>
      </c>
      <c r="L134" s="12" t="n"/>
      <c r="M134" s="12" t="n"/>
      <c r="N134" s="128">
        <f>IF(A134="","",IF(COUNTIFS('Human Operation Desktop'!$A$3:$A$502,A134,'Human Operation Desktop'!$I$3:$I$502,"&lt;&gt;APPLIED",'Human Operation Desktop'!$I$3:$I$502,"&lt;&gt;REJECTED")&gt;0,"YES","NO"))</f>
        <v/>
      </c>
      <c r="O134" s="12"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25" t="n"/>
      <c r="AL134" s="13" t="n"/>
      <c r="AM134" s="13" t="n"/>
      <c r="AN134" s="13" t="n"/>
      <c r="AO134" s="13" t="n"/>
      <c r="AP134" s="13" t="n"/>
      <c r="AQ134" s="13" t="n"/>
      <c r="AR134" s="13" t="n"/>
      <c r="AS134" s="13" t="n"/>
    </row>
    <row r="135" ht="30" customHeight="1" s="41">
      <c r="A135" s="12" t="n"/>
      <c r="B135" s="12" t="n"/>
      <c r="C135" s="12" t="n"/>
      <c r="D135" s="12" t="n"/>
      <c r="E135" s="128">
        <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f>
        <v/>
      </c>
      <c r="F135" s="12" t="n"/>
      <c r="G135" s="134" t="n"/>
      <c r="H135" s="134" t="n"/>
      <c r="I135" s="12" t="n"/>
      <c r="J135" s="12" t="n"/>
      <c r="K135" s="130">
        <f>IF(A135="","",IF(J135="AUTO",H135,IF(J135="MANUAL",AK135,"")))</f>
        <v/>
      </c>
      <c r="L135" s="12" t="n"/>
      <c r="M135" s="12" t="n"/>
      <c r="N135" s="128">
        <f>IF(A135="","",IF(COUNTIFS('Human Operation Desktop'!$A$3:$A$502,A135,'Human Operation Desktop'!$I$3:$I$502,"&lt;&gt;APPLIED",'Human Operation Desktop'!$I$3:$I$502,"&lt;&gt;REJECTED")&gt;0,"YES","NO"))</f>
        <v/>
      </c>
      <c r="O135" s="12"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25" t="n"/>
      <c r="AL135" s="13" t="n"/>
      <c r="AM135" s="13" t="n"/>
      <c r="AN135" s="13" t="n"/>
      <c r="AO135" s="13" t="n"/>
      <c r="AP135" s="13" t="n"/>
      <c r="AQ135" s="13" t="n"/>
      <c r="AR135" s="13" t="n"/>
      <c r="AS135" s="13" t="n"/>
    </row>
    <row r="136" ht="30" customHeight="1" s="41">
      <c r="A136" s="12" t="n"/>
      <c r="B136" s="12" t="n"/>
      <c r="C136" s="12" t="n"/>
      <c r="D136" s="12" t="n"/>
      <c r="E136" s="128">
        <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f>
        <v/>
      </c>
      <c r="F136" s="12" t="n"/>
      <c r="G136" s="134" t="n"/>
      <c r="H136" s="134" t="n"/>
      <c r="I136" s="12" t="n"/>
      <c r="J136" s="12" t="n"/>
      <c r="K136" s="130">
        <f>IF(A136="","",IF(J136="AUTO",H136,IF(J136="MANUAL",AK136,"")))</f>
        <v/>
      </c>
      <c r="L136" s="12" t="n"/>
      <c r="M136" s="12" t="n"/>
      <c r="N136" s="128">
        <f>IF(A136="","",IF(COUNTIFS('Human Operation Desktop'!$A$3:$A$502,A136,'Human Operation Desktop'!$I$3:$I$502,"&lt;&gt;APPLIED",'Human Operation Desktop'!$I$3:$I$502,"&lt;&gt;REJECTED")&gt;0,"YES","NO"))</f>
        <v/>
      </c>
      <c r="O136" s="12"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25" t="n"/>
      <c r="AL136" s="13" t="n"/>
      <c r="AM136" s="13" t="n"/>
      <c r="AN136" s="13" t="n"/>
      <c r="AO136" s="13" t="n"/>
      <c r="AP136" s="13" t="n"/>
      <c r="AQ136" s="13" t="n"/>
      <c r="AR136" s="13" t="n"/>
      <c r="AS136" s="13" t="n"/>
    </row>
    <row r="137" ht="30" customHeight="1" s="41">
      <c r="A137" s="12" t="n"/>
      <c r="B137" s="12" t="n"/>
      <c r="C137" s="12" t="n"/>
      <c r="D137" s="12" t="n"/>
      <c r="E137" s="128">
        <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f>
        <v/>
      </c>
      <c r="F137" s="12" t="n"/>
      <c r="G137" s="134" t="n"/>
      <c r="H137" s="134" t="n"/>
      <c r="I137" s="12" t="n"/>
      <c r="J137" s="12" t="n"/>
      <c r="K137" s="130">
        <f>IF(A137="","",IF(J137="AUTO",H137,IF(J137="MANUAL",AK137,"")))</f>
        <v/>
      </c>
      <c r="L137" s="12" t="n"/>
      <c r="M137" s="12" t="n"/>
      <c r="N137" s="128">
        <f>IF(A137="","",IF(COUNTIFS('Human Operation Desktop'!$A$3:$A$502,A137,'Human Operation Desktop'!$I$3:$I$502,"&lt;&gt;APPLIED",'Human Operation Desktop'!$I$3:$I$502,"&lt;&gt;REJECTED")&gt;0,"YES","NO"))</f>
        <v/>
      </c>
      <c r="O137" s="12"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25" t="n"/>
      <c r="AL137" s="13" t="n"/>
      <c r="AM137" s="13" t="n"/>
      <c r="AN137" s="13" t="n"/>
      <c r="AO137" s="13" t="n"/>
      <c r="AP137" s="13" t="n"/>
      <c r="AQ137" s="13" t="n"/>
      <c r="AR137" s="13" t="n"/>
      <c r="AS137" s="13" t="n"/>
    </row>
    <row r="138" ht="30" customHeight="1" s="41">
      <c r="A138" s="12" t="n"/>
      <c r="B138" s="12" t="n"/>
      <c r="C138" s="12" t="n"/>
      <c r="D138" s="12" t="n"/>
      <c r="E138" s="128">
        <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f>
        <v/>
      </c>
      <c r="F138" s="12" t="n"/>
      <c r="G138" s="134" t="n"/>
      <c r="H138" s="134" t="n"/>
      <c r="I138" s="12" t="n"/>
      <c r="J138" s="12" t="n"/>
      <c r="K138" s="130">
        <f>IF(A138="","",IF(J138="AUTO",H138,IF(J138="MANUAL",AK138,"")))</f>
        <v/>
      </c>
      <c r="L138" s="12" t="n"/>
      <c r="M138" s="12" t="n"/>
      <c r="N138" s="128">
        <f>IF(A138="","",IF(COUNTIFS('Human Operation Desktop'!$A$3:$A$502,A138,'Human Operation Desktop'!$I$3:$I$502,"&lt;&gt;APPLIED",'Human Operation Desktop'!$I$3:$I$502,"&lt;&gt;REJECTED")&gt;0,"YES","NO"))</f>
        <v/>
      </c>
      <c r="O138" s="12"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25" t="n"/>
      <c r="AL138" s="13" t="n"/>
      <c r="AM138" s="13" t="n"/>
      <c r="AN138" s="13" t="n"/>
      <c r="AO138" s="13" t="n"/>
      <c r="AP138" s="13" t="n"/>
      <c r="AQ138" s="13" t="n"/>
      <c r="AR138" s="13" t="n"/>
      <c r="AS138" s="13" t="n"/>
    </row>
    <row r="139" ht="30" customHeight="1" s="41">
      <c r="A139" s="12" t="n"/>
      <c r="B139" s="12" t="n"/>
      <c r="C139" s="12" t="n"/>
      <c r="D139" s="12" t="n"/>
      <c r="E139" s="128">
        <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f>
        <v/>
      </c>
      <c r="F139" s="12" t="n"/>
      <c r="G139" s="134" t="n"/>
      <c r="H139" s="134" t="n"/>
      <c r="I139" s="12" t="n"/>
      <c r="J139" s="12" t="n"/>
      <c r="K139" s="130">
        <f>IF(A139="","",IF(J139="AUTO",H139,IF(J139="MANUAL",AK139,"")))</f>
        <v/>
      </c>
      <c r="L139" s="12" t="n"/>
      <c r="M139" s="12" t="n"/>
      <c r="N139" s="128">
        <f>IF(A139="","",IF(COUNTIFS('Human Operation Desktop'!$A$3:$A$502,A139,'Human Operation Desktop'!$I$3:$I$502,"&lt;&gt;APPLIED",'Human Operation Desktop'!$I$3:$I$502,"&lt;&gt;REJECTED")&gt;0,"YES","NO"))</f>
        <v/>
      </c>
      <c r="O139" s="12"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25" t="n"/>
      <c r="AL139" s="13" t="n"/>
      <c r="AM139" s="13" t="n"/>
      <c r="AN139" s="13" t="n"/>
      <c r="AO139" s="13" t="n"/>
      <c r="AP139" s="13" t="n"/>
      <c r="AQ139" s="13" t="n"/>
      <c r="AR139" s="13" t="n"/>
      <c r="AS139" s="13" t="n"/>
    </row>
    <row r="140" ht="30" customHeight="1" s="41">
      <c r="A140" s="12" t="n"/>
      <c r="B140" s="12" t="n"/>
      <c r="C140" s="12" t="n"/>
      <c r="D140" s="12" t="n"/>
      <c r="E140" s="128">
        <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f>
        <v/>
      </c>
      <c r="F140" s="12" t="n"/>
      <c r="G140" s="134" t="n"/>
      <c r="H140" s="134" t="n"/>
      <c r="I140" s="12" t="n"/>
      <c r="J140" s="12" t="n"/>
      <c r="K140" s="130">
        <f>IF(A140="","",IF(J140="AUTO",H140,IF(J140="MANUAL",AK140,"")))</f>
        <v/>
      </c>
      <c r="L140" s="12" t="n"/>
      <c r="M140" s="12" t="n"/>
      <c r="N140" s="128">
        <f>IF(A140="","",IF(COUNTIFS('Human Operation Desktop'!$A$3:$A$502,A140,'Human Operation Desktop'!$I$3:$I$502,"&lt;&gt;APPLIED",'Human Operation Desktop'!$I$3:$I$502,"&lt;&gt;REJECTED")&gt;0,"YES","NO"))</f>
        <v/>
      </c>
      <c r="O140" s="12"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25" t="n"/>
      <c r="AL140" s="13" t="n"/>
      <c r="AM140" s="13" t="n"/>
      <c r="AN140" s="13" t="n"/>
      <c r="AO140" s="13" t="n"/>
      <c r="AP140" s="13" t="n"/>
      <c r="AQ140" s="13" t="n"/>
      <c r="AR140" s="13" t="n"/>
      <c r="AS140" s="13" t="n"/>
    </row>
    <row r="141" ht="30" customHeight="1" s="41">
      <c r="A141" s="12" t="n"/>
      <c r="B141" s="12" t="n"/>
      <c r="C141" s="12" t="n"/>
      <c r="D141" s="12" t="n"/>
      <c r="E141" s="128">
        <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f>
        <v/>
      </c>
      <c r="F141" s="12" t="n"/>
      <c r="G141" s="134" t="n"/>
      <c r="H141" s="134" t="n"/>
      <c r="I141" s="12" t="n"/>
      <c r="J141" s="12" t="n"/>
      <c r="K141" s="130">
        <f>IF(A141="","",IF(J141="AUTO",H141,IF(J141="MANUAL",AK141,"")))</f>
        <v/>
      </c>
      <c r="L141" s="12" t="n"/>
      <c r="M141" s="12" t="n"/>
      <c r="N141" s="128">
        <f>IF(A141="","",IF(COUNTIFS('Human Operation Desktop'!$A$3:$A$502,A141,'Human Operation Desktop'!$I$3:$I$502,"&lt;&gt;APPLIED",'Human Operation Desktop'!$I$3:$I$502,"&lt;&gt;REJECTED")&gt;0,"YES","NO"))</f>
        <v/>
      </c>
      <c r="O141" s="12"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25" t="n"/>
      <c r="AL141" s="13" t="n"/>
      <c r="AM141" s="13" t="n"/>
      <c r="AN141" s="13" t="n"/>
      <c r="AO141" s="13" t="n"/>
      <c r="AP141" s="13" t="n"/>
      <c r="AQ141" s="13" t="n"/>
      <c r="AR141" s="13" t="n"/>
      <c r="AS141" s="13" t="n"/>
    </row>
    <row r="142" ht="30" customHeight="1" s="41">
      <c r="A142" s="12" t="n"/>
      <c r="B142" s="12" t="n"/>
      <c r="C142" s="12" t="n"/>
      <c r="D142" s="12" t="n"/>
      <c r="E142" s="128">
        <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f>
        <v/>
      </c>
      <c r="F142" s="12" t="n"/>
      <c r="G142" s="134" t="n"/>
      <c r="H142" s="134" t="n"/>
      <c r="I142" s="12" t="n"/>
      <c r="J142" s="12" t="n"/>
      <c r="K142" s="130">
        <f>IF(A142="","",IF(J142="AUTO",H142,IF(J142="MANUAL",AK142,"")))</f>
        <v/>
      </c>
      <c r="L142" s="12" t="n"/>
      <c r="M142" s="12" t="n"/>
      <c r="N142" s="128">
        <f>IF(A142="","",IF(COUNTIFS('Human Operation Desktop'!$A$3:$A$502,A142,'Human Operation Desktop'!$I$3:$I$502,"&lt;&gt;APPLIED",'Human Operation Desktop'!$I$3:$I$502,"&lt;&gt;REJECTED")&gt;0,"YES","NO"))</f>
        <v/>
      </c>
      <c r="O142" s="12"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25" t="n"/>
      <c r="AL142" s="13" t="n"/>
      <c r="AM142" s="13" t="n"/>
      <c r="AN142" s="13" t="n"/>
      <c r="AO142" s="13" t="n"/>
      <c r="AP142" s="13" t="n"/>
      <c r="AQ142" s="13" t="n"/>
      <c r="AR142" s="13" t="n"/>
      <c r="AS142" s="13" t="n"/>
    </row>
    <row r="143" ht="30" customHeight="1" s="41">
      <c r="A143" s="12" t="n"/>
      <c r="B143" s="12" t="n"/>
      <c r="C143" s="12" t="n"/>
      <c r="D143" s="12" t="n"/>
      <c r="E143" s="128">
        <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f>
        <v/>
      </c>
      <c r="F143" s="12" t="n"/>
      <c r="G143" s="134" t="n"/>
      <c r="H143" s="134" t="n"/>
      <c r="I143" s="12" t="n"/>
      <c r="J143" s="12" t="n"/>
      <c r="K143" s="130">
        <f>IF(A143="","",IF(J143="AUTO",H143,IF(J143="MANUAL",AK143,"")))</f>
        <v/>
      </c>
      <c r="L143" s="12" t="n"/>
      <c r="M143" s="12" t="n"/>
      <c r="N143" s="128">
        <f>IF(A143="","",IF(COUNTIFS('Human Operation Desktop'!$A$3:$A$502,A143,'Human Operation Desktop'!$I$3:$I$502,"&lt;&gt;APPLIED",'Human Operation Desktop'!$I$3:$I$502,"&lt;&gt;REJECTED")&gt;0,"YES","NO"))</f>
        <v/>
      </c>
      <c r="O143" s="12"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25" t="n"/>
      <c r="AL143" s="13" t="n"/>
      <c r="AM143" s="13" t="n"/>
      <c r="AN143" s="13" t="n"/>
      <c r="AO143" s="13" t="n"/>
      <c r="AP143" s="13" t="n"/>
      <c r="AQ143" s="13" t="n"/>
      <c r="AR143" s="13" t="n"/>
      <c r="AS143" s="13" t="n"/>
    </row>
    <row r="144" ht="30" customHeight="1" s="41">
      <c r="A144" s="12" t="n"/>
      <c r="B144" s="12" t="n"/>
      <c r="C144" s="12" t="n"/>
      <c r="D144" s="12" t="n"/>
      <c r="E144" s="128">
        <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f>
        <v/>
      </c>
      <c r="F144" s="12" t="n"/>
      <c r="G144" s="134" t="n"/>
      <c r="H144" s="134" t="n"/>
      <c r="I144" s="12" t="n"/>
      <c r="J144" s="12" t="n"/>
      <c r="K144" s="130">
        <f>IF(A144="","",IF(J144="AUTO",H144,IF(J144="MANUAL",AK144,"")))</f>
        <v/>
      </c>
      <c r="L144" s="12" t="n"/>
      <c r="M144" s="12" t="n"/>
      <c r="N144" s="128">
        <f>IF(A144="","",IF(COUNTIFS('Human Operation Desktop'!$A$3:$A$502,A144,'Human Operation Desktop'!$I$3:$I$502,"&lt;&gt;APPLIED",'Human Operation Desktop'!$I$3:$I$502,"&lt;&gt;REJECTED")&gt;0,"YES","NO"))</f>
        <v/>
      </c>
      <c r="O144" s="12"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25" t="n"/>
      <c r="AL144" s="13" t="n"/>
      <c r="AM144" s="13" t="n"/>
      <c r="AN144" s="13" t="n"/>
      <c r="AO144" s="13" t="n"/>
      <c r="AP144" s="13" t="n"/>
      <c r="AQ144" s="13" t="n"/>
      <c r="AR144" s="13" t="n"/>
      <c r="AS144" s="13" t="n"/>
    </row>
    <row r="145" ht="30" customHeight="1" s="41">
      <c r="A145" s="12" t="n"/>
      <c r="B145" s="12" t="n"/>
      <c r="C145" s="12" t="n"/>
      <c r="D145" s="12" t="n"/>
      <c r="E145" s="128">
        <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f>
        <v/>
      </c>
      <c r="F145" s="12" t="n"/>
      <c r="G145" s="134" t="n"/>
      <c r="H145" s="134" t="n"/>
      <c r="I145" s="12" t="n"/>
      <c r="J145" s="12" t="n"/>
      <c r="K145" s="130">
        <f>IF(A145="","",IF(J145="AUTO",H145,IF(J145="MANUAL",AK145,"")))</f>
        <v/>
      </c>
      <c r="L145" s="12" t="n"/>
      <c r="M145" s="12" t="n"/>
      <c r="N145" s="128">
        <f>IF(A145="","",IF(COUNTIFS('Human Operation Desktop'!$A$3:$A$502,A145,'Human Operation Desktop'!$I$3:$I$502,"&lt;&gt;APPLIED",'Human Operation Desktop'!$I$3:$I$502,"&lt;&gt;REJECTED")&gt;0,"YES","NO"))</f>
        <v/>
      </c>
      <c r="O145" s="12"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25" t="n"/>
      <c r="AL145" s="13" t="n"/>
      <c r="AM145" s="13" t="n"/>
      <c r="AN145" s="13" t="n"/>
      <c r="AO145" s="13" t="n"/>
      <c r="AP145" s="13" t="n"/>
      <c r="AQ145" s="13" t="n"/>
      <c r="AR145" s="13" t="n"/>
      <c r="AS145" s="13" t="n"/>
    </row>
    <row r="146" ht="30" customHeight="1" s="41">
      <c r="A146" s="12" t="n"/>
      <c r="B146" s="12" t="n"/>
      <c r="C146" s="12" t="n"/>
      <c r="D146" s="12" t="n"/>
      <c r="E146" s="128">
        <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f>
        <v/>
      </c>
      <c r="F146" s="12" t="n"/>
      <c r="G146" s="134" t="n"/>
      <c r="H146" s="134" t="n"/>
      <c r="I146" s="12" t="n"/>
      <c r="J146" s="12" t="n"/>
      <c r="K146" s="130">
        <f>IF(A146="","",IF(J146="AUTO",H146,IF(J146="MANUAL",AK146,"")))</f>
        <v/>
      </c>
      <c r="L146" s="12" t="n"/>
      <c r="M146" s="12" t="n"/>
      <c r="N146" s="128">
        <f>IF(A146="","",IF(COUNTIFS('Human Operation Desktop'!$A$3:$A$502,A146,'Human Operation Desktop'!$I$3:$I$502,"&lt;&gt;APPLIED",'Human Operation Desktop'!$I$3:$I$502,"&lt;&gt;REJECTED")&gt;0,"YES","NO"))</f>
        <v/>
      </c>
      <c r="O146" s="12"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25" t="n"/>
      <c r="AL146" s="13" t="n"/>
      <c r="AM146" s="13" t="n"/>
      <c r="AN146" s="13" t="n"/>
      <c r="AO146" s="13" t="n"/>
      <c r="AP146" s="13" t="n"/>
      <c r="AQ146" s="13" t="n"/>
      <c r="AR146" s="13" t="n"/>
      <c r="AS146" s="13" t="n"/>
    </row>
    <row r="147" ht="30" customHeight="1" s="41">
      <c r="A147" s="12" t="n"/>
      <c r="B147" s="12" t="n"/>
      <c r="C147" s="12" t="n"/>
      <c r="D147" s="12" t="n"/>
      <c r="E147" s="128">
        <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f>
        <v/>
      </c>
      <c r="F147" s="12" t="n"/>
      <c r="G147" s="134" t="n"/>
      <c r="H147" s="134" t="n"/>
      <c r="I147" s="12" t="n"/>
      <c r="J147" s="12" t="n"/>
      <c r="K147" s="130">
        <f>IF(A147="","",IF(J147="AUTO",H147,IF(J147="MANUAL",AK147,"")))</f>
        <v/>
      </c>
      <c r="L147" s="12" t="n"/>
      <c r="M147" s="12" t="n"/>
      <c r="N147" s="128">
        <f>IF(A147="","",IF(COUNTIFS('Human Operation Desktop'!$A$3:$A$502,A147,'Human Operation Desktop'!$I$3:$I$502,"&lt;&gt;APPLIED",'Human Operation Desktop'!$I$3:$I$502,"&lt;&gt;REJECTED")&gt;0,"YES","NO"))</f>
        <v/>
      </c>
      <c r="O147" s="12"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25" t="n"/>
      <c r="AL147" s="13" t="n"/>
      <c r="AM147" s="13" t="n"/>
      <c r="AN147" s="13" t="n"/>
      <c r="AO147" s="13" t="n"/>
      <c r="AP147" s="13" t="n"/>
      <c r="AQ147" s="13" t="n"/>
      <c r="AR147" s="13" t="n"/>
      <c r="AS147" s="13" t="n"/>
    </row>
    <row r="148" ht="30" customHeight="1" s="41">
      <c r="A148" s="12" t="n"/>
      <c r="B148" s="12" t="n"/>
      <c r="C148" s="12" t="n"/>
      <c r="D148" s="12" t="n"/>
      <c r="E148" s="128">
        <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f>
        <v/>
      </c>
      <c r="F148" s="12" t="n"/>
      <c r="G148" s="134" t="n"/>
      <c r="H148" s="134" t="n"/>
      <c r="I148" s="12" t="n"/>
      <c r="J148" s="12" t="n"/>
      <c r="K148" s="130">
        <f>IF(A148="","",IF(J148="AUTO",H148,IF(J148="MANUAL",AK148,"")))</f>
        <v/>
      </c>
      <c r="L148" s="12" t="n"/>
      <c r="M148" s="12" t="n"/>
      <c r="N148" s="128">
        <f>IF(A148="","",IF(COUNTIFS('Human Operation Desktop'!$A$3:$A$502,A148,'Human Operation Desktop'!$I$3:$I$502,"&lt;&gt;APPLIED",'Human Operation Desktop'!$I$3:$I$502,"&lt;&gt;REJECTED")&gt;0,"YES","NO"))</f>
        <v/>
      </c>
      <c r="O148" s="12"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25" t="n"/>
      <c r="AL148" s="13" t="n"/>
      <c r="AM148" s="13" t="n"/>
      <c r="AN148" s="13" t="n"/>
      <c r="AO148" s="13" t="n"/>
      <c r="AP148" s="13" t="n"/>
      <c r="AQ148" s="13" t="n"/>
      <c r="AR148" s="13" t="n"/>
      <c r="AS148" s="13" t="n"/>
    </row>
    <row r="149" ht="30" customHeight="1" s="41">
      <c r="A149" s="12" t="n"/>
      <c r="B149" s="12" t="n"/>
      <c r="C149" s="12" t="n"/>
      <c r="D149" s="12" t="n"/>
      <c r="E149" s="128">
        <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f>
        <v/>
      </c>
      <c r="F149" s="12" t="n"/>
      <c r="G149" s="134" t="n"/>
      <c r="H149" s="134" t="n"/>
      <c r="I149" s="12" t="n"/>
      <c r="J149" s="12" t="n"/>
      <c r="K149" s="130">
        <f>IF(A149="","",IF(J149="AUTO",H149,IF(J149="MANUAL",AK149,"")))</f>
        <v/>
      </c>
      <c r="L149" s="12" t="n"/>
      <c r="M149" s="12" t="n"/>
      <c r="N149" s="128">
        <f>IF(A149="","",IF(COUNTIFS('Human Operation Desktop'!$A$3:$A$502,A149,'Human Operation Desktop'!$I$3:$I$502,"&lt;&gt;APPLIED",'Human Operation Desktop'!$I$3:$I$502,"&lt;&gt;REJECTED")&gt;0,"YES","NO"))</f>
        <v/>
      </c>
      <c r="O149" s="12"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25" t="n"/>
      <c r="AL149" s="13" t="n"/>
      <c r="AM149" s="13" t="n"/>
      <c r="AN149" s="13" t="n"/>
      <c r="AO149" s="13" t="n"/>
      <c r="AP149" s="13" t="n"/>
      <c r="AQ149" s="13" t="n"/>
      <c r="AR149" s="13" t="n"/>
      <c r="AS149" s="13" t="n"/>
    </row>
    <row r="150" ht="30" customHeight="1" s="41">
      <c r="A150" s="12" t="n"/>
      <c r="B150" s="12" t="n"/>
      <c r="C150" s="12" t="n"/>
      <c r="D150" s="12" t="n"/>
      <c r="E150" s="128">
        <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f>
        <v/>
      </c>
      <c r="F150" s="12" t="n"/>
      <c r="G150" s="134" t="n"/>
      <c r="H150" s="134" t="n"/>
      <c r="I150" s="12" t="n"/>
      <c r="J150" s="12" t="n"/>
      <c r="K150" s="130">
        <f>IF(A150="","",IF(J150="AUTO",H150,IF(J150="MANUAL",AK150,"")))</f>
        <v/>
      </c>
      <c r="L150" s="12" t="n"/>
      <c r="M150" s="12" t="n"/>
      <c r="N150" s="128">
        <f>IF(A150="","",IF(COUNTIFS('Human Operation Desktop'!$A$3:$A$502,A150,'Human Operation Desktop'!$I$3:$I$502,"&lt;&gt;APPLIED",'Human Operation Desktop'!$I$3:$I$502,"&lt;&gt;REJECTED")&gt;0,"YES","NO"))</f>
        <v/>
      </c>
      <c r="O150" s="12"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25" t="n"/>
      <c r="AL150" s="13" t="n"/>
      <c r="AM150" s="13" t="n"/>
      <c r="AN150" s="13" t="n"/>
      <c r="AO150" s="13" t="n"/>
      <c r="AP150" s="13" t="n"/>
      <c r="AQ150" s="13" t="n"/>
      <c r="AR150" s="13" t="n"/>
      <c r="AS150" s="13" t="n"/>
    </row>
    <row r="151" ht="30" customHeight="1" s="41">
      <c r="A151" s="12" t="n"/>
      <c r="B151" s="12" t="n"/>
      <c r="C151" s="12" t="n"/>
      <c r="D151" s="12" t="n"/>
      <c r="E151" s="128">
        <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f>
        <v/>
      </c>
      <c r="F151" s="12" t="n"/>
      <c r="G151" s="134" t="n"/>
      <c r="H151" s="134" t="n"/>
      <c r="I151" s="12" t="n"/>
      <c r="J151" s="12" t="n"/>
      <c r="K151" s="130">
        <f>IF(A151="","",IF(J151="AUTO",H151,IF(J151="MANUAL",AK151,"")))</f>
        <v/>
      </c>
      <c r="L151" s="12" t="n"/>
      <c r="M151" s="12" t="n"/>
      <c r="N151" s="128">
        <f>IF(A151="","",IF(COUNTIFS('Human Operation Desktop'!$A$3:$A$502,A151,'Human Operation Desktop'!$I$3:$I$502,"&lt;&gt;APPLIED",'Human Operation Desktop'!$I$3:$I$502,"&lt;&gt;REJECTED")&gt;0,"YES","NO"))</f>
        <v/>
      </c>
      <c r="O151" s="12"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25" t="n"/>
      <c r="AL151" s="13" t="n"/>
      <c r="AM151" s="13" t="n"/>
      <c r="AN151" s="13" t="n"/>
      <c r="AO151" s="13" t="n"/>
      <c r="AP151" s="13" t="n"/>
      <c r="AQ151" s="13" t="n"/>
      <c r="AR151" s="13" t="n"/>
      <c r="AS151" s="13" t="n"/>
    </row>
    <row r="152" ht="30" customHeight="1" s="41">
      <c r="A152" s="12" t="n"/>
      <c r="B152" s="12" t="n"/>
      <c r="C152" s="12" t="n"/>
      <c r="D152" s="12" t="n"/>
      <c r="E152" s="128">
        <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f>
        <v/>
      </c>
      <c r="F152" s="12" t="n"/>
      <c r="G152" s="134" t="n"/>
      <c r="H152" s="134" t="n"/>
      <c r="I152" s="12" t="n"/>
      <c r="J152" s="12" t="n"/>
      <c r="K152" s="130">
        <f>IF(A152="","",IF(J152="AUTO",H152,IF(J152="MANUAL",AK152,"")))</f>
        <v/>
      </c>
      <c r="L152" s="12" t="n"/>
      <c r="M152" s="12" t="n"/>
      <c r="N152" s="128">
        <f>IF(A152="","",IF(COUNTIFS('Human Operation Desktop'!$A$3:$A$502,A152,'Human Operation Desktop'!$I$3:$I$502,"&lt;&gt;APPLIED",'Human Operation Desktop'!$I$3:$I$502,"&lt;&gt;REJECTED")&gt;0,"YES","NO"))</f>
        <v/>
      </c>
      <c r="O152" s="12"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25" t="n"/>
      <c r="AL152" s="13" t="n"/>
      <c r="AM152" s="13" t="n"/>
      <c r="AN152" s="13" t="n"/>
      <c r="AO152" s="13" t="n"/>
      <c r="AP152" s="13" t="n"/>
      <c r="AQ152" s="13" t="n"/>
      <c r="AR152" s="13" t="n"/>
      <c r="AS152" s="13" t="n"/>
    </row>
    <row r="153" ht="30" customHeight="1" s="41">
      <c r="A153" s="12" t="n"/>
      <c r="B153" s="12" t="n"/>
      <c r="C153" s="12" t="n"/>
      <c r="D153" s="12" t="n"/>
      <c r="E153" s="128">
        <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f>
        <v/>
      </c>
      <c r="F153" s="12" t="n"/>
      <c r="G153" s="134" t="n"/>
      <c r="H153" s="134" t="n"/>
      <c r="I153" s="12" t="n"/>
      <c r="J153" s="12" t="n"/>
      <c r="K153" s="130">
        <f>IF(A153="","",IF(J153="AUTO",H153,IF(J153="MANUAL",AK153,"")))</f>
        <v/>
      </c>
      <c r="L153" s="12" t="n"/>
      <c r="M153" s="12" t="n"/>
      <c r="N153" s="128">
        <f>IF(A153="","",IF(COUNTIFS('Human Operation Desktop'!$A$3:$A$502,A153,'Human Operation Desktop'!$I$3:$I$502,"&lt;&gt;APPLIED",'Human Operation Desktop'!$I$3:$I$502,"&lt;&gt;REJECTED")&gt;0,"YES","NO"))</f>
        <v/>
      </c>
      <c r="O153" s="12"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25" t="n"/>
      <c r="AL153" s="13" t="n"/>
      <c r="AM153" s="13" t="n"/>
      <c r="AN153" s="13" t="n"/>
      <c r="AO153" s="13" t="n"/>
      <c r="AP153" s="13" t="n"/>
      <c r="AQ153" s="13" t="n"/>
      <c r="AR153" s="13" t="n"/>
      <c r="AS153" s="13" t="n"/>
    </row>
    <row r="154" ht="30" customHeight="1" s="41">
      <c r="A154" s="12" t="n"/>
      <c r="B154" s="12" t="n"/>
      <c r="C154" s="12" t="n"/>
      <c r="D154" s="12" t="n"/>
      <c r="E154" s="128">
        <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f>
        <v/>
      </c>
      <c r="F154" s="12" t="n"/>
      <c r="G154" s="134" t="n"/>
      <c r="H154" s="134" t="n"/>
      <c r="I154" s="12" t="n"/>
      <c r="J154" s="12" t="n"/>
      <c r="K154" s="130">
        <f>IF(A154="","",IF(J154="AUTO",H154,IF(J154="MANUAL",AK154,"")))</f>
        <v/>
      </c>
      <c r="L154" s="12" t="n"/>
      <c r="M154" s="12" t="n"/>
      <c r="N154" s="128">
        <f>IF(A154="","",IF(COUNTIFS('Human Operation Desktop'!$A$3:$A$502,A154,'Human Operation Desktop'!$I$3:$I$502,"&lt;&gt;APPLIED",'Human Operation Desktop'!$I$3:$I$502,"&lt;&gt;REJECTED")&gt;0,"YES","NO"))</f>
        <v/>
      </c>
      <c r="O154" s="12"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25" t="n"/>
      <c r="AL154" s="13" t="n"/>
      <c r="AM154" s="13" t="n"/>
      <c r="AN154" s="13" t="n"/>
      <c r="AO154" s="13" t="n"/>
      <c r="AP154" s="13" t="n"/>
      <c r="AQ154" s="13" t="n"/>
      <c r="AR154" s="13" t="n"/>
      <c r="AS154" s="13" t="n"/>
    </row>
    <row r="155" ht="30" customHeight="1" s="41">
      <c r="A155" s="12" t="n"/>
      <c r="B155" s="12" t="n"/>
      <c r="C155" s="12" t="n"/>
      <c r="D155" s="12" t="n"/>
      <c r="E155" s="128">
        <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f>
        <v/>
      </c>
      <c r="F155" s="12" t="n"/>
      <c r="G155" s="134" t="n"/>
      <c r="H155" s="134" t="n"/>
      <c r="I155" s="12" t="n"/>
      <c r="J155" s="12" t="n"/>
      <c r="K155" s="130">
        <f>IF(A155="","",IF(J155="AUTO",H155,IF(J155="MANUAL",AK155,"")))</f>
        <v/>
      </c>
      <c r="L155" s="12" t="n"/>
      <c r="M155" s="12" t="n"/>
      <c r="N155" s="128">
        <f>IF(A155="","",IF(COUNTIFS('Human Operation Desktop'!$A$3:$A$502,A155,'Human Operation Desktop'!$I$3:$I$502,"&lt;&gt;APPLIED",'Human Operation Desktop'!$I$3:$I$502,"&lt;&gt;REJECTED")&gt;0,"YES","NO"))</f>
        <v/>
      </c>
      <c r="O155" s="12"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25" t="n"/>
      <c r="AL155" s="13" t="n"/>
      <c r="AM155" s="13" t="n"/>
      <c r="AN155" s="13" t="n"/>
      <c r="AO155" s="13" t="n"/>
      <c r="AP155" s="13" t="n"/>
      <c r="AQ155" s="13" t="n"/>
      <c r="AR155" s="13" t="n"/>
      <c r="AS155" s="13" t="n"/>
    </row>
    <row r="156" ht="30" customHeight="1" s="41">
      <c r="A156" s="12" t="n"/>
      <c r="B156" s="12" t="n"/>
      <c r="C156" s="12" t="n"/>
      <c r="D156" s="12" t="n"/>
      <c r="E156" s="128">
        <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f>
        <v/>
      </c>
      <c r="F156" s="12" t="n"/>
      <c r="G156" s="134" t="n"/>
      <c r="H156" s="134" t="n"/>
      <c r="I156" s="12" t="n"/>
      <c r="J156" s="12" t="n"/>
      <c r="K156" s="130">
        <f>IF(A156="","",IF(J156="AUTO",H156,IF(J156="MANUAL",AK156,"")))</f>
        <v/>
      </c>
      <c r="L156" s="12" t="n"/>
      <c r="M156" s="12" t="n"/>
      <c r="N156" s="128">
        <f>IF(A156="","",IF(COUNTIFS('Human Operation Desktop'!$A$3:$A$502,A156,'Human Operation Desktop'!$I$3:$I$502,"&lt;&gt;APPLIED",'Human Operation Desktop'!$I$3:$I$502,"&lt;&gt;REJECTED")&gt;0,"YES","NO"))</f>
        <v/>
      </c>
      <c r="O156" s="12"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25" t="n"/>
      <c r="AL156" s="13" t="n"/>
      <c r="AM156" s="13" t="n"/>
      <c r="AN156" s="13" t="n"/>
      <c r="AO156" s="13" t="n"/>
      <c r="AP156" s="13" t="n"/>
      <c r="AQ156" s="13" t="n"/>
      <c r="AR156" s="13" t="n"/>
      <c r="AS156" s="13" t="n"/>
    </row>
    <row r="157" ht="30" customHeight="1" s="41">
      <c r="A157" s="12" t="n"/>
      <c r="B157" s="12" t="n"/>
      <c r="C157" s="12" t="n"/>
      <c r="D157" s="12" t="n"/>
      <c r="E157" s="128">
        <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f>
        <v/>
      </c>
      <c r="F157" s="12" t="n"/>
      <c r="G157" s="134" t="n"/>
      <c r="H157" s="134" t="n"/>
      <c r="I157" s="12" t="n"/>
      <c r="J157" s="12" t="n"/>
      <c r="K157" s="130">
        <f>IF(A157="","",IF(J157="AUTO",H157,IF(J157="MANUAL",AK157,"")))</f>
        <v/>
      </c>
      <c r="L157" s="12" t="n"/>
      <c r="M157" s="12" t="n"/>
      <c r="N157" s="128">
        <f>IF(A157="","",IF(COUNTIFS('Human Operation Desktop'!$A$3:$A$502,A157,'Human Operation Desktop'!$I$3:$I$502,"&lt;&gt;APPLIED",'Human Operation Desktop'!$I$3:$I$502,"&lt;&gt;REJECTED")&gt;0,"YES","NO"))</f>
        <v/>
      </c>
      <c r="O157" s="12"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25" t="n"/>
      <c r="AL157" s="13" t="n"/>
      <c r="AM157" s="13" t="n"/>
      <c r="AN157" s="13" t="n"/>
      <c r="AO157" s="13" t="n"/>
      <c r="AP157" s="13" t="n"/>
      <c r="AQ157" s="13" t="n"/>
      <c r="AR157" s="13" t="n"/>
      <c r="AS157" s="13" t="n"/>
    </row>
    <row r="158" ht="30" customHeight="1" s="41">
      <c r="A158" s="12" t="n"/>
      <c r="B158" s="12" t="n"/>
      <c r="C158" s="12" t="n"/>
      <c r="D158" s="12" t="n"/>
      <c r="E158" s="128">
        <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f>
        <v/>
      </c>
      <c r="F158" s="12" t="n"/>
      <c r="G158" s="134" t="n"/>
      <c r="H158" s="134" t="n"/>
      <c r="I158" s="12" t="n"/>
      <c r="J158" s="12" t="n"/>
      <c r="K158" s="130">
        <f>IF(A158="","",IF(J158="AUTO",H158,IF(J158="MANUAL",AK158,"")))</f>
        <v/>
      </c>
      <c r="L158" s="12" t="n"/>
      <c r="M158" s="12" t="n"/>
      <c r="N158" s="128">
        <f>IF(A158="","",IF(COUNTIFS('Human Operation Desktop'!$A$3:$A$502,A158,'Human Operation Desktop'!$I$3:$I$502,"&lt;&gt;APPLIED",'Human Operation Desktop'!$I$3:$I$502,"&lt;&gt;REJECTED")&gt;0,"YES","NO"))</f>
        <v/>
      </c>
      <c r="O158" s="12"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25" t="n"/>
      <c r="AL158" s="13" t="n"/>
      <c r="AM158" s="13" t="n"/>
      <c r="AN158" s="13" t="n"/>
      <c r="AO158" s="13" t="n"/>
      <c r="AP158" s="13" t="n"/>
      <c r="AQ158" s="13" t="n"/>
      <c r="AR158" s="13" t="n"/>
      <c r="AS158" s="13" t="n"/>
    </row>
    <row r="159" ht="30" customHeight="1" s="41">
      <c r="A159" s="12" t="n"/>
      <c r="B159" s="12" t="n"/>
      <c r="C159" s="12" t="n"/>
      <c r="D159" s="12" t="n"/>
      <c r="E159" s="128">
        <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f>
        <v/>
      </c>
      <c r="F159" s="12" t="n"/>
      <c r="G159" s="134" t="n"/>
      <c r="H159" s="134" t="n"/>
      <c r="I159" s="12" t="n"/>
      <c r="J159" s="12" t="n"/>
      <c r="K159" s="130">
        <f>IF(A159="","",IF(J159="AUTO",H159,IF(J159="MANUAL",AK159,"")))</f>
        <v/>
      </c>
      <c r="L159" s="12" t="n"/>
      <c r="M159" s="12" t="n"/>
      <c r="N159" s="128">
        <f>IF(A159="","",IF(COUNTIFS('Human Operation Desktop'!$A$3:$A$502,A159,'Human Operation Desktop'!$I$3:$I$502,"&lt;&gt;APPLIED",'Human Operation Desktop'!$I$3:$I$502,"&lt;&gt;REJECTED")&gt;0,"YES","NO"))</f>
        <v/>
      </c>
      <c r="O159" s="12"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25" t="n"/>
      <c r="AL159" s="13" t="n"/>
      <c r="AM159" s="13" t="n"/>
      <c r="AN159" s="13" t="n"/>
      <c r="AO159" s="13" t="n"/>
      <c r="AP159" s="13" t="n"/>
      <c r="AQ159" s="13" t="n"/>
      <c r="AR159" s="13" t="n"/>
      <c r="AS159" s="13" t="n"/>
    </row>
    <row r="160" ht="30" customHeight="1" s="41">
      <c r="A160" s="12" t="n"/>
      <c r="B160" s="12" t="n"/>
      <c r="C160" s="12" t="n"/>
      <c r="D160" s="12" t="n"/>
      <c r="E160" s="128">
        <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f>
        <v/>
      </c>
      <c r="F160" s="12" t="n"/>
      <c r="G160" s="134" t="n"/>
      <c r="H160" s="134" t="n"/>
      <c r="I160" s="12" t="n"/>
      <c r="J160" s="12" t="n"/>
      <c r="K160" s="130">
        <f>IF(A160="","",IF(J160="AUTO",H160,IF(J160="MANUAL",AK160,"")))</f>
        <v/>
      </c>
      <c r="L160" s="12" t="n"/>
      <c r="M160" s="12" t="n"/>
      <c r="N160" s="128">
        <f>IF(A160="","",IF(COUNTIFS('Human Operation Desktop'!$A$3:$A$502,A160,'Human Operation Desktop'!$I$3:$I$502,"&lt;&gt;APPLIED",'Human Operation Desktop'!$I$3:$I$502,"&lt;&gt;REJECTED")&gt;0,"YES","NO"))</f>
        <v/>
      </c>
      <c r="O160" s="12"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25" t="n"/>
      <c r="AL160" s="13" t="n"/>
      <c r="AM160" s="13" t="n"/>
      <c r="AN160" s="13" t="n"/>
      <c r="AO160" s="13" t="n"/>
      <c r="AP160" s="13" t="n"/>
      <c r="AQ160" s="13" t="n"/>
      <c r="AR160" s="13" t="n"/>
      <c r="AS160" s="13" t="n"/>
    </row>
    <row r="161" ht="30" customHeight="1" s="41">
      <c r="A161" s="12" t="n"/>
      <c r="B161" s="12" t="n"/>
      <c r="C161" s="12" t="n"/>
      <c r="D161" s="12" t="n"/>
      <c r="E161" s="128">
        <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f>
        <v/>
      </c>
      <c r="F161" s="12" t="n"/>
      <c r="G161" s="134" t="n"/>
      <c r="H161" s="134" t="n"/>
      <c r="I161" s="12" t="n"/>
      <c r="J161" s="12" t="n"/>
      <c r="K161" s="130">
        <f>IF(A161="","",IF(J161="AUTO",H161,IF(J161="MANUAL",AK161,"")))</f>
        <v/>
      </c>
      <c r="L161" s="12" t="n"/>
      <c r="M161" s="12" t="n"/>
      <c r="N161" s="128">
        <f>IF(A161="","",IF(COUNTIFS('Human Operation Desktop'!$A$3:$A$502,A161,'Human Operation Desktop'!$I$3:$I$502,"&lt;&gt;APPLIED",'Human Operation Desktop'!$I$3:$I$502,"&lt;&gt;REJECTED")&gt;0,"YES","NO"))</f>
        <v/>
      </c>
      <c r="O161" s="12"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25" t="n"/>
      <c r="AL161" s="13" t="n"/>
      <c r="AM161" s="13" t="n"/>
      <c r="AN161" s="13" t="n"/>
      <c r="AO161" s="13" t="n"/>
      <c r="AP161" s="13" t="n"/>
      <c r="AQ161" s="13" t="n"/>
      <c r="AR161" s="13" t="n"/>
      <c r="AS161" s="13" t="n"/>
    </row>
    <row r="162" ht="30" customHeight="1" s="41">
      <c r="A162" s="12" t="n"/>
      <c r="B162" s="12" t="n"/>
      <c r="C162" s="12" t="n"/>
      <c r="D162" s="12" t="n"/>
      <c r="E162" s="128">
        <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f>
        <v/>
      </c>
      <c r="F162" s="12" t="n"/>
      <c r="G162" s="134" t="n"/>
      <c r="H162" s="134" t="n"/>
      <c r="I162" s="12" t="n"/>
      <c r="J162" s="12" t="n"/>
      <c r="K162" s="130">
        <f>IF(A162="","",IF(J162="AUTO",H162,IF(J162="MANUAL",AK162,"")))</f>
        <v/>
      </c>
      <c r="L162" s="12" t="n"/>
      <c r="M162" s="12" t="n"/>
      <c r="N162" s="128">
        <f>IF(A162="","",IF(COUNTIFS('Human Operation Desktop'!$A$3:$A$502,A162,'Human Operation Desktop'!$I$3:$I$502,"&lt;&gt;APPLIED",'Human Operation Desktop'!$I$3:$I$502,"&lt;&gt;REJECTED")&gt;0,"YES","NO"))</f>
        <v/>
      </c>
      <c r="O162" s="12"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25" t="n"/>
      <c r="AL162" s="13" t="n"/>
      <c r="AM162" s="13" t="n"/>
      <c r="AN162" s="13" t="n"/>
      <c r="AO162" s="13" t="n"/>
      <c r="AP162" s="13" t="n"/>
      <c r="AQ162" s="13" t="n"/>
      <c r="AR162" s="13" t="n"/>
      <c r="AS162" s="13" t="n"/>
    </row>
    <row r="163" ht="30" customHeight="1" s="41">
      <c r="A163" s="12" t="n"/>
      <c r="B163" s="12" t="n"/>
      <c r="C163" s="12" t="n"/>
      <c r="D163" s="12" t="n"/>
      <c r="E163" s="128">
        <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f>
        <v/>
      </c>
      <c r="F163" s="12" t="n"/>
      <c r="G163" s="134" t="n"/>
      <c r="H163" s="134" t="n"/>
      <c r="I163" s="12" t="n"/>
      <c r="J163" s="12" t="n"/>
      <c r="K163" s="130">
        <f>IF(A163="","",IF(J163="AUTO",H163,IF(J163="MANUAL",AK163,"")))</f>
        <v/>
      </c>
      <c r="L163" s="12" t="n"/>
      <c r="M163" s="12" t="n"/>
      <c r="N163" s="128">
        <f>IF(A163="","",IF(COUNTIFS('Human Operation Desktop'!$A$3:$A$502,A163,'Human Operation Desktop'!$I$3:$I$502,"&lt;&gt;APPLIED",'Human Operation Desktop'!$I$3:$I$502,"&lt;&gt;REJECTED")&gt;0,"YES","NO"))</f>
        <v/>
      </c>
      <c r="O163" s="12"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25" t="n"/>
      <c r="AL163" s="13" t="n"/>
      <c r="AM163" s="13" t="n"/>
      <c r="AN163" s="13" t="n"/>
      <c r="AO163" s="13" t="n"/>
      <c r="AP163" s="13" t="n"/>
      <c r="AQ163" s="13" t="n"/>
      <c r="AR163" s="13" t="n"/>
      <c r="AS163" s="13" t="n"/>
    </row>
    <row r="164" ht="30" customHeight="1" s="41">
      <c r="A164" s="12" t="n"/>
      <c r="B164" s="12" t="n"/>
      <c r="C164" s="12" t="n"/>
      <c r="D164" s="12" t="n"/>
      <c r="E164" s="128">
        <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f>
        <v/>
      </c>
      <c r="F164" s="12" t="n"/>
      <c r="G164" s="134" t="n"/>
      <c r="H164" s="134" t="n"/>
      <c r="I164" s="12" t="n"/>
      <c r="J164" s="12" t="n"/>
      <c r="K164" s="130">
        <f>IF(A164="","",IF(J164="AUTO",H164,IF(J164="MANUAL",AK164,"")))</f>
        <v/>
      </c>
      <c r="L164" s="12" t="n"/>
      <c r="M164" s="12" t="n"/>
      <c r="N164" s="128">
        <f>IF(A164="","",IF(COUNTIFS('Human Operation Desktop'!$A$3:$A$502,A164,'Human Operation Desktop'!$I$3:$I$502,"&lt;&gt;APPLIED",'Human Operation Desktop'!$I$3:$I$502,"&lt;&gt;REJECTED")&gt;0,"YES","NO"))</f>
        <v/>
      </c>
      <c r="O164" s="12"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25" t="n"/>
      <c r="AL164" s="13" t="n"/>
      <c r="AM164" s="13" t="n"/>
      <c r="AN164" s="13" t="n"/>
      <c r="AO164" s="13" t="n"/>
      <c r="AP164" s="13" t="n"/>
      <c r="AQ164" s="13" t="n"/>
      <c r="AR164" s="13" t="n"/>
      <c r="AS164" s="13" t="n"/>
    </row>
    <row r="165" ht="30" customHeight="1" s="41">
      <c r="A165" s="12" t="n"/>
      <c r="B165" s="12" t="n"/>
      <c r="C165" s="12" t="n"/>
      <c r="D165" s="12" t="n"/>
      <c r="E165" s="128">
        <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f>
        <v/>
      </c>
      <c r="F165" s="12" t="n"/>
      <c r="G165" s="134" t="n"/>
      <c r="H165" s="134" t="n"/>
      <c r="I165" s="12" t="n"/>
      <c r="J165" s="12" t="n"/>
      <c r="K165" s="130">
        <f>IF(A165="","",IF(J165="AUTO",H165,IF(J165="MANUAL",AK165,"")))</f>
        <v/>
      </c>
      <c r="L165" s="12" t="n"/>
      <c r="M165" s="12" t="n"/>
      <c r="N165" s="128">
        <f>IF(A165="","",IF(COUNTIFS('Human Operation Desktop'!$A$3:$A$502,A165,'Human Operation Desktop'!$I$3:$I$502,"&lt;&gt;APPLIED",'Human Operation Desktop'!$I$3:$I$502,"&lt;&gt;REJECTED")&gt;0,"YES","NO"))</f>
        <v/>
      </c>
      <c r="O165" s="12"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25" t="n"/>
      <c r="AL165" s="13" t="n"/>
      <c r="AM165" s="13" t="n"/>
      <c r="AN165" s="13" t="n"/>
      <c r="AO165" s="13" t="n"/>
      <c r="AP165" s="13" t="n"/>
      <c r="AQ165" s="13" t="n"/>
      <c r="AR165" s="13" t="n"/>
      <c r="AS165" s="13" t="n"/>
    </row>
    <row r="166" ht="30" customHeight="1" s="41">
      <c r="A166" s="12" t="n"/>
      <c r="B166" s="12" t="n"/>
      <c r="C166" s="12" t="n"/>
      <c r="D166" s="12" t="n"/>
      <c r="E166" s="128">
        <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f>
        <v/>
      </c>
      <c r="F166" s="12" t="n"/>
      <c r="G166" s="134" t="n"/>
      <c r="H166" s="134" t="n"/>
      <c r="I166" s="12" t="n"/>
      <c r="J166" s="12" t="n"/>
      <c r="K166" s="130">
        <f>IF(A166="","",IF(J166="AUTO",H166,IF(J166="MANUAL",AK166,"")))</f>
        <v/>
      </c>
      <c r="L166" s="12" t="n"/>
      <c r="M166" s="12" t="n"/>
      <c r="N166" s="128">
        <f>IF(A166="","",IF(COUNTIFS('Human Operation Desktop'!$A$3:$A$502,A166,'Human Operation Desktop'!$I$3:$I$502,"&lt;&gt;APPLIED",'Human Operation Desktop'!$I$3:$I$502,"&lt;&gt;REJECTED")&gt;0,"YES","NO"))</f>
        <v/>
      </c>
      <c r="O166" s="12"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25" t="n"/>
      <c r="AL166" s="13" t="n"/>
      <c r="AM166" s="13" t="n"/>
      <c r="AN166" s="13" t="n"/>
      <c r="AO166" s="13" t="n"/>
      <c r="AP166" s="13" t="n"/>
      <c r="AQ166" s="13" t="n"/>
      <c r="AR166" s="13" t="n"/>
      <c r="AS166" s="13" t="n"/>
    </row>
    <row r="167" ht="30" customHeight="1" s="41">
      <c r="A167" s="12" t="n"/>
      <c r="B167" s="12" t="n"/>
      <c r="C167" s="12" t="n"/>
      <c r="D167" s="12" t="n"/>
      <c r="E167" s="128">
        <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f>
        <v/>
      </c>
      <c r="F167" s="12" t="n"/>
      <c r="G167" s="134" t="n"/>
      <c r="H167" s="134" t="n"/>
      <c r="I167" s="12" t="n"/>
      <c r="J167" s="12" t="n"/>
      <c r="K167" s="130">
        <f>IF(A167="","",IF(J167="AUTO",H167,IF(J167="MANUAL",AK167,"")))</f>
        <v/>
      </c>
      <c r="L167" s="12" t="n"/>
      <c r="M167" s="12" t="n"/>
      <c r="N167" s="128">
        <f>IF(A167="","",IF(COUNTIFS('Human Operation Desktop'!$A$3:$A$502,A167,'Human Operation Desktop'!$I$3:$I$502,"&lt;&gt;APPLIED",'Human Operation Desktop'!$I$3:$I$502,"&lt;&gt;REJECTED")&gt;0,"YES","NO"))</f>
        <v/>
      </c>
      <c r="O167" s="12"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25" t="n"/>
      <c r="AL167" s="13" t="n"/>
      <c r="AM167" s="13" t="n"/>
      <c r="AN167" s="13" t="n"/>
      <c r="AO167" s="13" t="n"/>
      <c r="AP167" s="13" t="n"/>
      <c r="AQ167" s="13" t="n"/>
      <c r="AR167" s="13" t="n"/>
      <c r="AS167" s="13" t="n"/>
    </row>
    <row r="168" ht="30" customHeight="1" s="41">
      <c r="A168" s="12" t="n"/>
      <c r="B168" s="12" t="n"/>
      <c r="C168" s="12" t="n"/>
      <c r="D168" s="12" t="n"/>
      <c r="E168" s="128">
        <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f>
        <v/>
      </c>
      <c r="F168" s="12" t="n"/>
      <c r="G168" s="134" t="n"/>
      <c r="H168" s="134" t="n"/>
      <c r="I168" s="12" t="n"/>
      <c r="J168" s="12" t="n"/>
      <c r="K168" s="130">
        <f>IF(A168="","",IF(J168="AUTO",H168,IF(J168="MANUAL",AK168,"")))</f>
        <v/>
      </c>
      <c r="L168" s="12" t="n"/>
      <c r="M168" s="12" t="n"/>
      <c r="N168" s="128">
        <f>IF(A168="","",IF(COUNTIFS('Human Operation Desktop'!$A$3:$A$502,A168,'Human Operation Desktop'!$I$3:$I$502,"&lt;&gt;APPLIED",'Human Operation Desktop'!$I$3:$I$502,"&lt;&gt;REJECTED")&gt;0,"YES","NO"))</f>
        <v/>
      </c>
      <c r="O168" s="12"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25" t="n"/>
      <c r="AL168" s="13" t="n"/>
      <c r="AM168" s="13" t="n"/>
      <c r="AN168" s="13" t="n"/>
      <c r="AO168" s="13" t="n"/>
      <c r="AP168" s="13" t="n"/>
      <c r="AQ168" s="13" t="n"/>
      <c r="AR168" s="13" t="n"/>
      <c r="AS168" s="13" t="n"/>
    </row>
    <row r="169" ht="30" customHeight="1" s="41">
      <c r="A169" s="12" t="n"/>
      <c r="B169" s="12" t="n"/>
      <c r="C169" s="12" t="n"/>
      <c r="D169" s="12" t="n"/>
      <c r="E169" s="128">
        <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f>
        <v/>
      </c>
      <c r="F169" s="12" t="n"/>
      <c r="G169" s="134" t="n"/>
      <c r="H169" s="134" t="n"/>
      <c r="I169" s="12" t="n"/>
      <c r="J169" s="12" t="n"/>
      <c r="K169" s="130">
        <f>IF(A169="","",IF(J169="AUTO",H169,IF(J169="MANUAL",AK169,"")))</f>
        <v/>
      </c>
      <c r="L169" s="12" t="n"/>
      <c r="M169" s="12" t="n"/>
      <c r="N169" s="128">
        <f>IF(A169="","",IF(COUNTIFS('Human Operation Desktop'!$A$3:$A$502,A169,'Human Operation Desktop'!$I$3:$I$502,"&lt;&gt;APPLIED",'Human Operation Desktop'!$I$3:$I$502,"&lt;&gt;REJECTED")&gt;0,"YES","NO"))</f>
        <v/>
      </c>
      <c r="O169" s="12"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25" t="n"/>
      <c r="AL169" s="13" t="n"/>
      <c r="AM169" s="13" t="n"/>
      <c r="AN169" s="13" t="n"/>
      <c r="AO169" s="13" t="n"/>
      <c r="AP169" s="13" t="n"/>
      <c r="AQ169" s="13" t="n"/>
      <c r="AR169" s="13" t="n"/>
      <c r="AS169" s="13" t="n"/>
    </row>
    <row r="170" ht="30" customHeight="1" s="41">
      <c r="A170" s="12" t="n"/>
      <c r="B170" s="12" t="n"/>
      <c r="C170" s="12" t="n"/>
      <c r="D170" s="12" t="n"/>
      <c r="E170" s="128">
        <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f>
        <v/>
      </c>
      <c r="F170" s="12" t="n"/>
      <c r="G170" s="134" t="n"/>
      <c r="H170" s="134" t="n"/>
      <c r="I170" s="12" t="n"/>
      <c r="J170" s="12" t="n"/>
      <c r="K170" s="130">
        <f>IF(A170="","",IF(J170="AUTO",H170,IF(J170="MANUAL",AK170,"")))</f>
        <v/>
      </c>
      <c r="L170" s="12" t="n"/>
      <c r="M170" s="12" t="n"/>
      <c r="N170" s="128">
        <f>IF(A170="","",IF(COUNTIFS('Human Operation Desktop'!$A$3:$A$502,A170,'Human Operation Desktop'!$I$3:$I$502,"&lt;&gt;APPLIED",'Human Operation Desktop'!$I$3:$I$502,"&lt;&gt;REJECTED")&gt;0,"YES","NO"))</f>
        <v/>
      </c>
      <c r="O170" s="12"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25" t="n"/>
      <c r="AL170" s="13" t="n"/>
      <c r="AM170" s="13" t="n"/>
      <c r="AN170" s="13" t="n"/>
      <c r="AO170" s="13" t="n"/>
      <c r="AP170" s="13" t="n"/>
      <c r="AQ170" s="13" t="n"/>
      <c r="AR170" s="13" t="n"/>
      <c r="AS170" s="13" t="n"/>
    </row>
    <row r="171" ht="30" customHeight="1" s="41">
      <c r="A171" s="12" t="n"/>
      <c r="B171" s="12" t="n"/>
      <c r="C171" s="12" t="n"/>
      <c r="D171" s="12" t="n"/>
      <c r="E171" s="128">
        <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f>
        <v/>
      </c>
      <c r="F171" s="12" t="n"/>
      <c r="G171" s="134" t="n"/>
      <c r="H171" s="134" t="n"/>
      <c r="I171" s="12" t="n"/>
      <c r="J171" s="12" t="n"/>
      <c r="K171" s="130">
        <f>IF(A171="","",IF(J171="AUTO",H171,IF(J171="MANUAL",AK171,"")))</f>
        <v/>
      </c>
      <c r="L171" s="12" t="n"/>
      <c r="M171" s="12" t="n"/>
      <c r="N171" s="128">
        <f>IF(A171="","",IF(COUNTIFS('Human Operation Desktop'!$A$3:$A$502,A171,'Human Operation Desktop'!$I$3:$I$502,"&lt;&gt;APPLIED",'Human Operation Desktop'!$I$3:$I$502,"&lt;&gt;REJECTED")&gt;0,"YES","NO"))</f>
        <v/>
      </c>
      <c r="O171" s="12"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25" t="n"/>
      <c r="AL171" s="13" t="n"/>
      <c r="AM171" s="13" t="n"/>
      <c r="AN171" s="13" t="n"/>
      <c r="AO171" s="13" t="n"/>
      <c r="AP171" s="13" t="n"/>
      <c r="AQ171" s="13" t="n"/>
      <c r="AR171" s="13" t="n"/>
      <c r="AS171" s="13" t="n"/>
    </row>
    <row r="172" ht="30" customHeight="1" s="41">
      <c r="A172" s="12" t="n"/>
      <c r="B172" s="12" t="n"/>
      <c r="C172" s="12" t="n"/>
      <c r="D172" s="12" t="n"/>
      <c r="E172" s="128">
        <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f>
        <v/>
      </c>
      <c r="F172" s="12" t="n"/>
      <c r="G172" s="134" t="n"/>
      <c r="H172" s="134" t="n"/>
      <c r="I172" s="12" t="n"/>
      <c r="J172" s="12" t="n"/>
      <c r="K172" s="130">
        <f>IF(A172="","",IF(J172="AUTO",H172,IF(J172="MANUAL",AK172,"")))</f>
        <v/>
      </c>
      <c r="L172" s="12" t="n"/>
      <c r="M172" s="12" t="n"/>
      <c r="N172" s="128">
        <f>IF(A172="","",IF(COUNTIFS('Human Operation Desktop'!$A$3:$A$502,A172,'Human Operation Desktop'!$I$3:$I$502,"&lt;&gt;APPLIED",'Human Operation Desktop'!$I$3:$I$502,"&lt;&gt;REJECTED")&gt;0,"YES","NO"))</f>
        <v/>
      </c>
      <c r="O172" s="12"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25" t="n"/>
      <c r="AL172" s="13" t="n"/>
      <c r="AM172" s="13" t="n"/>
      <c r="AN172" s="13" t="n"/>
      <c r="AO172" s="13" t="n"/>
      <c r="AP172" s="13" t="n"/>
      <c r="AQ172" s="13" t="n"/>
      <c r="AR172" s="13" t="n"/>
      <c r="AS172" s="13" t="n"/>
    </row>
    <row r="173" ht="30" customHeight="1" s="41">
      <c r="A173" s="12" t="n"/>
      <c r="B173" s="12" t="n"/>
      <c r="C173" s="12" t="n"/>
      <c r="D173" s="12" t="n"/>
      <c r="E173" s="128">
        <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f>
        <v/>
      </c>
      <c r="F173" s="12" t="n"/>
      <c r="G173" s="134" t="n"/>
      <c r="H173" s="134" t="n"/>
      <c r="I173" s="12" t="n"/>
      <c r="J173" s="12" t="n"/>
      <c r="K173" s="130">
        <f>IF(A173="","",IF(J173="AUTO",H173,IF(J173="MANUAL",AK173,"")))</f>
        <v/>
      </c>
      <c r="L173" s="12" t="n"/>
      <c r="M173" s="12" t="n"/>
      <c r="N173" s="128">
        <f>IF(A173="","",IF(COUNTIFS('Human Operation Desktop'!$A$3:$A$502,A173,'Human Operation Desktop'!$I$3:$I$502,"&lt;&gt;APPLIED",'Human Operation Desktop'!$I$3:$I$502,"&lt;&gt;REJECTED")&gt;0,"YES","NO"))</f>
        <v/>
      </c>
      <c r="O173" s="12"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25" t="n"/>
      <c r="AL173" s="13" t="n"/>
      <c r="AM173" s="13" t="n"/>
      <c r="AN173" s="13" t="n"/>
      <c r="AO173" s="13" t="n"/>
      <c r="AP173" s="13" t="n"/>
      <c r="AQ173" s="13" t="n"/>
      <c r="AR173" s="13" t="n"/>
      <c r="AS173" s="13" t="n"/>
    </row>
    <row r="174" ht="30" customHeight="1" s="41">
      <c r="A174" s="12" t="n"/>
      <c r="B174" s="12" t="n"/>
      <c r="C174" s="12" t="n"/>
      <c r="D174" s="12" t="n"/>
      <c r="E174" s="128">
        <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f>
        <v/>
      </c>
      <c r="F174" s="12" t="n"/>
      <c r="G174" s="134" t="n"/>
      <c r="H174" s="134" t="n"/>
      <c r="I174" s="12" t="n"/>
      <c r="J174" s="12" t="n"/>
      <c r="K174" s="130">
        <f>IF(A174="","",IF(J174="AUTO",H174,IF(J174="MANUAL",AK174,"")))</f>
        <v/>
      </c>
      <c r="L174" s="12" t="n"/>
      <c r="M174" s="12" t="n"/>
      <c r="N174" s="128">
        <f>IF(A174="","",IF(COUNTIFS('Human Operation Desktop'!$A$3:$A$502,A174,'Human Operation Desktop'!$I$3:$I$502,"&lt;&gt;APPLIED",'Human Operation Desktop'!$I$3:$I$502,"&lt;&gt;REJECTED")&gt;0,"YES","NO"))</f>
        <v/>
      </c>
      <c r="O174" s="12"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25" t="n"/>
      <c r="AL174" s="13" t="n"/>
      <c r="AM174" s="13" t="n"/>
      <c r="AN174" s="13" t="n"/>
      <c r="AO174" s="13" t="n"/>
      <c r="AP174" s="13" t="n"/>
      <c r="AQ174" s="13" t="n"/>
      <c r="AR174" s="13" t="n"/>
      <c r="AS174" s="13" t="n"/>
    </row>
    <row r="175" ht="30" customHeight="1" s="41">
      <c r="A175" s="12" t="n"/>
      <c r="B175" s="12" t="n"/>
      <c r="C175" s="12" t="n"/>
      <c r="D175" s="12" t="n"/>
      <c r="E175" s="128">
        <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f>
        <v/>
      </c>
      <c r="F175" s="12" t="n"/>
      <c r="G175" s="134" t="n"/>
      <c r="H175" s="134" t="n"/>
      <c r="I175" s="12" t="n"/>
      <c r="J175" s="12" t="n"/>
      <c r="K175" s="130">
        <f>IF(A175="","",IF(J175="AUTO",H175,IF(J175="MANUAL",AK175,"")))</f>
        <v/>
      </c>
      <c r="L175" s="12" t="n"/>
      <c r="M175" s="12" t="n"/>
      <c r="N175" s="128">
        <f>IF(A175="","",IF(COUNTIFS('Human Operation Desktop'!$A$3:$A$502,A175,'Human Operation Desktop'!$I$3:$I$502,"&lt;&gt;APPLIED",'Human Operation Desktop'!$I$3:$I$502,"&lt;&gt;REJECTED")&gt;0,"YES","NO"))</f>
        <v/>
      </c>
      <c r="O175" s="12"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25" t="n"/>
      <c r="AL175" s="13" t="n"/>
      <c r="AM175" s="13" t="n"/>
      <c r="AN175" s="13" t="n"/>
      <c r="AO175" s="13" t="n"/>
      <c r="AP175" s="13" t="n"/>
      <c r="AQ175" s="13" t="n"/>
      <c r="AR175" s="13" t="n"/>
      <c r="AS175" s="13" t="n"/>
    </row>
    <row r="176" ht="30" customHeight="1" s="41">
      <c r="A176" s="12" t="n"/>
      <c r="B176" s="12" t="n"/>
      <c r="C176" s="12" t="n"/>
      <c r="D176" s="12" t="n"/>
      <c r="E176" s="128">
        <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f>
        <v/>
      </c>
      <c r="F176" s="12" t="n"/>
      <c r="G176" s="134" t="n"/>
      <c r="H176" s="134" t="n"/>
      <c r="I176" s="12" t="n"/>
      <c r="J176" s="12" t="n"/>
      <c r="K176" s="130">
        <f>IF(A176="","",IF(J176="AUTO",H176,IF(J176="MANUAL",AK176,"")))</f>
        <v/>
      </c>
      <c r="L176" s="12" t="n"/>
      <c r="M176" s="12" t="n"/>
      <c r="N176" s="128">
        <f>IF(A176="","",IF(COUNTIFS('Human Operation Desktop'!$A$3:$A$502,A176,'Human Operation Desktop'!$I$3:$I$502,"&lt;&gt;APPLIED",'Human Operation Desktop'!$I$3:$I$502,"&lt;&gt;REJECTED")&gt;0,"YES","NO"))</f>
        <v/>
      </c>
      <c r="O176" s="12"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25" t="n"/>
      <c r="AL176" s="13" t="n"/>
      <c r="AM176" s="13" t="n"/>
      <c r="AN176" s="13" t="n"/>
      <c r="AO176" s="13" t="n"/>
      <c r="AP176" s="13" t="n"/>
      <c r="AQ176" s="13" t="n"/>
      <c r="AR176" s="13" t="n"/>
      <c r="AS176" s="13" t="n"/>
    </row>
    <row r="177" ht="30" customHeight="1" s="41">
      <c r="A177" s="12" t="n"/>
      <c r="B177" s="12" t="n"/>
      <c r="C177" s="12" t="n"/>
      <c r="D177" s="12" t="n"/>
      <c r="E177" s="128">
        <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f>
        <v/>
      </c>
      <c r="F177" s="12" t="n"/>
      <c r="G177" s="134" t="n"/>
      <c r="H177" s="134" t="n"/>
      <c r="I177" s="12" t="n"/>
      <c r="J177" s="12" t="n"/>
      <c r="K177" s="130">
        <f>IF(A177="","",IF(J177="AUTO",H177,IF(J177="MANUAL",AK177,"")))</f>
        <v/>
      </c>
      <c r="L177" s="12" t="n"/>
      <c r="M177" s="12" t="n"/>
      <c r="N177" s="128">
        <f>IF(A177="","",IF(COUNTIFS('Human Operation Desktop'!$A$3:$A$502,A177,'Human Operation Desktop'!$I$3:$I$502,"&lt;&gt;APPLIED",'Human Operation Desktop'!$I$3:$I$502,"&lt;&gt;REJECTED")&gt;0,"YES","NO"))</f>
        <v/>
      </c>
      <c r="O177" s="12"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25" t="n"/>
      <c r="AL177" s="13" t="n"/>
      <c r="AM177" s="13" t="n"/>
      <c r="AN177" s="13" t="n"/>
      <c r="AO177" s="13" t="n"/>
      <c r="AP177" s="13" t="n"/>
      <c r="AQ177" s="13" t="n"/>
      <c r="AR177" s="13" t="n"/>
      <c r="AS177" s="13" t="n"/>
    </row>
    <row r="178" ht="30" customHeight="1" s="41">
      <c r="A178" s="12" t="n"/>
      <c r="B178" s="12" t="n"/>
      <c r="C178" s="12" t="n"/>
      <c r="D178" s="12" t="n"/>
      <c r="E178" s="128">
        <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f>
        <v/>
      </c>
      <c r="F178" s="12" t="n"/>
      <c r="G178" s="134" t="n"/>
      <c r="H178" s="134" t="n"/>
      <c r="I178" s="12" t="n"/>
      <c r="J178" s="12" t="n"/>
      <c r="K178" s="130">
        <f>IF(A178="","",IF(J178="AUTO",H178,IF(J178="MANUAL",AK178,"")))</f>
        <v/>
      </c>
      <c r="L178" s="12" t="n"/>
      <c r="M178" s="12" t="n"/>
      <c r="N178" s="128">
        <f>IF(A178="","",IF(COUNTIFS('Human Operation Desktop'!$A$3:$A$502,A178,'Human Operation Desktop'!$I$3:$I$502,"&lt;&gt;APPLIED",'Human Operation Desktop'!$I$3:$I$502,"&lt;&gt;REJECTED")&gt;0,"YES","NO"))</f>
        <v/>
      </c>
      <c r="O178" s="12"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25" t="n"/>
      <c r="AL178" s="13" t="n"/>
      <c r="AM178" s="13" t="n"/>
      <c r="AN178" s="13" t="n"/>
      <c r="AO178" s="13" t="n"/>
      <c r="AP178" s="13" t="n"/>
      <c r="AQ178" s="13" t="n"/>
      <c r="AR178" s="13" t="n"/>
      <c r="AS178" s="13" t="n"/>
    </row>
    <row r="179" ht="30" customHeight="1" s="41">
      <c r="A179" s="12" t="n"/>
      <c r="B179" s="12" t="n"/>
      <c r="C179" s="12" t="n"/>
      <c r="D179" s="12" t="n"/>
      <c r="E179" s="128">
        <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f>
        <v/>
      </c>
      <c r="F179" s="12" t="n"/>
      <c r="G179" s="134" t="n"/>
      <c r="H179" s="134" t="n"/>
      <c r="I179" s="12" t="n"/>
      <c r="J179" s="12" t="n"/>
      <c r="K179" s="130">
        <f>IF(A179="","",IF(J179="AUTO",H179,IF(J179="MANUAL",AK179,"")))</f>
        <v/>
      </c>
      <c r="L179" s="12" t="n"/>
      <c r="M179" s="12" t="n"/>
      <c r="N179" s="128">
        <f>IF(A179="","",IF(COUNTIFS('Human Operation Desktop'!$A$3:$A$502,A179,'Human Operation Desktop'!$I$3:$I$502,"&lt;&gt;APPLIED",'Human Operation Desktop'!$I$3:$I$502,"&lt;&gt;REJECTED")&gt;0,"YES","NO"))</f>
        <v/>
      </c>
      <c r="O179" s="12"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25" t="n"/>
      <c r="AL179" s="13" t="n"/>
      <c r="AM179" s="13" t="n"/>
      <c r="AN179" s="13" t="n"/>
      <c r="AO179" s="13" t="n"/>
      <c r="AP179" s="13" t="n"/>
      <c r="AQ179" s="13" t="n"/>
      <c r="AR179" s="13" t="n"/>
      <c r="AS179" s="13" t="n"/>
    </row>
    <row r="180" ht="30" customHeight="1" s="41">
      <c r="A180" s="12" t="n"/>
      <c r="B180" s="12" t="n"/>
      <c r="C180" s="12" t="n"/>
      <c r="D180" s="12" t="n"/>
      <c r="E180" s="128">
        <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f>
        <v/>
      </c>
      <c r="F180" s="12" t="n"/>
      <c r="G180" s="134" t="n"/>
      <c r="H180" s="134" t="n"/>
      <c r="I180" s="12" t="n"/>
      <c r="J180" s="12" t="n"/>
      <c r="K180" s="130">
        <f>IF(A180="","",IF(J180="AUTO",H180,IF(J180="MANUAL",AK180,"")))</f>
        <v/>
      </c>
      <c r="L180" s="12" t="n"/>
      <c r="M180" s="12" t="n"/>
      <c r="N180" s="128">
        <f>IF(A180="","",IF(COUNTIFS('Human Operation Desktop'!$A$3:$A$502,A180,'Human Operation Desktop'!$I$3:$I$502,"&lt;&gt;APPLIED",'Human Operation Desktop'!$I$3:$I$502,"&lt;&gt;REJECTED")&gt;0,"YES","NO"))</f>
        <v/>
      </c>
      <c r="O180" s="12"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25" t="n"/>
      <c r="AL180" s="13" t="n"/>
      <c r="AM180" s="13" t="n"/>
      <c r="AN180" s="13" t="n"/>
      <c r="AO180" s="13" t="n"/>
      <c r="AP180" s="13" t="n"/>
      <c r="AQ180" s="13" t="n"/>
      <c r="AR180" s="13" t="n"/>
      <c r="AS180" s="13" t="n"/>
    </row>
    <row r="181" ht="30" customHeight="1" s="41">
      <c r="A181" s="12" t="n"/>
      <c r="B181" s="12" t="n"/>
      <c r="C181" s="12" t="n"/>
      <c r="D181" s="12" t="n"/>
      <c r="E181" s="128">
        <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f>
        <v/>
      </c>
      <c r="F181" s="12" t="n"/>
      <c r="G181" s="134" t="n"/>
      <c r="H181" s="134" t="n"/>
      <c r="I181" s="12" t="n"/>
      <c r="J181" s="12" t="n"/>
      <c r="K181" s="130">
        <f>IF(A181="","",IF(J181="AUTO",H181,IF(J181="MANUAL",AK181,"")))</f>
        <v/>
      </c>
      <c r="L181" s="12" t="n"/>
      <c r="M181" s="12" t="n"/>
      <c r="N181" s="128">
        <f>IF(A181="","",IF(COUNTIFS('Human Operation Desktop'!$A$3:$A$502,A181,'Human Operation Desktop'!$I$3:$I$502,"&lt;&gt;APPLIED",'Human Operation Desktop'!$I$3:$I$502,"&lt;&gt;REJECTED")&gt;0,"YES","NO"))</f>
        <v/>
      </c>
      <c r="O181" s="12"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25" t="n"/>
      <c r="AL181" s="13" t="n"/>
      <c r="AM181" s="13" t="n"/>
      <c r="AN181" s="13" t="n"/>
      <c r="AO181" s="13" t="n"/>
      <c r="AP181" s="13" t="n"/>
      <c r="AQ181" s="13" t="n"/>
      <c r="AR181" s="13" t="n"/>
      <c r="AS181" s="13" t="n"/>
    </row>
    <row r="182" ht="30" customHeight="1" s="41">
      <c r="A182" s="12" t="n"/>
      <c r="B182" s="12" t="n"/>
      <c r="C182" s="12" t="n"/>
      <c r="D182" s="12" t="n"/>
      <c r="E182" s="128">
        <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f>
        <v/>
      </c>
      <c r="F182" s="12" t="n"/>
      <c r="G182" s="134" t="n"/>
      <c r="H182" s="134" t="n"/>
      <c r="I182" s="12" t="n"/>
      <c r="J182" s="12" t="n"/>
      <c r="K182" s="130">
        <f>IF(A182="","",IF(J182="AUTO",H182,IF(J182="MANUAL",AK182,"")))</f>
        <v/>
      </c>
      <c r="L182" s="12" t="n"/>
      <c r="M182" s="12" t="n"/>
      <c r="N182" s="128">
        <f>IF(A182="","",IF(COUNTIFS('Human Operation Desktop'!$A$3:$A$502,A182,'Human Operation Desktop'!$I$3:$I$502,"&lt;&gt;APPLIED",'Human Operation Desktop'!$I$3:$I$502,"&lt;&gt;REJECTED")&gt;0,"YES","NO"))</f>
        <v/>
      </c>
      <c r="O182" s="12"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25" t="n"/>
      <c r="AL182" s="13" t="n"/>
      <c r="AM182" s="13" t="n"/>
      <c r="AN182" s="13" t="n"/>
      <c r="AO182" s="13" t="n"/>
      <c r="AP182" s="13" t="n"/>
      <c r="AQ182" s="13" t="n"/>
      <c r="AR182" s="13" t="n"/>
      <c r="AS182" s="13" t="n"/>
    </row>
    <row r="183" ht="30" customHeight="1" s="41">
      <c r="A183" s="12" t="n"/>
      <c r="B183" s="12" t="n"/>
      <c r="C183" s="12" t="n"/>
      <c r="D183" s="12" t="n"/>
      <c r="E183" s="128">
        <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f>
        <v/>
      </c>
      <c r="F183" s="12" t="n"/>
      <c r="G183" s="134" t="n"/>
      <c r="H183" s="134" t="n"/>
      <c r="I183" s="12" t="n"/>
      <c r="J183" s="12" t="n"/>
      <c r="K183" s="130">
        <f>IF(A183="","",IF(J183="AUTO",H183,IF(J183="MANUAL",AK183,"")))</f>
        <v/>
      </c>
      <c r="L183" s="12" t="n"/>
      <c r="M183" s="12" t="n"/>
      <c r="N183" s="128">
        <f>IF(A183="","",IF(COUNTIFS('Human Operation Desktop'!$A$3:$A$502,A183,'Human Operation Desktop'!$I$3:$I$502,"&lt;&gt;APPLIED",'Human Operation Desktop'!$I$3:$I$502,"&lt;&gt;REJECTED")&gt;0,"YES","NO"))</f>
        <v/>
      </c>
      <c r="O183" s="12"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25" t="n"/>
      <c r="AL183" s="13" t="n"/>
      <c r="AM183" s="13" t="n"/>
      <c r="AN183" s="13" t="n"/>
      <c r="AO183" s="13" t="n"/>
      <c r="AP183" s="13" t="n"/>
      <c r="AQ183" s="13" t="n"/>
      <c r="AR183" s="13" t="n"/>
      <c r="AS183" s="13" t="n"/>
    </row>
    <row r="184" ht="30" customHeight="1" s="41">
      <c r="A184" s="12" t="n"/>
      <c r="B184" s="12" t="n"/>
      <c r="C184" s="12" t="n"/>
      <c r="D184" s="12" t="n"/>
      <c r="E184" s="128">
        <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f>
        <v/>
      </c>
      <c r="F184" s="12" t="n"/>
      <c r="G184" s="134" t="n"/>
      <c r="H184" s="134" t="n"/>
      <c r="I184" s="12" t="n"/>
      <c r="J184" s="12" t="n"/>
      <c r="K184" s="130">
        <f>IF(A184="","",IF(J184="AUTO",H184,IF(J184="MANUAL",AK184,"")))</f>
        <v/>
      </c>
      <c r="L184" s="12" t="n"/>
      <c r="M184" s="12" t="n"/>
      <c r="N184" s="128">
        <f>IF(A184="","",IF(COUNTIFS('Human Operation Desktop'!$A$3:$A$502,A184,'Human Operation Desktop'!$I$3:$I$502,"&lt;&gt;APPLIED",'Human Operation Desktop'!$I$3:$I$502,"&lt;&gt;REJECTED")&gt;0,"YES","NO"))</f>
        <v/>
      </c>
      <c r="O184" s="12"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25" t="n"/>
      <c r="AL184" s="13" t="n"/>
      <c r="AM184" s="13" t="n"/>
      <c r="AN184" s="13" t="n"/>
      <c r="AO184" s="13" t="n"/>
      <c r="AP184" s="13" t="n"/>
      <c r="AQ184" s="13" t="n"/>
      <c r="AR184" s="13" t="n"/>
      <c r="AS184" s="13" t="n"/>
    </row>
    <row r="185" ht="30" customHeight="1" s="41">
      <c r="A185" s="12" t="n"/>
      <c r="B185" s="12" t="n"/>
      <c r="C185" s="12" t="n"/>
      <c r="D185" s="12" t="n"/>
      <c r="E185" s="128">
        <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f>
        <v/>
      </c>
      <c r="F185" s="12" t="n"/>
      <c r="G185" s="134" t="n"/>
      <c r="H185" s="134" t="n"/>
      <c r="I185" s="12" t="n"/>
      <c r="J185" s="12" t="n"/>
      <c r="K185" s="130">
        <f>IF(A185="","",IF(J185="AUTO",H185,IF(J185="MANUAL",AK185,"")))</f>
        <v/>
      </c>
      <c r="L185" s="12" t="n"/>
      <c r="M185" s="12" t="n"/>
      <c r="N185" s="128">
        <f>IF(A185="","",IF(COUNTIFS('Human Operation Desktop'!$A$3:$A$502,A185,'Human Operation Desktop'!$I$3:$I$502,"&lt;&gt;APPLIED",'Human Operation Desktop'!$I$3:$I$502,"&lt;&gt;REJECTED")&gt;0,"YES","NO"))</f>
        <v/>
      </c>
      <c r="O185" s="12"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25" t="n"/>
      <c r="AL185" s="13" t="n"/>
      <c r="AM185" s="13" t="n"/>
      <c r="AN185" s="13" t="n"/>
      <c r="AO185" s="13" t="n"/>
      <c r="AP185" s="13" t="n"/>
      <c r="AQ185" s="13" t="n"/>
      <c r="AR185" s="13" t="n"/>
      <c r="AS185" s="13" t="n"/>
    </row>
    <row r="186" ht="30" customHeight="1" s="41">
      <c r="A186" s="12" t="n"/>
      <c r="B186" s="12" t="n"/>
      <c r="C186" s="12" t="n"/>
      <c r="D186" s="12" t="n"/>
      <c r="E186" s="128">
        <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f>
        <v/>
      </c>
      <c r="F186" s="12" t="n"/>
      <c r="G186" s="134" t="n"/>
      <c r="H186" s="134" t="n"/>
      <c r="I186" s="12" t="n"/>
      <c r="J186" s="12" t="n"/>
      <c r="K186" s="130">
        <f>IF(A186="","",IF(J186="AUTO",H186,IF(J186="MANUAL",AK186,"")))</f>
        <v/>
      </c>
      <c r="L186" s="12" t="n"/>
      <c r="M186" s="12" t="n"/>
      <c r="N186" s="128">
        <f>IF(A186="","",IF(COUNTIFS('Human Operation Desktop'!$A$3:$A$502,A186,'Human Operation Desktop'!$I$3:$I$502,"&lt;&gt;APPLIED",'Human Operation Desktop'!$I$3:$I$502,"&lt;&gt;REJECTED")&gt;0,"YES","NO"))</f>
        <v/>
      </c>
      <c r="O186" s="12"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25" t="n"/>
      <c r="AL186" s="13" t="n"/>
      <c r="AM186" s="13" t="n"/>
      <c r="AN186" s="13" t="n"/>
      <c r="AO186" s="13" t="n"/>
      <c r="AP186" s="13" t="n"/>
      <c r="AQ186" s="13" t="n"/>
      <c r="AR186" s="13" t="n"/>
      <c r="AS186" s="13" t="n"/>
    </row>
    <row r="187" ht="30" customHeight="1" s="41">
      <c r="A187" s="12" t="n"/>
      <c r="B187" s="12" t="n"/>
      <c r="C187" s="12" t="n"/>
      <c r="D187" s="12" t="n"/>
      <c r="E187" s="128">
        <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f>
        <v/>
      </c>
      <c r="F187" s="12" t="n"/>
      <c r="G187" s="134" t="n"/>
      <c r="H187" s="134" t="n"/>
      <c r="I187" s="12" t="n"/>
      <c r="J187" s="12" t="n"/>
      <c r="K187" s="130">
        <f>IF(A187="","",IF(J187="AUTO",H187,IF(J187="MANUAL",AK187,"")))</f>
        <v/>
      </c>
      <c r="L187" s="12" t="n"/>
      <c r="M187" s="12" t="n"/>
      <c r="N187" s="128">
        <f>IF(A187="","",IF(COUNTIFS('Human Operation Desktop'!$A$3:$A$502,A187,'Human Operation Desktop'!$I$3:$I$502,"&lt;&gt;APPLIED",'Human Operation Desktop'!$I$3:$I$502,"&lt;&gt;REJECTED")&gt;0,"YES","NO"))</f>
        <v/>
      </c>
      <c r="O187" s="12"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25" t="n"/>
      <c r="AL187" s="13" t="n"/>
      <c r="AM187" s="13" t="n"/>
      <c r="AN187" s="13" t="n"/>
      <c r="AO187" s="13" t="n"/>
      <c r="AP187" s="13" t="n"/>
      <c r="AQ187" s="13" t="n"/>
      <c r="AR187" s="13" t="n"/>
      <c r="AS187" s="13" t="n"/>
    </row>
    <row r="188" ht="30" customHeight="1" s="41">
      <c r="A188" s="12" t="n"/>
      <c r="B188" s="12" t="n"/>
      <c r="C188" s="12" t="n"/>
      <c r="D188" s="12" t="n"/>
      <c r="E188" s="128">
        <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f>
        <v/>
      </c>
      <c r="F188" s="12" t="n"/>
      <c r="G188" s="134" t="n"/>
      <c r="H188" s="134" t="n"/>
      <c r="I188" s="12" t="n"/>
      <c r="J188" s="12" t="n"/>
      <c r="K188" s="130">
        <f>IF(A188="","",IF(J188="AUTO",H188,IF(J188="MANUAL",AK188,"")))</f>
        <v/>
      </c>
      <c r="L188" s="12" t="n"/>
      <c r="M188" s="12" t="n"/>
      <c r="N188" s="128">
        <f>IF(A188="","",IF(COUNTIFS('Human Operation Desktop'!$A$3:$A$502,A188,'Human Operation Desktop'!$I$3:$I$502,"&lt;&gt;APPLIED",'Human Operation Desktop'!$I$3:$I$502,"&lt;&gt;REJECTED")&gt;0,"YES","NO"))</f>
        <v/>
      </c>
      <c r="O188" s="12"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25" t="n"/>
      <c r="AL188" s="13" t="n"/>
      <c r="AM188" s="13" t="n"/>
      <c r="AN188" s="13" t="n"/>
      <c r="AO188" s="13" t="n"/>
      <c r="AP188" s="13" t="n"/>
      <c r="AQ188" s="13" t="n"/>
      <c r="AR188" s="13" t="n"/>
      <c r="AS188" s="13" t="n"/>
    </row>
    <row r="189" ht="30" customHeight="1" s="41">
      <c r="A189" s="12" t="n"/>
      <c r="B189" s="12" t="n"/>
      <c r="C189" s="12" t="n"/>
      <c r="D189" s="12" t="n"/>
      <c r="E189" s="128">
        <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f>
        <v/>
      </c>
      <c r="F189" s="12" t="n"/>
      <c r="G189" s="134" t="n"/>
      <c r="H189" s="134" t="n"/>
      <c r="I189" s="12" t="n"/>
      <c r="J189" s="12" t="n"/>
      <c r="K189" s="130">
        <f>IF(A189="","",IF(J189="AUTO",H189,IF(J189="MANUAL",AK189,"")))</f>
        <v/>
      </c>
      <c r="L189" s="12" t="n"/>
      <c r="M189" s="12" t="n"/>
      <c r="N189" s="128">
        <f>IF(A189="","",IF(COUNTIFS('Human Operation Desktop'!$A$3:$A$502,A189,'Human Operation Desktop'!$I$3:$I$502,"&lt;&gt;APPLIED",'Human Operation Desktop'!$I$3:$I$502,"&lt;&gt;REJECTED")&gt;0,"YES","NO"))</f>
        <v/>
      </c>
      <c r="O189" s="12"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25" t="n"/>
      <c r="AL189" s="13" t="n"/>
      <c r="AM189" s="13" t="n"/>
      <c r="AN189" s="13" t="n"/>
      <c r="AO189" s="13" t="n"/>
      <c r="AP189" s="13" t="n"/>
      <c r="AQ189" s="13" t="n"/>
      <c r="AR189" s="13" t="n"/>
      <c r="AS189" s="13" t="n"/>
    </row>
    <row r="190" ht="30" customHeight="1" s="41">
      <c r="A190" s="12" t="n"/>
      <c r="B190" s="12" t="n"/>
      <c r="C190" s="12" t="n"/>
      <c r="D190" s="12" t="n"/>
      <c r="E190" s="128">
        <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f>
        <v/>
      </c>
      <c r="F190" s="12" t="n"/>
      <c r="G190" s="134" t="n"/>
      <c r="H190" s="134" t="n"/>
      <c r="I190" s="12" t="n"/>
      <c r="J190" s="12" t="n"/>
      <c r="K190" s="130">
        <f>IF(A190="","",IF(J190="AUTO",H190,IF(J190="MANUAL",AK190,"")))</f>
        <v/>
      </c>
      <c r="L190" s="12" t="n"/>
      <c r="M190" s="12" t="n"/>
      <c r="N190" s="128">
        <f>IF(A190="","",IF(COUNTIFS('Human Operation Desktop'!$A$3:$A$502,A190,'Human Operation Desktop'!$I$3:$I$502,"&lt;&gt;APPLIED",'Human Operation Desktop'!$I$3:$I$502,"&lt;&gt;REJECTED")&gt;0,"YES","NO"))</f>
        <v/>
      </c>
      <c r="O190" s="12"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25" t="n"/>
      <c r="AL190" s="13" t="n"/>
      <c r="AM190" s="13" t="n"/>
      <c r="AN190" s="13" t="n"/>
      <c r="AO190" s="13" t="n"/>
      <c r="AP190" s="13" t="n"/>
      <c r="AQ190" s="13" t="n"/>
      <c r="AR190" s="13" t="n"/>
      <c r="AS190" s="13" t="n"/>
    </row>
    <row r="191" ht="30" customHeight="1" s="41">
      <c r="A191" s="12" t="n"/>
      <c r="B191" s="12" t="n"/>
      <c r="C191" s="12" t="n"/>
      <c r="D191" s="12" t="n"/>
      <c r="E191" s="128">
        <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f>
        <v/>
      </c>
      <c r="F191" s="12" t="n"/>
      <c r="G191" s="134" t="n"/>
      <c r="H191" s="134" t="n"/>
      <c r="I191" s="12" t="n"/>
      <c r="J191" s="12" t="n"/>
      <c r="K191" s="130">
        <f>IF(A191="","",IF(J191="AUTO",H191,IF(J191="MANUAL",AK191,"")))</f>
        <v/>
      </c>
      <c r="L191" s="12" t="n"/>
      <c r="M191" s="12" t="n"/>
      <c r="N191" s="128">
        <f>IF(A191="","",IF(COUNTIFS('Human Operation Desktop'!$A$3:$A$502,A191,'Human Operation Desktop'!$I$3:$I$502,"&lt;&gt;APPLIED",'Human Operation Desktop'!$I$3:$I$502,"&lt;&gt;REJECTED")&gt;0,"YES","NO"))</f>
        <v/>
      </c>
      <c r="O191" s="12"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25" t="n"/>
      <c r="AL191" s="13" t="n"/>
      <c r="AM191" s="13" t="n"/>
      <c r="AN191" s="13" t="n"/>
      <c r="AO191" s="13" t="n"/>
      <c r="AP191" s="13" t="n"/>
      <c r="AQ191" s="13" t="n"/>
      <c r="AR191" s="13" t="n"/>
      <c r="AS191" s="13" t="n"/>
    </row>
    <row r="192" ht="30" customHeight="1" s="41">
      <c r="A192" s="12" t="n"/>
      <c r="B192" s="12" t="n"/>
      <c r="C192" s="12" t="n"/>
      <c r="D192" s="12" t="n"/>
      <c r="E192" s="128">
        <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f>
        <v/>
      </c>
      <c r="F192" s="12" t="n"/>
      <c r="G192" s="134" t="n"/>
      <c r="H192" s="134" t="n"/>
      <c r="I192" s="12" t="n"/>
      <c r="J192" s="12" t="n"/>
      <c r="K192" s="130">
        <f>IF(A192="","",IF(J192="AUTO",H192,IF(J192="MANUAL",AK192,"")))</f>
        <v/>
      </c>
      <c r="L192" s="12" t="n"/>
      <c r="M192" s="12" t="n"/>
      <c r="N192" s="128">
        <f>IF(A192="","",IF(COUNTIFS('Human Operation Desktop'!$A$3:$A$502,A192,'Human Operation Desktop'!$I$3:$I$502,"&lt;&gt;APPLIED",'Human Operation Desktop'!$I$3:$I$502,"&lt;&gt;REJECTED")&gt;0,"YES","NO"))</f>
        <v/>
      </c>
      <c r="O192" s="12"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25" t="n"/>
      <c r="AL192" s="13" t="n"/>
      <c r="AM192" s="13" t="n"/>
      <c r="AN192" s="13" t="n"/>
      <c r="AO192" s="13" t="n"/>
      <c r="AP192" s="13" t="n"/>
      <c r="AQ192" s="13" t="n"/>
      <c r="AR192" s="13" t="n"/>
      <c r="AS192" s="13" t="n"/>
    </row>
    <row r="193" ht="30" customHeight="1" s="41">
      <c r="A193" s="12" t="n"/>
      <c r="B193" s="12" t="n"/>
      <c r="C193" s="12" t="n"/>
      <c r="D193" s="12" t="n"/>
      <c r="E193" s="128">
        <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f>
        <v/>
      </c>
      <c r="F193" s="12" t="n"/>
      <c r="G193" s="134" t="n"/>
      <c r="H193" s="134" t="n"/>
      <c r="I193" s="12" t="n"/>
      <c r="J193" s="12" t="n"/>
      <c r="K193" s="130">
        <f>IF(A193="","",IF(J193="AUTO",H193,IF(J193="MANUAL",AK193,"")))</f>
        <v/>
      </c>
      <c r="L193" s="12" t="n"/>
      <c r="M193" s="12" t="n"/>
      <c r="N193" s="128">
        <f>IF(A193="","",IF(COUNTIFS('Human Operation Desktop'!$A$3:$A$502,A193,'Human Operation Desktop'!$I$3:$I$502,"&lt;&gt;APPLIED",'Human Operation Desktop'!$I$3:$I$502,"&lt;&gt;REJECTED")&gt;0,"YES","NO"))</f>
        <v/>
      </c>
      <c r="O193" s="12"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25" t="n"/>
      <c r="AL193" s="13" t="n"/>
      <c r="AM193" s="13" t="n"/>
      <c r="AN193" s="13" t="n"/>
      <c r="AO193" s="13" t="n"/>
      <c r="AP193" s="13" t="n"/>
      <c r="AQ193" s="13" t="n"/>
      <c r="AR193" s="13" t="n"/>
      <c r="AS193" s="13" t="n"/>
    </row>
    <row r="194" ht="30" customHeight="1" s="41">
      <c r="A194" s="12" t="n"/>
      <c r="B194" s="12" t="n"/>
      <c r="C194" s="12" t="n"/>
      <c r="D194" s="12" t="n"/>
      <c r="E194" s="128">
        <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f>
        <v/>
      </c>
      <c r="F194" s="12" t="n"/>
      <c r="G194" s="134" t="n"/>
      <c r="H194" s="134" t="n"/>
      <c r="I194" s="12" t="n"/>
      <c r="J194" s="12" t="n"/>
      <c r="K194" s="130">
        <f>IF(A194="","",IF(J194="AUTO",H194,IF(J194="MANUAL",AK194,"")))</f>
        <v/>
      </c>
      <c r="L194" s="12" t="n"/>
      <c r="M194" s="12" t="n"/>
      <c r="N194" s="128">
        <f>IF(A194="","",IF(COUNTIFS('Human Operation Desktop'!$A$3:$A$502,A194,'Human Operation Desktop'!$I$3:$I$502,"&lt;&gt;APPLIED",'Human Operation Desktop'!$I$3:$I$502,"&lt;&gt;REJECTED")&gt;0,"YES","NO"))</f>
        <v/>
      </c>
      <c r="O194" s="12"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25" t="n"/>
      <c r="AL194" s="13" t="n"/>
      <c r="AM194" s="13" t="n"/>
      <c r="AN194" s="13" t="n"/>
      <c r="AO194" s="13" t="n"/>
      <c r="AP194" s="13" t="n"/>
      <c r="AQ194" s="13" t="n"/>
      <c r="AR194" s="13" t="n"/>
      <c r="AS194" s="13" t="n"/>
    </row>
    <row r="195" ht="30" customHeight="1" s="41">
      <c r="A195" s="12" t="n"/>
      <c r="B195" s="12" t="n"/>
      <c r="C195" s="12" t="n"/>
      <c r="D195" s="12" t="n"/>
      <c r="E195" s="128">
        <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12" t="n"/>
      <c r="G195" s="134" t="n"/>
      <c r="H195" s="134" t="n"/>
      <c r="I195" s="12" t="n"/>
      <c r="J195" s="12" t="n"/>
      <c r="K195" s="130">
        <f>IF(A195="","",IF(J195="AUTO",H195,IF(J195="MANUAL",AK195,"")))</f>
        <v/>
      </c>
      <c r="L195" s="12" t="n"/>
      <c r="M195" s="12" t="n"/>
      <c r="N195" s="128">
        <f>IF(A195="","",IF(COUNTIFS('Human Operation Desktop'!$A$3:$A$502,A195,'Human Operation Desktop'!$I$3:$I$502,"&lt;&gt;APPLIED",'Human Operation Desktop'!$I$3:$I$502,"&lt;&gt;REJECTED")&gt;0,"YES","NO"))</f>
        <v/>
      </c>
      <c r="O195" s="12"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25" t="n"/>
      <c r="AL195" s="13" t="n"/>
      <c r="AM195" s="13" t="n"/>
      <c r="AN195" s="13" t="n"/>
      <c r="AO195" s="13" t="n"/>
      <c r="AP195" s="13" t="n"/>
      <c r="AQ195" s="13" t="n"/>
      <c r="AR195" s="13" t="n"/>
      <c r="AS195" s="13" t="n"/>
    </row>
    <row r="196" ht="30" customHeight="1" s="41">
      <c r="A196" s="12" t="n"/>
      <c r="B196" s="12" t="n"/>
      <c r="C196" s="12" t="n"/>
      <c r="D196" s="12" t="n"/>
      <c r="E196" s="128">
        <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f>
        <v/>
      </c>
      <c r="F196" s="12" t="n"/>
      <c r="G196" s="134" t="n"/>
      <c r="H196" s="134" t="n"/>
      <c r="I196" s="12" t="n"/>
      <c r="J196" s="12" t="n"/>
      <c r="K196" s="130">
        <f>IF(A196="","",IF(J196="AUTO",H196,IF(J196="MANUAL",AK196,"")))</f>
        <v/>
      </c>
      <c r="L196" s="12" t="n"/>
      <c r="M196" s="12" t="n"/>
      <c r="N196" s="128">
        <f>IF(A196="","",IF(COUNTIFS('Human Operation Desktop'!$A$3:$A$502,A196,'Human Operation Desktop'!$I$3:$I$502,"&lt;&gt;APPLIED",'Human Operation Desktop'!$I$3:$I$502,"&lt;&gt;REJECTED")&gt;0,"YES","NO"))</f>
        <v/>
      </c>
      <c r="O196" s="12"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25" t="n"/>
      <c r="AL196" s="13" t="n"/>
      <c r="AM196" s="13" t="n"/>
      <c r="AN196" s="13" t="n"/>
      <c r="AO196" s="13" t="n"/>
      <c r="AP196" s="13" t="n"/>
      <c r="AQ196" s="13" t="n"/>
      <c r="AR196" s="13" t="n"/>
      <c r="AS196" s="13" t="n"/>
    </row>
    <row r="197" ht="30" customHeight="1" s="41">
      <c r="A197" s="12" t="n"/>
      <c r="B197" s="12" t="n"/>
      <c r="C197" s="12" t="n"/>
      <c r="D197" s="12" t="n"/>
      <c r="E197" s="128">
        <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f>
        <v/>
      </c>
      <c r="F197" s="12" t="n"/>
      <c r="G197" s="134" t="n"/>
      <c r="H197" s="134" t="n"/>
      <c r="I197" s="12" t="n"/>
      <c r="J197" s="12" t="n"/>
      <c r="K197" s="130">
        <f>IF(A197="","",IF(J197="AUTO",H197,IF(J197="MANUAL",AK197,"")))</f>
        <v/>
      </c>
      <c r="L197" s="12" t="n"/>
      <c r="M197" s="12" t="n"/>
      <c r="N197" s="128">
        <f>IF(A197="","",IF(COUNTIFS('Human Operation Desktop'!$A$3:$A$502,A197,'Human Operation Desktop'!$I$3:$I$502,"&lt;&gt;APPLIED",'Human Operation Desktop'!$I$3:$I$502,"&lt;&gt;REJECTED")&gt;0,"YES","NO"))</f>
        <v/>
      </c>
      <c r="O197" s="12"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25" t="n"/>
      <c r="AL197" s="13" t="n"/>
      <c r="AM197" s="13" t="n"/>
      <c r="AN197" s="13" t="n"/>
      <c r="AO197" s="13" t="n"/>
      <c r="AP197" s="13" t="n"/>
      <c r="AQ197" s="13" t="n"/>
      <c r="AR197" s="13" t="n"/>
      <c r="AS197" s="13" t="n"/>
    </row>
    <row r="198" ht="30" customHeight="1" s="41">
      <c r="A198" s="12" t="n"/>
      <c r="B198" s="12" t="n"/>
      <c r="C198" s="12" t="n"/>
      <c r="D198" s="12" t="n"/>
      <c r="E198" s="128">
        <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f>
        <v/>
      </c>
      <c r="F198" s="12" t="n"/>
      <c r="G198" s="134" t="n"/>
      <c r="H198" s="134" t="n"/>
      <c r="I198" s="12" t="n"/>
      <c r="J198" s="12" t="n"/>
      <c r="K198" s="130">
        <f>IF(A198="","",IF(J198="AUTO",H198,IF(J198="MANUAL",AK198,"")))</f>
        <v/>
      </c>
      <c r="L198" s="12" t="n"/>
      <c r="M198" s="12" t="n"/>
      <c r="N198" s="128">
        <f>IF(A198="","",IF(COUNTIFS('Human Operation Desktop'!$A$3:$A$502,A198,'Human Operation Desktop'!$I$3:$I$502,"&lt;&gt;APPLIED",'Human Operation Desktop'!$I$3:$I$502,"&lt;&gt;REJECTED")&gt;0,"YES","NO"))</f>
        <v/>
      </c>
      <c r="O198" s="12"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25" t="n"/>
      <c r="AL198" s="13" t="n"/>
      <c r="AM198" s="13" t="n"/>
      <c r="AN198" s="13" t="n"/>
      <c r="AO198" s="13" t="n"/>
      <c r="AP198" s="13" t="n"/>
      <c r="AQ198" s="13" t="n"/>
      <c r="AR198" s="13" t="n"/>
      <c r="AS198" s="13" t="n"/>
    </row>
    <row r="199" ht="30" customHeight="1" s="41">
      <c r="A199" s="12" t="n"/>
      <c r="B199" s="12" t="n"/>
      <c r="C199" s="12" t="n"/>
      <c r="D199" s="12" t="n"/>
      <c r="E199" s="128">
        <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f>
        <v/>
      </c>
      <c r="F199" s="12" t="n"/>
      <c r="G199" s="134" t="n"/>
      <c r="H199" s="134" t="n"/>
      <c r="I199" s="12" t="n"/>
      <c r="J199" s="12" t="n"/>
      <c r="K199" s="130">
        <f>IF(A199="","",IF(J199="AUTO",H199,IF(J199="MANUAL",AK199,"")))</f>
        <v/>
      </c>
      <c r="L199" s="12" t="n"/>
      <c r="M199" s="12" t="n"/>
      <c r="N199" s="128">
        <f>IF(A199="","",IF(COUNTIFS('Human Operation Desktop'!$A$3:$A$502,A199,'Human Operation Desktop'!$I$3:$I$502,"&lt;&gt;APPLIED",'Human Operation Desktop'!$I$3:$I$502,"&lt;&gt;REJECTED")&gt;0,"YES","NO"))</f>
        <v/>
      </c>
      <c r="O199" s="12"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25" t="n"/>
      <c r="AL199" s="13" t="n"/>
      <c r="AM199" s="13" t="n"/>
      <c r="AN199" s="13" t="n"/>
      <c r="AO199" s="13" t="n"/>
      <c r="AP199" s="13" t="n"/>
      <c r="AQ199" s="13" t="n"/>
      <c r="AR199" s="13" t="n"/>
      <c r="AS199" s="13" t="n"/>
    </row>
    <row r="200" ht="30" customHeight="1" s="41">
      <c r="A200" s="12" t="n"/>
      <c r="B200" s="12" t="n"/>
      <c r="C200" s="12" t="n"/>
      <c r="D200" s="12" t="n"/>
      <c r="E200" s="128">
        <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f>
        <v/>
      </c>
      <c r="F200" s="12" t="n"/>
      <c r="G200" s="134" t="n"/>
      <c r="H200" s="134" t="n"/>
      <c r="I200" s="12" t="n"/>
      <c r="J200" s="12" t="n"/>
      <c r="K200" s="130">
        <f>IF(A200="","",IF(J200="AUTO",H200,IF(J200="MANUAL",AK200,"")))</f>
        <v/>
      </c>
      <c r="L200" s="12" t="n"/>
      <c r="M200" s="12" t="n"/>
      <c r="N200" s="128">
        <f>IF(A200="","",IF(COUNTIFS('Human Operation Desktop'!$A$3:$A$502,A200,'Human Operation Desktop'!$I$3:$I$502,"&lt;&gt;APPLIED",'Human Operation Desktop'!$I$3:$I$502,"&lt;&gt;REJECTED")&gt;0,"YES","NO"))</f>
        <v/>
      </c>
      <c r="O200" s="12"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25" t="n"/>
      <c r="AL200" s="13" t="n"/>
      <c r="AM200" s="13" t="n"/>
      <c r="AN200" s="13" t="n"/>
      <c r="AO200" s="13" t="n"/>
      <c r="AP200" s="13" t="n"/>
      <c r="AQ200" s="13" t="n"/>
      <c r="AR200" s="13" t="n"/>
      <c r="AS200" s="13" t="n"/>
    </row>
    <row r="201" ht="30" customHeight="1" s="41">
      <c r="A201" s="12" t="n"/>
      <c r="B201" s="12" t="n"/>
      <c r="C201" s="12" t="n"/>
      <c r="D201" s="12" t="n"/>
      <c r="E201" s="128">
        <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f>
        <v/>
      </c>
      <c r="F201" s="12" t="n"/>
      <c r="G201" s="134" t="n"/>
      <c r="H201" s="134" t="n"/>
      <c r="I201" s="12" t="n"/>
      <c r="J201" s="12" t="n"/>
      <c r="K201" s="130">
        <f>IF(A201="","",IF(J201="AUTO",H201,IF(J201="MANUAL",AK201,"")))</f>
        <v/>
      </c>
      <c r="L201" s="12" t="n"/>
      <c r="M201" s="12" t="n"/>
      <c r="N201" s="128">
        <f>IF(A201="","",IF(COUNTIFS('Human Operation Desktop'!$A$3:$A$502,A201,'Human Operation Desktop'!$I$3:$I$502,"&lt;&gt;APPLIED",'Human Operation Desktop'!$I$3:$I$502,"&lt;&gt;REJECTED")&gt;0,"YES","NO"))</f>
        <v/>
      </c>
      <c r="O201" s="12"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25" t="n"/>
      <c r="AL201" s="13" t="n"/>
      <c r="AM201" s="13" t="n"/>
      <c r="AN201" s="13" t="n"/>
      <c r="AO201" s="13" t="n"/>
      <c r="AP201" s="13" t="n"/>
      <c r="AQ201" s="13" t="n"/>
      <c r="AR201" s="13" t="n"/>
      <c r="AS201" s="13" t="n"/>
    </row>
    <row r="202" ht="30" customHeight="1" s="41">
      <c r="A202" s="12" t="n"/>
      <c r="B202" s="12" t="n"/>
      <c r="C202" s="12" t="n"/>
      <c r="D202" s="12" t="n"/>
      <c r="E202" s="128">
        <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f>
        <v/>
      </c>
      <c r="F202" s="12" t="n"/>
      <c r="G202" s="134" t="n"/>
      <c r="H202" s="134" t="n"/>
      <c r="I202" s="12" t="n"/>
      <c r="J202" s="12" t="n"/>
      <c r="K202" s="130">
        <f>IF(A202="","",IF(J202="AUTO",H202,IF(J202="MANUAL",AK202,"")))</f>
        <v/>
      </c>
      <c r="L202" s="12" t="n"/>
      <c r="M202" s="12" t="n"/>
      <c r="N202" s="128">
        <f>IF(A202="","",IF(COUNTIFS('Human Operation Desktop'!$A$3:$A$502,A202,'Human Operation Desktop'!$I$3:$I$502,"&lt;&gt;APPLIED",'Human Operation Desktop'!$I$3:$I$502,"&lt;&gt;REJECTED")&gt;0,"YES","NO"))</f>
        <v/>
      </c>
      <c r="O202" s="12"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25" t="n"/>
      <c r="AL202" s="13" t="n"/>
      <c r="AM202" s="13" t="n"/>
      <c r="AN202" s="13" t="n"/>
      <c r="AO202" s="13" t="n"/>
      <c r="AP202" s="13" t="n"/>
      <c r="AQ202" s="13" t="n"/>
      <c r="AR202" s="13" t="n"/>
      <c r="AS202" s="13" t="n"/>
    </row>
    <row r="203" ht="30" customHeight="1" s="41">
      <c r="A203" s="12" t="n"/>
      <c r="B203" s="12" t="n"/>
      <c r="C203" s="12" t="n"/>
      <c r="D203" s="12" t="n"/>
      <c r="E203" s="128">
        <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f>
        <v/>
      </c>
      <c r="F203" s="12" t="n"/>
      <c r="G203" s="134" t="n"/>
      <c r="H203" s="134" t="n"/>
      <c r="I203" s="12" t="n"/>
      <c r="J203" s="12" t="n"/>
      <c r="K203" s="130">
        <f>IF(A203="","",IF(J203="AUTO",H203,IF(J203="MANUAL",AK203,"")))</f>
        <v/>
      </c>
      <c r="L203" s="12" t="n"/>
      <c r="M203" s="12" t="n"/>
      <c r="N203" s="128">
        <f>IF(A203="","",IF(COUNTIFS('Human Operation Desktop'!$A$3:$A$502,A203,'Human Operation Desktop'!$I$3:$I$502,"&lt;&gt;APPLIED",'Human Operation Desktop'!$I$3:$I$502,"&lt;&gt;REJECTED")&gt;0,"YES","NO"))</f>
        <v/>
      </c>
      <c r="O203" s="12"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25" t="n"/>
      <c r="AL203" s="13" t="n"/>
      <c r="AM203" s="13" t="n"/>
      <c r="AN203" s="13" t="n"/>
      <c r="AO203" s="13" t="n"/>
      <c r="AP203" s="13" t="n"/>
      <c r="AQ203" s="13" t="n"/>
      <c r="AR203" s="13" t="n"/>
      <c r="AS203" s="13" t="n"/>
    </row>
    <row r="204" ht="30" customHeight="1" s="41">
      <c r="A204" s="12" t="n"/>
      <c r="B204" s="12" t="n"/>
      <c r="C204" s="12" t="n"/>
      <c r="D204" s="12" t="n"/>
      <c r="E204" s="128">
        <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f>
        <v/>
      </c>
      <c r="F204" s="12" t="n"/>
      <c r="G204" s="134" t="n"/>
      <c r="H204" s="134" t="n"/>
      <c r="I204" s="12" t="n"/>
      <c r="J204" s="12" t="n"/>
      <c r="K204" s="130">
        <f>IF(A204="","",IF(J204="AUTO",H204,IF(J204="MANUAL",AK204,"")))</f>
        <v/>
      </c>
      <c r="L204" s="12" t="n"/>
      <c r="M204" s="12" t="n"/>
      <c r="N204" s="128">
        <f>IF(A204="","",IF(COUNTIFS('Human Operation Desktop'!$A$3:$A$502,A204,'Human Operation Desktop'!$I$3:$I$502,"&lt;&gt;APPLIED",'Human Operation Desktop'!$I$3:$I$502,"&lt;&gt;REJECTED")&gt;0,"YES","NO"))</f>
        <v/>
      </c>
      <c r="O204" s="12"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25" t="n"/>
      <c r="AL204" s="13" t="n"/>
      <c r="AM204" s="13" t="n"/>
      <c r="AN204" s="13" t="n"/>
      <c r="AO204" s="13" t="n"/>
      <c r="AP204" s="13" t="n"/>
      <c r="AQ204" s="13" t="n"/>
      <c r="AR204" s="13" t="n"/>
      <c r="AS204" s="13" t="n"/>
    </row>
    <row r="205" ht="30" customHeight="1" s="41">
      <c r="A205" s="12" t="n"/>
      <c r="B205" s="12" t="n"/>
      <c r="C205" s="12" t="n"/>
      <c r="D205" s="12" t="n"/>
      <c r="E205" s="128">
        <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f>
        <v/>
      </c>
      <c r="F205" s="12" t="n"/>
      <c r="G205" s="134" t="n"/>
      <c r="H205" s="134" t="n"/>
      <c r="I205" s="12" t="n"/>
      <c r="J205" s="12" t="n"/>
      <c r="K205" s="130">
        <f>IF(A205="","",IF(J205="AUTO",H205,IF(J205="MANUAL",AK205,"")))</f>
        <v/>
      </c>
      <c r="L205" s="12" t="n"/>
      <c r="M205" s="12" t="n"/>
      <c r="N205" s="128">
        <f>IF(A205="","",IF(COUNTIFS('Human Operation Desktop'!$A$3:$A$502,A205,'Human Operation Desktop'!$I$3:$I$502,"&lt;&gt;APPLIED",'Human Operation Desktop'!$I$3:$I$502,"&lt;&gt;REJECTED")&gt;0,"YES","NO"))</f>
        <v/>
      </c>
      <c r="O205" s="12"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25" t="n"/>
      <c r="AL205" s="13" t="n"/>
      <c r="AM205" s="13" t="n"/>
      <c r="AN205" s="13" t="n"/>
      <c r="AO205" s="13" t="n"/>
      <c r="AP205" s="13" t="n"/>
      <c r="AQ205" s="13" t="n"/>
      <c r="AR205" s="13" t="n"/>
      <c r="AS205" s="13" t="n"/>
    </row>
    <row r="206" ht="30" customHeight="1" s="41">
      <c r="A206" s="12" t="n"/>
      <c r="B206" s="12" t="n"/>
      <c r="C206" s="12" t="n"/>
      <c r="D206" s="12" t="n"/>
      <c r="E206" s="128">
        <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f>
        <v/>
      </c>
      <c r="F206" s="12" t="n"/>
      <c r="G206" s="134" t="n"/>
      <c r="H206" s="134" t="n"/>
      <c r="I206" s="12" t="n"/>
      <c r="J206" s="12" t="n"/>
      <c r="K206" s="130">
        <f>IF(A206="","",IF(J206="AUTO",H206,IF(J206="MANUAL",AK206,"")))</f>
        <v/>
      </c>
      <c r="L206" s="12" t="n"/>
      <c r="M206" s="12" t="n"/>
      <c r="N206" s="128">
        <f>IF(A206="","",IF(COUNTIFS('Human Operation Desktop'!$A$3:$A$502,A206,'Human Operation Desktop'!$I$3:$I$502,"&lt;&gt;APPLIED",'Human Operation Desktop'!$I$3:$I$502,"&lt;&gt;REJECTED")&gt;0,"YES","NO"))</f>
        <v/>
      </c>
      <c r="O206" s="12"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25" t="n"/>
      <c r="AL206" s="13" t="n"/>
      <c r="AM206" s="13" t="n"/>
      <c r="AN206" s="13" t="n"/>
      <c r="AO206" s="13" t="n"/>
      <c r="AP206" s="13" t="n"/>
      <c r="AQ206" s="13" t="n"/>
      <c r="AR206" s="13" t="n"/>
      <c r="AS206" s="13" t="n"/>
    </row>
    <row r="207" ht="30" customHeight="1" s="41">
      <c r="A207" s="12" t="n"/>
      <c r="B207" s="12" t="n"/>
      <c r="C207" s="12" t="n"/>
      <c r="D207" s="12" t="n"/>
      <c r="E207" s="128">
        <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f>
        <v/>
      </c>
      <c r="F207" s="12" t="n"/>
      <c r="G207" s="134" t="n"/>
      <c r="H207" s="134" t="n"/>
      <c r="I207" s="12" t="n"/>
      <c r="J207" s="12" t="n"/>
      <c r="K207" s="130">
        <f>IF(A207="","",IF(J207="AUTO",H207,IF(J207="MANUAL",AK207,"")))</f>
        <v/>
      </c>
      <c r="L207" s="12" t="n"/>
      <c r="M207" s="12" t="n"/>
      <c r="N207" s="128">
        <f>IF(A207="","",IF(COUNTIFS('Human Operation Desktop'!$A$3:$A$502,A207,'Human Operation Desktop'!$I$3:$I$502,"&lt;&gt;APPLIED",'Human Operation Desktop'!$I$3:$I$502,"&lt;&gt;REJECTED")&gt;0,"YES","NO"))</f>
        <v/>
      </c>
      <c r="O207" s="12"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25" t="n"/>
      <c r="AL207" s="13" t="n"/>
      <c r="AM207" s="13" t="n"/>
      <c r="AN207" s="13" t="n"/>
      <c r="AO207" s="13" t="n"/>
      <c r="AP207" s="13" t="n"/>
      <c r="AQ207" s="13" t="n"/>
      <c r="AR207" s="13" t="n"/>
      <c r="AS207" s="13" t="n"/>
    </row>
    <row r="208" ht="30" customHeight="1" s="41">
      <c r="A208" s="12" t="n"/>
      <c r="B208" s="12" t="n"/>
      <c r="C208" s="12" t="n"/>
      <c r="D208" s="12" t="n"/>
      <c r="E208" s="128">
        <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f>
        <v/>
      </c>
      <c r="F208" s="12" t="n"/>
      <c r="G208" s="134" t="n"/>
      <c r="H208" s="134" t="n"/>
      <c r="I208" s="12" t="n"/>
      <c r="J208" s="12" t="n"/>
      <c r="K208" s="130">
        <f>IF(A208="","",IF(J208="AUTO",H208,IF(J208="MANUAL",AK208,"")))</f>
        <v/>
      </c>
      <c r="L208" s="12" t="n"/>
      <c r="M208" s="12" t="n"/>
      <c r="N208" s="128">
        <f>IF(A208="","",IF(COUNTIFS('Human Operation Desktop'!$A$3:$A$502,A208,'Human Operation Desktop'!$I$3:$I$502,"&lt;&gt;APPLIED",'Human Operation Desktop'!$I$3:$I$502,"&lt;&gt;REJECTED")&gt;0,"YES","NO"))</f>
        <v/>
      </c>
      <c r="O208" s="12"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25" t="n"/>
      <c r="AL208" s="13" t="n"/>
      <c r="AM208" s="13" t="n"/>
      <c r="AN208" s="13" t="n"/>
      <c r="AO208" s="13" t="n"/>
      <c r="AP208" s="13" t="n"/>
      <c r="AQ208" s="13" t="n"/>
      <c r="AR208" s="13" t="n"/>
      <c r="AS208" s="13" t="n"/>
    </row>
    <row r="209" ht="30" customHeight="1" s="41">
      <c r="A209" s="12" t="n"/>
      <c r="B209" s="12" t="n"/>
      <c r="C209" s="12" t="n"/>
      <c r="D209" s="12" t="n"/>
      <c r="E209" s="128">
        <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f>
        <v/>
      </c>
      <c r="F209" s="12" t="n"/>
      <c r="G209" s="134" t="n"/>
      <c r="H209" s="134" t="n"/>
      <c r="I209" s="12" t="n"/>
      <c r="J209" s="12" t="n"/>
      <c r="K209" s="130">
        <f>IF(A209="","",IF(J209="AUTO",H209,IF(J209="MANUAL",AK209,"")))</f>
        <v/>
      </c>
      <c r="L209" s="12" t="n"/>
      <c r="M209" s="12" t="n"/>
      <c r="N209" s="128">
        <f>IF(A209="","",IF(COUNTIFS('Human Operation Desktop'!$A$3:$A$502,A209,'Human Operation Desktop'!$I$3:$I$502,"&lt;&gt;APPLIED",'Human Operation Desktop'!$I$3:$I$502,"&lt;&gt;REJECTED")&gt;0,"YES","NO"))</f>
        <v/>
      </c>
      <c r="O209" s="12"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25" t="n"/>
      <c r="AL209" s="13" t="n"/>
      <c r="AM209" s="13" t="n"/>
      <c r="AN209" s="13" t="n"/>
      <c r="AO209" s="13" t="n"/>
      <c r="AP209" s="13" t="n"/>
      <c r="AQ209" s="13" t="n"/>
      <c r="AR209" s="13" t="n"/>
      <c r="AS209" s="13" t="n"/>
    </row>
    <row r="210" ht="30" customHeight="1" s="41">
      <c r="A210" s="12" t="n"/>
      <c r="B210" s="12" t="n"/>
      <c r="C210" s="12" t="n"/>
      <c r="D210" s="12" t="n"/>
      <c r="E210" s="128">
        <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f>
        <v/>
      </c>
      <c r="F210" s="12" t="n"/>
      <c r="G210" s="134" t="n"/>
      <c r="H210" s="134" t="n"/>
      <c r="I210" s="12" t="n"/>
      <c r="J210" s="12" t="n"/>
      <c r="K210" s="130">
        <f>IF(A210="","",IF(J210="AUTO",H210,IF(J210="MANUAL",AK210,"")))</f>
        <v/>
      </c>
      <c r="L210" s="12" t="n"/>
      <c r="M210" s="12" t="n"/>
      <c r="N210" s="128">
        <f>IF(A210="","",IF(COUNTIFS('Human Operation Desktop'!$A$3:$A$502,A210,'Human Operation Desktop'!$I$3:$I$502,"&lt;&gt;APPLIED",'Human Operation Desktop'!$I$3:$I$502,"&lt;&gt;REJECTED")&gt;0,"YES","NO"))</f>
        <v/>
      </c>
      <c r="O210" s="12"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25" t="n"/>
      <c r="AL210" s="13" t="n"/>
      <c r="AM210" s="13" t="n"/>
      <c r="AN210" s="13" t="n"/>
      <c r="AO210" s="13" t="n"/>
      <c r="AP210" s="13" t="n"/>
      <c r="AQ210" s="13" t="n"/>
      <c r="AR210" s="13" t="n"/>
      <c r="AS210" s="13" t="n"/>
    </row>
    <row r="211" ht="30" customHeight="1" s="41">
      <c r="A211" s="12" t="n"/>
      <c r="B211" s="12" t="n"/>
      <c r="C211" s="12" t="n"/>
      <c r="D211" s="12" t="n"/>
      <c r="E211" s="128">
        <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f>
        <v/>
      </c>
      <c r="F211" s="12" t="n"/>
      <c r="G211" s="134" t="n"/>
      <c r="H211" s="134" t="n"/>
      <c r="I211" s="12" t="n"/>
      <c r="J211" s="12" t="n"/>
      <c r="K211" s="130">
        <f>IF(A211="","",IF(J211="AUTO",H211,IF(J211="MANUAL",AK211,"")))</f>
        <v/>
      </c>
      <c r="L211" s="12" t="n"/>
      <c r="M211" s="12" t="n"/>
      <c r="N211" s="128">
        <f>IF(A211="","",IF(COUNTIFS('Human Operation Desktop'!$A$3:$A$502,A211,'Human Operation Desktop'!$I$3:$I$502,"&lt;&gt;APPLIED",'Human Operation Desktop'!$I$3:$I$502,"&lt;&gt;REJECTED")&gt;0,"YES","NO"))</f>
        <v/>
      </c>
      <c r="O211" s="12"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25" t="n"/>
      <c r="AL211" s="13" t="n"/>
      <c r="AM211" s="13" t="n"/>
      <c r="AN211" s="13" t="n"/>
      <c r="AO211" s="13" t="n"/>
      <c r="AP211" s="13" t="n"/>
      <c r="AQ211" s="13" t="n"/>
      <c r="AR211" s="13" t="n"/>
      <c r="AS211" s="13" t="n"/>
    </row>
    <row r="212" ht="30" customHeight="1" s="41">
      <c r="A212" s="12" t="n"/>
      <c r="B212" s="12" t="n"/>
      <c r="C212" s="12" t="n"/>
      <c r="D212" s="12" t="n"/>
      <c r="E212" s="128">
        <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f>
        <v/>
      </c>
      <c r="F212" s="12" t="n"/>
      <c r="G212" s="134" t="n"/>
      <c r="H212" s="134" t="n"/>
      <c r="I212" s="12" t="n"/>
      <c r="J212" s="12" t="n"/>
      <c r="K212" s="130">
        <f>IF(A212="","",IF(J212="AUTO",H212,IF(J212="MANUAL",AK212,"")))</f>
        <v/>
      </c>
      <c r="L212" s="12" t="n"/>
      <c r="M212" s="12" t="n"/>
      <c r="N212" s="128">
        <f>IF(A212="","",IF(COUNTIFS('Human Operation Desktop'!$A$3:$A$502,A212,'Human Operation Desktop'!$I$3:$I$502,"&lt;&gt;APPLIED",'Human Operation Desktop'!$I$3:$I$502,"&lt;&gt;REJECTED")&gt;0,"YES","NO"))</f>
        <v/>
      </c>
      <c r="O212" s="12"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25" t="n"/>
      <c r="AL212" s="13" t="n"/>
      <c r="AM212" s="13" t="n"/>
      <c r="AN212" s="13" t="n"/>
      <c r="AO212" s="13" t="n"/>
      <c r="AP212" s="13" t="n"/>
      <c r="AQ212" s="13" t="n"/>
      <c r="AR212" s="13" t="n"/>
      <c r="AS212" s="13" t="n"/>
    </row>
    <row r="213" ht="30" customHeight="1" s="41">
      <c r="A213" s="12" t="n"/>
      <c r="B213" s="12" t="n"/>
      <c r="C213" s="12" t="n"/>
      <c r="D213" s="12" t="n"/>
      <c r="E213" s="128">
        <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f>
        <v/>
      </c>
      <c r="F213" s="12" t="n"/>
      <c r="G213" s="134" t="n"/>
      <c r="H213" s="134" t="n"/>
      <c r="I213" s="12" t="n"/>
      <c r="J213" s="12" t="n"/>
      <c r="K213" s="130">
        <f>IF(A213="","",IF(J213="AUTO",H213,IF(J213="MANUAL",AK213,"")))</f>
        <v/>
      </c>
      <c r="L213" s="12" t="n"/>
      <c r="M213" s="12" t="n"/>
      <c r="N213" s="128">
        <f>IF(A213="","",IF(COUNTIFS('Human Operation Desktop'!$A$3:$A$502,A213,'Human Operation Desktop'!$I$3:$I$502,"&lt;&gt;APPLIED",'Human Operation Desktop'!$I$3:$I$502,"&lt;&gt;REJECTED")&gt;0,"YES","NO"))</f>
        <v/>
      </c>
      <c r="O213" s="12"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25" t="n"/>
      <c r="AL213" s="13" t="n"/>
      <c r="AM213" s="13" t="n"/>
      <c r="AN213" s="13" t="n"/>
      <c r="AO213" s="13" t="n"/>
      <c r="AP213" s="13" t="n"/>
      <c r="AQ213" s="13" t="n"/>
      <c r="AR213" s="13" t="n"/>
      <c r="AS213" s="13" t="n"/>
    </row>
    <row r="214" ht="30" customHeight="1" s="41">
      <c r="A214" s="12" t="n"/>
      <c r="B214" s="12" t="n"/>
      <c r="C214" s="12" t="n"/>
      <c r="D214" s="12" t="n"/>
      <c r="E214" s="128">
        <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f>
        <v/>
      </c>
      <c r="F214" s="12" t="n"/>
      <c r="G214" s="134" t="n"/>
      <c r="H214" s="134" t="n"/>
      <c r="I214" s="12" t="n"/>
      <c r="J214" s="12" t="n"/>
      <c r="K214" s="130">
        <f>IF(A214="","",IF(J214="AUTO",H214,IF(J214="MANUAL",AK214,"")))</f>
        <v/>
      </c>
      <c r="L214" s="12" t="n"/>
      <c r="M214" s="12" t="n"/>
      <c r="N214" s="128">
        <f>IF(A214="","",IF(COUNTIFS('Human Operation Desktop'!$A$3:$A$502,A214,'Human Operation Desktop'!$I$3:$I$502,"&lt;&gt;APPLIED",'Human Operation Desktop'!$I$3:$I$502,"&lt;&gt;REJECTED")&gt;0,"YES","NO"))</f>
        <v/>
      </c>
      <c r="O214" s="12"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25" t="n"/>
      <c r="AL214" s="13" t="n"/>
      <c r="AM214" s="13" t="n"/>
      <c r="AN214" s="13" t="n"/>
      <c r="AO214" s="13" t="n"/>
      <c r="AP214" s="13" t="n"/>
      <c r="AQ214" s="13" t="n"/>
      <c r="AR214" s="13" t="n"/>
      <c r="AS214" s="13" t="n"/>
    </row>
    <row r="215" ht="30" customHeight="1" s="41">
      <c r="A215" s="12" t="n"/>
      <c r="B215" s="12" t="n"/>
      <c r="C215" s="12" t="n"/>
      <c r="D215" s="12" t="n"/>
      <c r="E215" s="128">
        <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f>
        <v/>
      </c>
      <c r="F215" s="12" t="n"/>
      <c r="G215" s="134" t="n"/>
      <c r="H215" s="134" t="n"/>
      <c r="I215" s="12" t="n"/>
      <c r="J215" s="12" t="n"/>
      <c r="K215" s="130">
        <f>IF(A215="","",IF(J215="AUTO",H215,IF(J215="MANUAL",AK215,"")))</f>
        <v/>
      </c>
      <c r="L215" s="12" t="n"/>
      <c r="M215" s="12" t="n"/>
      <c r="N215" s="128">
        <f>IF(A215="","",IF(COUNTIFS('Human Operation Desktop'!$A$3:$A$502,A215,'Human Operation Desktop'!$I$3:$I$502,"&lt;&gt;APPLIED",'Human Operation Desktop'!$I$3:$I$502,"&lt;&gt;REJECTED")&gt;0,"YES","NO"))</f>
        <v/>
      </c>
      <c r="O215" s="12"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25" t="n"/>
      <c r="AL215" s="13" t="n"/>
      <c r="AM215" s="13" t="n"/>
      <c r="AN215" s="13" t="n"/>
      <c r="AO215" s="13" t="n"/>
      <c r="AP215" s="13" t="n"/>
      <c r="AQ215" s="13" t="n"/>
      <c r="AR215" s="13" t="n"/>
      <c r="AS215" s="13" t="n"/>
    </row>
    <row r="216" ht="30" customHeight="1" s="41">
      <c r="A216" s="12" t="n"/>
      <c r="B216" s="12" t="n"/>
      <c r="C216" s="12" t="n"/>
      <c r="D216" s="12" t="n"/>
      <c r="E216" s="128">
        <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f>
        <v/>
      </c>
      <c r="F216" s="12" t="n"/>
      <c r="G216" s="134" t="n"/>
      <c r="H216" s="134" t="n"/>
      <c r="I216" s="12" t="n"/>
      <c r="J216" s="12" t="n"/>
      <c r="K216" s="130">
        <f>IF(A216="","",IF(J216="AUTO",H216,IF(J216="MANUAL",AK216,"")))</f>
        <v/>
      </c>
      <c r="L216" s="12" t="n"/>
      <c r="M216" s="12" t="n"/>
      <c r="N216" s="128">
        <f>IF(A216="","",IF(COUNTIFS('Human Operation Desktop'!$A$3:$A$502,A216,'Human Operation Desktop'!$I$3:$I$502,"&lt;&gt;APPLIED",'Human Operation Desktop'!$I$3:$I$502,"&lt;&gt;REJECTED")&gt;0,"YES","NO"))</f>
        <v/>
      </c>
      <c r="O216" s="12"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25" t="n"/>
      <c r="AL216" s="13" t="n"/>
      <c r="AM216" s="13" t="n"/>
      <c r="AN216" s="13" t="n"/>
      <c r="AO216" s="13" t="n"/>
      <c r="AP216" s="13" t="n"/>
      <c r="AQ216" s="13" t="n"/>
      <c r="AR216" s="13" t="n"/>
      <c r="AS216" s="13" t="n"/>
    </row>
    <row r="217" ht="30" customHeight="1" s="41">
      <c r="A217" s="12" t="n"/>
      <c r="B217" s="12" t="n"/>
      <c r="C217" s="12" t="n"/>
      <c r="D217" s="12" t="n"/>
      <c r="E217" s="128">
        <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f>
        <v/>
      </c>
      <c r="F217" s="12" t="n"/>
      <c r="G217" s="134" t="n"/>
      <c r="H217" s="134" t="n"/>
      <c r="I217" s="12" t="n"/>
      <c r="J217" s="12" t="n"/>
      <c r="K217" s="130">
        <f>IF(A217="","",IF(J217="AUTO",H217,IF(J217="MANUAL",AK217,"")))</f>
        <v/>
      </c>
      <c r="L217" s="12" t="n"/>
      <c r="M217" s="12" t="n"/>
      <c r="N217" s="128">
        <f>IF(A217="","",IF(COUNTIFS('Human Operation Desktop'!$A$3:$A$502,A217,'Human Operation Desktop'!$I$3:$I$502,"&lt;&gt;APPLIED",'Human Operation Desktop'!$I$3:$I$502,"&lt;&gt;REJECTED")&gt;0,"YES","NO"))</f>
        <v/>
      </c>
      <c r="O217" s="12"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25" t="n"/>
      <c r="AL217" s="13" t="n"/>
      <c r="AM217" s="13" t="n"/>
      <c r="AN217" s="13" t="n"/>
      <c r="AO217" s="13" t="n"/>
      <c r="AP217" s="13" t="n"/>
      <c r="AQ217" s="13" t="n"/>
      <c r="AR217" s="13" t="n"/>
      <c r="AS217" s="13" t="n"/>
    </row>
    <row r="218" ht="30" customHeight="1" s="41">
      <c r="A218" s="12" t="n"/>
      <c r="B218" s="12" t="n"/>
      <c r="C218" s="12" t="n"/>
      <c r="D218" s="12" t="n"/>
      <c r="E218" s="128">
        <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f>
        <v/>
      </c>
      <c r="F218" s="12" t="n"/>
      <c r="G218" s="134" t="n"/>
      <c r="H218" s="134" t="n"/>
      <c r="I218" s="12" t="n"/>
      <c r="J218" s="12" t="n"/>
      <c r="K218" s="130">
        <f>IF(A218="","",IF(J218="AUTO",H218,IF(J218="MANUAL",AK218,"")))</f>
        <v/>
      </c>
      <c r="L218" s="12" t="n"/>
      <c r="M218" s="12" t="n"/>
      <c r="N218" s="128">
        <f>IF(A218="","",IF(COUNTIFS('Human Operation Desktop'!$A$3:$A$502,A218,'Human Operation Desktop'!$I$3:$I$502,"&lt;&gt;APPLIED",'Human Operation Desktop'!$I$3:$I$502,"&lt;&gt;REJECTED")&gt;0,"YES","NO"))</f>
        <v/>
      </c>
      <c r="O218" s="12"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25" t="n"/>
      <c r="AL218" s="13" t="n"/>
      <c r="AM218" s="13" t="n"/>
      <c r="AN218" s="13" t="n"/>
      <c r="AO218" s="13" t="n"/>
      <c r="AP218" s="13" t="n"/>
      <c r="AQ218" s="13" t="n"/>
      <c r="AR218" s="13" t="n"/>
      <c r="AS218" s="13" t="n"/>
    </row>
    <row r="219" ht="30" customHeight="1" s="41">
      <c r="A219" s="12" t="n"/>
      <c r="B219" s="12" t="n"/>
      <c r="C219" s="12" t="n"/>
      <c r="D219" s="12" t="n"/>
      <c r="E219" s="128">
        <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f>
        <v/>
      </c>
      <c r="F219" s="12" t="n"/>
      <c r="G219" s="134" t="n"/>
      <c r="H219" s="134" t="n"/>
      <c r="I219" s="12" t="n"/>
      <c r="J219" s="12" t="n"/>
      <c r="K219" s="130">
        <f>IF(A219="","",IF(J219="AUTO",H219,IF(J219="MANUAL",AK219,"")))</f>
        <v/>
      </c>
      <c r="L219" s="12" t="n"/>
      <c r="M219" s="12" t="n"/>
      <c r="N219" s="128">
        <f>IF(A219="","",IF(COUNTIFS('Human Operation Desktop'!$A$3:$A$502,A219,'Human Operation Desktop'!$I$3:$I$502,"&lt;&gt;APPLIED",'Human Operation Desktop'!$I$3:$I$502,"&lt;&gt;REJECTED")&gt;0,"YES","NO"))</f>
        <v/>
      </c>
      <c r="O219" s="12"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25" t="n"/>
      <c r="AL219" s="13" t="n"/>
      <c r="AM219" s="13" t="n"/>
      <c r="AN219" s="13" t="n"/>
      <c r="AO219" s="13" t="n"/>
      <c r="AP219" s="13" t="n"/>
      <c r="AQ219" s="13" t="n"/>
      <c r="AR219" s="13" t="n"/>
      <c r="AS219" s="13" t="n"/>
    </row>
    <row r="220" ht="30" customHeight="1" s="41">
      <c r="A220" s="12" t="n"/>
      <c r="B220" s="12" t="n"/>
      <c r="C220" s="12" t="n"/>
      <c r="D220" s="12" t="n"/>
      <c r="E220" s="128">
        <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f>
        <v/>
      </c>
      <c r="F220" s="12" t="n"/>
      <c r="G220" s="134" t="n"/>
      <c r="H220" s="134" t="n"/>
      <c r="I220" s="12" t="n"/>
      <c r="J220" s="12" t="n"/>
      <c r="K220" s="130">
        <f>IF(A220="","",IF(J220="AUTO",H220,IF(J220="MANUAL",AK220,"")))</f>
        <v/>
      </c>
      <c r="L220" s="12" t="n"/>
      <c r="M220" s="12" t="n"/>
      <c r="N220" s="128">
        <f>IF(A220="","",IF(COUNTIFS('Human Operation Desktop'!$A$3:$A$502,A220,'Human Operation Desktop'!$I$3:$I$502,"&lt;&gt;APPLIED",'Human Operation Desktop'!$I$3:$I$502,"&lt;&gt;REJECTED")&gt;0,"YES","NO"))</f>
        <v/>
      </c>
      <c r="O220" s="12"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25" t="n"/>
      <c r="AL220" s="13" t="n"/>
      <c r="AM220" s="13" t="n"/>
      <c r="AN220" s="13" t="n"/>
      <c r="AO220" s="13" t="n"/>
      <c r="AP220" s="13" t="n"/>
      <c r="AQ220" s="13" t="n"/>
      <c r="AR220" s="13" t="n"/>
      <c r="AS220" s="13" t="n"/>
    </row>
    <row r="221" ht="30" customHeight="1" s="41">
      <c r="A221" s="12" t="n"/>
      <c r="B221" s="12" t="n"/>
      <c r="C221" s="12" t="n"/>
      <c r="D221" s="12" t="n"/>
      <c r="E221" s="128">
        <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f>
        <v/>
      </c>
      <c r="F221" s="12" t="n"/>
      <c r="G221" s="134" t="n"/>
      <c r="H221" s="134" t="n"/>
      <c r="I221" s="12" t="n"/>
      <c r="J221" s="12" t="n"/>
      <c r="K221" s="130">
        <f>IF(A221="","",IF(J221="AUTO",H221,IF(J221="MANUAL",AK221,"")))</f>
        <v/>
      </c>
      <c r="L221" s="12" t="n"/>
      <c r="M221" s="12" t="n"/>
      <c r="N221" s="128">
        <f>IF(A221="","",IF(COUNTIFS('Human Operation Desktop'!$A$3:$A$502,A221,'Human Operation Desktop'!$I$3:$I$502,"&lt;&gt;APPLIED",'Human Operation Desktop'!$I$3:$I$502,"&lt;&gt;REJECTED")&gt;0,"YES","NO"))</f>
        <v/>
      </c>
      <c r="O221" s="12"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25" t="n"/>
      <c r="AL221" s="13" t="n"/>
      <c r="AM221" s="13" t="n"/>
      <c r="AN221" s="13" t="n"/>
      <c r="AO221" s="13" t="n"/>
      <c r="AP221" s="13" t="n"/>
      <c r="AQ221" s="13" t="n"/>
      <c r="AR221" s="13" t="n"/>
      <c r="AS221" s="13" t="n"/>
    </row>
    <row r="222" ht="30" customHeight="1" s="41">
      <c r="A222" s="12" t="n"/>
      <c r="B222" s="12" t="n"/>
      <c r="C222" s="12" t="n"/>
      <c r="D222" s="12" t="n"/>
      <c r="E222" s="128">
        <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f>
        <v/>
      </c>
      <c r="F222" s="12" t="n"/>
      <c r="G222" s="134" t="n"/>
      <c r="H222" s="134" t="n"/>
      <c r="I222" s="12" t="n"/>
      <c r="J222" s="12" t="n"/>
      <c r="K222" s="130">
        <f>IF(A222="","",IF(J222="AUTO",H222,IF(J222="MANUAL",AK222,"")))</f>
        <v/>
      </c>
      <c r="L222" s="12" t="n"/>
      <c r="M222" s="12" t="n"/>
      <c r="N222" s="128">
        <f>IF(A222="","",IF(COUNTIFS('Human Operation Desktop'!$A$3:$A$502,A222,'Human Operation Desktop'!$I$3:$I$502,"&lt;&gt;APPLIED",'Human Operation Desktop'!$I$3:$I$502,"&lt;&gt;REJECTED")&gt;0,"YES","NO"))</f>
        <v/>
      </c>
      <c r="O222" s="12"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25" t="n"/>
      <c r="AL222" s="13" t="n"/>
      <c r="AM222" s="13" t="n"/>
      <c r="AN222" s="13" t="n"/>
      <c r="AO222" s="13" t="n"/>
      <c r="AP222" s="13" t="n"/>
      <c r="AQ222" s="13" t="n"/>
      <c r="AR222" s="13" t="n"/>
      <c r="AS222" s="13" t="n"/>
    </row>
    <row r="223" ht="30" customHeight="1" s="41">
      <c r="A223" s="12" t="n"/>
      <c r="B223" s="12" t="n"/>
      <c r="C223" s="12" t="n"/>
      <c r="D223" s="12" t="n"/>
      <c r="E223" s="128">
        <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f>
        <v/>
      </c>
      <c r="F223" s="12" t="n"/>
      <c r="G223" s="134" t="n"/>
      <c r="H223" s="134" t="n"/>
      <c r="I223" s="12" t="n"/>
      <c r="J223" s="12" t="n"/>
      <c r="K223" s="130">
        <f>IF(A223="","",IF(J223="AUTO",H223,IF(J223="MANUAL",AK223,"")))</f>
        <v/>
      </c>
      <c r="L223" s="12" t="n"/>
      <c r="M223" s="12" t="n"/>
      <c r="N223" s="128">
        <f>IF(A223="","",IF(COUNTIFS('Human Operation Desktop'!$A$3:$A$502,A223,'Human Operation Desktop'!$I$3:$I$502,"&lt;&gt;APPLIED",'Human Operation Desktop'!$I$3:$I$502,"&lt;&gt;REJECTED")&gt;0,"YES","NO"))</f>
        <v/>
      </c>
      <c r="O223" s="12"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25" t="n"/>
      <c r="AL223" s="13" t="n"/>
      <c r="AM223" s="13" t="n"/>
      <c r="AN223" s="13" t="n"/>
      <c r="AO223" s="13" t="n"/>
      <c r="AP223" s="13" t="n"/>
      <c r="AQ223" s="13" t="n"/>
      <c r="AR223" s="13" t="n"/>
      <c r="AS223" s="13" t="n"/>
    </row>
    <row r="224" ht="30" customHeight="1" s="41">
      <c r="A224" s="12" t="n"/>
      <c r="B224" s="12" t="n"/>
      <c r="C224" s="12" t="n"/>
      <c r="D224" s="12" t="n"/>
      <c r="E224" s="128">
        <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f>
        <v/>
      </c>
      <c r="F224" s="12" t="n"/>
      <c r="G224" s="134" t="n"/>
      <c r="H224" s="134" t="n"/>
      <c r="I224" s="12" t="n"/>
      <c r="J224" s="12" t="n"/>
      <c r="K224" s="130">
        <f>IF(A224="","",IF(J224="AUTO",H224,IF(J224="MANUAL",AK224,"")))</f>
        <v/>
      </c>
      <c r="L224" s="12" t="n"/>
      <c r="M224" s="12" t="n"/>
      <c r="N224" s="128">
        <f>IF(A224="","",IF(COUNTIFS('Human Operation Desktop'!$A$3:$A$502,A224,'Human Operation Desktop'!$I$3:$I$502,"&lt;&gt;APPLIED",'Human Operation Desktop'!$I$3:$I$502,"&lt;&gt;REJECTED")&gt;0,"YES","NO"))</f>
        <v/>
      </c>
      <c r="O224" s="12"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25" t="n"/>
      <c r="AL224" s="13" t="n"/>
      <c r="AM224" s="13" t="n"/>
      <c r="AN224" s="13" t="n"/>
      <c r="AO224" s="13" t="n"/>
      <c r="AP224" s="13" t="n"/>
      <c r="AQ224" s="13" t="n"/>
      <c r="AR224" s="13" t="n"/>
      <c r="AS224" s="13" t="n"/>
    </row>
    <row r="225" ht="30" customHeight="1" s="41">
      <c r="A225" s="12" t="n"/>
      <c r="B225" s="12" t="n"/>
      <c r="C225" s="12" t="n"/>
      <c r="D225" s="12" t="n"/>
      <c r="E225" s="128">
        <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f>
        <v/>
      </c>
      <c r="F225" s="12" t="n"/>
      <c r="G225" s="134" t="n"/>
      <c r="H225" s="134" t="n"/>
      <c r="I225" s="12" t="n"/>
      <c r="J225" s="12" t="n"/>
      <c r="K225" s="130">
        <f>IF(A225="","",IF(J225="AUTO",H225,IF(J225="MANUAL",AK225,"")))</f>
        <v/>
      </c>
      <c r="L225" s="12" t="n"/>
      <c r="M225" s="12" t="n"/>
      <c r="N225" s="128">
        <f>IF(A225="","",IF(COUNTIFS('Human Operation Desktop'!$A$3:$A$502,A225,'Human Operation Desktop'!$I$3:$I$502,"&lt;&gt;APPLIED",'Human Operation Desktop'!$I$3:$I$502,"&lt;&gt;REJECTED")&gt;0,"YES","NO"))</f>
        <v/>
      </c>
      <c r="O225" s="12"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25" t="n"/>
      <c r="AL225" s="13" t="n"/>
      <c r="AM225" s="13" t="n"/>
      <c r="AN225" s="13" t="n"/>
      <c r="AO225" s="13" t="n"/>
      <c r="AP225" s="13" t="n"/>
      <c r="AQ225" s="13" t="n"/>
      <c r="AR225" s="13" t="n"/>
      <c r="AS225" s="13" t="n"/>
    </row>
    <row r="226" ht="30" customHeight="1" s="41">
      <c r="A226" s="12" t="n"/>
      <c r="B226" s="12" t="n"/>
      <c r="C226" s="12" t="n"/>
      <c r="D226" s="12" t="n"/>
      <c r="E226" s="128">
        <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f>
        <v/>
      </c>
      <c r="F226" s="12" t="n"/>
      <c r="G226" s="134" t="n"/>
      <c r="H226" s="134" t="n"/>
      <c r="I226" s="12" t="n"/>
      <c r="J226" s="12" t="n"/>
      <c r="K226" s="130">
        <f>IF(A226="","",IF(J226="AUTO",H226,IF(J226="MANUAL",AK226,"")))</f>
        <v/>
      </c>
      <c r="L226" s="12" t="n"/>
      <c r="M226" s="12" t="n"/>
      <c r="N226" s="128">
        <f>IF(A226="","",IF(COUNTIFS('Human Operation Desktop'!$A$3:$A$502,A226,'Human Operation Desktop'!$I$3:$I$502,"&lt;&gt;APPLIED",'Human Operation Desktop'!$I$3:$I$502,"&lt;&gt;REJECTED")&gt;0,"YES","NO"))</f>
        <v/>
      </c>
      <c r="O226" s="12"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25" t="n"/>
      <c r="AL226" s="13" t="n"/>
      <c r="AM226" s="13" t="n"/>
      <c r="AN226" s="13" t="n"/>
      <c r="AO226" s="13" t="n"/>
      <c r="AP226" s="13" t="n"/>
      <c r="AQ226" s="13" t="n"/>
      <c r="AR226" s="13" t="n"/>
      <c r="AS226" s="13" t="n"/>
    </row>
    <row r="227" ht="30" customHeight="1" s="41">
      <c r="A227" s="12" t="n"/>
      <c r="B227" s="12" t="n"/>
      <c r="C227" s="12" t="n"/>
      <c r="D227" s="12" t="n"/>
      <c r="E227" s="128">
        <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f>
        <v/>
      </c>
      <c r="F227" s="12" t="n"/>
      <c r="G227" s="134" t="n"/>
      <c r="H227" s="134" t="n"/>
      <c r="I227" s="12" t="n"/>
      <c r="J227" s="12" t="n"/>
      <c r="K227" s="130">
        <f>IF(A227="","",IF(J227="AUTO",H227,IF(J227="MANUAL",AK227,"")))</f>
        <v/>
      </c>
      <c r="L227" s="12" t="n"/>
      <c r="M227" s="12" t="n"/>
      <c r="N227" s="128">
        <f>IF(A227="","",IF(COUNTIFS('Human Operation Desktop'!$A$3:$A$502,A227,'Human Operation Desktop'!$I$3:$I$502,"&lt;&gt;APPLIED",'Human Operation Desktop'!$I$3:$I$502,"&lt;&gt;REJECTED")&gt;0,"YES","NO"))</f>
        <v/>
      </c>
      <c r="O227" s="12"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25" t="n"/>
      <c r="AL227" s="13" t="n"/>
      <c r="AM227" s="13" t="n"/>
      <c r="AN227" s="13" t="n"/>
      <c r="AO227" s="13" t="n"/>
      <c r="AP227" s="13" t="n"/>
      <c r="AQ227" s="13" t="n"/>
      <c r="AR227" s="13" t="n"/>
      <c r="AS227" s="13" t="n"/>
    </row>
    <row r="228" ht="30" customHeight="1" s="41">
      <c r="A228" s="12" t="n"/>
      <c r="B228" s="12" t="n"/>
      <c r="C228" s="12" t="n"/>
      <c r="D228" s="12" t="n"/>
      <c r="E228" s="128">
        <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f>
        <v/>
      </c>
      <c r="F228" s="12" t="n"/>
      <c r="G228" s="134" t="n"/>
      <c r="H228" s="134" t="n"/>
      <c r="I228" s="12" t="n"/>
      <c r="J228" s="12" t="n"/>
      <c r="K228" s="130">
        <f>IF(A228="","",IF(J228="AUTO",H228,IF(J228="MANUAL",AK228,"")))</f>
        <v/>
      </c>
      <c r="L228" s="12" t="n"/>
      <c r="M228" s="12" t="n"/>
      <c r="N228" s="128">
        <f>IF(A228="","",IF(COUNTIFS('Human Operation Desktop'!$A$3:$A$502,A228,'Human Operation Desktop'!$I$3:$I$502,"&lt;&gt;APPLIED",'Human Operation Desktop'!$I$3:$I$502,"&lt;&gt;REJECTED")&gt;0,"YES","NO"))</f>
        <v/>
      </c>
      <c r="O228" s="12"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25" t="n"/>
      <c r="AL228" s="13" t="n"/>
      <c r="AM228" s="13" t="n"/>
      <c r="AN228" s="13" t="n"/>
      <c r="AO228" s="13" t="n"/>
      <c r="AP228" s="13" t="n"/>
      <c r="AQ228" s="13" t="n"/>
      <c r="AR228" s="13" t="n"/>
      <c r="AS228" s="13" t="n"/>
    </row>
    <row r="229" ht="30" customHeight="1" s="41">
      <c r="A229" s="12" t="n"/>
      <c r="B229" s="12" t="n"/>
      <c r="C229" s="12" t="n"/>
      <c r="D229" s="12" t="n"/>
      <c r="E229" s="128">
        <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f>
        <v/>
      </c>
      <c r="F229" s="12" t="n"/>
      <c r="G229" s="134" t="n"/>
      <c r="H229" s="134" t="n"/>
      <c r="I229" s="12" t="n"/>
      <c r="J229" s="12" t="n"/>
      <c r="K229" s="130">
        <f>IF(A229="","",IF(J229="AUTO",H229,IF(J229="MANUAL",AK229,"")))</f>
        <v/>
      </c>
      <c r="L229" s="12" t="n"/>
      <c r="M229" s="12" t="n"/>
      <c r="N229" s="128">
        <f>IF(A229="","",IF(COUNTIFS('Human Operation Desktop'!$A$3:$A$502,A229,'Human Operation Desktop'!$I$3:$I$502,"&lt;&gt;APPLIED",'Human Operation Desktop'!$I$3:$I$502,"&lt;&gt;REJECTED")&gt;0,"YES","NO"))</f>
        <v/>
      </c>
      <c r="O229" s="12"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25" t="n"/>
      <c r="AL229" s="13" t="n"/>
      <c r="AM229" s="13" t="n"/>
      <c r="AN229" s="13" t="n"/>
      <c r="AO229" s="13" t="n"/>
      <c r="AP229" s="13" t="n"/>
      <c r="AQ229" s="13" t="n"/>
      <c r="AR229" s="13" t="n"/>
      <c r="AS229" s="13" t="n"/>
    </row>
    <row r="230" ht="30" customHeight="1" s="41">
      <c r="A230" s="12" t="n"/>
      <c r="B230" s="12" t="n"/>
      <c r="C230" s="12" t="n"/>
      <c r="D230" s="12" t="n"/>
      <c r="E230" s="128">
        <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f>
        <v/>
      </c>
      <c r="F230" s="12" t="n"/>
      <c r="G230" s="134" t="n"/>
      <c r="H230" s="134" t="n"/>
      <c r="I230" s="12" t="n"/>
      <c r="J230" s="12" t="n"/>
      <c r="K230" s="130">
        <f>IF(A230="","",IF(J230="AUTO",H230,IF(J230="MANUAL",AK230,"")))</f>
        <v/>
      </c>
      <c r="L230" s="12" t="n"/>
      <c r="M230" s="12" t="n"/>
      <c r="N230" s="128">
        <f>IF(A230="","",IF(COUNTIFS('Human Operation Desktop'!$A$3:$A$502,A230,'Human Operation Desktop'!$I$3:$I$502,"&lt;&gt;APPLIED",'Human Operation Desktop'!$I$3:$I$502,"&lt;&gt;REJECTED")&gt;0,"YES","NO"))</f>
        <v/>
      </c>
      <c r="O230" s="12"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25" t="n"/>
      <c r="AL230" s="13" t="n"/>
      <c r="AM230" s="13" t="n"/>
      <c r="AN230" s="13" t="n"/>
      <c r="AO230" s="13" t="n"/>
      <c r="AP230" s="13" t="n"/>
      <c r="AQ230" s="13" t="n"/>
      <c r="AR230" s="13" t="n"/>
      <c r="AS230" s="13" t="n"/>
    </row>
    <row r="231" ht="30" customHeight="1" s="41">
      <c r="A231" s="12" t="n"/>
      <c r="B231" s="12" t="n"/>
      <c r="C231" s="12" t="n"/>
      <c r="D231" s="12" t="n"/>
      <c r="E231" s="128">
        <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f>
        <v/>
      </c>
      <c r="F231" s="12" t="n"/>
      <c r="G231" s="134" t="n"/>
      <c r="H231" s="134" t="n"/>
      <c r="I231" s="12" t="n"/>
      <c r="J231" s="12" t="n"/>
      <c r="K231" s="130">
        <f>IF(A231="","",IF(J231="AUTO",H231,IF(J231="MANUAL",AK231,"")))</f>
        <v/>
      </c>
      <c r="L231" s="12" t="n"/>
      <c r="M231" s="12" t="n"/>
      <c r="N231" s="128">
        <f>IF(A231="","",IF(COUNTIFS('Human Operation Desktop'!$A$3:$A$502,A231,'Human Operation Desktop'!$I$3:$I$502,"&lt;&gt;APPLIED",'Human Operation Desktop'!$I$3:$I$502,"&lt;&gt;REJECTED")&gt;0,"YES","NO"))</f>
        <v/>
      </c>
      <c r="O231" s="12"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25" t="n"/>
      <c r="AL231" s="13" t="n"/>
      <c r="AM231" s="13" t="n"/>
      <c r="AN231" s="13" t="n"/>
      <c r="AO231" s="13" t="n"/>
      <c r="AP231" s="13" t="n"/>
      <c r="AQ231" s="13" t="n"/>
      <c r="AR231" s="13" t="n"/>
      <c r="AS231" s="13" t="n"/>
    </row>
    <row r="232" ht="30" customHeight="1" s="41">
      <c r="A232" s="12" t="n"/>
      <c r="B232" s="12" t="n"/>
      <c r="C232" s="12" t="n"/>
      <c r="D232" s="12" t="n"/>
      <c r="E232" s="128">
        <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f>
        <v/>
      </c>
      <c r="F232" s="12" t="n"/>
      <c r="G232" s="134" t="n"/>
      <c r="H232" s="134" t="n"/>
      <c r="I232" s="12" t="n"/>
      <c r="J232" s="12" t="n"/>
      <c r="K232" s="130">
        <f>IF(A232="","",IF(J232="AUTO",H232,IF(J232="MANUAL",AK232,"")))</f>
        <v/>
      </c>
      <c r="L232" s="12" t="n"/>
      <c r="M232" s="12" t="n"/>
      <c r="N232" s="128">
        <f>IF(A232="","",IF(COUNTIFS('Human Operation Desktop'!$A$3:$A$502,A232,'Human Operation Desktop'!$I$3:$I$502,"&lt;&gt;APPLIED",'Human Operation Desktop'!$I$3:$I$502,"&lt;&gt;REJECTED")&gt;0,"YES","NO"))</f>
        <v/>
      </c>
      <c r="O232" s="12"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25" t="n"/>
      <c r="AL232" s="13" t="n"/>
      <c r="AM232" s="13" t="n"/>
      <c r="AN232" s="13" t="n"/>
      <c r="AO232" s="13" t="n"/>
      <c r="AP232" s="13" t="n"/>
      <c r="AQ232" s="13" t="n"/>
      <c r="AR232" s="13" t="n"/>
      <c r="AS232" s="13" t="n"/>
    </row>
    <row r="233" ht="30" customHeight="1" s="41">
      <c r="A233" s="12" t="n"/>
      <c r="B233" s="12" t="n"/>
      <c r="C233" s="12" t="n"/>
      <c r="D233" s="12" t="n"/>
      <c r="E233" s="128">
        <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f>
        <v/>
      </c>
      <c r="F233" s="12" t="n"/>
      <c r="G233" s="134" t="n"/>
      <c r="H233" s="134" t="n"/>
      <c r="I233" s="12" t="n"/>
      <c r="J233" s="12" t="n"/>
      <c r="K233" s="130">
        <f>IF(A233="","",IF(J233="AUTO",H233,IF(J233="MANUAL",AK233,"")))</f>
        <v/>
      </c>
      <c r="L233" s="12" t="n"/>
      <c r="M233" s="12" t="n"/>
      <c r="N233" s="128">
        <f>IF(A233="","",IF(COUNTIFS('Human Operation Desktop'!$A$3:$A$502,A233,'Human Operation Desktop'!$I$3:$I$502,"&lt;&gt;APPLIED",'Human Operation Desktop'!$I$3:$I$502,"&lt;&gt;REJECTED")&gt;0,"YES","NO"))</f>
        <v/>
      </c>
      <c r="O233" s="12"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25" t="n"/>
      <c r="AL233" s="13" t="n"/>
      <c r="AM233" s="13" t="n"/>
      <c r="AN233" s="13" t="n"/>
      <c r="AO233" s="13" t="n"/>
      <c r="AP233" s="13" t="n"/>
      <c r="AQ233" s="13" t="n"/>
      <c r="AR233" s="13" t="n"/>
      <c r="AS233" s="13" t="n"/>
    </row>
    <row r="234" ht="30" customHeight="1" s="41">
      <c r="A234" s="12" t="n"/>
      <c r="B234" s="12" t="n"/>
      <c r="C234" s="12" t="n"/>
      <c r="D234" s="12" t="n"/>
      <c r="E234" s="128">
        <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f>
        <v/>
      </c>
      <c r="F234" s="12" t="n"/>
      <c r="G234" s="134" t="n"/>
      <c r="H234" s="134" t="n"/>
      <c r="I234" s="12" t="n"/>
      <c r="J234" s="12" t="n"/>
      <c r="K234" s="130">
        <f>IF(A234="","",IF(J234="AUTO",H234,IF(J234="MANUAL",AK234,"")))</f>
        <v/>
      </c>
      <c r="L234" s="12" t="n"/>
      <c r="M234" s="12" t="n"/>
      <c r="N234" s="128">
        <f>IF(A234="","",IF(COUNTIFS('Human Operation Desktop'!$A$3:$A$502,A234,'Human Operation Desktop'!$I$3:$I$502,"&lt;&gt;APPLIED",'Human Operation Desktop'!$I$3:$I$502,"&lt;&gt;REJECTED")&gt;0,"YES","NO"))</f>
        <v/>
      </c>
      <c r="O234" s="12"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25" t="n"/>
      <c r="AL234" s="13" t="n"/>
      <c r="AM234" s="13" t="n"/>
      <c r="AN234" s="13" t="n"/>
      <c r="AO234" s="13" t="n"/>
      <c r="AP234" s="13" t="n"/>
      <c r="AQ234" s="13" t="n"/>
      <c r="AR234" s="13" t="n"/>
      <c r="AS234" s="13" t="n"/>
    </row>
    <row r="235" ht="30" customHeight="1" s="41">
      <c r="A235" s="12" t="n"/>
      <c r="B235" s="12" t="n"/>
      <c r="C235" s="12" t="n"/>
      <c r="D235" s="12" t="n"/>
      <c r="E235" s="128">
        <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f>
        <v/>
      </c>
      <c r="F235" s="12" t="n"/>
      <c r="G235" s="134" t="n"/>
      <c r="H235" s="134" t="n"/>
      <c r="I235" s="12" t="n"/>
      <c r="J235" s="12" t="n"/>
      <c r="K235" s="130">
        <f>IF(A235="","",IF(J235="AUTO",H235,IF(J235="MANUAL",AK235,"")))</f>
        <v/>
      </c>
      <c r="L235" s="12" t="n"/>
      <c r="M235" s="12" t="n"/>
      <c r="N235" s="128">
        <f>IF(A235="","",IF(COUNTIFS('Human Operation Desktop'!$A$3:$A$502,A235,'Human Operation Desktop'!$I$3:$I$502,"&lt;&gt;APPLIED",'Human Operation Desktop'!$I$3:$I$502,"&lt;&gt;REJECTED")&gt;0,"YES","NO"))</f>
        <v/>
      </c>
      <c r="O235" s="12"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25" t="n"/>
      <c r="AL235" s="13" t="n"/>
      <c r="AM235" s="13" t="n"/>
      <c r="AN235" s="13" t="n"/>
      <c r="AO235" s="13" t="n"/>
      <c r="AP235" s="13" t="n"/>
      <c r="AQ235" s="13" t="n"/>
      <c r="AR235" s="13" t="n"/>
      <c r="AS235" s="13" t="n"/>
    </row>
    <row r="236" ht="30" customHeight="1" s="41">
      <c r="A236" s="12" t="n"/>
      <c r="B236" s="12" t="n"/>
      <c r="C236" s="12" t="n"/>
      <c r="D236" s="12" t="n"/>
      <c r="E236" s="128">
        <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f>
        <v/>
      </c>
      <c r="F236" s="12" t="n"/>
      <c r="G236" s="134" t="n"/>
      <c r="H236" s="134" t="n"/>
      <c r="I236" s="12" t="n"/>
      <c r="J236" s="12" t="n"/>
      <c r="K236" s="130">
        <f>IF(A236="","",IF(J236="AUTO",H236,IF(J236="MANUAL",AK236,"")))</f>
        <v/>
      </c>
      <c r="L236" s="12" t="n"/>
      <c r="M236" s="12" t="n"/>
      <c r="N236" s="128">
        <f>IF(A236="","",IF(COUNTIFS('Human Operation Desktop'!$A$3:$A$502,A236,'Human Operation Desktop'!$I$3:$I$502,"&lt;&gt;APPLIED",'Human Operation Desktop'!$I$3:$I$502,"&lt;&gt;REJECTED")&gt;0,"YES","NO"))</f>
        <v/>
      </c>
      <c r="O236" s="12"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25" t="n"/>
      <c r="AL236" s="13" t="n"/>
      <c r="AM236" s="13" t="n"/>
      <c r="AN236" s="13" t="n"/>
      <c r="AO236" s="13" t="n"/>
      <c r="AP236" s="13" t="n"/>
      <c r="AQ236" s="13" t="n"/>
      <c r="AR236" s="13" t="n"/>
      <c r="AS236" s="13" t="n"/>
    </row>
    <row r="237" ht="30" customHeight="1" s="41">
      <c r="A237" s="12" t="n"/>
      <c r="B237" s="12" t="n"/>
      <c r="C237" s="12" t="n"/>
      <c r="D237" s="12" t="n"/>
      <c r="E237" s="128">
        <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f>
        <v/>
      </c>
      <c r="F237" s="12" t="n"/>
      <c r="G237" s="134" t="n"/>
      <c r="H237" s="134" t="n"/>
      <c r="I237" s="12" t="n"/>
      <c r="J237" s="12" t="n"/>
      <c r="K237" s="130">
        <f>IF(A237="","",IF(J237="AUTO",H237,IF(J237="MANUAL",AK237,"")))</f>
        <v/>
      </c>
      <c r="L237" s="12" t="n"/>
      <c r="M237" s="12" t="n"/>
      <c r="N237" s="128">
        <f>IF(A237="","",IF(COUNTIFS('Human Operation Desktop'!$A$3:$A$502,A237,'Human Operation Desktop'!$I$3:$I$502,"&lt;&gt;APPLIED",'Human Operation Desktop'!$I$3:$I$502,"&lt;&gt;REJECTED")&gt;0,"YES","NO"))</f>
        <v/>
      </c>
      <c r="O237" s="12"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25" t="n"/>
      <c r="AL237" s="13" t="n"/>
      <c r="AM237" s="13" t="n"/>
      <c r="AN237" s="13" t="n"/>
      <c r="AO237" s="13" t="n"/>
      <c r="AP237" s="13" t="n"/>
      <c r="AQ237" s="13" t="n"/>
      <c r="AR237" s="13" t="n"/>
      <c r="AS237" s="13" t="n"/>
    </row>
    <row r="238" ht="30" customHeight="1" s="41">
      <c r="A238" s="12" t="n"/>
      <c r="B238" s="12" t="n"/>
      <c r="C238" s="12" t="n"/>
      <c r="D238" s="12" t="n"/>
      <c r="E238" s="128">
        <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f>
        <v/>
      </c>
      <c r="F238" s="12" t="n"/>
      <c r="G238" s="134" t="n"/>
      <c r="H238" s="134" t="n"/>
      <c r="I238" s="12" t="n"/>
      <c r="J238" s="12" t="n"/>
      <c r="K238" s="130">
        <f>IF(A238="","",IF(J238="AUTO",H238,IF(J238="MANUAL",AK238,"")))</f>
        <v/>
      </c>
      <c r="L238" s="12" t="n"/>
      <c r="M238" s="12" t="n"/>
      <c r="N238" s="128">
        <f>IF(A238="","",IF(COUNTIFS('Human Operation Desktop'!$A$3:$A$502,A238,'Human Operation Desktop'!$I$3:$I$502,"&lt;&gt;APPLIED",'Human Operation Desktop'!$I$3:$I$502,"&lt;&gt;REJECTED")&gt;0,"YES","NO"))</f>
        <v/>
      </c>
      <c r="O238" s="12"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25" t="n"/>
      <c r="AL238" s="13" t="n"/>
      <c r="AM238" s="13" t="n"/>
      <c r="AN238" s="13" t="n"/>
      <c r="AO238" s="13" t="n"/>
      <c r="AP238" s="13" t="n"/>
      <c r="AQ238" s="13" t="n"/>
      <c r="AR238" s="13" t="n"/>
      <c r="AS238" s="13" t="n"/>
    </row>
    <row r="239" ht="30" customHeight="1" s="41">
      <c r="A239" s="12" t="n"/>
      <c r="B239" s="12" t="n"/>
      <c r="C239" s="12" t="n"/>
      <c r="D239" s="12" t="n"/>
      <c r="E239" s="128">
        <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f>
        <v/>
      </c>
      <c r="F239" s="12" t="n"/>
      <c r="G239" s="134" t="n"/>
      <c r="H239" s="134" t="n"/>
      <c r="I239" s="12" t="n"/>
      <c r="J239" s="12" t="n"/>
      <c r="K239" s="130">
        <f>IF(A239="","",IF(J239="AUTO",H239,IF(J239="MANUAL",AK239,"")))</f>
        <v/>
      </c>
      <c r="L239" s="12" t="n"/>
      <c r="M239" s="12" t="n"/>
      <c r="N239" s="128">
        <f>IF(A239="","",IF(COUNTIFS('Human Operation Desktop'!$A$3:$A$502,A239,'Human Operation Desktop'!$I$3:$I$502,"&lt;&gt;APPLIED",'Human Operation Desktop'!$I$3:$I$502,"&lt;&gt;REJECTED")&gt;0,"YES","NO"))</f>
        <v/>
      </c>
      <c r="O239" s="12"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25" t="n"/>
      <c r="AL239" s="13" t="n"/>
      <c r="AM239" s="13" t="n"/>
      <c r="AN239" s="13" t="n"/>
      <c r="AO239" s="13" t="n"/>
      <c r="AP239" s="13" t="n"/>
      <c r="AQ239" s="13" t="n"/>
      <c r="AR239" s="13" t="n"/>
      <c r="AS239" s="13" t="n"/>
    </row>
    <row r="240" ht="30" customHeight="1" s="41">
      <c r="A240" s="12" t="n"/>
      <c r="B240" s="12" t="n"/>
      <c r="C240" s="12" t="n"/>
      <c r="D240" s="12" t="n"/>
      <c r="E240" s="128">
        <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f>
        <v/>
      </c>
      <c r="F240" s="12" t="n"/>
      <c r="G240" s="134" t="n"/>
      <c r="H240" s="134" t="n"/>
      <c r="I240" s="12" t="n"/>
      <c r="J240" s="12" t="n"/>
      <c r="K240" s="130">
        <f>IF(A240="","",IF(J240="AUTO",H240,IF(J240="MANUAL",AK240,"")))</f>
        <v/>
      </c>
      <c r="L240" s="12" t="n"/>
      <c r="M240" s="12" t="n"/>
      <c r="N240" s="128">
        <f>IF(A240="","",IF(COUNTIFS('Human Operation Desktop'!$A$3:$A$502,A240,'Human Operation Desktop'!$I$3:$I$502,"&lt;&gt;APPLIED",'Human Operation Desktop'!$I$3:$I$502,"&lt;&gt;REJECTED")&gt;0,"YES","NO"))</f>
        <v/>
      </c>
      <c r="O240" s="12"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25" t="n"/>
      <c r="AL240" s="13" t="n"/>
      <c r="AM240" s="13" t="n"/>
      <c r="AN240" s="13" t="n"/>
      <c r="AO240" s="13" t="n"/>
      <c r="AP240" s="13" t="n"/>
      <c r="AQ240" s="13" t="n"/>
      <c r="AR240" s="13" t="n"/>
      <c r="AS240" s="13" t="n"/>
    </row>
    <row r="241" ht="30" customHeight="1" s="41">
      <c r="A241" s="12" t="n"/>
      <c r="B241" s="12" t="n"/>
      <c r="C241" s="12" t="n"/>
      <c r="D241" s="12" t="n"/>
      <c r="E241" s="128">
        <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f>
        <v/>
      </c>
      <c r="F241" s="12" t="n"/>
      <c r="G241" s="134" t="n"/>
      <c r="H241" s="134" t="n"/>
      <c r="I241" s="12" t="n"/>
      <c r="J241" s="12" t="n"/>
      <c r="K241" s="130">
        <f>IF(A241="","",IF(J241="AUTO",H241,IF(J241="MANUAL",AK241,"")))</f>
        <v/>
      </c>
      <c r="L241" s="12" t="n"/>
      <c r="M241" s="12" t="n"/>
      <c r="N241" s="128">
        <f>IF(A241="","",IF(COUNTIFS('Human Operation Desktop'!$A$3:$A$502,A241,'Human Operation Desktop'!$I$3:$I$502,"&lt;&gt;APPLIED",'Human Operation Desktop'!$I$3:$I$502,"&lt;&gt;REJECTED")&gt;0,"YES","NO"))</f>
        <v/>
      </c>
      <c r="O241" s="12"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25" t="n"/>
      <c r="AL241" s="13" t="n"/>
      <c r="AM241" s="13" t="n"/>
      <c r="AN241" s="13" t="n"/>
      <c r="AO241" s="13" t="n"/>
      <c r="AP241" s="13" t="n"/>
      <c r="AQ241" s="13" t="n"/>
      <c r="AR241" s="13" t="n"/>
      <c r="AS241" s="13" t="n"/>
    </row>
    <row r="242" ht="30" customHeight="1" s="41">
      <c r="A242" s="12" t="n"/>
      <c r="B242" s="12" t="n"/>
      <c r="C242" s="12" t="n"/>
      <c r="D242" s="12" t="n"/>
      <c r="E242" s="128">
        <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f>
        <v/>
      </c>
      <c r="F242" s="12" t="n"/>
      <c r="G242" s="134" t="n"/>
      <c r="H242" s="134" t="n"/>
      <c r="I242" s="12" t="n"/>
      <c r="J242" s="12" t="n"/>
      <c r="K242" s="130">
        <f>IF(A242="","",IF(J242="AUTO",H242,IF(J242="MANUAL",AK242,"")))</f>
        <v/>
      </c>
      <c r="L242" s="12" t="n"/>
      <c r="M242" s="12" t="n"/>
      <c r="N242" s="128">
        <f>IF(A242="","",IF(COUNTIFS('Human Operation Desktop'!$A$3:$A$502,A242,'Human Operation Desktop'!$I$3:$I$502,"&lt;&gt;APPLIED",'Human Operation Desktop'!$I$3:$I$502,"&lt;&gt;REJECTED")&gt;0,"YES","NO"))</f>
        <v/>
      </c>
      <c r="O242" s="12"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25" t="n"/>
      <c r="AL242" s="13" t="n"/>
      <c r="AM242" s="13" t="n"/>
      <c r="AN242" s="13" t="n"/>
      <c r="AO242" s="13" t="n"/>
      <c r="AP242" s="13" t="n"/>
      <c r="AQ242" s="13" t="n"/>
      <c r="AR242" s="13" t="n"/>
      <c r="AS242" s="13" t="n"/>
    </row>
    <row r="243" ht="30" customHeight="1" s="41">
      <c r="A243" s="12" t="n"/>
      <c r="B243" s="12" t="n"/>
      <c r="C243" s="12" t="n"/>
      <c r="D243" s="12" t="n"/>
      <c r="E243" s="128">
        <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f>
        <v/>
      </c>
      <c r="F243" s="12" t="n"/>
      <c r="G243" s="134" t="n"/>
      <c r="H243" s="134" t="n"/>
      <c r="I243" s="12" t="n"/>
      <c r="J243" s="12" t="n"/>
      <c r="K243" s="130">
        <f>IF(A243="","",IF(J243="AUTO",H243,IF(J243="MANUAL",AK243,"")))</f>
        <v/>
      </c>
      <c r="L243" s="12" t="n"/>
      <c r="M243" s="12" t="n"/>
      <c r="N243" s="128">
        <f>IF(A243="","",IF(COUNTIFS('Human Operation Desktop'!$A$3:$A$502,A243,'Human Operation Desktop'!$I$3:$I$502,"&lt;&gt;APPLIED",'Human Operation Desktop'!$I$3:$I$502,"&lt;&gt;REJECTED")&gt;0,"YES","NO"))</f>
        <v/>
      </c>
      <c r="O243" s="12"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25" t="n"/>
      <c r="AL243" s="13" t="n"/>
      <c r="AM243" s="13" t="n"/>
      <c r="AN243" s="13" t="n"/>
      <c r="AO243" s="13" t="n"/>
      <c r="AP243" s="13" t="n"/>
      <c r="AQ243" s="13" t="n"/>
      <c r="AR243" s="13" t="n"/>
      <c r="AS243" s="13" t="n"/>
    </row>
    <row r="244" ht="30" customHeight="1" s="41">
      <c r="A244" s="12" t="n"/>
      <c r="B244" s="12" t="n"/>
      <c r="C244" s="12" t="n"/>
      <c r="D244" s="12" t="n"/>
      <c r="E244" s="128">
        <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f>
        <v/>
      </c>
      <c r="F244" s="12" t="n"/>
      <c r="G244" s="134" t="n"/>
      <c r="H244" s="134" t="n"/>
      <c r="I244" s="12" t="n"/>
      <c r="J244" s="12" t="n"/>
      <c r="K244" s="130">
        <f>IF(A244="","",IF(J244="AUTO",H244,IF(J244="MANUAL",AK244,"")))</f>
        <v/>
      </c>
      <c r="L244" s="12" t="n"/>
      <c r="M244" s="12" t="n"/>
      <c r="N244" s="128">
        <f>IF(A244="","",IF(COUNTIFS('Human Operation Desktop'!$A$3:$A$502,A244,'Human Operation Desktop'!$I$3:$I$502,"&lt;&gt;APPLIED",'Human Operation Desktop'!$I$3:$I$502,"&lt;&gt;REJECTED")&gt;0,"YES","NO"))</f>
        <v/>
      </c>
      <c r="O244" s="12"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25" t="n"/>
      <c r="AL244" s="13" t="n"/>
      <c r="AM244" s="13" t="n"/>
      <c r="AN244" s="13" t="n"/>
      <c r="AO244" s="13" t="n"/>
      <c r="AP244" s="13" t="n"/>
      <c r="AQ244" s="13" t="n"/>
      <c r="AR244" s="13" t="n"/>
      <c r="AS244" s="13" t="n"/>
    </row>
    <row r="245" ht="30" customHeight="1" s="41">
      <c r="A245" s="12" t="n"/>
      <c r="B245" s="12" t="n"/>
      <c r="C245" s="12" t="n"/>
      <c r="D245" s="12" t="n"/>
      <c r="E245" s="128">
        <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f>
        <v/>
      </c>
      <c r="F245" s="12" t="n"/>
      <c r="G245" s="134" t="n"/>
      <c r="H245" s="134" t="n"/>
      <c r="I245" s="12" t="n"/>
      <c r="J245" s="12" t="n"/>
      <c r="K245" s="130">
        <f>IF(A245="","",IF(J245="AUTO",H245,IF(J245="MANUAL",AK245,"")))</f>
        <v/>
      </c>
      <c r="L245" s="12" t="n"/>
      <c r="M245" s="12" t="n"/>
      <c r="N245" s="128">
        <f>IF(A245="","",IF(COUNTIFS('Human Operation Desktop'!$A$3:$A$502,A245,'Human Operation Desktop'!$I$3:$I$502,"&lt;&gt;APPLIED",'Human Operation Desktop'!$I$3:$I$502,"&lt;&gt;REJECTED")&gt;0,"YES","NO"))</f>
        <v/>
      </c>
      <c r="O245" s="12"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25" t="n"/>
      <c r="AL245" s="13" t="n"/>
      <c r="AM245" s="13" t="n"/>
      <c r="AN245" s="13" t="n"/>
      <c r="AO245" s="13" t="n"/>
      <c r="AP245" s="13" t="n"/>
      <c r="AQ245" s="13" t="n"/>
      <c r="AR245" s="13" t="n"/>
      <c r="AS245" s="13" t="n"/>
    </row>
    <row r="246" ht="30" customHeight="1" s="41">
      <c r="A246" s="12" t="n"/>
      <c r="B246" s="12" t="n"/>
      <c r="C246" s="12" t="n"/>
      <c r="D246" s="12" t="n"/>
      <c r="E246" s="128">
        <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f>
        <v/>
      </c>
      <c r="F246" s="12" t="n"/>
      <c r="G246" s="134" t="n"/>
      <c r="H246" s="134" t="n"/>
      <c r="I246" s="12" t="n"/>
      <c r="J246" s="12" t="n"/>
      <c r="K246" s="130">
        <f>IF(A246="","",IF(J246="AUTO",H246,IF(J246="MANUAL",AK246,"")))</f>
        <v/>
      </c>
      <c r="L246" s="12" t="n"/>
      <c r="M246" s="12" t="n"/>
      <c r="N246" s="128">
        <f>IF(A246="","",IF(COUNTIFS('Human Operation Desktop'!$A$3:$A$502,A246,'Human Operation Desktop'!$I$3:$I$502,"&lt;&gt;APPLIED",'Human Operation Desktop'!$I$3:$I$502,"&lt;&gt;REJECTED")&gt;0,"YES","NO"))</f>
        <v/>
      </c>
      <c r="O246" s="12"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25" t="n"/>
      <c r="AL246" s="13" t="n"/>
      <c r="AM246" s="13" t="n"/>
      <c r="AN246" s="13" t="n"/>
      <c r="AO246" s="13" t="n"/>
      <c r="AP246" s="13" t="n"/>
      <c r="AQ246" s="13" t="n"/>
      <c r="AR246" s="13" t="n"/>
      <c r="AS246" s="13" t="n"/>
    </row>
    <row r="247" ht="30" customHeight="1" s="41">
      <c r="A247" s="12" t="n"/>
      <c r="B247" s="12" t="n"/>
      <c r="C247" s="12" t="n"/>
      <c r="D247" s="12" t="n"/>
      <c r="E247" s="128">
        <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f>
        <v/>
      </c>
      <c r="F247" s="12" t="n"/>
      <c r="G247" s="134" t="n"/>
      <c r="H247" s="134" t="n"/>
      <c r="I247" s="12" t="n"/>
      <c r="J247" s="12" t="n"/>
      <c r="K247" s="130">
        <f>IF(A247="","",IF(J247="AUTO",H247,IF(J247="MANUAL",AK247,"")))</f>
        <v/>
      </c>
      <c r="L247" s="12" t="n"/>
      <c r="M247" s="12" t="n"/>
      <c r="N247" s="128">
        <f>IF(A247="","",IF(COUNTIFS('Human Operation Desktop'!$A$3:$A$502,A247,'Human Operation Desktop'!$I$3:$I$502,"&lt;&gt;APPLIED",'Human Operation Desktop'!$I$3:$I$502,"&lt;&gt;REJECTED")&gt;0,"YES","NO"))</f>
        <v/>
      </c>
      <c r="O247" s="12"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25" t="n"/>
      <c r="AL247" s="13" t="n"/>
      <c r="AM247" s="13" t="n"/>
      <c r="AN247" s="13" t="n"/>
      <c r="AO247" s="13" t="n"/>
      <c r="AP247" s="13" t="n"/>
      <c r="AQ247" s="13" t="n"/>
      <c r="AR247" s="13" t="n"/>
      <c r="AS247" s="13" t="n"/>
    </row>
    <row r="248" ht="30" customHeight="1" s="41">
      <c r="A248" s="12" t="n"/>
      <c r="B248" s="12" t="n"/>
      <c r="C248" s="12" t="n"/>
      <c r="D248" s="12" t="n"/>
      <c r="E248" s="128">
        <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f>
        <v/>
      </c>
      <c r="F248" s="12" t="n"/>
      <c r="G248" s="134" t="n"/>
      <c r="H248" s="134" t="n"/>
      <c r="I248" s="12" t="n"/>
      <c r="J248" s="12" t="n"/>
      <c r="K248" s="130">
        <f>IF(A248="","",IF(J248="AUTO",H248,IF(J248="MANUAL",AK248,"")))</f>
        <v/>
      </c>
      <c r="L248" s="12" t="n"/>
      <c r="M248" s="12" t="n"/>
      <c r="N248" s="128">
        <f>IF(A248="","",IF(COUNTIFS('Human Operation Desktop'!$A$3:$A$502,A248,'Human Operation Desktop'!$I$3:$I$502,"&lt;&gt;APPLIED",'Human Operation Desktop'!$I$3:$I$502,"&lt;&gt;REJECTED")&gt;0,"YES","NO"))</f>
        <v/>
      </c>
      <c r="O248" s="12"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25" t="n"/>
      <c r="AL248" s="13" t="n"/>
      <c r="AM248" s="13" t="n"/>
      <c r="AN248" s="13" t="n"/>
      <c r="AO248" s="13" t="n"/>
      <c r="AP248" s="13" t="n"/>
      <c r="AQ248" s="13" t="n"/>
      <c r="AR248" s="13" t="n"/>
      <c r="AS248" s="13" t="n"/>
    </row>
    <row r="249" ht="30" customHeight="1" s="41">
      <c r="A249" s="12" t="n"/>
      <c r="B249" s="12" t="n"/>
      <c r="C249" s="12" t="n"/>
      <c r="D249" s="12" t="n"/>
      <c r="E249" s="128">
        <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f>
        <v/>
      </c>
      <c r="F249" s="12" t="n"/>
      <c r="G249" s="134" t="n"/>
      <c r="H249" s="134" t="n"/>
      <c r="I249" s="12" t="n"/>
      <c r="J249" s="12" t="n"/>
      <c r="K249" s="130">
        <f>IF(A249="","",IF(J249="AUTO",H249,IF(J249="MANUAL",AK249,"")))</f>
        <v/>
      </c>
      <c r="L249" s="12" t="n"/>
      <c r="M249" s="12" t="n"/>
      <c r="N249" s="128">
        <f>IF(A249="","",IF(COUNTIFS('Human Operation Desktop'!$A$3:$A$502,A249,'Human Operation Desktop'!$I$3:$I$502,"&lt;&gt;APPLIED",'Human Operation Desktop'!$I$3:$I$502,"&lt;&gt;REJECTED")&gt;0,"YES","NO"))</f>
        <v/>
      </c>
      <c r="O249" s="12"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25" t="n"/>
      <c r="AL249" s="13" t="n"/>
      <c r="AM249" s="13" t="n"/>
      <c r="AN249" s="13" t="n"/>
      <c r="AO249" s="13" t="n"/>
      <c r="AP249" s="13" t="n"/>
      <c r="AQ249" s="13" t="n"/>
      <c r="AR249" s="13" t="n"/>
      <c r="AS249" s="13" t="n"/>
    </row>
    <row r="250" ht="30" customHeight="1" s="41">
      <c r="A250" s="12" t="n"/>
      <c r="B250" s="12" t="n"/>
      <c r="C250" s="12" t="n"/>
      <c r="D250" s="12" t="n"/>
      <c r="E250" s="128">
        <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f>
        <v/>
      </c>
      <c r="F250" s="12" t="n"/>
      <c r="G250" s="134" t="n"/>
      <c r="H250" s="134" t="n"/>
      <c r="I250" s="12" t="n"/>
      <c r="J250" s="12" t="n"/>
      <c r="K250" s="130">
        <f>IF(A250="","",IF(J250="AUTO",H250,IF(J250="MANUAL",AK250,"")))</f>
        <v/>
      </c>
      <c r="L250" s="12" t="n"/>
      <c r="M250" s="12" t="n"/>
      <c r="N250" s="128">
        <f>IF(A250="","",IF(COUNTIFS('Human Operation Desktop'!$A$3:$A$502,A250,'Human Operation Desktop'!$I$3:$I$502,"&lt;&gt;APPLIED",'Human Operation Desktop'!$I$3:$I$502,"&lt;&gt;REJECTED")&gt;0,"YES","NO"))</f>
        <v/>
      </c>
      <c r="O250" s="12"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25" t="n"/>
      <c r="AL250" s="13" t="n"/>
      <c r="AM250" s="13" t="n"/>
      <c r="AN250" s="13" t="n"/>
      <c r="AO250" s="13" t="n"/>
      <c r="AP250" s="13" t="n"/>
      <c r="AQ250" s="13" t="n"/>
      <c r="AR250" s="13" t="n"/>
      <c r="AS250" s="13" t="n"/>
    </row>
    <row r="251" ht="30" customHeight="1" s="41">
      <c r="A251" s="12" t="n"/>
      <c r="B251" s="12" t="n"/>
      <c r="C251" s="12" t="n"/>
      <c r="D251" s="12" t="n"/>
      <c r="E251" s="12">
        <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f>
        <v/>
      </c>
      <c r="F251" s="12" t="n"/>
      <c r="G251" s="134" t="n"/>
      <c r="H251" s="134" t="n"/>
      <c r="I251" s="12" t="n"/>
      <c r="J251" s="12" t="n"/>
      <c r="K251" s="135">
        <f>IF(A251="","",IF(J251="AUTO",H251,IF(J251="MANUAL",AK251,"")))</f>
        <v/>
      </c>
      <c r="L251" s="12" t="n"/>
      <c r="M251" s="12" t="n"/>
      <c r="N251" s="12">
        <f>IF(A251="","",IF(COUNTIFS('Human Operation Desktop'!$A$3:$A$502,A251,'Human Operation Desktop'!$I$3:$I$502,"&lt;&gt;APPLIED",'Human Operation Desktop'!$I$3:$I$502,"&lt;&gt;REJECTED")&gt;0,"YES","NO"))</f>
        <v/>
      </c>
      <c r="O251" s="12"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25" t="n"/>
      <c r="AL251" s="13" t="n"/>
      <c r="AM251" s="13" t="n"/>
      <c r="AN251" s="13" t="n"/>
      <c r="AO251" s="13" t="n"/>
      <c r="AP251" s="13" t="n"/>
      <c r="AQ251" s="13" t="n"/>
      <c r="AR251" s="13" t="n"/>
      <c r="AS251" s="13" t="n"/>
    </row>
    <row r="252" ht="30" customHeight="1" s="41">
      <c r="A252" s="12" t="n"/>
      <c r="B252" s="12" t="n"/>
      <c r="C252" s="12" t="n"/>
      <c r="D252" s="12" t="n"/>
      <c r="E252" s="12">
        <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f>
        <v/>
      </c>
      <c r="F252" s="12" t="n"/>
      <c r="G252" s="134" t="n"/>
      <c r="H252" s="134" t="n"/>
      <c r="I252" s="12" t="n"/>
      <c r="J252" s="12" t="n"/>
      <c r="K252" s="135">
        <f>IF(A252="","",IF(J252="AUTO",H252,IF(J252="MANUAL",AK252,"")))</f>
        <v/>
      </c>
      <c r="L252" s="12" t="n"/>
      <c r="M252" s="12" t="n"/>
      <c r="N252" s="12">
        <f>IF(A252="","",IF(COUNTIFS('Human Operation Desktop'!$A$3:$A$502,A252,'Human Operation Desktop'!$I$3:$I$502,"&lt;&gt;APPLIED",'Human Operation Desktop'!$I$3:$I$502,"&lt;&gt;REJECTED")&gt;0,"YES","NO"))</f>
        <v/>
      </c>
      <c r="O252" s="12"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25" t="n"/>
      <c r="AL252" s="13" t="n"/>
      <c r="AM252" s="13" t="n"/>
      <c r="AN252" s="13" t="n"/>
      <c r="AO252" s="13" t="n"/>
      <c r="AP252" s="13" t="n"/>
      <c r="AQ252" s="13" t="n"/>
      <c r="AR252" s="13" t="n"/>
      <c r="AS252" s="13" t="n"/>
    </row>
    <row r="253" ht="30" customHeight="1" s="41">
      <c r="A253" s="12" t="n"/>
      <c r="B253" s="12" t="n"/>
      <c r="C253" s="12" t="n"/>
      <c r="D253" s="12" t="n"/>
      <c r="E253" s="12">
        <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f>
        <v/>
      </c>
      <c r="F253" s="12" t="n"/>
      <c r="G253" s="134" t="n"/>
      <c r="H253" s="134" t="n"/>
      <c r="I253" s="12" t="n"/>
      <c r="J253" s="12" t="n"/>
      <c r="K253" s="135">
        <f>IF(A253="","",IF(J253="AUTO",H253,IF(J253="MANUAL",AK253,"")))</f>
        <v/>
      </c>
      <c r="L253" s="12" t="n"/>
      <c r="M253" s="12" t="n"/>
      <c r="N253" s="12">
        <f>IF(A253="","",IF(COUNTIFS('Human Operation Desktop'!$A$3:$A$502,A253,'Human Operation Desktop'!$I$3:$I$502,"&lt;&gt;APPLIED",'Human Operation Desktop'!$I$3:$I$502,"&lt;&gt;REJECTED")&gt;0,"YES","NO"))</f>
        <v/>
      </c>
      <c r="O253" s="12"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25" t="n"/>
      <c r="AL253" s="13" t="n"/>
      <c r="AM253" s="13" t="n"/>
      <c r="AN253" s="13" t="n"/>
      <c r="AO253" s="13" t="n"/>
      <c r="AP253" s="13" t="n"/>
      <c r="AQ253" s="13" t="n"/>
      <c r="AR253" s="13" t="n"/>
      <c r="AS253" s="13" t="n"/>
    </row>
    <row r="254" ht="30" customHeight="1" s="41">
      <c r="A254" s="12" t="n"/>
      <c r="B254" s="12" t="n"/>
      <c r="C254" s="12" t="n"/>
      <c r="D254" s="12" t="n"/>
      <c r="E254" s="12">
        <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f>
        <v/>
      </c>
      <c r="F254" s="12" t="n"/>
      <c r="G254" s="134" t="n"/>
      <c r="H254" s="134" t="n"/>
      <c r="I254" s="12" t="n"/>
      <c r="J254" s="12" t="n"/>
      <c r="K254" s="135">
        <f>IF(A254="","",IF(J254="AUTO",H254,IF(J254="MANUAL",AK254,"")))</f>
        <v/>
      </c>
      <c r="L254" s="12" t="n"/>
      <c r="M254" s="12" t="n"/>
      <c r="N254" s="12">
        <f>IF(A254="","",IF(COUNTIFS('Human Operation Desktop'!$A$3:$A$502,A254,'Human Operation Desktop'!$I$3:$I$502,"&lt;&gt;APPLIED",'Human Operation Desktop'!$I$3:$I$502,"&lt;&gt;REJECTED")&gt;0,"YES","NO"))</f>
        <v/>
      </c>
      <c r="O254" s="12"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25" t="n"/>
      <c r="AL254" s="13" t="n"/>
      <c r="AM254" s="13" t="n"/>
      <c r="AN254" s="13" t="n"/>
      <c r="AO254" s="13" t="n"/>
      <c r="AP254" s="13" t="n"/>
      <c r="AQ254" s="13" t="n"/>
      <c r="AR254" s="13" t="n"/>
      <c r="AS254" s="13" t="n"/>
    </row>
    <row r="255" ht="30" customHeight="1" s="41">
      <c r="A255" s="12" t="n"/>
      <c r="B255" s="12" t="n"/>
      <c r="C255" s="12" t="n"/>
      <c r="D255" s="12" t="n"/>
      <c r="E255" s="12">
        <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f>
        <v/>
      </c>
      <c r="F255" s="12" t="n"/>
      <c r="G255" s="134" t="n"/>
      <c r="H255" s="134" t="n"/>
      <c r="I255" s="12" t="n"/>
      <c r="J255" s="12" t="n"/>
      <c r="K255" s="135">
        <f>IF(A255="","",IF(J255="AUTO",H255,IF(J255="MANUAL",AK255,"")))</f>
        <v/>
      </c>
      <c r="L255" s="12" t="n"/>
      <c r="M255" s="12" t="n"/>
      <c r="N255" s="12">
        <f>IF(A255="","",IF(COUNTIFS('Human Operation Desktop'!$A$3:$A$502,A255,'Human Operation Desktop'!$I$3:$I$502,"&lt;&gt;APPLIED",'Human Operation Desktop'!$I$3:$I$502,"&lt;&gt;REJECTED")&gt;0,"YES","NO"))</f>
        <v/>
      </c>
      <c r="O255" s="12"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25" t="n"/>
      <c r="AL255" s="13" t="n"/>
      <c r="AM255" s="13" t="n"/>
      <c r="AN255" s="13" t="n"/>
      <c r="AO255" s="13" t="n"/>
      <c r="AP255" s="13" t="n"/>
      <c r="AQ255" s="13" t="n"/>
      <c r="AR255" s="13" t="n"/>
      <c r="AS255" s="13" t="n"/>
    </row>
    <row r="256" ht="30" customHeight="1" s="41">
      <c r="A256" s="12" t="n"/>
      <c r="B256" s="12" t="n"/>
      <c r="C256" s="12" t="n"/>
      <c r="D256" s="12" t="n"/>
      <c r="E256" s="12">
        <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f>
        <v/>
      </c>
      <c r="F256" s="12" t="n"/>
      <c r="G256" s="134" t="n"/>
      <c r="H256" s="134" t="n"/>
      <c r="I256" s="12" t="n"/>
      <c r="J256" s="12" t="n"/>
      <c r="K256" s="135">
        <f>IF(A256="","",IF(J256="AUTO",H256,IF(J256="MANUAL",AK256,"")))</f>
        <v/>
      </c>
      <c r="L256" s="12" t="n"/>
      <c r="M256" s="12" t="n"/>
      <c r="N256" s="12">
        <f>IF(A256="","",IF(COUNTIFS('Human Operation Desktop'!$A$3:$A$502,A256,'Human Operation Desktop'!$I$3:$I$502,"&lt;&gt;APPLIED",'Human Operation Desktop'!$I$3:$I$502,"&lt;&gt;REJECTED")&gt;0,"YES","NO"))</f>
        <v/>
      </c>
      <c r="O256" s="12"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25" t="n"/>
      <c r="AL256" s="13" t="n"/>
      <c r="AM256" s="13" t="n"/>
      <c r="AN256" s="13" t="n"/>
      <c r="AO256" s="13" t="n"/>
      <c r="AP256" s="13" t="n"/>
      <c r="AQ256" s="13" t="n"/>
      <c r="AR256" s="13" t="n"/>
      <c r="AS256" s="13" t="n"/>
    </row>
    <row r="257" ht="30" customHeight="1" s="41">
      <c r="A257" s="12" t="n"/>
      <c r="B257" s="12" t="n"/>
      <c r="C257" s="12" t="n"/>
      <c r="D257" s="12" t="n"/>
      <c r="E257" s="12">
        <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f>
        <v/>
      </c>
      <c r="F257" s="12" t="n"/>
      <c r="G257" s="134" t="n"/>
      <c r="H257" s="134" t="n"/>
      <c r="I257" s="12" t="n"/>
      <c r="J257" s="12" t="n"/>
      <c r="K257" s="135">
        <f>IF(A257="","",IF(J257="AUTO",H257,IF(J257="MANUAL",AK257,"")))</f>
        <v/>
      </c>
      <c r="L257" s="12" t="n"/>
      <c r="M257" s="12" t="n"/>
      <c r="N257" s="12">
        <f>IF(A257="","",IF(COUNTIFS('Human Operation Desktop'!$A$3:$A$502,A257,'Human Operation Desktop'!$I$3:$I$502,"&lt;&gt;APPLIED",'Human Operation Desktop'!$I$3:$I$502,"&lt;&gt;REJECTED")&gt;0,"YES","NO"))</f>
        <v/>
      </c>
      <c r="O257" s="12"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25" t="n"/>
      <c r="AL257" s="13" t="n"/>
      <c r="AM257" s="13" t="n"/>
      <c r="AN257" s="13" t="n"/>
      <c r="AO257" s="13" t="n"/>
      <c r="AP257" s="13" t="n"/>
      <c r="AQ257" s="13" t="n"/>
      <c r="AR257" s="13" t="n"/>
      <c r="AS257" s="13" t="n"/>
    </row>
    <row r="258" ht="30" customHeight="1" s="41">
      <c r="A258" s="12" t="n"/>
      <c r="B258" s="12" t="n"/>
      <c r="C258" s="12" t="n"/>
      <c r="D258" s="12" t="n"/>
      <c r="E258" s="12">
        <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f>
        <v/>
      </c>
      <c r="F258" s="12" t="n"/>
      <c r="G258" s="134" t="n"/>
      <c r="H258" s="134" t="n"/>
      <c r="I258" s="12" t="n"/>
      <c r="J258" s="12" t="n"/>
      <c r="K258" s="135">
        <f>IF(A258="","",IF(J258="AUTO",H258,IF(J258="MANUAL",AK258,"")))</f>
        <v/>
      </c>
      <c r="L258" s="12" t="n"/>
      <c r="M258" s="12" t="n"/>
      <c r="N258" s="12">
        <f>IF(A258="","",IF(COUNTIFS('Human Operation Desktop'!$A$3:$A$502,A258,'Human Operation Desktop'!$I$3:$I$502,"&lt;&gt;APPLIED",'Human Operation Desktop'!$I$3:$I$502,"&lt;&gt;REJECTED")&gt;0,"YES","NO"))</f>
        <v/>
      </c>
      <c r="O258" s="12"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25" t="n"/>
      <c r="AL258" s="13" t="n"/>
      <c r="AM258" s="13" t="n"/>
      <c r="AN258" s="13" t="n"/>
      <c r="AO258" s="13" t="n"/>
      <c r="AP258" s="13" t="n"/>
      <c r="AQ258" s="13" t="n"/>
      <c r="AR258" s="13" t="n"/>
      <c r="AS258" s="13" t="n"/>
    </row>
    <row r="259" ht="30" customHeight="1" s="41">
      <c r="A259" s="12" t="n"/>
      <c r="B259" s="12" t="n"/>
      <c r="C259" s="12" t="n"/>
      <c r="D259" s="12" t="n"/>
      <c r="E259" s="12">
        <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12" t="n"/>
      <c r="G259" s="134" t="n"/>
      <c r="H259" s="134" t="n"/>
      <c r="I259" s="12" t="n"/>
      <c r="J259" s="12" t="n"/>
      <c r="K259" s="135">
        <f>IF(A259="","",IF(J259="AUTO",H259,IF(J259="MANUAL",AK259,"")))</f>
        <v/>
      </c>
      <c r="L259" s="12" t="n"/>
      <c r="M259" s="12" t="n"/>
      <c r="N259" s="12">
        <f>IF(A259="","",IF(COUNTIFS('Human Operation Desktop'!$A$3:$A$502,A259,'Human Operation Desktop'!$I$3:$I$502,"&lt;&gt;APPLIED",'Human Operation Desktop'!$I$3:$I$502,"&lt;&gt;REJECTED")&gt;0,"YES","NO"))</f>
        <v/>
      </c>
      <c r="O259" s="12"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25" t="n"/>
      <c r="AL259" s="13" t="n"/>
      <c r="AM259" s="13" t="n"/>
      <c r="AN259" s="13" t="n"/>
      <c r="AO259" s="13" t="n"/>
      <c r="AP259" s="13" t="n"/>
      <c r="AQ259" s="13" t="n"/>
      <c r="AR259" s="13" t="n"/>
      <c r="AS259" s="13" t="n"/>
    </row>
    <row r="260" ht="30" customHeight="1" s="41">
      <c r="A260" s="12" t="n"/>
      <c r="B260" s="12" t="n"/>
      <c r="C260" s="12" t="n"/>
      <c r="D260" s="12" t="n"/>
      <c r="E260" s="12">
        <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f>
        <v/>
      </c>
      <c r="F260" s="12" t="n"/>
      <c r="G260" s="134" t="n"/>
      <c r="H260" s="134" t="n"/>
      <c r="I260" s="12" t="n"/>
      <c r="J260" s="12" t="n"/>
      <c r="K260" s="135">
        <f>IF(A260="","",IF(J260="AUTO",H260,IF(J260="MANUAL",AK260,"")))</f>
        <v/>
      </c>
      <c r="L260" s="12" t="n"/>
      <c r="M260" s="12" t="n"/>
      <c r="N260" s="12">
        <f>IF(A260="","",IF(COUNTIFS('Human Operation Desktop'!$A$3:$A$502,A260,'Human Operation Desktop'!$I$3:$I$502,"&lt;&gt;APPLIED",'Human Operation Desktop'!$I$3:$I$502,"&lt;&gt;REJECTED")&gt;0,"YES","NO"))</f>
        <v/>
      </c>
      <c r="O260" s="12"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25" t="n"/>
      <c r="AL260" s="13" t="n"/>
      <c r="AM260" s="13" t="n"/>
      <c r="AN260" s="13" t="n"/>
      <c r="AO260" s="13" t="n"/>
      <c r="AP260" s="13" t="n"/>
      <c r="AQ260" s="13" t="n"/>
      <c r="AR260" s="13" t="n"/>
      <c r="AS260" s="13" t="n"/>
    </row>
    <row r="261" ht="30" customHeight="1" s="41">
      <c r="A261" s="12" t="n"/>
      <c r="B261" s="12" t="n"/>
      <c r="C261" s="12" t="n"/>
      <c r="D261" s="12" t="n"/>
      <c r="E261" s="12">
        <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f>
        <v/>
      </c>
      <c r="F261" s="12" t="n"/>
      <c r="G261" s="134" t="n"/>
      <c r="H261" s="134" t="n"/>
      <c r="I261" s="12" t="n"/>
      <c r="J261" s="12" t="n"/>
      <c r="K261" s="135">
        <f>IF(A261="","",IF(J261="AUTO",H261,IF(J261="MANUAL",AK261,"")))</f>
        <v/>
      </c>
      <c r="L261" s="12" t="n"/>
      <c r="M261" s="12" t="n"/>
      <c r="N261" s="12">
        <f>IF(A261="","",IF(COUNTIFS('Human Operation Desktop'!$A$3:$A$502,A261,'Human Operation Desktop'!$I$3:$I$502,"&lt;&gt;APPLIED",'Human Operation Desktop'!$I$3:$I$502,"&lt;&gt;REJECTED")&gt;0,"YES","NO"))</f>
        <v/>
      </c>
      <c r="O261" s="12"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25" t="n"/>
      <c r="AL261" s="13" t="n"/>
      <c r="AM261" s="13" t="n"/>
      <c r="AN261" s="13" t="n"/>
      <c r="AO261" s="13" t="n"/>
      <c r="AP261" s="13" t="n"/>
      <c r="AQ261" s="13" t="n"/>
      <c r="AR261" s="13" t="n"/>
      <c r="AS261" s="13" t="n"/>
    </row>
    <row r="262" ht="30" customHeight="1" s="41">
      <c r="A262" s="12" t="n"/>
      <c r="B262" s="12" t="n"/>
      <c r="C262" s="12" t="n"/>
      <c r="D262" s="12" t="n"/>
      <c r="E262" s="12">
        <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f>
        <v/>
      </c>
      <c r="F262" s="12" t="n"/>
      <c r="G262" s="134" t="n"/>
      <c r="H262" s="134" t="n"/>
      <c r="I262" s="12" t="n"/>
      <c r="J262" s="12" t="n"/>
      <c r="K262" s="135">
        <f>IF(A262="","",IF(J262="AUTO",H262,IF(J262="MANUAL",AK262,"")))</f>
        <v/>
      </c>
      <c r="L262" s="12" t="n"/>
      <c r="M262" s="12" t="n"/>
      <c r="N262" s="12">
        <f>IF(A262="","",IF(COUNTIFS('Human Operation Desktop'!$A$3:$A$502,A262,'Human Operation Desktop'!$I$3:$I$502,"&lt;&gt;APPLIED",'Human Operation Desktop'!$I$3:$I$502,"&lt;&gt;REJECTED")&gt;0,"YES","NO"))</f>
        <v/>
      </c>
      <c r="O262" s="12"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25" t="n"/>
      <c r="AL262" s="13" t="n"/>
      <c r="AM262" s="13" t="n"/>
      <c r="AN262" s="13" t="n"/>
      <c r="AO262" s="13" t="n"/>
      <c r="AP262" s="13" t="n"/>
      <c r="AQ262" s="13" t="n"/>
      <c r="AR262" s="13" t="n"/>
      <c r="AS262" s="13" t="n"/>
    </row>
    <row r="263" ht="30" customHeight="1" s="41">
      <c r="A263" s="12" t="n"/>
      <c r="B263" s="12" t="n"/>
      <c r="C263" s="12" t="n"/>
      <c r="D263" s="12" t="n"/>
      <c r="E263" s="12">
        <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f>
        <v/>
      </c>
      <c r="F263" s="12" t="n"/>
      <c r="G263" s="134" t="n"/>
      <c r="H263" s="134" t="n"/>
      <c r="I263" s="12" t="n"/>
      <c r="J263" s="12" t="n"/>
      <c r="K263" s="135">
        <f>IF(A263="","",IF(J263="AUTO",H263,IF(J263="MANUAL",AK263,"")))</f>
        <v/>
      </c>
      <c r="L263" s="12" t="n"/>
      <c r="M263" s="12" t="n"/>
      <c r="N263" s="12">
        <f>IF(A263="","",IF(COUNTIFS('Human Operation Desktop'!$A$3:$A$502,A263,'Human Operation Desktop'!$I$3:$I$502,"&lt;&gt;APPLIED",'Human Operation Desktop'!$I$3:$I$502,"&lt;&gt;REJECTED")&gt;0,"YES","NO"))</f>
        <v/>
      </c>
      <c r="O263" s="12"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25" t="n"/>
      <c r="AL263" s="13" t="n"/>
      <c r="AM263" s="13" t="n"/>
      <c r="AN263" s="13" t="n"/>
      <c r="AO263" s="13" t="n"/>
      <c r="AP263" s="13" t="n"/>
      <c r="AQ263" s="13" t="n"/>
      <c r="AR263" s="13" t="n"/>
      <c r="AS263" s="13" t="n"/>
    </row>
    <row r="264" ht="30" customHeight="1" s="41">
      <c r="A264" s="12" t="n"/>
      <c r="B264" s="12" t="n"/>
      <c r="C264" s="12" t="n"/>
      <c r="D264" s="12" t="n"/>
      <c r="E264" s="12">
        <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f>
        <v/>
      </c>
      <c r="F264" s="12" t="n"/>
      <c r="G264" s="134" t="n"/>
      <c r="H264" s="134" t="n"/>
      <c r="I264" s="12" t="n"/>
      <c r="J264" s="12" t="n"/>
      <c r="K264" s="135">
        <f>IF(A264="","",IF(J264="AUTO",H264,IF(J264="MANUAL",AK264,"")))</f>
        <v/>
      </c>
      <c r="L264" s="12" t="n"/>
      <c r="M264" s="12" t="n"/>
      <c r="N264" s="12">
        <f>IF(A264="","",IF(COUNTIFS('Human Operation Desktop'!$A$3:$A$502,A264,'Human Operation Desktop'!$I$3:$I$502,"&lt;&gt;APPLIED",'Human Operation Desktop'!$I$3:$I$502,"&lt;&gt;REJECTED")&gt;0,"YES","NO"))</f>
        <v/>
      </c>
      <c r="O264" s="12"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25" t="n"/>
      <c r="AL264" s="13" t="n"/>
      <c r="AM264" s="13" t="n"/>
      <c r="AN264" s="13" t="n"/>
      <c r="AO264" s="13" t="n"/>
      <c r="AP264" s="13" t="n"/>
      <c r="AQ264" s="13" t="n"/>
      <c r="AR264" s="13" t="n"/>
      <c r="AS264" s="13" t="n"/>
    </row>
    <row r="265" ht="30" customHeight="1" s="41">
      <c r="A265" s="12" t="n"/>
      <c r="B265" s="12" t="n"/>
      <c r="C265" s="12" t="n"/>
      <c r="D265" s="12" t="n"/>
      <c r="E265" s="12">
        <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f>
        <v/>
      </c>
      <c r="F265" s="12" t="n"/>
      <c r="G265" s="134" t="n"/>
      <c r="H265" s="134" t="n"/>
      <c r="I265" s="12" t="n"/>
      <c r="J265" s="12" t="n"/>
      <c r="K265" s="135">
        <f>IF(A265="","",IF(J265="AUTO",H265,IF(J265="MANUAL",AK265,"")))</f>
        <v/>
      </c>
      <c r="L265" s="12" t="n"/>
      <c r="M265" s="12" t="n"/>
      <c r="N265" s="12">
        <f>IF(A265="","",IF(COUNTIFS('Human Operation Desktop'!$A$3:$A$502,A265,'Human Operation Desktop'!$I$3:$I$502,"&lt;&gt;APPLIED",'Human Operation Desktop'!$I$3:$I$502,"&lt;&gt;REJECTED")&gt;0,"YES","NO"))</f>
        <v/>
      </c>
      <c r="O265" s="12"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25" t="n"/>
      <c r="AL265" s="13" t="n"/>
      <c r="AM265" s="13" t="n"/>
      <c r="AN265" s="13" t="n"/>
      <c r="AO265" s="13" t="n"/>
      <c r="AP265" s="13" t="n"/>
      <c r="AQ265" s="13" t="n"/>
      <c r="AR265" s="13" t="n"/>
      <c r="AS265" s="13" t="n"/>
    </row>
    <row r="266" ht="30" customHeight="1" s="41">
      <c r="A266" s="12" t="n"/>
      <c r="B266" s="12" t="n"/>
      <c r="C266" s="12" t="n"/>
      <c r="D266" s="12" t="n"/>
      <c r="E266" s="12">
        <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f>
        <v/>
      </c>
      <c r="F266" s="12" t="n"/>
      <c r="G266" s="134" t="n"/>
      <c r="H266" s="134" t="n"/>
      <c r="I266" s="12" t="n"/>
      <c r="J266" s="12" t="n"/>
      <c r="K266" s="135">
        <f>IF(A266="","",IF(J266="AUTO",H266,IF(J266="MANUAL",AK266,"")))</f>
        <v/>
      </c>
      <c r="L266" s="12" t="n"/>
      <c r="M266" s="12" t="n"/>
      <c r="N266" s="12">
        <f>IF(A266="","",IF(COUNTIFS('Human Operation Desktop'!$A$3:$A$502,A266,'Human Operation Desktop'!$I$3:$I$502,"&lt;&gt;APPLIED",'Human Operation Desktop'!$I$3:$I$502,"&lt;&gt;REJECTED")&gt;0,"YES","NO"))</f>
        <v/>
      </c>
      <c r="O266" s="12"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25" t="n"/>
      <c r="AL266" s="13" t="n"/>
      <c r="AM266" s="13" t="n"/>
      <c r="AN266" s="13" t="n"/>
      <c r="AO266" s="13" t="n"/>
      <c r="AP266" s="13" t="n"/>
      <c r="AQ266" s="13" t="n"/>
      <c r="AR266" s="13" t="n"/>
      <c r="AS266" s="13" t="n"/>
    </row>
    <row r="267" ht="30" customHeight="1" s="41">
      <c r="A267" s="12" t="n"/>
      <c r="B267" s="12" t="n"/>
      <c r="C267" s="12" t="n"/>
      <c r="D267" s="12" t="n"/>
      <c r="E267" s="12">
        <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f>
        <v/>
      </c>
      <c r="F267" s="12" t="n"/>
      <c r="G267" s="134" t="n"/>
      <c r="H267" s="134" t="n"/>
      <c r="I267" s="12" t="n"/>
      <c r="J267" s="12" t="n"/>
      <c r="K267" s="135">
        <f>IF(A267="","",IF(J267="AUTO",H267,IF(J267="MANUAL",AK267,"")))</f>
        <v/>
      </c>
      <c r="L267" s="12" t="n"/>
      <c r="M267" s="12" t="n"/>
      <c r="N267" s="12">
        <f>IF(A267="","",IF(COUNTIFS('Human Operation Desktop'!$A$3:$A$502,A267,'Human Operation Desktop'!$I$3:$I$502,"&lt;&gt;APPLIED",'Human Operation Desktop'!$I$3:$I$502,"&lt;&gt;REJECTED")&gt;0,"YES","NO"))</f>
        <v/>
      </c>
      <c r="O267" s="12"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25" t="n"/>
      <c r="AL267" s="13" t="n"/>
      <c r="AM267" s="13" t="n"/>
      <c r="AN267" s="13" t="n"/>
      <c r="AO267" s="13" t="n"/>
      <c r="AP267" s="13" t="n"/>
      <c r="AQ267" s="13" t="n"/>
      <c r="AR267" s="13" t="n"/>
      <c r="AS267" s="13" t="n"/>
    </row>
    <row r="268" ht="30" customHeight="1" s="41">
      <c r="A268" s="12" t="n"/>
      <c r="B268" s="12" t="n"/>
      <c r="C268" s="12" t="n"/>
      <c r="D268" s="12" t="n"/>
      <c r="E268" s="12">
        <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f>
        <v/>
      </c>
      <c r="F268" s="12" t="n"/>
      <c r="G268" s="134" t="n"/>
      <c r="H268" s="134" t="n"/>
      <c r="I268" s="12" t="n"/>
      <c r="J268" s="12" t="n"/>
      <c r="K268" s="135">
        <f>IF(A268="","",IF(J268="AUTO",H268,IF(J268="MANUAL",AK268,"")))</f>
        <v/>
      </c>
      <c r="L268" s="12" t="n"/>
      <c r="M268" s="12" t="n"/>
      <c r="N268" s="12">
        <f>IF(A268="","",IF(COUNTIFS('Human Operation Desktop'!$A$3:$A$502,A268,'Human Operation Desktop'!$I$3:$I$502,"&lt;&gt;APPLIED",'Human Operation Desktop'!$I$3:$I$502,"&lt;&gt;REJECTED")&gt;0,"YES","NO"))</f>
        <v/>
      </c>
      <c r="O268" s="12"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25" t="n"/>
      <c r="AL268" s="13" t="n"/>
      <c r="AM268" s="13" t="n"/>
      <c r="AN268" s="13" t="n"/>
      <c r="AO268" s="13" t="n"/>
      <c r="AP268" s="13" t="n"/>
      <c r="AQ268" s="13" t="n"/>
      <c r="AR268" s="13" t="n"/>
      <c r="AS268" s="13" t="n"/>
    </row>
    <row r="269" ht="30" customHeight="1" s="41">
      <c r="A269" s="12" t="n"/>
      <c r="B269" s="12" t="n"/>
      <c r="C269" s="12" t="n"/>
      <c r="D269" s="12" t="n"/>
      <c r="E269" s="12">
        <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f>
        <v/>
      </c>
      <c r="F269" s="12" t="n"/>
      <c r="G269" s="134" t="n"/>
      <c r="H269" s="134" t="n"/>
      <c r="I269" s="12" t="n"/>
      <c r="J269" s="12" t="n"/>
      <c r="K269" s="135">
        <f>IF(A269="","",IF(J269="AUTO",H269,IF(J269="MANUAL",AK269,"")))</f>
        <v/>
      </c>
      <c r="L269" s="12" t="n"/>
      <c r="M269" s="12" t="n"/>
      <c r="N269" s="12">
        <f>IF(A269="","",IF(COUNTIFS('Human Operation Desktop'!$A$3:$A$502,A269,'Human Operation Desktop'!$I$3:$I$502,"&lt;&gt;APPLIED",'Human Operation Desktop'!$I$3:$I$502,"&lt;&gt;REJECTED")&gt;0,"YES","NO"))</f>
        <v/>
      </c>
      <c r="O269" s="12"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25" t="n"/>
      <c r="AL269" s="13" t="n"/>
      <c r="AM269" s="13" t="n"/>
      <c r="AN269" s="13" t="n"/>
      <c r="AO269" s="13" t="n"/>
      <c r="AP269" s="13" t="n"/>
      <c r="AQ269" s="13" t="n"/>
      <c r="AR269" s="13" t="n"/>
      <c r="AS269" s="13" t="n"/>
    </row>
    <row r="270" ht="30" customHeight="1" s="41">
      <c r="A270" s="12" t="n"/>
      <c r="B270" s="12" t="n"/>
      <c r="C270" s="12" t="n"/>
      <c r="D270" s="12" t="n"/>
      <c r="E270" s="12">
        <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f>
        <v/>
      </c>
      <c r="F270" s="12" t="n"/>
      <c r="G270" s="134" t="n"/>
      <c r="H270" s="134" t="n"/>
      <c r="I270" s="12" t="n"/>
      <c r="J270" s="12" t="n"/>
      <c r="K270" s="135">
        <f>IF(A270="","",IF(J270="AUTO",H270,IF(J270="MANUAL",AK270,"")))</f>
        <v/>
      </c>
      <c r="L270" s="12" t="n"/>
      <c r="M270" s="12" t="n"/>
      <c r="N270" s="12">
        <f>IF(A270="","",IF(COUNTIFS('Human Operation Desktop'!$A$3:$A$502,A270,'Human Operation Desktop'!$I$3:$I$502,"&lt;&gt;APPLIED",'Human Operation Desktop'!$I$3:$I$502,"&lt;&gt;REJECTED")&gt;0,"YES","NO"))</f>
        <v/>
      </c>
      <c r="O270" s="12"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25" t="n"/>
      <c r="AL270" s="13" t="n"/>
      <c r="AM270" s="13" t="n"/>
      <c r="AN270" s="13" t="n"/>
      <c r="AO270" s="13" t="n"/>
      <c r="AP270" s="13" t="n"/>
      <c r="AQ270" s="13" t="n"/>
      <c r="AR270" s="13" t="n"/>
      <c r="AS270" s="13" t="n"/>
    </row>
    <row r="271" ht="30" customHeight="1" s="41">
      <c r="A271" s="12" t="n"/>
      <c r="B271" s="12" t="n"/>
      <c r="C271" s="12" t="n"/>
      <c r="D271" s="12" t="n"/>
      <c r="E271" s="12">
        <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f>
        <v/>
      </c>
      <c r="F271" s="12" t="n"/>
      <c r="G271" s="134" t="n"/>
      <c r="H271" s="134" t="n"/>
      <c r="I271" s="12" t="n"/>
      <c r="J271" s="12" t="n"/>
      <c r="K271" s="135">
        <f>IF(A271="","",IF(J271="AUTO",H271,IF(J271="MANUAL",AK271,"")))</f>
        <v/>
      </c>
      <c r="L271" s="12" t="n"/>
      <c r="M271" s="12" t="n"/>
      <c r="N271" s="12">
        <f>IF(A271="","",IF(COUNTIFS('Human Operation Desktop'!$A$3:$A$502,A271,'Human Operation Desktop'!$I$3:$I$502,"&lt;&gt;APPLIED",'Human Operation Desktop'!$I$3:$I$502,"&lt;&gt;REJECTED")&gt;0,"YES","NO"))</f>
        <v/>
      </c>
      <c r="O271" s="12"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25" t="n"/>
      <c r="AL271" s="13" t="n"/>
      <c r="AM271" s="13" t="n"/>
      <c r="AN271" s="13" t="n"/>
      <c r="AO271" s="13" t="n"/>
      <c r="AP271" s="13" t="n"/>
      <c r="AQ271" s="13" t="n"/>
      <c r="AR271" s="13" t="n"/>
      <c r="AS271" s="13" t="n"/>
    </row>
    <row r="272" ht="30" customHeight="1" s="41">
      <c r="A272" s="12" t="n"/>
      <c r="B272" s="12" t="n"/>
      <c r="C272" s="12" t="n"/>
      <c r="D272" s="12" t="n"/>
      <c r="E272" s="12">
        <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f>
        <v/>
      </c>
      <c r="F272" s="12" t="n"/>
      <c r="G272" s="134" t="n"/>
      <c r="H272" s="134" t="n"/>
      <c r="I272" s="12" t="n"/>
      <c r="J272" s="12" t="n"/>
      <c r="K272" s="135">
        <f>IF(A272="","",IF(J272="AUTO",H272,IF(J272="MANUAL",AK272,"")))</f>
        <v/>
      </c>
      <c r="L272" s="12" t="n"/>
      <c r="M272" s="12" t="n"/>
      <c r="N272" s="12">
        <f>IF(A272="","",IF(COUNTIFS('Human Operation Desktop'!$A$3:$A$502,A272,'Human Operation Desktop'!$I$3:$I$502,"&lt;&gt;APPLIED",'Human Operation Desktop'!$I$3:$I$502,"&lt;&gt;REJECTED")&gt;0,"YES","NO"))</f>
        <v/>
      </c>
      <c r="O272" s="12"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25" t="n"/>
      <c r="AL272" s="13" t="n"/>
      <c r="AM272" s="13" t="n"/>
      <c r="AN272" s="13" t="n"/>
      <c r="AO272" s="13" t="n"/>
      <c r="AP272" s="13" t="n"/>
      <c r="AQ272" s="13" t="n"/>
      <c r="AR272" s="13" t="n"/>
      <c r="AS272" s="13" t="n"/>
    </row>
    <row r="273" ht="30" customHeight="1" s="41">
      <c r="A273" s="12" t="n"/>
      <c r="B273" s="12" t="n"/>
      <c r="C273" s="12" t="n"/>
      <c r="D273" s="12" t="n"/>
      <c r="E273" s="12">
        <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f>
        <v/>
      </c>
      <c r="F273" s="12" t="n"/>
      <c r="G273" s="134" t="n"/>
      <c r="H273" s="134" t="n"/>
      <c r="I273" s="12" t="n"/>
      <c r="J273" s="12" t="n"/>
      <c r="K273" s="135">
        <f>IF(A273="","",IF(J273="AUTO",H273,IF(J273="MANUAL",AK273,"")))</f>
        <v/>
      </c>
      <c r="L273" s="12" t="n"/>
      <c r="M273" s="12" t="n"/>
      <c r="N273" s="12">
        <f>IF(A273="","",IF(COUNTIFS('Human Operation Desktop'!$A$3:$A$502,A273,'Human Operation Desktop'!$I$3:$I$502,"&lt;&gt;APPLIED",'Human Operation Desktop'!$I$3:$I$502,"&lt;&gt;REJECTED")&gt;0,"YES","NO"))</f>
        <v/>
      </c>
      <c r="O273" s="12"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25" t="n"/>
      <c r="AL273" s="13" t="n"/>
      <c r="AM273" s="13" t="n"/>
      <c r="AN273" s="13" t="n"/>
      <c r="AO273" s="13" t="n"/>
      <c r="AP273" s="13" t="n"/>
      <c r="AQ273" s="13" t="n"/>
      <c r="AR273" s="13" t="n"/>
      <c r="AS273" s="13" t="n"/>
    </row>
    <row r="274" ht="30" customHeight="1" s="41">
      <c r="A274" s="12" t="n"/>
      <c r="B274" s="12" t="n"/>
      <c r="C274" s="12" t="n"/>
      <c r="D274" s="12" t="n"/>
      <c r="E274" s="12">
        <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f>
        <v/>
      </c>
      <c r="F274" s="12" t="n"/>
      <c r="G274" s="134" t="n"/>
      <c r="H274" s="134" t="n"/>
      <c r="I274" s="12" t="n"/>
      <c r="J274" s="12" t="n"/>
      <c r="K274" s="135">
        <f>IF(A274="","",IF(J274="AUTO",H274,IF(J274="MANUAL",AK274,"")))</f>
        <v/>
      </c>
      <c r="L274" s="12" t="n"/>
      <c r="M274" s="12" t="n"/>
      <c r="N274" s="12">
        <f>IF(A274="","",IF(COUNTIFS('Human Operation Desktop'!$A$3:$A$502,A274,'Human Operation Desktop'!$I$3:$I$502,"&lt;&gt;APPLIED",'Human Operation Desktop'!$I$3:$I$502,"&lt;&gt;REJECTED")&gt;0,"YES","NO"))</f>
        <v/>
      </c>
      <c r="O274" s="12"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25" t="n"/>
      <c r="AL274" s="13" t="n"/>
      <c r="AM274" s="13" t="n"/>
      <c r="AN274" s="13" t="n"/>
      <c r="AO274" s="13" t="n"/>
      <c r="AP274" s="13" t="n"/>
      <c r="AQ274" s="13" t="n"/>
      <c r="AR274" s="13" t="n"/>
      <c r="AS274" s="13" t="n"/>
    </row>
    <row r="275" ht="30" customHeight="1" s="41">
      <c r="A275" s="12" t="n"/>
      <c r="B275" s="12" t="n"/>
      <c r="C275" s="12" t="n"/>
      <c r="D275" s="12" t="n"/>
      <c r="E275" s="12">
        <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f>
        <v/>
      </c>
      <c r="F275" s="12" t="n"/>
      <c r="G275" s="134" t="n"/>
      <c r="H275" s="134" t="n"/>
      <c r="I275" s="12" t="n"/>
      <c r="J275" s="12" t="n"/>
      <c r="K275" s="135">
        <f>IF(A275="","",IF(J275="AUTO",H275,IF(J275="MANUAL",AK275,"")))</f>
        <v/>
      </c>
      <c r="L275" s="12" t="n"/>
      <c r="M275" s="12" t="n"/>
      <c r="N275" s="12">
        <f>IF(A275="","",IF(COUNTIFS('Human Operation Desktop'!$A$3:$A$502,A275,'Human Operation Desktop'!$I$3:$I$502,"&lt;&gt;APPLIED",'Human Operation Desktop'!$I$3:$I$502,"&lt;&gt;REJECTED")&gt;0,"YES","NO"))</f>
        <v/>
      </c>
      <c r="O275" s="12"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25" t="n"/>
      <c r="AL275" s="13" t="n"/>
      <c r="AM275" s="13" t="n"/>
      <c r="AN275" s="13" t="n"/>
      <c r="AO275" s="13" t="n"/>
      <c r="AP275" s="13" t="n"/>
      <c r="AQ275" s="13" t="n"/>
      <c r="AR275" s="13" t="n"/>
      <c r="AS275" s="13" t="n"/>
    </row>
    <row r="276" ht="30" customHeight="1" s="41">
      <c r="A276" s="12" t="n"/>
      <c r="B276" s="12" t="n"/>
      <c r="C276" s="12" t="n"/>
      <c r="D276" s="12" t="n"/>
      <c r="E276" s="12">
        <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f>
        <v/>
      </c>
      <c r="F276" s="12" t="n"/>
      <c r="G276" s="134" t="n"/>
      <c r="H276" s="134" t="n"/>
      <c r="I276" s="12" t="n"/>
      <c r="J276" s="12" t="n"/>
      <c r="K276" s="135">
        <f>IF(A276="","",IF(J276="AUTO",H276,IF(J276="MANUAL",AK276,"")))</f>
        <v/>
      </c>
      <c r="L276" s="12" t="n"/>
      <c r="M276" s="12" t="n"/>
      <c r="N276" s="12">
        <f>IF(A276="","",IF(COUNTIFS('Human Operation Desktop'!$A$3:$A$502,A276,'Human Operation Desktop'!$I$3:$I$502,"&lt;&gt;APPLIED",'Human Operation Desktop'!$I$3:$I$502,"&lt;&gt;REJECTED")&gt;0,"YES","NO"))</f>
        <v/>
      </c>
      <c r="O276" s="12"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25" t="n"/>
      <c r="AL276" s="13" t="n"/>
      <c r="AM276" s="13" t="n"/>
      <c r="AN276" s="13" t="n"/>
      <c r="AO276" s="13" t="n"/>
      <c r="AP276" s="13" t="n"/>
      <c r="AQ276" s="13" t="n"/>
      <c r="AR276" s="13" t="n"/>
      <c r="AS276" s="13" t="n"/>
    </row>
    <row r="277" ht="30" customHeight="1" s="41">
      <c r="A277" s="12" t="n"/>
      <c r="B277" s="12" t="n"/>
      <c r="C277" s="12" t="n"/>
      <c r="D277" s="12" t="n"/>
      <c r="E277" s="12">
        <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f>
        <v/>
      </c>
      <c r="F277" s="12" t="n"/>
      <c r="G277" s="134" t="n"/>
      <c r="H277" s="134" t="n"/>
      <c r="I277" s="12" t="n"/>
      <c r="J277" s="12" t="n"/>
      <c r="K277" s="135">
        <f>IF(A277="","",IF(J277="AUTO",H277,IF(J277="MANUAL",AK277,"")))</f>
        <v/>
      </c>
      <c r="L277" s="12" t="n"/>
      <c r="M277" s="12" t="n"/>
      <c r="N277" s="12">
        <f>IF(A277="","",IF(COUNTIFS('Human Operation Desktop'!$A$3:$A$502,A277,'Human Operation Desktop'!$I$3:$I$502,"&lt;&gt;APPLIED",'Human Operation Desktop'!$I$3:$I$502,"&lt;&gt;REJECTED")&gt;0,"YES","NO"))</f>
        <v/>
      </c>
      <c r="O277" s="12"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25" t="n"/>
      <c r="AL277" s="13" t="n"/>
      <c r="AM277" s="13" t="n"/>
      <c r="AN277" s="13" t="n"/>
      <c r="AO277" s="13" t="n"/>
      <c r="AP277" s="13" t="n"/>
      <c r="AQ277" s="13" t="n"/>
      <c r="AR277" s="13" t="n"/>
      <c r="AS277" s="13" t="n"/>
    </row>
    <row r="278" ht="30" customHeight="1" s="41">
      <c r="A278" s="12" t="n"/>
      <c r="B278" s="12" t="n"/>
      <c r="C278" s="12" t="n"/>
      <c r="D278" s="12" t="n"/>
      <c r="E278" s="12">
        <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f>
        <v/>
      </c>
      <c r="F278" s="12" t="n"/>
      <c r="G278" s="134" t="n"/>
      <c r="H278" s="134" t="n"/>
      <c r="I278" s="12" t="n"/>
      <c r="J278" s="12" t="n"/>
      <c r="K278" s="135">
        <f>IF(A278="","",IF(J278="AUTO",H278,IF(J278="MANUAL",AK278,"")))</f>
        <v/>
      </c>
      <c r="L278" s="12" t="n"/>
      <c r="M278" s="12" t="n"/>
      <c r="N278" s="12">
        <f>IF(A278="","",IF(COUNTIFS('Human Operation Desktop'!$A$3:$A$502,A278,'Human Operation Desktop'!$I$3:$I$502,"&lt;&gt;APPLIED",'Human Operation Desktop'!$I$3:$I$502,"&lt;&gt;REJECTED")&gt;0,"YES","NO"))</f>
        <v/>
      </c>
      <c r="O278" s="12"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25" t="n"/>
      <c r="AL278" s="13" t="n"/>
      <c r="AM278" s="13" t="n"/>
      <c r="AN278" s="13" t="n"/>
      <c r="AO278" s="13" t="n"/>
      <c r="AP278" s="13" t="n"/>
      <c r="AQ278" s="13" t="n"/>
      <c r="AR278" s="13" t="n"/>
      <c r="AS278" s="13" t="n"/>
    </row>
    <row r="279" ht="30" customHeight="1" s="41">
      <c r="A279" s="12" t="n"/>
      <c r="B279" s="12" t="n"/>
      <c r="C279" s="12" t="n"/>
      <c r="D279" s="12" t="n"/>
      <c r="E279" s="12">
        <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f>
        <v/>
      </c>
      <c r="F279" s="12" t="n"/>
      <c r="G279" s="134" t="n"/>
      <c r="H279" s="134" t="n"/>
      <c r="I279" s="12" t="n"/>
      <c r="J279" s="12" t="n"/>
      <c r="K279" s="135">
        <f>IF(A279="","",IF(J279="AUTO",H279,IF(J279="MANUAL",AK279,"")))</f>
        <v/>
      </c>
      <c r="L279" s="12" t="n"/>
      <c r="M279" s="12" t="n"/>
      <c r="N279" s="12">
        <f>IF(A279="","",IF(COUNTIFS('Human Operation Desktop'!$A$3:$A$502,A279,'Human Operation Desktop'!$I$3:$I$502,"&lt;&gt;APPLIED",'Human Operation Desktop'!$I$3:$I$502,"&lt;&gt;REJECTED")&gt;0,"YES","NO"))</f>
        <v/>
      </c>
      <c r="O279" s="12"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25" t="n"/>
      <c r="AL279" s="13" t="n"/>
      <c r="AM279" s="13" t="n"/>
      <c r="AN279" s="13" t="n"/>
      <c r="AO279" s="13" t="n"/>
      <c r="AP279" s="13" t="n"/>
      <c r="AQ279" s="13" t="n"/>
      <c r="AR279" s="13" t="n"/>
      <c r="AS279" s="13" t="n"/>
    </row>
    <row r="280" ht="30" customHeight="1" s="41">
      <c r="A280" s="12" t="n"/>
      <c r="B280" s="12" t="n"/>
      <c r="C280" s="12" t="n"/>
      <c r="D280" s="12" t="n"/>
      <c r="E280" s="12">
        <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f>
        <v/>
      </c>
      <c r="F280" s="12" t="n"/>
      <c r="G280" s="134" t="n"/>
      <c r="H280" s="134" t="n"/>
      <c r="I280" s="12" t="n"/>
      <c r="J280" s="12" t="n"/>
      <c r="K280" s="135">
        <f>IF(A280="","",IF(J280="AUTO",H280,IF(J280="MANUAL",AK280,"")))</f>
        <v/>
      </c>
      <c r="L280" s="12" t="n"/>
      <c r="M280" s="12" t="n"/>
      <c r="N280" s="12">
        <f>IF(A280="","",IF(COUNTIFS('Human Operation Desktop'!$A$3:$A$502,A280,'Human Operation Desktop'!$I$3:$I$502,"&lt;&gt;APPLIED",'Human Operation Desktop'!$I$3:$I$502,"&lt;&gt;REJECTED")&gt;0,"YES","NO"))</f>
        <v/>
      </c>
      <c r="O280" s="12"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25" t="n"/>
      <c r="AL280" s="13" t="n"/>
      <c r="AM280" s="13" t="n"/>
      <c r="AN280" s="13" t="n"/>
      <c r="AO280" s="13" t="n"/>
      <c r="AP280" s="13" t="n"/>
      <c r="AQ280" s="13" t="n"/>
      <c r="AR280" s="13" t="n"/>
      <c r="AS280" s="13" t="n"/>
    </row>
    <row r="281" ht="30" customHeight="1" s="41">
      <c r="A281" s="12" t="n"/>
      <c r="B281" s="12" t="n"/>
      <c r="C281" s="12" t="n"/>
      <c r="D281" s="12" t="n"/>
      <c r="E281" s="12">
        <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f>
        <v/>
      </c>
      <c r="F281" s="12" t="n"/>
      <c r="G281" s="134" t="n"/>
      <c r="H281" s="134" t="n"/>
      <c r="I281" s="12" t="n"/>
      <c r="J281" s="12" t="n"/>
      <c r="K281" s="135">
        <f>IF(A281="","",IF(J281="AUTO",H281,IF(J281="MANUAL",AK281,"")))</f>
        <v/>
      </c>
      <c r="L281" s="12" t="n"/>
      <c r="M281" s="12" t="n"/>
      <c r="N281" s="12">
        <f>IF(A281="","",IF(COUNTIFS('Human Operation Desktop'!$A$3:$A$502,A281,'Human Operation Desktop'!$I$3:$I$502,"&lt;&gt;APPLIED",'Human Operation Desktop'!$I$3:$I$502,"&lt;&gt;REJECTED")&gt;0,"YES","NO"))</f>
        <v/>
      </c>
      <c r="O281" s="12"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25" t="n"/>
      <c r="AL281" s="13" t="n"/>
      <c r="AM281" s="13" t="n"/>
      <c r="AN281" s="13" t="n"/>
      <c r="AO281" s="13" t="n"/>
      <c r="AP281" s="13" t="n"/>
      <c r="AQ281" s="13" t="n"/>
      <c r="AR281" s="13" t="n"/>
      <c r="AS281" s="13" t="n"/>
    </row>
    <row r="282" ht="30" customHeight="1" s="41">
      <c r="A282" s="12" t="n"/>
      <c r="B282" s="12" t="n"/>
      <c r="C282" s="12" t="n"/>
      <c r="D282" s="12" t="n"/>
      <c r="E282" s="12">
        <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f>
        <v/>
      </c>
      <c r="F282" s="12" t="n"/>
      <c r="G282" s="134" t="n"/>
      <c r="H282" s="134" t="n"/>
      <c r="I282" s="12" t="n"/>
      <c r="J282" s="12" t="n"/>
      <c r="K282" s="135">
        <f>IF(A282="","",IF(J282="AUTO",H282,IF(J282="MANUAL",AK282,"")))</f>
        <v/>
      </c>
      <c r="L282" s="12" t="n"/>
      <c r="M282" s="12" t="n"/>
      <c r="N282" s="12">
        <f>IF(A282="","",IF(COUNTIFS('Human Operation Desktop'!$A$3:$A$502,A282,'Human Operation Desktop'!$I$3:$I$502,"&lt;&gt;APPLIED",'Human Operation Desktop'!$I$3:$I$502,"&lt;&gt;REJECTED")&gt;0,"YES","NO"))</f>
        <v/>
      </c>
      <c r="O282" s="12"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25" t="n"/>
      <c r="AL282" s="13" t="n"/>
      <c r="AM282" s="13" t="n"/>
      <c r="AN282" s="13" t="n"/>
      <c r="AO282" s="13" t="n"/>
      <c r="AP282" s="13" t="n"/>
      <c r="AQ282" s="13" t="n"/>
      <c r="AR282" s="13" t="n"/>
      <c r="AS282" s="13" t="n"/>
    </row>
    <row r="283" ht="30" customHeight="1" s="41">
      <c r="A283" s="12" t="n"/>
      <c r="B283" s="12" t="n"/>
      <c r="C283" s="12" t="n"/>
      <c r="D283" s="12" t="n"/>
      <c r="E283" s="12">
        <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f>
        <v/>
      </c>
      <c r="F283" s="12" t="n"/>
      <c r="G283" s="134" t="n"/>
      <c r="H283" s="134" t="n"/>
      <c r="I283" s="12" t="n"/>
      <c r="J283" s="12" t="n"/>
      <c r="K283" s="135">
        <f>IF(A283="","",IF(J283="AUTO",H283,IF(J283="MANUAL",AK283,"")))</f>
        <v/>
      </c>
      <c r="L283" s="12" t="n"/>
      <c r="M283" s="12" t="n"/>
      <c r="N283" s="12">
        <f>IF(A283="","",IF(COUNTIFS('Human Operation Desktop'!$A$3:$A$502,A283,'Human Operation Desktop'!$I$3:$I$502,"&lt;&gt;APPLIED",'Human Operation Desktop'!$I$3:$I$502,"&lt;&gt;REJECTED")&gt;0,"YES","NO"))</f>
        <v/>
      </c>
      <c r="O283" s="12"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25" t="n"/>
      <c r="AL283" s="13" t="n"/>
      <c r="AM283" s="13" t="n"/>
      <c r="AN283" s="13" t="n"/>
      <c r="AO283" s="13" t="n"/>
      <c r="AP283" s="13" t="n"/>
      <c r="AQ283" s="13" t="n"/>
      <c r="AR283" s="13" t="n"/>
      <c r="AS283" s="13" t="n"/>
    </row>
    <row r="284" ht="30" customHeight="1" s="41">
      <c r="A284" s="12" t="n"/>
      <c r="B284" s="12" t="n"/>
      <c r="C284" s="12" t="n"/>
      <c r="D284" s="12" t="n"/>
      <c r="E284" s="12">
        <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f>
        <v/>
      </c>
      <c r="F284" s="12" t="n"/>
      <c r="G284" s="134" t="n"/>
      <c r="H284" s="134" t="n"/>
      <c r="I284" s="12" t="n"/>
      <c r="J284" s="12" t="n"/>
      <c r="K284" s="135">
        <f>IF(A284="","",IF(J284="AUTO",H284,IF(J284="MANUAL",AK284,"")))</f>
        <v/>
      </c>
      <c r="L284" s="12" t="n"/>
      <c r="M284" s="12" t="n"/>
      <c r="N284" s="12">
        <f>IF(A284="","",IF(COUNTIFS('Human Operation Desktop'!$A$3:$A$502,A284,'Human Operation Desktop'!$I$3:$I$502,"&lt;&gt;APPLIED",'Human Operation Desktop'!$I$3:$I$502,"&lt;&gt;REJECTED")&gt;0,"YES","NO"))</f>
        <v/>
      </c>
      <c r="O284" s="12"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25" t="n"/>
      <c r="AL284" s="13" t="n"/>
      <c r="AM284" s="13" t="n"/>
      <c r="AN284" s="13" t="n"/>
      <c r="AO284" s="13" t="n"/>
      <c r="AP284" s="13" t="n"/>
      <c r="AQ284" s="13" t="n"/>
      <c r="AR284" s="13" t="n"/>
      <c r="AS284" s="13" t="n"/>
    </row>
    <row r="285" ht="30" customHeight="1" s="41">
      <c r="A285" s="12" t="n"/>
      <c r="B285" s="12" t="n"/>
      <c r="C285" s="12" t="n"/>
      <c r="D285" s="12" t="n"/>
      <c r="E285" s="12">
        <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f>
        <v/>
      </c>
      <c r="F285" s="12" t="n"/>
      <c r="G285" s="134" t="n"/>
      <c r="H285" s="134" t="n"/>
      <c r="I285" s="12" t="n"/>
      <c r="J285" s="12" t="n"/>
      <c r="K285" s="135">
        <f>IF(A285="","",IF(J285="AUTO",H285,IF(J285="MANUAL",AK285,"")))</f>
        <v/>
      </c>
      <c r="L285" s="12" t="n"/>
      <c r="M285" s="12" t="n"/>
      <c r="N285" s="12">
        <f>IF(A285="","",IF(COUNTIFS('Human Operation Desktop'!$A$3:$A$502,A285,'Human Operation Desktop'!$I$3:$I$502,"&lt;&gt;APPLIED",'Human Operation Desktop'!$I$3:$I$502,"&lt;&gt;REJECTED")&gt;0,"YES","NO"))</f>
        <v/>
      </c>
      <c r="O285" s="12"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25" t="n"/>
      <c r="AL285" s="13" t="n"/>
      <c r="AM285" s="13" t="n"/>
      <c r="AN285" s="13" t="n"/>
      <c r="AO285" s="13" t="n"/>
      <c r="AP285" s="13" t="n"/>
      <c r="AQ285" s="13" t="n"/>
      <c r="AR285" s="13" t="n"/>
      <c r="AS285" s="13" t="n"/>
    </row>
    <row r="286" ht="30" customHeight="1" s="41">
      <c r="A286" s="12" t="n"/>
      <c r="B286" s="12" t="n"/>
      <c r="C286" s="12" t="n"/>
      <c r="D286" s="12" t="n"/>
      <c r="E286" s="12">
        <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f>
        <v/>
      </c>
      <c r="F286" s="12" t="n"/>
      <c r="G286" s="134" t="n"/>
      <c r="H286" s="134" t="n"/>
      <c r="I286" s="12" t="n"/>
      <c r="J286" s="12" t="n"/>
      <c r="K286" s="135">
        <f>IF(A286="","",IF(J286="AUTO",H286,IF(J286="MANUAL",AK286,"")))</f>
        <v/>
      </c>
      <c r="L286" s="12" t="n"/>
      <c r="M286" s="12" t="n"/>
      <c r="N286" s="12">
        <f>IF(A286="","",IF(COUNTIFS('Human Operation Desktop'!$A$3:$A$502,A286,'Human Operation Desktop'!$I$3:$I$502,"&lt;&gt;APPLIED",'Human Operation Desktop'!$I$3:$I$502,"&lt;&gt;REJECTED")&gt;0,"YES","NO"))</f>
        <v/>
      </c>
      <c r="O286" s="12"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25" t="n"/>
      <c r="AL286" s="13" t="n"/>
      <c r="AM286" s="13" t="n"/>
      <c r="AN286" s="13" t="n"/>
      <c r="AO286" s="13" t="n"/>
      <c r="AP286" s="13" t="n"/>
      <c r="AQ286" s="13" t="n"/>
      <c r="AR286" s="13" t="n"/>
      <c r="AS286" s="13" t="n"/>
    </row>
    <row r="287" ht="30" customHeight="1" s="41">
      <c r="A287" s="12" t="n"/>
      <c r="B287" s="12" t="n"/>
      <c r="C287" s="12" t="n"/>
      <c r="D287" s="12" t="n"/>
      <c r="E287" s="12">
        <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f>
        <v/>
      </c>
      <c r="F287" s="12" t="n"/>
      <c r="G287" s="134" t="n"/>
      <c r="H287" s="134" t="n"/>
      <c r="I287" s="12" t="n"/>
      <c r="J287" s="12" t="n"/>
      <c r="K287" s="135">
        <f>IF(A287="","",IF(J287="AUTO",H287,IF(J287="MANUAL",AK287,"")))</f>
        <v/>
      </c>
      <c r="L287" s="12" t="n"/>
      <c r="M287" s="12" t="n"/>
      <c r="N287" s="12">
        <f>IF(A287="","",IF(COUNTIFS('Human Operation Desktop'!$A$3:$A$502,A287,'Human Operation Desktop'!$I$3:$I$502,"&lt;&gt;APPLIED",'Human Operation Desktop'!$I$3:$I$502,"&lt;&gt;REJECTED")&gt;0,"YES","NO"))</f>
        <v/>
      </c>
      <c r="O287" s="12"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25" t="n"/>
      <c r="AL287" s="13" t="n"/>
      <c r="AM287" s="13" t="n"/>
      <c r="AN287" s="13" t="n"/>
      <c r="AO287" s="13" t="n"/>
      <c r="AP287" s="13" t="n"/>
      <c r="AQ287" s="13" t="n"/>
      <c r="AR287" s="13" t="n"/>
      <c r="AS287" s="13" t="n"/>
    </row>
    <row r="288" ht="30" customHeight="1" s="41">
      <c r="A288" s="12" t="n"/>
      <c r="B288" s="12" t="n"/>
      <c r="C288" s="12" t="n"/>
      <c r="D288" s="12" t="n"/>
      <c r="E288" s="12">
        <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f>
        <v/>
      </c>
      <c r="F288" s="12" t="n"/>
      <c r="G288" s="134" t="n"/>
      <c r="H288" s="134" t="n"/>
      <c r="I288" s="12" t="n"/>
      <c r="J288" s="12" t="n"/>
      <c r="K288" s="135">
        <f>IF(A288="","",IF(J288="AUTO",H288,IF(J288="MANUAL",AK288,"")))</f>
        <v/>
      </c>
      <c r="L288" s="12" t="n"/>
      <c r="M288" s="12" t="n"/>
      <c r="N288" s="12">
        <f>IF(A288="","",IF(COUNTIFS('Human Operation Desktop'!$A$3:$A$502,A288,'Human Operation Desktop'!$I$3:$I$502,"&lt;&gt;APPLIED",'Human Operation Desktop'!$I$3:$I$502,"&lt;&gt;REJECTED")&gt;0,"YES","NO"))</f>
        <v/>
      </c>
      <c r="O288" s="12"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25" t="n"/>
      <c r="AL288" s="13" t="n"/>
      <c r="AM288" s="13" t="n"/>
      <c r="AN288" s="13" t="n"/>
      <c r="AO288" s="13" t="n"/>
      <c r="AP288" s="13" t="n"/>
      <c r="AQ288" s="13" t="n"/>
      <c r="AR288" s="13" t="n"/>
      <c r="AS288" s="13" t="n"/>
    </row>
    <row r="289" ht="30" customHeight="1" s="41">
      <c r="A289" s="12" t="n"/>
      <c r="B289" s="12" t="n"/>
      <c r="C289" s="12" t="n"/>
      <c r="D289" s="12" t="n"/>
      <c r="E289" s="12">
        <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f>
        <v/>
      </c>
      <c r="F289" s="12" t="n"/>
      <c r="G289" s="134" t="n"/>
      <c r="H289" s="134" t="n"/>
      <c r="I289" s="12" t="n"/>
      <c r="J289" s="12" t="n"/>
      <c r="K289" s="135">
        <f>IF(A289="","",IF(J289="AUTO",H289,IF(J289="MANUAL",AK289,"")))</f>
        <v/>
      </c>
      <c r="L289" s="12" t="n"/>
      <c r="M289" s="12" t="n"/>
      <c r="N289" s="12">
        <f>IF(A289="","",IF(COUNTIFS('Human Operation Desktop'!$A$3:$A$502,A289,'Human Operation Desktop'!$I$3:$I$502,"&lt;&gt;APPLIED",'Human Operation Desktop'!$I$3:$I$502,"&lt;&gt;REJECTED")&gt;0,"YES","NO"))</f>
        <v/>
      </c>
      <c r="O289" s="12"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25" t="n"/>
      <c r="AL289" s="13" t="n"/>
      <c r="AM289" s="13" t="n"/>
      <c r="AN289" s="13" t="n"/>
      <c r="AO289" s="13" t="n"/>
      <c r="AP289" s="13" t="n"/>
      <c r="AQ289" s="13" t="n"/>
      <c r="AR289" s="13" t="n"/>
      <c r="AS289" s="13" t="n"/>
    </row>
    <row r="290" ht="30" customHeight="1" s="41">
      <c r="A290" s="12" t="n"/>
      <c r="B290" s="12" t="n"/>
      <c r="C290" s="12" t="n"/>
      <c r="D290" s="12" t="n"/>
      <c r="E290" s="12">
        <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f>
        <v/>
      </c>
      <c r="F290" s="12" t="n"/>
      <c r="G290" s="134" t="n"/>
      <c r="H290" s="134" t="n"/>
      <c r="I290" s="12" t="n"/>
      <c r="J290" s="12" t="n"/>
      <c r="K290" s="135">
        <f>IF(A290="","",IF(J290="AUTO",H290,IF(J290="MANUAL",AK290,"")))</f>
        <v/>
      </c>
      <c r="L290" s="12" t="n"/>
      <c r="M290" s="12" t="n"/>
      <c r="N290" s="12">
        <f>IF(A290="","",IF(COUNTIFS('Human Operation Desktop'!$A$3:$A$502,A290,'Human Operation Desktop'!$I$3:$I$502,"&lt;&gt;APPLIED",'Human Operation Desktop'!$I$3:$I$502,"&lt;&gt;REJECTED")&gt;0,"YES","NO"))</f>
        <v/>
      </c>
      <c r="O290" s="12"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25" t="n"/>
      <c r="AL290" s="13" t="n"/>
      <c r="AM290" s="13" t="n"/>
      <c r="AN290" s="13" t="n"/>
      <c r="AO290" s="13" t="n"/>
      <c r="AP290" s="13" t="n"/>
      <c r="AQ290" s="13" t="n"/>
      <c r="AR290" s="13" t="n"/>
      <c r="AS290" s="13" t="n"/>
    </row>
    <row r="291" ht="30" customHeight="1" s="41">
      <c r="A291" s="12" t="n"/>
      <c r="B291" s="12" t="n"/>
      <c r="C291" s="12" t="n"/>
      <c r="D291" s="12" t="n"/>
      <c r="E291" s="12">
        <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f>
        <v/>
      </c>
      <c r="F291" s="12" t="n"/>
      <c r="G291" s="134" t="n"/>
      <c r="H291" s="134" t="n"/>
      <c r="I291" s="12" t="n"/>
      <c r="J291" s="12" t="n"/>
      <c r="K291" s="135">
        <f>IF(A291="","",IF(J291="AUTO",H291,IF(J291="MANUAL",AK291,"")))</f>
        <v/>
      </c>
      <c r="L291" s="12" t="n"/>
      <c r="M291" s="12" t="n"/>
      <c r="N291" s="12">
        <f>IF(A291="","",IF(COUNTIFS('Human Operation Desktop'!$A$3:$A$502,A291,'Human Operation Desktop'!$I$3:$I$502,"&lt;&gt;APPLIED",'Human Operation Desktop'!$I$3:$I$502,"&lt;&gt;REJECTED")&gt;0,"YES","NO"))</f>
        <v/>
      </c>
      <c r="O291" s="12"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25" t="n"/>
      <c r="AL291" s="13" t="n"/>
      <c r="AM291" s="13" t="n"/>
      <c r="AN291" s="13" t="n"/>
      <c r="AO291" s="13" t="n"/>
      <c r="AP291" s="13" t="n"/>
      <c r="AQ291" s="13" t="n"/>
      <c r="AR291" s="13" t="n"/>
      <c r="AS291" s="13" t="n"/>
    </row>
    <row r="292" ht="30" customHeight="1" s="41">
      <c r="A292" s="12" t="n"/>
      <c r="B292" s="12" t="n"/>
      <c r="C292" s="12" t="n"/>
      <c r="D292" s="12" t="n"/>
      <c r="E292" s="12">
        <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f>
        <v/>
      </c>
      <c r="F292" s="12" t="n"/>
      <c r="G292" s="134" t="n"/>
      <c r="H292" s="134" t="n"/>
      <c r="I292" s="12" t="n"/>
      <c r="J292" s="12" t="n"/>
      <c r="K292" s="135">
        <f>IF(A292="","",IF(J292="AUTO",H292,IF(J292="MANUAL",AK292,"")))</f>
        <v/>
      </c>
      <c r="L292" s="12" t="n"/>
      <c r="M292" s="12" t="n"/>
      <c r="N292" s="12">
        <f>IF(A292="","",IF(COUNTIFS('Human Operation Desktop'!$A$3:$A$502,A292,'Human Operation Desktop'!$I$3:$I$502,"&lt;&gt;APPLIED",'Human Operation Desktop'!$I$3:$I$502,"&lt;&gt;REJECTED")&gt;0,"YES","NO"))</f>
        <v/>
      </c>
      <c r="O292" s="12"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25" t="n"/>
      <c r="AL292" s="13" t="n"/>
      <c r="AM292" s="13" t="n"/>
      <c r="AN292" s="13" t="n"/>
      <c r="AO292" s="13" t="n"/>
      <c r="AP292" s="13" t="n"/>
      <c r="AQ292" s="13" t="n"/>
      <c r="AR292" s="13" t="n"/>
      <c r="AS292" s="13" t="n"/>
    </row>
    <row r="293" ht="30" customHeight="1" s="41">
      <c r="A293" s="12" t="n"/>
      <c r="B293" s="12" t="n"/>
      <c r="C293" s="12" t="n"/>
      <c r="D293" s="12" t="n"/>
      <c r="E293" s="12">
        <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f>
        <v/>
      </c>
      <c r="F293" s="12" t="n"/>
      <c r="G293" s="134" t="n"/>
      <c r="H293" s="134" t="n"/>
      <c r="I293" s="12" t="n"/>
      <c r="J293" s="12" t="n"/>
      <c r="K293" s="135">
        <f>IF(A293="","",IF(J293="AUTO",H293,IF(J293="MANUAL",AK293,"")))</f>
        <v/>
      </c>
      <c r="L293" s="12" t="n"/>
      <c r="M293" s="12" t="n"/>
      <c r="N293" s="12">
        <f>IF(A293="","",IF(COUNTIFS('Human Operation Desktop'!$A$3:$A$502,A293,'Human Operation Desktop'!$I$3:$I$502,"&lt;&gt;APPLIED",'Human Operation Desktop'!$I$3:$I$502,"&lt;&gt;REJECTED")&gt;0,"YES","NO"))</f>
        <v/>
      </c>
      <c r="O293" s="12"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25" t="n"/>
      <c r="AL293" s="13" t="n"/>
      <c r="AM293" s="13" t="n"/>
      <c r="AN293" s="13" t="n"/>
      <c r="AO293" s="13" t="n"/>
      <c r="AP293" s="13" t="n"/>
      <c r="AQ293" s="13" t="n"/>
      <c r="AR293" s="13" t="n"/>
      <c r="AS293" s="13" t="n"/>
    </row>
    <row r="294" ht="30" customHeight="1" s="41">
      <c r="A294" s="12" t="n"/>
      <c r="B294" s="12" t="n"/>
      <c r="C294" s="12" t="n"/>
      <c r="D294" s="12" t="n"/>
      <c r="E294" s="12">
        <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f>
        <v/>
      </c>
      <c r="F294" s="12" t="n"/>
      <c r="G294" s="134" t="n"/>
      <c r="H294" s="134" t="n"/>
      <c r="I294" s="12" t="n"/>
      <c r="J294" s="12" t="n"/>
      <c r="K294" s="135">
        <f>IF(A294="","",IF(J294="AUTO",H294,IF(J294="MANUAL",AK294,"")))</f>
        <v/>
      </c>
      <c r="L294" s="12" t="n"/>
      <c r="M294" s="12" t="n"/>
      <c r="N294" s="12">
        <f>IF(A294="","",IF(COUNTIFS('Human Operation Desktop'!$A$3:$A$502,A294,'Human Operation Desktop'!$I$3:$I$502,"&lt;&gt;APPLIED",'Human Operation Desktop'!$I$3:$I$502,"&lt;&gt;REJECTED")&gt;0,"YES","NO"))</f>
        <v/>
      </c>
      <c r="O294" s="12"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25" t="n"/>
      <c r="AL294" s="13" t="n"/>
      <c r="AM294" s="13" t="n"/>
      <c r="AN294" s="13" t="n"/>
      <c r="AO294" s="13" t="n"/>
      <c r="AP294" s="13" t="n"/>
      <c r="AQ294" s="13" t="n"/>
      <c r="AR294" s="13" t="n"/>
      <c r="AS294" s="13" t="n"/>
    </row>
    <row r="295" ht="30" customHeight="1" s="41">
      <c r="A295" s="12" t="n"/>
      <c r="B295" s="12" t="n"/>
      <c r="C295" s="12" t="n"/>
      <c r="D295" s="12" t="n"/>
      <c r="E295" s="12">
        <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f>
        <v/>
      </c>
      <c r="F295" s="12" t="n"/>
      <c r="G295" s="134" t="n"/>
      <c r="H295" s="134" t="n"/>
      <c r="I295" s="12" t="n"/>
      <c r="J295" s="12" t="n"/>
      <c r="K295" s="135">
        <f>IF(A295="","",IF(J295="AUTO",H295,IF(J295="MANUAL",AK295,"")))</f>
        <v/>
      </c>
      <c r="L295" s="12" t="n"/>
      <c r="M295" s="12" t="n"/>
      <c r="N295" s="12">
        <f>IF(A295="","",IF(COUNTIFS('Human Operation Desktop'!$A$3:$A$502,A295,'Human Operation Desktop'!$I$3:$I$502,"&lt;&gt;APPLIED",'Human Operation Desktop'!$I$3:$I$502,"&lt;&gt;REJECTED")&gt;0,"YES","NO"))</f>
        <v/>
      </c>
      <c r="O295" s="12"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25" t="n"/>
      <c r="AL295" s="13" t="n"/>
      <c r="AM295" s="13" t="n"/>
      <c r="AN295" s="13" t="n"/>
      <c r="AO295" s="13" t="n"/>
      <c r="AP295" s="13" t="n"/>
      <c r="AQ295" s="13" t="n"/>
      <c r="AR295" s="13" t="n"/>
      <c r="AS295" s="13" t="n"/>
    </row>
    <row r="296" ht="30" customHeight="1" s="41">
      <c r="A296" s="12" t="n"/>
      <c r="B296" s="12" t="n"/>
      <c r="C296" s="12" t="n"/>
      <c r="D296" s="12" t="n"/>
      <c r="E296" s="12">
        <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f>
        <v/>
      </c>
      <c r="F296" s="12" t="n"/>
      <c r="G296" s="134" t="n"/>
      <c r="H296" s="134" t="n"/>
      <c r="I296" s="12" t="n"/>
      <c r="J296" s="12" t="n"/>
      <c r="K296" s="135">
        <f>IF(A296="","",IF(J296="AUTO",H296,IF(J296="MANUAL",AK296,"")))</f>
        <v/>
      </c>
      <c r="L296" s="12" t="n"/>
      <c r="M296" s="12" t="n"/>
      <c r="N296" s="12">
        <f>IF(A296="","",IF(COUNTIFS('Human Operation Desktop'!$A$3:$A$502,A296,'Human Operation Desktop'!$I$3:$I$502,"&lt;&gt;APPLIED",'Human Operation Desktop'!$I$3:$I$502,"&lt;&gt;REJECTED")&gt;0,"YES","NO"))</f>
        <v/>
      </c>
      <c r="O296" s="12"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25" t="n"/>
      <c r="AL296" s="13" t="n"/>
      <c r="AM296" s="13" t="n"/>
      <c r="AN296" s="13" t="n"/>
      <c r="AO296" s="13" t="n"/>
      <c r="AP296" s="13" t="n"/>
      <c r="AQ296" s="13" t="n"/>
      <c r="AR296" s="13" t="n"/>
      <c r="AS296" s="13" t="n"/>
    </row>
    <row r="297" ht="30" customHeight="1" s="41">
      <c r="A297" s="12" t="n"/>
      <c r="B297" s="12" t="n"/>
      <c r="C297" s="12" t="n"/>
      <c r="D297" s="12" t="n"/>
      <c r="E297" s="12">
        <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f>
        <v/>
      </c>
      <c r="F297" s="12" t="n"/>
      <c r="G297" s="134" t="n"/>
      <c r="H297" s="134" t="n"/>
      <c r="I297" s="12" t="n"/>
      <c r="J297" s="12" t="n"/>
      <c r="K297" s="135">
        <f>IF(A297="","",IF(J297="AUTO",H297,IF(J297="MANUAL",AK297,"")))</f>
        <v/>
      </c>
      <c r="L297" s="12" t="n"/>
      <c r="M297" s="12" t="n"/>
      <c r="N297" s="12">
        <f>IF(A297="","",IF(COUNTIFS('Human Operation Desktop'!$A$3:$A$502,A297,'Human Operation Desktop'!$I$3:$I$502,"&lt;&gt;APPLIED",'Human Operation Desktop'!$I$3:$I$502,"&lt;&gt;REJECTED")&gt;0,"YES","NO"))</f>
        <v/>
      </c>
      <c r="O297" s="12"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25" t="n"/>
      <c r="AL297" s="13" t="n"/>
      <c r="AM297" s="13" t="n"/>
      <c r="AN297" s="13" t="n"/>
      <c r="AO297" s="13" t="n"/>
      <c r="AP297" s="13" t="n"/>
      <c r="AQ297" s="13" t="n"/>
      <c r="AR297" s="13" t="n"/>
      <c r="AS297" s="13" t="n"/>
    </row>
    <row r="298" ht="30" customHeight="1" s="41">
      <c r="A298" s="12" t="n"/>
      <c r="B298" s="12" t="n"/>
      <c r="C298" s="12" t="n"/>
      <c r="D298" s="12" t="n"/>
      <c r="E298" s="12">
        <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f>
        <v/>
      </c>
      <c r="F298" s="12" t="n"/>
      <c r="G298" s="134" t="n"/>
      <c r="H298" s="134" t="n"/>
      <c r="I298" s="12" t="n"/>
      <c r="J298" s="12" t="n"/>
      <c r="K298" s="135">
        <f>IF(A298="","",IF(J298="AUTO",H298,IF(J298="MANUAL",AK298,"")))</f>
        <v/>
      </c>
      <c r="L298" s="12" t="n"/>
      <c r="M298" s="12" t="n"/>
      <c r="N298" s="12">
        <f>IF(A298="","",IF(COUNTIFS('Human Operation Desktop'!$A$3:$A$502,A298,'Human Operation Desktop'!$I$3:$I$502,"&lt;&gt;APPLIED",'Human Operation Desktop'!$I$3:$I$502,"&lt;&gt;REJECTED")&gt;0,"YES","NO"))</f>
        <v/>
      </c>
      <c r="O298" s="12"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25" t="n"/>
      <c r="AL298" s="13" t="n"/>
      <c r="AM298" s="13" t="n"/>
      <c r="AN298" s="13" t="n"/>
      <c r="AO298" s="13" t="n"/>
      <c r="AP298" s="13" t="n"/>
      <c r="AQ298" s="13" t="n"/>
      <c r="AR298" s="13" t="n"/>
      <c r="AS298" s="13" t="n"/>
    </row>
    <row r="299" ht="30" customHeight="1" s="41">
      <c r="A299" s="12" t="n"/>
      <c r="B299" s="12" t="n"/>
      <c r="C299" s="12" t="n"/>
      <c r="D299" s="12" t="n"/>
      <c r="E299" s="12">
        <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f>
        <v/>
      </c>
      <c r="F299" s="12" t="n"/>
      <c r="G299" s="134" t="n"/>
      <c r="H299" s="134" t="n"/>
      <c r="I299" s="12" t="n"/>
      <c r="J299" s="12" t="n"/>
      <c r="K299" s="135">
        <f>IF(A299="","",IF(J299="AUTO",H299,IF(J299="MANUAL",AK299,"")))</f>
        <v/>
      </c>
      <c r="L299" s="12" t="n"/>
      <c r="M299" s="12" t="n"/>
      <c r="N299" s="12">
        <f>IF(A299="","",IF(COUNTIFS('Human Operation Desktop'!$A$3:$A$502,A299,'Human Operation Desktop'!$I$3:$I$502,"&lt;&gt;APPLIED",'Human Operation Desktop'!$I$3:$I$502,"&lt;&gt;REJECTED")&gt;0,"YES","NO"))</f>
        <v/>
      </c>
      <c r="O299" s="12"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25" t="n"/>
      <c r="AL299" s="13" t="n"/>
      <c r="AM299" s="13" t="n"/>
      <c r="AN299" s="13" t="n"/>
      <c r="AO299" s="13" t="n"/>
      <c r="AP299" s="13" t="n"/>
      <c r="AQ299" s="13" t="n"/>
      <c r="AR299" s="13" t="n"/>
      <c r="AS299" s="13" t="n"/>
    </row>
    <row r="300" ht="30" customHeight="1" s="41">
      <c r="A300" s="12" t="n"/>
      <c r="B300" s="12" t="n"/>
      <c r="C300" s="12" t="n"/>
      <c r="D300" s="12" t="n"/>
      <c r="E300" s="12">
        <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f>
        <v/>
      </c>
      <c r="F300" s="12" t="n"/>
      <c r="G300" s="134" t="n"/>
      <c r="H300" s="134" t="n"/>
      <c r="I300" s="12" t="n"/>
      <c r="J300" s="12" t="n"/>
      <c r="K300" s="135">
        <f>IF(A300="","",IF(J300="AUTO",H300,IF(J300="MANUAL",AK300,"")))</f>
        <v/>
      </c>
      <c r="L300" s="12" t="n"/>
      <c r="M300" s="12" t="n"/>
      <c r="N300" s="12">
        <f>IF(A300="","",IF(COUNTIFS('Human Operation Desktop'!$A$3:$A$502,A300,'Human Operation Desktop'!$I$3:$I$502,"&lt;&gt;APPLIED",'Human Operation Desktop'!$I$3:$I$502,"&lt;&gt;REJECTED")&gt;0,"YES","NO"))</f>
        <v/>
      </c>
      <c r="O300" s="12"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25" t="n"/>
      <c r="AL300" s="13" t="n"/>
      <c r="AM300" s="13" t="n"/>
      <c r="AN300" s="13" t="n"/>
      <c r="AO300" s="13" t="n"/>
      <c r="AP300" s="13" t="n"/>
      <c r="AQ300" s="13" t="n"/>
      <c r="AR300" s="13" t="n"/>
      <c r="AS300" s="13" t="n"/>
    </row>
    <row r="301" ht="30" customHeight="1" s="41">
      <c r="A301" s="12" t="n"/>
      <c r="B301" s="12" t="n"/>
      <c r="C301" s="12" t="n"/>
      <c r="D301" s="12" t="n"/>
      <c r="E301" s="12">
        <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f>
        <v/>
      </c>
      <c r="F301" s="12" t="n"/>
      <c r="G301" s="134" t="n"/>
      <c r="H301" s="134" t="n"/>
      <c r="I301" s="12" t="n"/>
      <c r="J301" s="12" t="n"/>
      <c r="K301" s="135">
        <f>IF(A301="","",IF(J301="AUTO",H301,IF(J301="MANUAL",AK301,"")))</f>
        <v/>
      </c>
      <c r="L301" s="12" t="n"/>
      <c r="M301" s="12" t="n"/>
      <c r="N301" s="12">
        <f>IF(A301="","",IF(COUNTIFS('Human Operation Desktop'!$A$3:$A$502,A301,'Human Operation Desktop'!$I$3:$I$502,"&lt;&gt;APPLIED",'Human Operation Desktop'!$I$3:$I$502,"&lt;&gt;REJECTED")&gt;0,"YES","NO"))</f>
        <v/>
      </c>
      <c r="O301" s="12"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25" t="n"/>
      <c r="AL301" s="13" t="n"/>
      <c r="AM301" s="13" t="n"/>
      <c r="AN301" s="13" t="n"/>
      <c r="AO301" s="13" t="n"/>
      <c r="AP301" s="13" t="n"/>
      <c r="AQ301" s="13" t="n"/>
      <c r="AR301" s="13" t="n"/>
      <c r="AS301" s="13" t="n"/>
    </row>
    <row r="302" ht="30" customHeight="1" s="41">
      <c r="A302" s="14" t="n"/>
      <c r="B302" s="14" t="n"/>
      <c r="C302" s="14" t="n"/>
      <c r="D302" s="14" t="n"/>
      <c r="E302" s="14">
        <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f>
        <v/>
      </c>
      <c r="F302" s="14" t="n"/>
      <c r="G302" s="136" t="n"/>
      <c r="H302" s="136" t="n"/>
      <c r="I302" s="14" t="n"/>
      <c r="J302" s="14" t="n"/>
      <c r="K302" s="137">
        <f>IF(A302="","",IF(J302="AUTO",H302,IF(J302="MANUAL",AK302,"")))</f>
        <v/>
      </c>
      <c r="L302" s="14" t="n"/>
      <c r="M302" s="14" t="n"/>
      <c r="N302" s="14">
        <f>IF(A302="","",IF(COUNTIFS('Human Operation Desktop'!$A$3:$A$502,A302,'Human Operation Desktop'!$I$3:$I$502,"&lt;&gt;APPLIED",'Human Operation Desktop'!$I$3:$I$502,"&lt;&gt;REJECTED")&gt;0,"YES","NO"))</f>
        <v/>
      </c>
      <c r="O302" s="14" t="n"/>
      <c r="P302" s="15" t="n"/>
      <c r="Q302" s="15" t="n"/>
      <c r="R302" s="15" t="n"/>
      <c r="S302" s="15" t="n"/>
      <c r="T302" s="15" t="n"/>
      <c r="U302" s="15" t="n"/>
      <c r="V302" s="15" t="n"/>
      <c r="W302" s="15" t="n"/>
      <c r="X302" s="15" t="n"/>
      <c r="Y302" s="15" t="n"/>
      <c r="Z302" s="15" t="n"/>
      <c r="AA302" s="15" t="n"/>
      <c r="AB302" s="15" t="n"/>
      <c r="AC302" s="15" t="n"/>
      <c r="AD302" s="15" t="n"/>
      <c r="AE302" s="15" t="n"/>
      <c r="AF302" s="15" t="n"/>
      <c r="AG302" s="15" t="n"/>
      <c r="AH302" s="15" t="n"/>
      <c r="AI302" s="15" t="n"/>
      <c r="AJ302" s="15" t="n"/>
      <c r="AK302" s="138" t="n"/>
      <c r="AL302" s="15" t="n"/>
      <c r="AM302" s="15" t="n"/>
      <c r="AN302" s="15" t="n"/>
      <c r="AO302" s="15" t="n"/>
      <c r="AP302" s="15" t="n"/>
      <c r="AQ302" s="15" t="n"/>
      <c r="AR302" s="15" t="n"/>
      <c r="AS302" s="15" t="n"/>
    </row>
  </sheetData>
  <mergeCells count="2">
    <mergeCell ref="A1:O1"/>
    <mergeCell ref="P1:AS1"/>
  </mergeCells>
  <conditionalFormatting sqref="A3:A302">
    <cfRule type="duplicateValues" priority="1" dxfId="1"/>
  </conditionalFormatting>
  <conditionalFormatting sqref="B3:B302">
    <cfRule type="duplicateValues" priority="2" dxfId="1"/>
  </conditionalFormatting>
  <conditionalFormatting sqref="E3:E302">
    <cfRule type="containsText" priority="17" operator="containsText" dxfId="9" text="INCLUDE"/>
    <cfRule type="containsText" priority="18" operator="containsText" dxfId="38" text="PENDING"/>
    <cfRule type="containsText" priority="19" operator="containsText" dxfId="8" text="EXCLUDE"/>
  </conditionalFormatting>
  <conditionalFormatting sqref="F3:F302">
    <cfRule type="containsText" priority="26" operator="containsText" dxfId="57" text="NOT_RUN"/>
    <cfRule type="containsText" priority="25" operator="containsText" dxfId="56" text="PAYWALL_BLOCKED"/>
    <cfRule type="containsText" priority="24" operator="containsText" dxfId="8" text="FAIL"/>
    <cfRule type="containsText" priority="23" operator="containsText" dxfId="9" text="SUCCESS"/>
  </conditionalFormatting>
  <conditionalFormatting sqref="N3:N302">
    <cfRule type="containsText" priority="30" operator="containsText" dxfId="8" text="YES"/>
  </conditionalFormatting>
  <conditionalFormatting sqref="S3:X302">
    <cfRule type="containsText" priority="3" operator="containsText" dxfId="1" text="LOW"/>
    <cfRule type="containsText" priority="5" operator="containsText" dxfId="4" text="HIGH"/>
    <cfRule type="containsText" priority="4" operator="containsText" dxfId="2" text="MEDIUM"/>
  </conditionalFormatting>
  <conditionalFormatting sqref="Y3:Y302">
    <cfRule type="containsText" priority="8" operator="containsText" dxfId="1" text="EXCLUDE"/>
    <cfRule type="containsText" priority="7" operator="containsText" dxfId="2" text="PENDING"/>
    <cfRule type="containsText" priority="6" operator="containsText" dxfId="4" text="INCLUDE"/>
  </conditionalFormatting>
  <conditionalFormatting sqref="Z3:Z302">
    <cfRule type="containsText" priority="11" operator="containsText" dxfId="1" text="FAIL"/>
    <cfRule type="containsText" priority="10" operator="containsText" dxfId="0" text="RUNNING"/>
    <cfRule type="containsText" priority="9" operator="containsText" dxfId="4" text="SUCCESS"/>
  </conditionalFormatting>
  <conditionalFormatting sqref="AC3:AC302">
    <cfRule type="containsText" priority="12" operator="containsText" dxfId="2" text="CHANGED"/>
  </conditionalFormatting>
  <conditionalFormatting sqref="AD3:AI302">
    <cfRule type="containsText" priority="27" operator="containsText" dxfId="42" text="HIGH"/>
    <cfRule type="containsText" priority="28" operator="containsText" dxfId="7" text="MEDIUM"/>
    <cfRule type="containsText" priority="29" operator="containsText" dxfId="40" text="LOW"/>
  </conditionalFormatting>
  <conditionalFormatting sqref="AJ3:AJ302">
    <cfRule type="containsText" priority="20" operator="containsText" dxfId="9" text="INCLUDE"/>
    <cfRule type="containsText" priority="21" operator="containsText" dxfId="38" text="PENDING"/>
    <cfRule type="containsText" priority="22" operator="containsText" dxfId="8" text="EXCLUDE"/>
  </conditionalFormatting>
  <conditionalFormatting sqref="AP3:AP302">
    <cfRule type="containsText" priority="15" operator="containsText" dxfId="1" text="UNVERIFIED"/>
  </conditionalFormatting>
  <conditionalFormatting sqref="AQ3:AQ302">
    <cfRule type="containsText" priority="16" operator="containsText" dxfId="2" text="UNKNOWN"/>
  </conditionalFormatting>
  <dataValidations count="12">
    <dataValidation sqref="Z3:Z302" showDropDown="0" showInputMessage="0" showErrorMessage="0" allowBlank="0" type="list">
      <formula1>"Public authority,Standards body,Certification scheme,Manufacturer / supplier,Project / engineering,Client / internal,Pending classification"</formula1>
    </dataValidation>
    <dataValidation sqref="AP3:AP302" showDropDown="0" showInputMessage="0" showErrorMessage="0" allowBlank="0" type="list">
      <formula1>"OFFICIAL_WEBSITE,CLIENT_OR_SITE,SUPPLIER_OR_INTEGRATOR,INTERNAL_REPOSITORY,OTHER"</formula1>
    </dataValidation>
    <dataValidation sqref="AQ3:AQ302" showDropDown="0" showInputMessage="0" showErrorMessage="0" allowBlank="0" type="list">
      <formula1>"OFFICIAL_ORIGINAL,AUTHORISED_COPY,CLIENT_PROVIDED_COPY,UNVERIFIED"</formula1>
    </dataValidation>
    <dataValidation sqref="T3:T302" showDropDown="0" showInputMessage="0" showErrorMessage="0" allowBlank="0" type="list">
      <formula1>"html,pdf,xlsx,zip"</formula1>
    </dataValidation>
    <dataValidation sqref="V3:V302" showDropDown="0" showInputMessage="0" showErrorMessage="0" allowBlank="0" type="list">
      <formula1>"Norway,EU / EEA,International,Multi-jurisdiction,Site-specific,Other"</formula1>
    </dataValidation>
    <dataValidation sqref="W3:W302" showDropDown="0" showInputMessage="0" showErrorMessage="0" allowBlank="0" type="list">
      <formula1>"English,Norwegian,Other"</formula1>
    </dataValidation>
    <dataValidation sqref="AA3:AA3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B3:AB302" showDropDown="0" showInputMessage="0" showErrorMessage="0" allowBlank="0" type="list">
      <formula1>"Primary normative,Referenced normative,Asset-specific normative,Guidance / interpretation,Audit / assessment tool,Context / evidence,Draft working material"</formula1>
    </dataValidation>
    <dataValidation sqref="AD3:AI302" showDropDown="0" showInputMessage="0" showErrorMessage="0" allowBlank="0" type="list">
      <formula1>"LOW,MEDIUM,HIGH"</formula1>
    </dataValidation>
    <dataValidation sqref="AJ3:AJ302" showDropDown="0" showInputMessage="0" showErrorMessage="0" allowBlank="0" type="list">
      <formula1>"INCLUDE,PENDING,EXCLUDE"</formula1>
    </dataValidation>
    <dataValidation sqref="AM3:AM302" showDropDown="0" showInputMessage="0" showErrorMessage="0" allowBlank="0" type="list">
      <formula1>"CURRENT,SUPERSEDED,WITHDRAWN"</formula1>
    </dataValidation>
    <dataValidation sqref="AR3:AR302" showDropDown="0" showInputMessage="0" showErrorMessage="0" allowBlank="0" type="list">
      <formula1>"VERSIONED,ROLLING,UNKNOWN"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F6B78"/>
    <outlinePr summaryBelow="1" summaryRight="1"/>
    <pageSetUpPr/>
  </sheetPr>
  <dimension ref="A1:U130"/>
  <sheetViews>
    <sheetView showGridLines="0" tabSelected="1" zoomScale="85" zoomScaleNormal="85" workbookViewId="0">
      <pane ySplit="10" topLeftCell="A11" activePane="bottomLeft" state="frozen"/>
      <selection pane="bottomLeft" activeCell="A1" sqref="A1:H1"/>
    </sheetView>
  </sheetViews>
  <sheetFormatPr baseColWidth="10" defaultColWidth="8.83203125" defaultRowHeight="14"/>
  <cols>
    <col width="14" customWidth="1" style="41" min="1" max="1"/>
    <col width="38" customWidth="1" style="41" min="2" max="2"/>
    <col width="16" customWidth="1" style="41" min="3" max="3"/>
    <col width="34" customWidth="1" style="41" min="4" max="4"/>
    <col width="16" customWidth="1" style="41" min="5" max="5"/>
    <col width="18" customWidth="1" style="41" min="6" max="6"/>
    <col width="9" customWidth="1" style="41" min="7" max="10"/>
    <col width="13" customWidth="1" style="41" min="8" max="8"/>
    <col width="13" customWidth="1" style="41" min="9" max="9"/>
    <col width="13" customWidth="1" style="41" min="10" max="10"/>
    <col width="16" customWidth="1" style="41" min="11" max="16"/>
    <col width="16" customWidth="1" style="41" min="12" max="12"/>
    <col width="16" customWidth="1" style="41" min="13" max="13"/>
    <col width="16" customWidth="1" style="41" min="14" max="14"/>
    <col width="16" customWidth="1" style="41" min="15" max="15"/>
    <col width="16" customWidth="1" style="41" min="16" max="16"/>
    <col hidden="1" width="13" customWidth="1" style="41" min="18" max="22"/>
  </cols>
  <sheetData>
    <row r="1" ht="29" customHeight="1" s="41">
      <c r="A1" s="139" t="inlineStr">
        <is>
          <t>SYSTEM1 SOURCE MANAGEMENT</t>
        </is>
      </c>
      <c r="B1" s="199" t="n"/>
      <c r="C1" s="199" t="n"/>
      <c r="D1" s="199" t="n"/>
      <c r="E1" s="199" t="n"/>
      <c r="F1" s="199" t="n"/>
      <c r="G1" s="199" t="n"/>
      <c r="H1" s="200" t="n"/>
      <c r="I1" s="140" t="inlineStr">
        <is>
          <t>LAST DATA UPDATE</t>
        </is>
      </c>
      <c r="J1" s="199" t="n"/>
      <c r="K1" s="199" t="n"/>
      <c r="L1" s="200" t="n"/>
      <c r="M1" s="142" t="inlineStr">
        <is>
          <t>AUTOMATION</t>
        </is>
      </c>
      <c r="N1" s="199" t="n"/>
      <c r="O1" s="199" t="n"/>
      <c r="P1" s="200" t="n"/>
      <c r="R1" s="143" t="inlineStr">
        <is>
          <t>Primary category</t>
        </is>
      </c>
      <c r="S1" s="143" t="inlineStr">
        <is>
          <t>Total</t>
        </is>
      </c>
      <c r="T1" s="143" t="inlineStr">
        <is>
          <t>Included</t>
        </is>
      </c>
      <c r="U1" t="inlineStr">
        <is>
          <t>Folder code</t>
        </is>
      </c>
    </row>
    <row r="2" ht="22" customHeight="1" s="41">
      <c r="A2" s="144" t="inlineStr">
        <is>
          <t>Read-only management overview. Complete all decisions in Human Operation Desktop.</t>
        </is>
      </c>
      <c r="B2" s="199" t="n"/>
      <c r="C2" s="199" t="n"/>
      <c r="D2" s="199" t="n"/>
      <c r="E2" s="199" t="n"/>
      <c r="F2" s="199" t="n"/>
      <c r="G2" s="199" t="n"/>
      <c r="H2" s="200" t="n"/>
      <c r="I2" s="145">
        <f>MAX(MAX(SourceRegisterTable[last_attempt_at]),MAX(HumanOperationsTable[program_operated_at]))</f>
        <v/>
      </c>
      <c r="J2" s="199" t="n"/>
      <c r="K2" s="199" t="n"/>
      <c r="L2" s="200" t="n"/>
      <c r="M2" s="146" t="inlineStr">
        <is>
          <t>USER CONFIGURED</t>
        </is>
      </c>
      <c r="N2" s="199" t="n"/>
      <c r="O2" s="199" t="n"/>
      <c r="P2" s="200" t="n"/>
      <c r="R2" s="143" t="inlineStr">
        <is>
          <t>Public authority</t>
        </is>
      </c>
      <c r="S2" s="143">
        <f>COUNTIF(SourceRegisterTable[folder_code],U2)</f>
        <v/>
      </c>
      <c r="T2" s="143">
        <f>COUNTIFS(SourceRegisterTable[folder_code],U2,SourceRegisterTable[selection_status],"INCLUDE")</f>
        <v/>
      </c>
      <c r="U2" t="inlineStr">
        <is>
          <t>A_Public_Authority</t>
        </is>
      </c>
    </row>
    <row r="3" ht="20" customHeight="1" s="41">
      <c r="A3" s="31" t="n"/>
      <c r="B3" s="31" t="n"/>
      <c r="C3" s="31" t="n"/>
      <c r="D3" s="31" t="n"/>
      <c r="E3" s="31" t="n"/>
      <c r="F3" s="31" t="n"/>
      <c r="G3" s="31" t="n"/>
      <c r="H3" s="31" t="n"/>
      <c r="I3" s="31" t="n"/>
      <c r="J3" s="31" t="n"/>
      <c r="K3" s="31" t="n"/>
      <c r="L3" s="31" t="n"/>
      <c r="M3" s="31" t="n"/>
      <c r="N3" s="31" t="n"/>
      <c r="O3" s="31" t="n"/>
      <c r="P3" s="31" t="n"/>
      <c r="R3" s="147" t="inlineStr">
        <is>
          <t>Standards body</t>
        </is>
      </c>
      <c r="S3" s="147">
        <f>COUNTIF(SourceRegisterTable[folder_code],U3)</f>
        <v/>
      </c>
      <c r="T3" s="147">
        <f>COUNTIFS(SourceRegisterTable[folder_code],U3,SourceRegisterTable[selection_status],"INCLUDE")</f>
        <v/>
      </c>
      <c r="U3" t="inlineStr">
        <is>
          <t>B_Standards_Body</t>
        </is>
      </c>
    </row>
    <row r="4" ht="22" customHeight="1" s="41">
      <c r="A4" s="144" t="inlineStr">
        <is>
          <t>TOTAL SOURCES</t>
        </is>
      </c>
      <c r="B4" s="200" t="n"/>
      <c r="C4" s="144" t="inlineStr">
        <is>
          <t>INCLUDED SOURCES</t>
        </is>
      </c>
      <c r="D4" s="200" t="n"/>
      <c r="E4" s="144" t="inlineStr">
        <is>
          <t>STORED SNAPSHOTS</t>
        </is>
      </c>
      <c r="F4" s="199" t="n"/>
      <c r="G4" s="200" t="n"/>
      <c r="H4" s="144" t="inlineStr">
        <is>
          <t>OPEN HUMAN TASKS</t>
        </is>
      </c>
      <c r="I4" s="199" t="n"/>
      <c r="J4" s="199" t="n"/>
      <c r="K4" s="200" t="n"/>
      <c r="L4" s="144" t="inlineStr">
        <is>
          <t>RETRIEVAL EXCEPTIONS</t>
        </is>
      </c>
      <c r="M4" s="199" t="n"/>
      <c r="N4" s="199" t="n"/>
      <c r="O4" s="199" t="n"/>
      <c r="P4" s="200" t="n"/>
      <c r="Q4" s="148" t="n"/>
      <c r="R4" s="143" t="inlineStr">
        <is>
          <t>Certification scheme</t>
        </is>
      </c>
      <c r="S4" s="143">
        <f>COUNTIF(SourceRegisterTable[folder_code],U4)</f>
        <v/>
      </c>
      <c r="T4" s="143">
        <f>COUNTIFS(SourceRegisterTable[folder_code],U4,SourceRegisterTable[selection_status],"INCLUDE")</f>
        <v/>
      </c>
      <c r="U4" t="inlineStr">
        <is>
          <t>C_Certification_Scheme</t>
        </is>
      </c>
    </row>
    <row r="5" ht="25" customHeight="1" s="41">
      <c r="A5" s="150">
        <f>COUNTA(SourceRegisterTable[source_id])</f>
        <v/>
      </c>
      <c r="B5" s="201" t="n"/>
      <c r="C5" s="152">
        <f>COUNTIF(SourceRegisterTable[selection_status],"INCLUDE")</f>
        <v/>
      </c>
      <c r="D5" s="201" t="n"/>
      <c r="E5" s="153">
        <f>COUNTIF(SourceRegisterTable[snapshot_status],"STORED")</f>
        <v/>
      </c>
      <c r="F5" s="202" t="n"/>
      <c r="G5" s="201" t="n"/>
      <c r="H5" s="155">
        <f>COUNTIF(HumanOperationsTable[program_status],"PENDING")+COUNTIF(HumanOperationsTable[program_status],"WAITING_FOR_HUMAN")+COUNTIF(HumanOperationsTable[program_status],"NEEDS_REPLAN")</f>
        <v/>
      </c>
      <c r="I5" s="202" t="n"/>
      <c r="J5" s="202" t="n"/>
      <c r="K5" s="201" t="n"/>
      <c r="L5" s="156">
        <f>COUNTIF(SourceRegisterTable[download_status],"FAIL")+COUNTIF(SourceRegisterTable[download_status],"PAYWALL_BLOCKED")</f>
        <v/>
      </c>
      <c r="M5" s="202" t="n"/>
      <c r="N5" s="202" t="n"/>
      <c r="O5" s="202" t="n"/>
      <c r="P5" s="201" t="n"/>
      <c r="Q5" s="151" t="n"/>
      <c r="R5" s="143" t="inlineStr">
        <is>
          <t>Manufacturer / supplier</t>
        </is>
      </c>
      <c r="S5" s="143">
        <f>COUNTIF(SourceRegisterTable[folder_code],U5)</f>
        <v/>
      </c>
      <c r="T5" s="143">
        <f>COUNTIFS(SourceRegisterTable[folder_code],U5,SourceRegisterTable[selection_status],"INCLUDE")</f>
        <v/>
      </c>
      <c r="U5" t="inlineStr">
        <is>
          <t>D_Manufacturer_Supplier</t>
        </is>
      </c>
    </row>
    <row r="6" ht="25" customHeight="1" s="41">
      <c r="A6" s="203" t="n"/>
      <c r="B6" s="204" t="n"/>
      <c r="C6" s="203" t="n"/>
      <c r="D6" s="204" t="n"/>
      <c r="E6" s="203" t="n"/>
      <c r="F6" s="205" t="n"/>
      <c r="G6" s="204" t="n"/>
      <c r="H6" s="203" t="n"/>
      <c r="I6" s="205" t="n"/>
      <c r="J6" s="205" t="n"/>
      <c r="K6" s="204" t="n"/>
      <c r="L6" s="203" t="n"/>
      <c r="M6" s="205" t="n"/>
      <c r="N6" s="205" t="n"/>
      <c r="O6" s="205" t="n"/>
      <c r="P6" s="204" t="n"/>
      <c r="R6" s="147" t="inlineStr">
        <is>
          <t>Project / engineering</t>
        </is>
      </c>
      <c r="S6" s="147">
        <f>COUNTIF(SourceRegisterTable[folder_code],U6)</f>
        <v/>
      </c>
      <c r="T6" s="147">
        <f>COUNTIFS(SourceRegisterTable[folder_code],U6,SourceRegisterTable[selection_status],"INCLUDE")</f>
        <v/>
      </c>
      <c r="U6" t="inlineStr">
        <is>
          <t>E_Project_Engineering</t>
        </is>
      </c>
    </row>
    <row r="7" ht="20" customHeight="1" s="41">
      <c r="A7" s="157" t="inlineStr">
        <is>
          <t>Registered sources</t>
        </is>
      </c>
      <c r="B7" s="200" t="n"/>
      <c r="C7" s="157">
        <f>TEXT(C5/A5,"0%")&amp;" of total"</f>
        <v/>
      </c>
      <c r="D7" s="200" t="n"/>
      <c r="E7" s="157">
        <f>TEXT(E5/A5,"0%")&amp;" collection rate"</f>
        <v/>
      </c>
      <c r="F7" s="199" t="n"/>
      <c r="G7" s="200" t="n"/>
      <c r="H7" s="157">
        <f>"Oldest: "&amp;S17&amp;" days"</f>
        <v/>
      </c>
      <c r="I7" s="199" t="n"/>
      <c r="J7" s="199" t="n"/>
      <c r="K7" s="200" t="n"/>
      <c r="L7" s="157" t="inlineStr">
        <is>
          <t>FAIL + PAYWALL_BLOCKED</t>
        </is>
      </c>
      <c r="M7" s="199" t="n"/>
      <c r="N7" s="199" t="n"/>
      <c r="O7" s="199" t="n"/>
      <c r="P7" s="200" t="n"/>
      <c r="R7" s="143" t="inlineStr">
        <is>
          <t>Client internal</t>
        </is>
      </c>
      <c r="S7" s="143">
        <f>COUNTIF(SourceRegisterTable[folder_code],U7)</f>
        <v/>
      </c>
      <c r="T7" s="143">
        <f>COUNTIFS(SourceRegisterTable[folder_code],U7,SourceRegisterTable[selection_status],"INCLUDE")</f>
        <v/>
      </c>
      <c r="U7" t="inlineStr">
        <is>
          <t>F_Client_Internal</t>
        </is>
      </c>
    </row>
    <row r="8" ht="20" customHeight="1" s="41">
      <c r="A8" s="31" t="n"/>
      <c r="B8" s="31" t="n"/>
      <c r="C8" s="31" t="n"/>
      <c r="D8" s="31" t="n"/>
      <c r="E8" s="31" t="n"/>
      <c r="F8" s="31" t="n"/>
      <c r="G8" s="31" t="n"/>
      <c r="H8" s="31" t="n"/>
      <c r="I8" s="31" t="n"/>
      <c r="J8" s="31" t="n"/>
      <c r="K8" s="31" t="n"/>
      <c r="L8" s="31" t="n"/>
      <c r="M8" s="31" t="n"/>
      <c r="N8" s="31" t="n"/>
      <c r="O8" s="31" t="n"/>
      <c r="P8" s="31" t="n"/>
      <c r="R8" s="147" t="inlineStr">
        <is>
          <t>Pending classification</t>
        </is>
      </c>
      <c r="S8" s="147">
        <f>COUNTIF(SourceRegisterTable[folder_code],U8)</f>
        <v/>
      </c>
      <c r="T8" s="147">
        <f>COUNTIFS(SourceRegisterTable[folder_code],U8,SourceRegisterTable[selection_status],"INCLUDE")</f>
        <v/>
      </c>
      <c r="U8" t="inlineStr">
        <is>
          <t>Z_Pending_Classification</t>
        </is>
      </c>
    </row>
    <row r="9" ht="24" customHeight="1" s="41">
      <c r="A9" s="144">
        <f>IF(H5=0,"All human operations are clear.",IF(S17&gt;60,"Human review is overdue. Open Human Operation Desktop and address the oldest items.","Human review is pending. Open Human Operation Desktop to review the current queue."))</f>
        <v/>
      </c>
      <c r="B9" s="202" t="n"/>
      <c r="C9" s="202" t="n"/>
      <c r="D9" s="202" t="n"/>
      <c r="E9" s="202" t="n"/>
      <c r="F9" s="202" t="n"/>
      <c r="G9" s="202" t="n"/>
      <c r="H9" s="202" t="n"/>
      <c r="I9" s="202" t="n"/>
      <c r="J9" s="202" t="n"/>
      <c r="K9" s="202" t="n"/>
      <c r="L9" s="202" t="n"/>
      <c r="M9" s="202" t="n"/>
      <c r="N9" s="202" t="n"/>
      <c r="O9" s="202" t="n"/>
      <c r="P9" s="201" t="n"/>
    </row>
    <row r="10" ht="24" customHeight="1" s="41">
      <c r="A10" s="203" t="n"/>
      <c r="B10" s="205" t="n"/>
      <c r="C10" s="205" t="n"/>
      <c r="D10" s="205" t="n"/>
      <c r="E10" s="205" t="n"/>
      <c r="F10" s="205" t="n"/>
      <c r="G10" s="205" t="n"/>
      <c r="H10" s="205" t="n"/>
      <c r="I10" s="205" t="n"/>
      <c r="J10" s="205" t="n"/>
      <c r="K10" s="205" t="n"/>
      <c r="L10" s="205" t="n"/>
      <c r="M10" s="205" t="n"/>
      <c r="N10" s="205" t="n"/>
      <c r="O10" s="205" t="n"/>
      <c r="P10" s="204" t="n"/>
      <c r="R10" s="147" t="inlineStr">
        <is>
          <t>Selection status</t>
        </is>
      </c>
      <c r="S10" s="147" t="inlineStr">
        <is>
          <t>Count</t>
        </is>
      </c>
      <c r="T10" s="147" t="inlineStr">
        <is>
          <t>Share</t>
        </is>
      </c>
    </row>
    <row r="11" ht="20" customHeight="1" s="41">
      <c r="A11" s="31" t="n"/>
      <c r="B11" s="31" t="n"/>
      <c r="C11" s="31" t="n"/>
      <c r="D11" s="31" t="n"/>
      <c r="E11" s="31" t="n"/>
      <c r="F11" s="31" t="n"/>
      <c r="G11" s="31" t="n"/>
      <c r="H11" s="31" t="n"/>
      <c r="I11" s="31" t="n"/>
      <c r="J11" s="31" t="n"/>
      <c r="K11" s="31" t="n"/>
      <c r="L11" s="31" t="n"/>
      <c r="M11" s="31" t="n"/>
      <c r="N11" s="31" t="n"/>
      <c r="O11" s="31" t="n"/>
      <c r="P11" s="31" t="n"/>
      <c r="R11" s="147" t="inlineStr">
        <is>
          <t>INCLUDE</t>
        </is>
      </c>
      <c r="S11" s="147">
        <f>COUNTIF(SourceRegisterTable[selection_status],R11)</f>
        <v/>
      </c>
      <c r="T11" s="158">
        <f>IFERROR(S11/SUM($S$11:$S$13),0)</f>
        <v/>
      </c>
    </row>
    <row r="12" ht="22" customHeight="1" s="41">
      <c r="A12" s="159" t="inlineStr">
        <is>
          <t>SOURCE PORTFOLIO</t>
        </is>
      </c>
      <c r="B12" s="199" t="n"/>
      <c r="C12" s="199" t="n"/>
      <c r="D12" s="199" t="n"/>
      <c r="E12" s="199" t="n"/>
      <c r="F12" s="199" t="n"/>
      <c r="G12" s="199" t="n"/>
      <c r="H12" s="199" t="n"/>
      <c r="I12" s="199" t="n"/>
      <c r="J12" s="200" t="n"/>
      <c r="K12" s="159" t="inlineStr">
        <is>
          <t>SELECTION STATUS</t>
        </is>
      </c>
      <c r="L12" s="199" t="n"/>
      <c r="M12" s="199" t="n"/>
      <c r="N12" s="199" t="n"/>
      <c r="O12" s="199" t="n"/>
      <c r="P12" s="200" t="n"/>
      <c r="R12" s="160" t="inlineStr">
        <is>
          <t>PENDING</t>
        </is>
      </c>
      <c r="S12" s="160">
        <f>COUNTIF(SourceRegisterTable[selection_status],R12)</f>
        <v/>
      </c>
      <c r="T12" s="161">
        <f>IFERROR(S12/SUM($S$11:$S$13),0)</f>
        <v/>
      </c>
    </row>
    <row r="13" ht="20" customHeight="1" s="41">
      <c r="A13" s="31" t="n"/>
      <c r="B13" s="31" t="n"/>
      <c r="C13" s="31" t="n"/>
      <c r="D13" s="31" t="n"/>
      <c r="E13" s="31" t="n"/>
      <c r="F13" s="31" t="n"/>
      <c r="G13" s="31" t="n"/>
      <c r="H13" s="31" t="n"/>
      <c r="I13" s="31" t="n"/>
      <c r="J13" s="31" t="n"/>
      <c r="K13" s="31" t="n"/>
      <c r="L13" s="31" t="n"/>
      <c r="M13" s="31" t="n"/>
      <c r="N13" s="31" t="n"/>
      <c r="O13" s="31" t="n"/>
      <c r="P13" s="31" t="n"/>
      <c r="R13" s="147" t="inlineStr">
        <is>
          <t>EXCLUDE</t>
        </is>
      </c>
      <c r="S13" s="147">
        <f>COUNTIF(SourceRegisterTable[selection_status],R13)</f>
        <v/>
      </c>
      <c r="T13" s="158">
        <f>IFERROR(S13/SUM($S$11:$S$13),0)</f>
        <v/>
      </c>
    </row>
    <row r="14" ht="20" customHeight="1" s="41">
      <c r="A14" s="31" t="n"/>
      <c r="B14" s="31" t="n"/>
      <c r="C14" s="31" t="n"/>
      <c r="D14" s="31" t="n"/>
      <c r="E14" s="31" t="n"/>
      <c r="F14" s="31" t="n"/>
      <c r="G14" s="31" t="n"/>
      <c r="H14" s="31" t="n"/>
      <c r="I14" s="31" t="n"/>
      <c r="J14" s="31" t="n"/>
      <c r="K14" s="31" t="n"/>
      <c r="L14" s="31" t="n"/>
      <c r="M14" s="31" t="n"/>
      <c r="N14" s="31" t="n"/>
      <c r="O14" s="31" t="n"/>
      <c r="P14" s="31" t="n"/>
    </row>
    <row r="15" ht="20" customHeight="1" s="41">
      <c r="A15" s="31" t="n"/>
      <c r="B15" s="31" t="n"/>
      <c r="C15" s="31" t="n"/>
      <c r="D15" s="31" t="n"/>
      <c r="E15" s="31" t="n"/>
      <c r="F15" s="31" t="n"/>
      <c r="G15" s="31" t="n"/>
      <c r="H15" s="31" t="n"/>
      <c r="I15" s="31" t="n"/>
      <c r="J15" s="31" t="n"/>
      <c r="K15" s="31" t="n"/>
      <c r="L15" s="31" t="n"/>
      <c r="M15" s="31" t="n"/>
      <c r="N15" s="31" t="n"/>
      <c r="O15" s="31" t="n"/>
      <c r="P15" s="31" t="n"/>
      <c r="R15" s="147" t="inlineStr">
        <is>
          <t>Program status</t>
        </is>
      </c>
      <c r="S15" s="147" t="inlineStr">
        <is>
          <t>Oldest days</t>
        </is>
      </c>
    </row>
    <row r="16" ht="20" customHeight="1" s="41">
      <c r="A16" s="31" t="n"/>
      <c r="B16" s="31" t="n"/>
      <c r="C16" s="31" t="n"/>
      <c r="D16" s="31" t="n"/>
      <c r="E16" s="31" t="n"/>
      <c r="F16" s="31" t="n"/>
      <c r="G16" s="31" t="n"/>
      <c r="H16" s="31" t="n"/>
      <c r="I16" s="31" t="n"/>
      <c r="J16" s="31" t="n"/>
      <c r="K16" s="31" t="n"/>
      <c r="L16" s="31" t="n"/>
      <c r="M16" s="31" t="n"/>
      <c r="N16" s="31" t="n"/>
      <c r="O16" s="31" t="n"/>
      <c r="P16" s="31" t="n"/>
      <c r="R16" s="147" t="inlineStr">
        <is>
          <t>OPEN TASKS</t>
        </is>
      </c>
      <c r="S16" s="147">
        <f>H5</f>
        <v/>
      </c>
    </row>
    <row r="17" ht="20" customHeight="1" s="41">
      <c r="A17" s="31" t="n"/>
      <c r="B17" s="31" t="n"/>
      <c r="C17" s="31" t="n"/>
      <c r="D17" s="31" t="n"/>
      <c r="E17" s="31" t="n"/>
      <c r="F17" s="31" t="n"/>
      <c r="G17" s="31" t="n"/>
      <c r="H17" s="31" t="n"/>
      <c r="I17" s="31" t="n"/>
      <c r="J17" s="31" t="n"/>
      <c r="K17" s="31" t="n"/>
      <c r="L17" s="31" t="n"/>
      <c r="M17" s="31" t="n"/>
      <c r="N17" s="31" t="n"/>
      <c r="O17" s="31" t="n"/>
      <c r="P17" s="31" t="n"/>
      <c r="R17" s="147" t="inlineStr">
        <is>
          <t>OLDEST OPEN</t>
        </is>
      </c>
      <c r="S17" s="162">
        <f>MAX(T30:T130)</f>
        <v/>
      </c>
    </row>
    <row r="18" ht="20" customHeight="1" s="41">
      <c r="A18" s="31" t="n"/>
      <c r="B18" s="31" t="n"/>
      <c r="C18" s="31" t="n"/>
      <c r="D18" s="31" t="n"/>
      <c r="E18" s="31" t="n"/>
      <c r="F18" s="31" t="n"/>
      <c r="G18" s="31" t="n"/>
      <c r="H18" s="31" t="n"/>
      <c r="I18" s="31" t="n"/>
      <c r="J18" s="31" t="n"/>
      <c r="K18" s="31" t="n"/>
      <c r="L18" s="31" t="n"/>
      <c r="M18" s="31" t="n"/>
      <c r="N18" s="31" t="n"/>
      <c r="O18" s="31" t="n"/>
      <c r="P18" s="31" t="n"/>
    </row>
    <row r="19" ht="20" customHeight="1" s="41">
      <c r="A19" s="31" t="n"/>
      <c r="B19" s="31" t="n"/>
      <c r="C19" s="31" t="n"/>
      <c r="D19" s="31" t="n"/>
      <c r="E19" s="31" t="n"/>
      <c r="F19" s="31" t="n"/>
      <c r="G19" s="31" t="n"/>
      <c r="H19" s="31" t="n"/>
      <c r="I19" s="31" t="n"/>
      <c r="J19" s="31" t="n"/>
      <c r="K19" s="31" t="n"/>
      <c r="L19" s="31" t="n"/>
      <c r="M19" s="31" t="n"/>
      <c r="N19" s="31" t="n"/>
      <c r="O19" s="31" t="n"/>
      <c r="P19" s="31" t="n"/>
      <c r="R19" s="147" t="inlineStr">
        <is>
          <t>Retrieval status</t>
        </is>
      </c>
      <c r="S19" s="147" t="inlineStr">
        <is>
          <t>Count</t>
        </is>
      </c>
      <c r="T19" s="147" t="inlineStr">
        <is>
          <t>Share</t>
        </is>
      </c>
    </row>
    <row r="20" ht="20" customHeight="1" s="41">
      <c r="A20" s="31" t="n"/>
      <c r="B20" s="31" t="n"/>
      <c r="C20" s="31" t="n"/>
      <c r="D20" s="31" t="n"/>
      <c r="E20" s="31" t="n"/>
      <c r="F20" s="31" t="n"/>
      <c r="G20" s="31" t="n"/>
      <c r="H20" s="31" t="n"/>
      <c r="I20" s="31" t="n"/>
      <c r="J20" s="31" t="n"/>
      <c r="K20" s="31" t="n"/>
      <c r="L20" s="31" t="n"/>
      <c r="M20" s="31" t="n"/>
      <c r="N20" s="31" t="n"/>
      <c r="O20" s="31" t="n"/>
      <c r="P20" s="31" t="n"/>
      <c r="R20" s="147" t="inlineStr">
        <is>
          <t>SUCCESS</t>
        </is>
      </c>
      <c r="S20" s="147">
        <f>COUNTIF(SourceRegisterTable[download_status],R20)</f>
        <v/>
      </c>
      <c r="T20" s="158">
        <f>IFERROR(S20/A5,0)</f>
        <v/>
      </c>
    </row>
    <row r="21" ht="20" customHeight="1" s="41">
      <c r="A21" s="31" t="n"/>
      <c r="B21" s="31" t="n"/>
      <c r="C21" s="31" t="n"/>
      <c r="D21" s="31" t="n"/>
      <c r="E21" s="31" t="n"/>
      <c r="F21" s="31" t="n"/>
      <c r="G21" s="31" t="n"/>
      <c r="H21" s="31" t="n"/>
      <c r="I21" s="31" t="n"/>
      <c r="J21" s="31" t="n"/>
      <c r="K21" s="31" t="n"/>
      <c r="L21" s="31" t="n"/>
      <c r="M21" s="31" t="n"/>
      <c r="N21" s="31" t="n"/>
      <c r="O21" s="31" t="n"/>
      <c r="P21" s="31" t="n"/>
      <c r="R21" s="147" t="inlineStr">
        <is>
          <t>NOT_RUN</t>
        </is>
      </c>
      <c r="S21" s="147">
        <f>COUNTIF(SourceRegisterTable[download_status],R21)</f>
        <v/>
      </c>
      <c r="T21" s="158">
        <f>IFERROR(S21/A5,0)</f>
        <v/>
      </c>
    </row>
    <row r="22" ht="20" customHeight="1" s="41">
      <c r="A22" s="31" t="n"/>
      <c r="B22" s="31" t="n"/>
      <c r="C22" s="31" t="n"/>
      <c r="D22" s="31" t="n"/>
      <c r="E22" s="31" t="n"/>
      <c r="F22" s="31" t="n"/>
      <c r="G22" s="31" t="n"/>
      <c r="H22" s="31" t="n"/>
      <c r="I22" s="31" t="n"/>
      <c r="J22" s="31" t="n"/>
      <c r="K22" s="163" t="inlineStr">
        <is>
          <t>INCLUDE</t>
        </is>
      </c>
      <c r="L22" s="200" t="n"/>
      <c r="M22" s="163" t="inlineStr">
        <is>
          <t>PENDING</t>
        </is>
      </c>
      <c r="N22" s="200" t="n"/>
      <c r="O22" s="163" t="inlineStr">
        <is>
          <t>EXCLUDE</t>
        </is>
      </c>
      <c r="P22" s="200" t="n"/>
      <c r="R22" s="147" t="inlineStr">
        <is>
          <t>PAYWALL_BLOCKED</t>
        </is>
      </c>
      <c r="S22" s="147">
        <f>COUNTIF(SourceRegisterTable[download_status],R22)</f>
        <v/>
      </c>
      <c r="T22" s="158">
        <f>IFERROR(S22/A5,0)</f>
        <v/>
      </c>
    </row>
    <row r="23" ht="20" customHeight="1" s="41">
      <c r="A23" s="31" t="n"/>
      <c r="B23" s="31" t="n"/>
      <c r="C23" s="31" t="n"/>
      <c r="D23" s="31" t="n"/>
      <c r="E23" s="31" t="n"/>
      <c r="F23" s="31" t="n"/>
      <c r="G23" s="31" t="n"/>
      <c r="H23" s="31" t="n"/>
      <c r="I23" s="31" t="n"/>
      <c r="J23" s="31" t="n"/>
      <c r="K23" s="164">
        <f>S11&amp;" | "&amp;TEXT(T11,"0%")</f>
        <v/>
      </c>
      <c r="L23" s="201" t="n"/>
      <c r="M23" s="164">
        <f>S12&amp;" | "&amp;TEXT(T12,"0%")</f>
        <v/>
      </c>
      <c r="N23" s="201" t="n"/>
      <c r="O23" s="164">
        <f>S13&amp;" | "&amp;TEXT(T13,"0%")</f>
        <v/>
      </c>
      <c r="P23" s="201" t="n"/>
      <c r="R23" s="147" t="inlineStr">
        <is>
          <t>FAIL</t>
        </is>
      </c>
      <c r="S23" s="147">
        <f>COUNTIF(SourceRegisterTable[download_status],R23)</f>
        <v/>
      </c>
      <c r="T23" s="158">
        <f>IFERROR(S23/A5,0)</f>
        <v/>
      </c>
    </row>
    <row r="24" ht="20" customHeight="1" s="41">
      <c r="A24" s="31" t="n"/>
      <c r="B24" s="31" t="n"/>
      <c r="C24" s="31" t="n"/>
      <c r="D24" s="31" t="n"/>
      <c r="E24" s="31" t="n"/>
      <c r="F24" s="31" t="n"/>
      <c r="G24" s="31" t="n"/>
      <c r="H24" s="31" t="n"/>
      <c r="I24" s="31" t="n"/>
      <c r="J24" s="31" t="n"/>
      <c r="K24" s="203" t="n"/>
      <c r="L24" s="204" t="n"/>
      <c r="M24" s="203" t="n"/>
      <c r="N24" s="204" t="n"/>
      <c r="O24" s="203" t="n"/>
      <c r="P24" s="204" t="n"/>
    </row>
    <row r="25" ht="20" customHeight="1" s="41">
      <c r="A25" s="31" t="n"/>
      <c r="B25" s="31" t="n"/>
      <c r="C25" s="31" t="n"/>
      <c r="D25" s="31" t="n"/>
      <c r="E25" s="31" t="n"/>
      <c r="F25" s="31" t="n"/>
      <c r="G25" s="31" t="n"/>
      <c r="H25" s="31" t="n"/>
      <c r="I25" s="31" t="n"/>
      <c r="J25" s="31" t="n"/>
      <c r="K25" s="31" t="n"/>
      <c r="L25" s="31" t="n"/>
      <c r="M25" s="31" t="n"/>
      <c r="N25" s="31" t="n"/>
      <c r="O25" s="31" t="n"/>
      <c r="P25" s="31" t="n"/>
    </row>
    <row r="26" ht="22" customHeight="1" s="41">
      <c r="A26" s="159" t="inlineStr">
        <is>
          <t>RETRIEVAL HEALTH</t>
        </is>
      </c>
      <c r="B26" s="199" t="n"/>
      <c r="C26" s="199" t="n"/>
      <c r="D26" s="199" t="n"/>
      <c r="E26" s="199" t="n"/>
      <c r="F26" s="199" t="n"/>
      <c r="G26" s="199" t="n"/>
      <c r="H26" s="200" t="n"/>
      <c r="I26" s="159" t="inlineStr">
        <is>
          <t>GOVERNANCE &amp; QA</t>
        </is>
      </c>
      <c r="J26" s="199" t="n"/>
      <c r="K26" s="199" t="n"/>
      <c r="L26" s="199" t="n"/>
      <c r="M26" s="199" t="n"/>
      <c r="N26" s="199" t="n"/>
      <c r="O26" s="199" t="n"/>
      <c r="P26" s="200" t="n"/>
    </row>
    <row r="27" ht="20" customHeight="1" s="41">
      <c r="A27" s="165" t="inlineStr">
        <is>
          <t>STATUS</t>
        </is>
      </c>
      <c r="B27" s="199" t="n"/>
      <c r="C27" s="200" t="n"/>
      <c r="D27" s="165" t="inlineStr">
        <is>
          <t>COUNT</t>
        </is>
      </c>
      <c r="E27" s="199" t="n"/>
      <c r="F27" s="200" t="n"/>
      <c r="G27" s="165" t="inlineStr">
        <is>
          <t>SHARE</t>
        </is>
      </c>
      <c r="H27" s="200" t="n"/>
      <c r="I27" s="166" t="inlineStr">
        <is>
          <t>LAST QA CHECK</t>
        </is>
      </c>
      <c r="J27" s="199" t="n"/>
      <c r="K27" s="199" t="n"/>
      <c r="L27" s="200" t="n"/>
      <c r="M27" s="167">
        <f>MAX(_xlfn.MAXIFS(HumanOperationsTable[checked_at],HumanOperationsTable[task_type],"RANDOM_QA_CHECK"),_xlfn.MAXIFS(HumanOperationsTable[checked_at],HumanOperationsTable[task_type],"RANDOM_QA_BATCH_SUMMARY"))</f>
        <v/>
      </c>
      <c r="N27" s="199" t="n"/>
      <c r="O27" s="199" t="n"/>
      <c r="P27" s="200" t="n"/>
    </row>
    <row r="28" ht="20" customHeight="1" s="41">
      <c r="A28" s="168">
        <f>R20</f>
        <v/>
      </c>
      <c r="B28" s="199" t="n"/>
      <c r="C28" s="200" t="n"/>
      <c r="D28" s="168">
        <f>S20</f>
        <v/>
      </c>
      <c r="E28" s="199" t="n"/>
      <c r="F28" s="200" t="n"/>
      <c r="G28" s="169">
        <f>T20</f>
        <v/>
      </c>
      <c r="H28" s="200" t="n"/>
      <c r="I28" s="166" t="inlineStr">
        <is>
          <t>CORRECT / CHECKED</t>
        </is>
      </c>
      <c r="J28" s="199" t="n"/>
      <c r="K28" s="199" t="n"/>
      <c r="L28" s="200" t="n"/>
      <c r="M28" s="170">
        <f>(7+COUNTIFS(HumanOperationsTable[task_type],"RANDOM_QA_CHECK",HumanOperationsTable[operator_action],"CORRECT"))&amp;" / "&amp;(7+COUNTIFS(HumanOperationsTable[task_type],"RANDOM_QA_CHECK",HumanOperationsTable[operator_action],"&lt;&gt;PENDING"))</f>
        <v/>
      </c>
      <c r="N28" s="199" t="n"/>
      <c r="O28" s="199" t="n"/>
      <c r="P28" s="200" t="n"/>
    </row>
    <row r="29" ht="20" customHeight="1" s="41">
      <c r="A29" s="168">
        <f>R21</f>
        <v/>
      </c>
      <c r="B29" s="199" t="n"/>
      <c r="C29" s="200" t="n"/>
      <c r="D29" s="168">
        <f>S21</f>
        <v/>
      </c>
      <c r="E29" s="199" t="n"/>
      <c r="F29" s="200" t="n"/>
      <c r="G29" s="169">
        <f>T21</f>
        <v/>
      </c>
      <c r="H29" s="200" t="n"/>
      <c r="I29" s="166" t="inlineStr">
        <is>
          <t>ACCURACY</t>
        </is>
      </c>
      <c r="J29" s="199" t="n"/>
      <c r="K29" s="199" t="n"/>
      <c r="L29" s="200" t="n"/>
      <c r="M29" s="171">
        <f>IFERROR((7+COUNTIFS(HumanOperationsTable[task_type],"RANDOM_QA_CHECK",HumanOperationsTable[operator_action],"CORRECT"))/(7+COUNTIFS(HumanOperationsTable[task_type],"RANDOM_QA_CHECK",HumanOperationsTable[operator_action],"&lt;&gt;PENDING")),0)</f>
        <v/>
      </c>
      <c r="N29" s="199" t="n"/>
      <c r="O29" s="199" t="n"/>
      <c r="P29" s="200" t="n"/>
    </row>
    <row r="30" ht="20" customHeight="1" s="41">
      <c r="A30" s="168">
        <f>R22</f>
        <v/>
      </c>
      <c r="B30" s="199" t="n"/>
      <c r="C30" s="200" t="n"/>
      <c r="D30" s="168">
        <f>S22</f>
        <v/>
      </c>
      <c r="E30" s="199" t="n"/>
      <c r="F30" s="200" t="n"/>
      <c r="G30" s="169">
        <f>T22</f>
        <v/>
      </c>
      <c r="H30" s="200" t="n"/>
      <c r="I30" s="166" t="inlineStr">
        <is>
          <t>OPEN QA</t>
        </is>
      </c>
      <c r="J30" s="199" t="n"/>
      <c r="K30" s="199" t="n"/>
      <c r="L30" s="200" t="n"/>
      <c r="M30" s="170">
        <f>COUNTIFS(HumanOperationsTable[task_type],"RANDOM_QA_CHECK",HumanOperationsTable[program_status],"PENDING")+COUNTIFS(HumanOperationsTable[task_type],"RANDOM_QA_CHECK",HumanOperationsTable[program_status],"WAITING_FOR_HUMAN")+COUNTIFS(HumanOperationsTable[task_type],"RANDOM_QA_CHECK",HumanOperationsTable[program_status],"NEEDS_REPLAN")</f>
        <v/>
      </c>
      <c r="N30" s="199" t="n"/>
      <c r="O30" s="199" t="n"/>
      <c r="P30" s="200" t="n"/>
      <c r="R30" s="147">
        <f>'Human Operation Desktop'!I3</f>
        <v/>
      </c>
      <c r="S30" s="147">
        <f>'Human Operation Desktop'!AQ3</f>
        <v/>
      </c>
      <c r="T30" s="147">
        <f>IF(AND(S30&gt;0,OR(R30="PENDING",R30="WAITING_FOR_HUMAN",R30="NEEDS_REPLAN")),MAX(0,INT(TODAY()-S30)),0)</f>
        <v/>
      </c>
    </row>
    <row r="31" ht="20" customHeight="1" s="41">
      <c r="A31" s="168">
        <f>R23</f>
        <v/>
      </c>
      <c r="B31" s="199" t="n"/>
      <c r="C31" s="200" t="n"/>
      <c r="D31" s="168">
        <f>S23</f>
        <v/>
      </c>
      <c r="E31" s="199" t="n"/>
      <c r="F31" s="200" t="n"/>
      <c r="G31" s="169">
        <f>T23</f>
        <v/>
      </c>
      <c r="H31" s="200" t="n"/>
      <c r="I31" s="166" t="inlineStr">
        <is>
          <t>SOURCE REVIEW</t>
        </is>
      </c>
      <c r="J31" s="199" t="n"/>
      <c r="K31" s="199" t="n"/>
      <c r="L31" s="200" t="n"/>
      <c r="M31" s="170">
        <f>COUNTIFS(HumanOperationsTable[task_type],"SOURCE_REVIEW",HumanOperationsTable[program_status],"PENDING")+COUNTIFS(HumanOperationsTable[task_type],"SOURCE_REVIEW",HumanOperationsTable[program_status],"WAITING_FOR_HUMAN")+COUNTIFS(HumanOperationsTable[task_type],"SOURCE_REVIEW",HumanOperationsTable[program_status],"NEEDS_REPLAN")</f>
        <v/>
      </c>
      <c r="N31" s="199" t="n"/>
      <c r="O31" s="199" t="n"/>
      <c r="P31" s="200" t="n"/>
      <c r="R31" s="147">
        <f>'Human Operation Desktop'!I4</f>
        <v/>
      </c>
      <c r="S31" s="147">
        <f>'Human Operation Desktop'!AQ4</f>
        <v/>
      </c>
      <c r="T31" s="147">
        <f>IF(AND(S31&gt;0,OR(R31="PENDING",R31="WAITING_FOR_HUMAN",R31="NEEDS_REPLAN")),MAX(0,INT(TODAY()-S31)),0)</f>
        <v/>
      </c>
    </row>
    <row r="32" ht="20" customHeight="1" s="41">
      <c r="A32" s="31" t="n"/>
      <c r="B32" s="31" t="n"/>
      <c r="C32" s="31" t="n"/>
      <c r="D32" s="31" t="n"/>
      <c r="E32" s="31" t="n"/>
      <c r="F32" s="31" t="n"/>
      <c r="G32" s="31" t="n"/>
      <c r="H32" s="31" t="n"/>
      <c r="I32" s="166" t="inlineStr">
        <is>
          <t>SELECTION REVIEW</t>
        </is>
      </c>
      <c r="J32" s="199" t="n"/>
      <c r="K32" s="199" t="n"/>
      <c r="L32" s="200" t="n"/>
      <c r="M32" s="170">
        <f>COUNTIFS(HumanOperationsTable[task_type],"SELECTION_REVIEW",HumanOperationsTable[program_status],"PENDING")+COUNTIFS(HumanOperationsTable[task_type],"SELECTION_REVIEW",HumanOperationsTable[program_status],"WAITING_FOR_HUMAN")+COUNTIFS(HumanOperationsTable[task_type],"SELECTION_REVIEW",HumanOperationsTable[program_status],"NEEDS_REPLAN")</f>
        <v/>
      </c>
      <c r="N32" s="199" t="n"/>
      <c r="O32" s="199" t="n"/>
      <c r="P32" s="200" t="n"/>
      <c r="R32" s="147">
        <f>'Human Operation Desktop'!I5</f>
        <v/>
      </c>
      <c r="S32" s="147">
        <f>'Human Operation Desktop'!AQ5</f>
        <v/>
      </c>
      <c r="T32" s="147">
        <f>IF(AND(S32&gt;0,OR(R32="PENDING",R32="WAITING_FOR_HUMAN",R32="NEEDS_REPLAN")),MAX(0,INT(TODAY()-S32)),0)</f>
        <v/>
      </c>
    </row>
    <row r="33" ht="20" customHeight="1" s="41">
      <c r="A33" s="31" t="n"/>
      <c r="B33" s="31" t="n"/>
      <c r="C33" s="31" t="n"/>
      <c r="D33" s="31" t="n"/>
      <c r="E33" s="31" t="n"/>
      <c r="F33" s="31" t="n"/>
      <c r="G33" s="31" t="n"/>
      <c r="H33" s="31" t="n"/>
      <c r="I33" s="31" t="n"/>
      <c r="J33" s="31" t="n"/>
      <c r="K33" s="31" t="n"/>
      <c r="L33" s="31" t="n"/>
      <c r="M33" s="31" t="n"/>
      <c r="N33" s="31" t="n"/>
      <c r="O33" s="31" t="n"/>
      <c r="P33" s="31" t="n"/>
      <c r="R33" s="147">
        <f>'Human Operation Desktop'!I6</f>
        <v/>
      </c>
      <c r="S33" s="147">
        <f>'Human Operation Desktop'!AQ6</f>
        <v/>
      </c>
      <c r="T33" s="147">
        <f>IF(AND(S33&gt;0,OR(R33="PENDING",R33="WAITING_FOR_HUMAN",R33="NEEDS_REPLAN")),MAX(0,INT(TODAY()-S33)),0)</f>
        <v/>
      </c>
    </row>
    <row r="34" ht="20" customHeight="1" s="41">
      <c r="A34" s="31" t="n"/>
      <c r="B34" s="31" t="n"/>
      <c r="C34" s="31" t="n"/>
      <c r="D34" s="31" t="n"/>
      <c r="E34" s="31" t="n"/>
      <c r="F34" s="31" t="n"/>
      <c r="G34" s="31" t="n"/>
      <c r="H34" s="31" t="n"/>
      <c r="I34" s="31" t="n"/>
      <c r="J34" s="31" t="n"/>
      <c r="K34" s="31" t="n"/>
      <c r="L34" s="31" t="n"/>
      <c r="M34" s="31" t="n"/>
      <c r="N34" s="31" t="n"/>
      <c r="O34" s="31" t="n"/>
      <c r="P34" s="31" t="n"/>
      <c r="R34" s="147">
        <f>'Human Operation Desktop'!I7</f>
        <v/>
      </c>
      <c r="S34" s="147">
        <f>'Human Operation Desktop'!AQ7</f>
        <v/>
      </c>
      <c r="T34" s="147">
        <f>IF(AND(S34&gt;0,OR(R34="PENDING",R34="WAITING_FOR_HUMAN",R34="NEEDS_REPLAN")),MAX(0,INT(TODAY()-S34)),0)</f>
        <v/>
      </c>
    </row>
    <row r="35" ht="22" customHeight="1" s="41">
      <c r="A35" s="172" t="inlineStr">
        <is>
          <t>SOURCE ID</t>
        </is>
      </c>
      <c r="B35" s="172" t="inlineStr">
        <is>
          <t>SOURCE TITLE</t>
        </is>
      </c>
      <c r="C35" s="172" t="inlineStr">
        <is>
          <t>TASK TYPE</t>
        </is>
      </c>
      <c r="D35" s="172" t="inlineStr">
        <is>
          <t>ISSUE SUMMARY</t>
        </is>
      </c>
      <c r="E35" s="172" t="inlineStr">
        <is>
          <t>DAYS OPEN</t>
        </is>
      </c>
      <c r="F35" s="172" t="inlineStr">
        <is>
          <t>PROGRAM STATUS</t>
        </is>
      </c>
      <c r="G35" s="173" t="inlineStr">
        <is>
          <t>PRIORITY ITEMS  |  TOP 5</t>
        </is>
      </c>
      <c r="H35" s="199" t="n"/>
      <c r="I35" s="199" t="n"/>
      <c r="J35" s="199" t="n"/>
      <c r="K35" s="199" t="n"/>
      <c r="L35" s="199" t="n"/>
      <c r="M35" s="199" t="n"/>
      <c r="N35" s="199" t="n"/>
      <c r="O35" s="199" t="n"/>
      <c r="P35" s="200" t="n"/>
      <c r="R35" s="143">
        <f>'Human Operation Desktop'!I8</f>
        <v/>
      </c>
      <c r="S35" s="143">
        <f>'Human Operation Desktop'!AQ8</f>
        <v/>
      </c>
      <c r="T35" s="143">
        <f>IF(AND(S35&gt;0,OR(R35="PENDING",R35="WAITING_FOR_HUMAN",R35="NEEDS_REPLAN")),MAX(0,INT(TODAY()-S35)),0)</f>
        <v/>
      </c>
    </row>
    <row r="36" ht="35" customHeight="1" s="41">
      <c r="A36" s="174" t="inlineStr">
        <is>
          <t>CS003</t>
        </is>
      </c>
      <c r="B36" s="174" t="inlineStr">
        <is>
          <t>ASC Salmon Audit Manual</t>
        </is>
      </c>
      <c r="C36" s="174" t="inlineStr">
        <is>
          <t>SOURCE_REVIEW</t>
        </is>
      </c>
      <c r="D36" s="174" t="inlineStr">
        <is>
          <t>DUPLICATE_OFFICIAL_URL</t>
        </is>
      </c>
      <c r="E36" s="175" t="n">
        <v>3</v>
      </c>
      <c r="F36" s="175" t="inlineStr">
        <is>
          <t>PENDING</t>
        </is>
      </c>
      <c r="G36" s="31" t="n"/>
      <c r="H36" s="31" t="n"/>
      <c r="I36" s="31" t="n"/>
      <c r="J36" s="31" t="n"/>
      <c r="K36" s="31" t="n"/>
      <c r="L36" s="31" t="n"/>
      <c r="M36" s="31" t="n"/>
      <c r="N36" s="31" t="n"/>
      <c r="O36" s="31" t="n"/>
      <c r="P36" s="31" t="n"/>
      <c r="R36" s="147">
        <f>'Human Operation Desktop'!I9</f>
        <v/>
      </c>
      <c r="S36" s="147">
        <f>'Human Operation Desktop'!AQ9</f>
        <v/>
      </c>
      <c r="T36" s="147">
        <f>IF(AND(S36&gt;0,OR(R36="PENDING",R36="WAITING_FOR_HUMAN",R36="NEEDS_REPLAN")),MAX(0,INT(TODAY()-S36)),0)</f>
        <v/>
      </c>
    </row>
    <row r="37" ht="35" customHeight="1" s="41">
      <c r="A37" s="174" t="inlineStr">
        <is>
          <t>CS004</t>
        </is>
      </c>
      <c r="B37" s="174" t="inlineStr">
        <is>
          <t>ASC Salmon and Cod Standard</t>
        </is>
      </c>
      <c r="C37" s="174" t="inlineStr">
        <is>
          <t>SOURCE_REVIEW</t>
        </is>
      </c>
      <c r="D37" s="174" t="inlineStr">
        <is>
          <t>DUPLICATE_OFFICIAL_URL</t>
        </is>
      </c>
      <c r="E37" s="175" t="n">
        <v>3</v>
      </c>
      <c r="F37" s="175" t="inlineStr">
        <is>
          <t>PENDING</t>
        </is>
      </c>
      <c r="G37" s="31" t="n"/>
      <c r="H37" s="31" t="n"/>
      <c r="I37" s="31" t="n"/>
      <c r="J37" s="31" t="n"/>
      <c r="K37" s="31" t="n"/>
      <c r="L37" s="31" t="n"/>
      <c r="M37" s="31" t="n"/>
      <c r="N37" s="31" t="n"/>
      <c r="O37" s="31" t="n"/>
      <c r="P37" s="31" t="n"/>
      <c r="R37" s="147">
        <f>'Human Operation Desktop'!I10</f>
        <v/>
      </c>
      <c r="S37" s="147">
        <f>'Human Operation Desktop'!AQ10</f>
        <v/>
      </c>
      <c r="T37" s="147">
        <f>IF(AND(S37&gt;0,OR(R37="PENDING",R37="WAITING_FOR_HUMAN",R37="NEEDS_REPLAN")),MAX(0,INT(TODAY()-S37)),0)</f>
        <v/>
      </c>
    </row>
    <row r="38" ht="35" customHeight="1" s="41">
      <c r="A38" s="174" t="inlineStr">
        <is>
          <t>CS005</t>
        </is>
      </c>
      <c r="B38" s="174" t="inlineStr">
        <is>
          <t>ASC Farm and Feed Certification and Accreditation Requirements</t>
        </is>
      </c>
      <c r="C38" s="174" t="inlineStr">
        <is>
          <t>SOURCE_REVIEW</t>
        </is>
      </c>
      <c r="D38" s="174" t="inlineStr">
        <is>
          <t>DUPLICATE_OFFICIAL_URL</t>
        </is>
      </c>
      <c r="E38" s="175" t="n">
        <v>3</v>
      </c>
      <c r="F38" s="175" t="inlineStr">
        <is>
          <t>PENDING</t>
        </is>
      </c>
      <c r="G38" s="31" t="n"/>
      <c r="H38" s="31" t="n"/>
      <c r="I38" s="31" t="n"/>
      <c r="J38" s="31" t="n"/>
      <c r="K38" s="31" t="n"/>
      <c r="L38" s="31" t="n"/>
      <c r="M38" s="31" t="n"/>
      <c r="N38" s="31" t="n"/>
      <c r="O38" s="31" t="n"/>
      <c r="P38" s="31" t="n"/>
      <c r="R38" s="147">
        <f>'Human Operation Desktop'!I11</f>
        <v/>
      </c>
      <c r="S38" s="147">
        <f>'Human Operation Desktop'!AQ11</f>
        <v/>
      </c>
      <c r="T38" s="147">
        <f>IF(AND(S38&gt;0,OR(R38="PENDING",R38="WAITING_FOR_HUMAN",R38="NEEDS_REPLAN")),MAX(0,INT(TODAY()-S38)),0)</f>
        <v/>
      </c>
    </row>
    <row r="39" ht="35" customHeight="1" s="41">
      <c r="A39" s="174" t="inlineStr">
        <is>
          <t>CS006</t>
        </is>
      </c>
      <c r="B39" s="174" t="inlineStr">
        <is>
          <t>ASC Group Requirements for Farms</t>
        </is>
      </c>
      <c r="C39" s="174" t="inlineStr">
        <is>
          <t>SOURCE_REVIEW</t>
        </is>
      </c>
      <c r="D39" s="174" t="inlineStr">
        <is>
          <t>DUPLICATE_OFFICIAL_URL; MISSING_RETRIEVAL_URL; SELECTION_PENDING</t>
        </is>
      </c>
      <c r="E39" s="175" t="n">
        <v>3</v>
      </c>
      <c r="F39" s="175" t="inlineStr">
        <is>
          <t>PENDING</t>
        </is>
      </c>
      <c r="G39" s="31" t="n"/>
      <c r="H39" s="31" t="n"/>
      <c r="I39" s="31" t="n"/>
      <c r="J39" s="31" t="n"/>
      <c r="K39" s="31" t="n"/>
      <c r="L39" s="31" t="n"/>
      <c r="M39" s="31" t="n"/>
      <c r="N39" s="31" t="n"/>
      <c r="O39" s="31" t="n"/>
      <c r="P39" s="31" t="n"/>
      <c r="R39" s="147">
        <f>'Human Operation Desktop'!I12</f>
        <v/>
      </c>
      <c r="S39" s="147">
        <f>'Human Operation Desktop'!AQ12</f>
        <v/>
      </c>
      <c r="T39" s="147">
        <f>IF(AND(S39&gt;0,OR(R39="PENDING",R39="WAITING_FOR_HUMAN",R39="NEEDS_REPLAN")),MAX(0,INT(TODAY()-S39)),0)</f>
        <v/>
      </c>
    </row>
    <row r="40" ht="35" customHeight="1" s="41">
      <c r="A40" s="174" t="inlineStr">
        <is>
          <t>CS007</t>
        </is>
      </c>
      <c r="B40" s="174" t="inlineStr">
        <is>
          <t>ASC Data Submission Procedure</t>
        </is>
      </c>
      <c r="C40" s="174" t="inlineStr">
        <is>
          <t>SOURCE_REVIEW</t>
        </is>
      </c>
      <c r="D40" s="174" t="inlineStr">
        <is>
          <t>DUPLICATE_OFFICIAL_URL; MISSING_RETRIEVAL_URL; SELECTION_PENDING</t>
        </is>
      </c>
      <c r="E40" s="175" t="n">
        <v>3</v>
      </c>
      <c r="F40" s="175" t="inlineStr">
        <is>
          <t>PENDING</t>
        </is>
      </c>
      <c r="G40" s="31" t="n"/>
      <c r="H40" s="31" t="n"/>
      <c r="I40" s="31" t="n"/>
      <c r="J40" s="31" t="n"/>
      <c r="K40" s="31" t="n"/>
      <c r="L40" s="31" t="n"/>
      <c r="M40" s="31" t="n"/>
      <c r="N40" s="31" t="n"/>
      <c r="O40" s="31" t="n"/>
      <c r="P40" s="31" t="n"/>
      <c r="R40" s="147">
        <f>'Human Operation Desktop'!I13</f>
        <v/>
      </c>
      <c r="S40" s="147">
        <f>'Human Operation Desktop'!AQ13</f>
        <v/>
      </c>
      <c r="T40" s="147">
        <f>IF(AND(S40&gt;0,OR(R40="PENDING",R40="WAITING_FOR_HUMAN",R40="NEEDS_REPLAN")),MAX(0,INT(TODAY()-S40)),0)</f>
        <v/>
      </c>
    </row>
    <row r="41" ht="20" customHeight="1" s="41">
      <c r="A41" s="31" t="n"/>
      <c r="B41" s="31" t="n"/>
      <c r="C41" s="31" t="n"/>
      <c r="D41" s="31" t="n"/>
      <c r="E41" s="31" t="n"/>
      <c r="F41" s="31" t="n"/>
      <c r="G41" s="31" t="n"/>
      <c r="H41" s="31" t="n"/>
      <c r="I41" s="31" t="n"/>
      <c r="J41" s="31" t="n"/>
      <c r="K41" s="31" t="n"/>
      <c r="L41" s="31" t="n"/>
      <c r="M41" s="31" t="n"/>
      <c r="N41" s="31" t="n"/>
      <c r="O41" s="31" t="n"/>
      <c r="P41" s="31" t="n"/>
      <c r="R41" s="147">
        <f>'Human Operation Desktop'!I14</f>
        <v/>
      </c>
      <c r="S41" s="147">
        <f>'Human Operation Desktop'!AQ14</f>
        <v/>
      </c>
      <c r="T41" s="147">
        <f>IF(AND(S41&gt;0,OR(R41="PENDING",R41="WAITING_FOR_HUMAN",R41="NEEDS_REPLAN")),MAX(0,INT(TODAY()-S41)),0)</f>
        <v/>
      </c>
    </row>
    <row r="42" ht="24" customHeight="1" s="41">
      <c r="A42" s="176" t="inlineStr">
        <is>
          <t>Complete decisions in Human Operation Desktop, save and close Excel, then run Routine Cycle.</t>
        </is>
      </c>
      <c r="B42" s="199" t="n"/>
      <c r="C42" s="199" t="n"/>
      <c r="D42" s="199" t="n"/>
      <c r="E42" s="199" t="n"/>
      <c r="F42" s="199" t="n"/>
      <c r="G42" s="199" t="n"/>
      <c r="H42" s="199" t="n"/>
      <c r="I42" s="199" t="n"/>
      <c r="J42" s="199" t="n"/>
      <c r="K42" s="199" t="n"/>
      <c r="L42" s="199" t="n"/>
      <c r="M42" s="199" t="n"/>
      <c r="N42" s="199" t="n"/>
      <c r="O42" s="199" t="n"/>
      <c r="P42" s="200" t="n"/>
      <c r="R42" s="143">
        <f>'Human Operation Desktop'!I15</f>
        <v/>
      </c>
      <c r="S42" s="143">
        <f>'Human Operation Desktop'!AQ15</f>
        <v/>
      </c>
      <c r="T42" s="143">
        <f>IF(AND(S42&gt;0,OR(R42="PENDING",R42="WAITING_FOR_HUMAN",R42="NEEDS_REPLAN")),MAX(0,INT(TODAY()-S42)),0)</f>
        <v/>
      </c>
    </row>
    <row r="43" ht="28" customHeight="1" s="41">
      <c r="R43" s="147">
        <f>'Human Operation Desktop'!I16</f>
        <v/>
      </c>
      <c r="S43" s="147">
        <f>'Human Operation Desktop'!AQ16</f>
        <v/>
      </c>
      <c r="T43" s="147">
        <f>IF(AND(S43&gt;0,OR(R43="PENDING",R43="WAITING_FOR_HUMAN",R43="NEEDS_REPLAN")),MAX(0,INT(TODAY()-S43)),0)</f>
        <v/>
      </c>
    </row>
    <row r="44">
      <c r="R44" s="147">
        <f>'Human Operation Desktop'!I17</f>
        <v/>
      </c>
      <c r="S44" s="147">
        <f>'Human Operation Desktop'!AQ17</f>
        <v/>
      </c>
      <c r="T44" s="147">
        <f>IF(AND(S44&gt;0,OR(R44="PENDING",R44="WAITING_FOR_HUMAN",R44="NEEDS_REPLAN")),MAX(0,INT(TODAY()-S44)),0)</f>
        <v/>
      </c>
    </row>
    <row r="45">
      <c r="R45" s="147">
        <f>'Human Operation Desktop'!I18</f>
        <v/>
      </c>
      <c r="S45" s="147">
        <f>'Human Operation Desktop'!AQ18</f>
        <v/>
      </c>
      <c r="T45" s="147">
        <f>IF(AND(S45&gt;0,OR(R45="PENDING",R45="WAITING_FOR_HUMAN",R45="NEEDS_REPLAN")),MAX(0,INT(TODAY()-S45)),0)</f>
        <v/>
      </c>
    </row>
    <row r="46">
      <c r="R46" s="147">
        <f>'Human Operation Desktop'!I19</f>
        <v/>
      </c>
      <c r="S46" s="147">
        <f>'Human Operation Desktop'!AQ19</f>
        <v/>
      </c>
      <c r="T46" s="147">
        <f>IF(AND(S46&gt;0,OR(R46="PENDING",R46="WAITING_FOR_HUMAN",R46="NEEDS_REPLAN")),MAX(0,INT(TODAY()-S46)),0)</f>
        <v/>
      </c>
    </row>
    <row r="47">
      <c r="R47" s="147">
        <f>'Human Operation Desktop'!I20</f>
        <v/>
      </c>
      <c r="S47" s="147">
        <f>'Human Operation Desktop'!AQ20</f>
        <v/>
      </c>
      <c r="T47" s="147">
        <f>IF(AND(S47&gt;0,OR(R47="PENDING",R47="WAITING_FOR_HUMAN",R47="NEEDS_REPLAN")),MAX(0,INT(TODAY()-S47)),0)</f>
        <v/>
      </c>
    </row>
    <row r="48">
      <c r="R48" s="147">
        <f>'Human Operation Desktop'!I21</f>
        <v/>
      </c>
      <c r="S48" s="147">
        <f>'Human Operation Desktop'!AQ21</f>
        <v/>
      </c>
      <c r="T48" s="147">
        <f>IF(AND(S48&gt;0,OR(R48="PENDING",R48="WAITING_FOR_HUMAN",R48="NEEDS_REPLAN")),MAX(0,INT(TODAY()-S48)),0)</f>
        <v/>
      </c>
    </row>
    <row r="49">
      <c r="R49" s="147">
        <f>'Human Operation Desktop'!I22</f>
        <v/>
      </c>
      <c r="S49" s="147">
        <f>'Human Operation Desktop'!AQ22</f>
        <v/>
      </c>
      <c r="T49" s="147">
        <f>IF(AND(S49&gt;0,OR(R49="PENDING",R49="WAITING_FOR_HUMAN",R49="NEEDS_REPLAN")),MAX(0,INT(TODAY()-S49)),0)</f>
        <v/>
      </c>
    </row>
    <row r="50">
      <c r="R50" s="147">
        <f>'Human Operation Desktop'!I23</f>
        <v/>
      </c>
      <c r="S50" s="147">
        <f>'Human Operation Desktop'!AQ23</f>
        <v/>
      </c>
      <c r="T50" s="147">
        <f>IF(AND(S50&gt;0,OR(R50="PENDING",R50="WAITING_FOR_HUMAN",R50="NEEDS_REPLAN")),MAX(0,INT(TODAY()-S50)),0)</f>
        <v/>
      </c>
    </row>
    <row r="51">
      <c r="R51" s="147">
        <f>'Human Operation Desktop'!I24</f>
        <v/>
      </c>
      <c r="S51" s="147">
        <f>'Human Operation Desktop'!AQ24</f>
        <v/>
      </c>
      <c r="T51" s="147">
        <f>IF(AND(S51&gt;0,OR(R51="PENDING",R51="WAITING_FOR_HUMAN",R51="NEEDS_REPLAN")),MAX(0,INT(TODAY()-S51)),0)</f>
        <v/>
      </c>
    </row>
    <row r="52">
      <c r="R52" s="147">
        <f>'Human Operation Desktop'!I25</f>
        <v/>
      </c>
      <c r="S52" s="147">
        <f>'Human Operation Desktop'!AQ25</f>
        <v/>
      </c>
      <c r="T52" s="147">
        <f>IF(AND(S52&gt;0,OR(R52="PENDING",R52="WAITING_FOR_HUMAN",R52="NEEDS_REPLAN")),MAX(0,INT(TODAY()-S52)),0)</f>
        <v/>
      </c>
    </row>
    <row r="53" ht="32" customHeight="1" s="41">
      <c r="R53" s="147">
        <f>'Human Operation Desktop'!I26</f>
        <v/>
      </c>
      <c r="S53" s="147">
        <f>'Human Operation Desktop'!AQ26</f>
        <v/>
      </c>
      <c r="T53" s="147">
        <f>IF(AND(S53&gt;0,OR(R53="PENDING",R53="WAITING_FOR_HUMAN",R53="NEEDS_REPLAN")),MAX(0,INT(TODAY()-S53)),0)</f>
        <v/>
      </c>
    </row>
    <row r="54" ht="34" customHeight="1" s="41">
      <c r="R54" s="147">
        <f>'Human Operation Desktop'!I27</f>
        <v/>
      </c>
      <c r="S54" s="147">
        <f>'Human Operation Desktop'!AQ27</f>
        <v/>
      </c>
      <c r="T54" s="147">
        <f>IF(AND(S54&gt;0,OR(R54="PENDING",R54="WAITING_FOR_HUMAN",R54="NEEDS_REPLAN")),MAX(0,INT(TODAY()-S54)),0)</f>
        <v/>
      </c>
    </row>
    <row r="55" ht="34" customHeight="1" s="41">
      <c r="R55" s="147">
        <f>'Human Operation Desktop'!I28</f>
        <v/>
      </c>
      <c r="S55" s="147">
        <f>'Human Operation Desktop'!AQ28</f>
        <v/>
      </c>
      <c r="T55" s="147">
        <f>IF(AND(S55&gt;0,OR(R55="PENDING",R55="WAITING_FOR_HUMAN",R55="NEEDS_REPLAN")),MAX(0,INT(TODAY()-S55)),0)</f>
        <v/>
      </c>
    </row>
    <row r="56" ht="34" customHeight="1" s="41">
      <c r="R56" s="147">
        <f>'Human Operation Desktop'!I29</f>
        <v/>
      </c>
      <c r="S56" s="147">
        <f>'Human Operation Desktop'!AQ29</f>
        <v/>
      </c>
      <c r="T56" s="147">
        <f>IF(AND(S56&gt;0,OR(R56="PENDING",R56="WAITING_FOR_HUMAN",R56="NEEDS_REPLAN")),MAX(0,INT(TODAY()-S56)),0)</f>
        <v/>
      </c>
    </row>
    <row r="57" ht="26" customHeight="1" s="41">
      <c r="R57" s="147">
        <f>'Human Operation Desktop'!I30</f>
        <v/>
      </c>
      <c r="S57" s="147">
        <f>'Human Operation Desktop'!AQ30</f>
        <v/>
      </c>
      <c r="T57" s="147">
        <f>IF(AND(S57&gt;0,OR(R57="PENDING",R57="WAITING_FOR_HUMAN",R57="NEEDS_REPLAN")),MAX(0,INT(TODAY()-S57)),0)</f>
        <v/>
      </c>
    </row>
    <row r="58" ht="34" customHeight="1" s="41">
      <c r="R58" s="147">
        <f>'Human Operation Desktop'!I31</f>
        <v/>
      </c>
      <c r="S58" s="147">
        <f>'Human Operation Desktop'!AQ31</f>
        <v/>
      </c>
      <c r="T58" s="147">
        <f>IF(AND(S58&gt;0,OR(R58="PENDING",R58="WAITING_FOR_HUMAN",R58="NEEDS_REPLAN")),MAX(0,INT(TODAY()-S58)),0)</f>
        <v/>
      </c>
    </row>
    <row r="59" ht="34" customHeight="1" s="41">
      <c r="R59" s="147">
        <f>'Human Operation Desktop'!I32</f>
        <v/>
      </c>
      <c r="S59" s="147">
        <f>'Human Operation Desktop'!AQ32</f>
        <v/>
      </c>
      <c r="T59" s="147">
        <f>IF(AND(S59&gt;0,OR(R59="PENDING",R59="WAITING_FOR_HUMAN",R59="NEEDS_REPLAN")),MAX(0,INT(TODAY()-S59)),0)</f>
        <v/>
      </c>
    </row>
    <row r="60" ht="34" customHeight="1" s="41">
      <c r="R60" s="147">
        <f>'Human Operation Desktop'!I33</f>
        <v/>
      </c>
      <c r="S60" s="147">
        <f>'Human Operation Desktop'!AQ33</f>
        <v/>
      </c>
      <c r="T60" s="147">
        <f>IF(AND(S60&gt;0,OR(R60="PENDING",R60="WAITING_FOR_HUMAN",R60="NEEDS_REPLAN")),MAX(0,INT(TODAY()-S60)),0)</f>
        <v/>
      </c>
    </row>
    <row r="61" ht="34" customHeight="1" s="41">
      <c r="R61" s="147">
        <f>'Human Operation Desktop'!I34</f>
        <v/>
      </c>
      <c r="S61" s="147">
        <f>'Human Operation Desktop'!AQ34</f>
        <v/>
      </c>
      <c r="T61" s="147">
        <f>IF(AND(S61&gt;0,OR(R61="PENDING",R61="WAITING_FOR_HUMAN",R61="NEEDS_REPLAN")),MAX(0,INT(TODAY()-S61)),0)</f>
        <v/>
      </c>
    </row>
    <row r="62" ht="24" customHeight="1" s="41">
      <c r="R62" s="147">
        <f>'Human Operation Desktop'!I35</f>
        <v/>
      </c>
      <c r="S62" s="147">
        <f>'Human Operation Desktop'!AQ35</f>
        <v/>
      </c>
      <c r="T62" s="147">
        <f>IF(AND(S62&gt;0,OR(R62="PENDING",R62="WAITING_FOR_HUMAN",R62="NEEDS_REPLAN")),MAX(0,INT(TODAY()-S62)),0)</f>
        <v/>
      </c>
    </row>
    <row r="63" ht="24" customHeight="1" s="41">
      <c r="R63" s="147">
        <f>'Human Operation Desktop'!I36</f>
        <v/>
      </c>
      <c r="S63" s="147">
        <f>'Human Operation Desktop'!AQ36</f>
        <v/>
      </c>
      <c r="T63" s="147">
        <f>IF(AND(S63&gt;0,OR(R63="PENDING",R63="WAITING_FOR_HUMAN",R63="NEEDS_REPLAN")),MAX(0,INT(TODAY()-S63)),0)</f>
        <v/>
      </c>
    </row>
    <row r="64" ht="34" customHeight="1" s="41">
      <c r="R64" s="147">
        <f>'Human Operation Desktop'!I37</f>
        <v/>
      </c>
      <c r="S64" s="147">
        <f>'Human Operation Desktop'!AQ37</f>
        <v/>
      </c>
      <c r="T64" s="147">
        <f>IF(AND(S64&gt;0,OR(R64="PENDING",R64="WAITING_FOR_HUMAN",R64="NEEDS_REPLAN")),MAX(0,INT(TODAY()-S64)),0)</f>
        <v/>
      </c>
    </row>
    <row r="65" ht="34" customHeight="1" s="41">
      <c r="R65" s="147">
        <f>'Human Operation Desktop'!I38</f>
        <v/>
      </c>
      <c r="S65" s="147">
        <f>'Human Operation Desktop'!AQ38</f>
        <v/>
      </c>
      <c r="T65" s="147">
        <f>IF(AND(S65&gt;0,OR(R65="PENDING",R65="WAITING_FOR_HUMAN",R65="NEEDS_REPLAN")),MAX(0,INT(TODAY()-S65)),0)</f>
        <v/>
      </c>
    </row>
    <row r="66" ht="34" customHeight="1" s="41">
      <c r="R66" s="147">
        <f>'Human Operation Desktop'!I39</f>
        <v/>
      </c>
      <c r="S66" s="147">
        <f>'Human Operation Desktop'!AQ39</f>
        <v/>
      </c>
      <c r="T66" s="147">
        <f>IF(AND(S66&gt;0,OR(R66="PENDING",R66="WAITING_FOR_HUMAN",R66="NEEDS_REPLAN")),MAX(0,INT(TODAY()-S66)),0)</f>
        <v/>
      </c>
    </row>
    <row r="67" ht="34" customHeight="1" s="41">
      <c r="R67" s="147">
        <f>'Human Operation Desktop'!I40</f>
        <v/>
      </c>
      <c r="S67" s="147">
        <f>'Human Operation Desktop'!AQ40</f>
        <v/>
      </c>
      <c r="T67" s="147">
        <f>IF(AND(S67&gt;0,OR(R67="PENDING",R67="WAITING_FOR_HUMAN",R67="NEEDS_REPLAN")),MAX(0,INT(TODAY()-S67)),0)</f>
        <v/>
      </c>
    </row>
    <row r="68" ht="34" customHeight="1" s="41">
      <c r="R68" s="147">
        <f>'Human Operation Desktop'!I41</f>
        <v/>
      </c>
      <c r="S68" s="147">
        <f>'Human Operation Desktop'!AQ41</f>
        <v/>
      </c>
      <c r="T68" s="147">
        <f>IF(AND(S68&gt;0,OR(R68="PENDING",R68="WAITING_FOR_HUMAN",R68="NEEDS_REPLAN")),MAX(0,INT(TODAY()-S68)),0)</f>
        <v/>
      </c>
    </row>
    <row r="69" ht="34" customHeight="1" s="41">
      <c r="R69" s="147">
        <f>'Human Operation Desktop'!I42</f>
        <v/>
      </c>
      <c r="S69" s="147">
        <f>'Human Operation Desktop'!AQ42</f>
        <v/>
      </c>
      <c r="T69" s="147">
        <f>IF(AND(S69&gt;0,OR(R69="PENDING",R69="WAITING_FOR_HUMAN",R69="NEEDS_REPLAN")),MAX(0,INT(TODAY()-S69)),0)</f>
        <v/>
      </c>
    </row>
    <row r="70" ht="34" customHeight="1" s="41">
      <c r="R70" s="147">
        <f>'Human Operation Desktop'!I43</f>
        <v/>
      </c>
      <c r="S70" s="147">
        <f>'Human Operation Desktop'!AQ43</f>
        <v/>
      </c>
      <c r="T70" s="147">
        <f>IF(AND(S70&gt;0,OR(R70="PENDING",R70="WAITING_FOR_HUMAN",R70="NEEDS_REPLAN")),MAX(0,INT(TODAY()-S70)),0)</f>
        <v/>
      </c>
    </row>
    <row r="71" ht="34" customHeight="1" s="41">
      <c r="R71" s="147">
        <f>'Human Operation Desktop'!I44</f>
        <v/>
      </c>
      <c r="S71" s="147">
        <f>'Human Operation Desktop'!AQ44</f>
        <v/>
      </c>
      <c r="T71" s="147">
        <f>IF(AND(S71&gt;0,OR(R71="PENDING",R71="WAITING_FOR_HUMAN",R71="NEEDS_REPLAN")),MAX(0,INT(TODAY()-S71)),0)</f>
        <v/>
      </c>
    </row>
    <row r="72" ht="34" customHeight="1" s="41">
      <c r="R72" s="147">
        <f>'Human Operation Desktop'!I45</f>
        <v/>
      </c>
      <c r="S72" s="147">
        <f>'Human Operation Desktop'!AQ45</f>
        <v/>
      </c>
      <c r="T72" s="147">
        <f>IF(AND(S72&gt;0,OR(R72="PENDING",R72="WAITING_FOR_HUMAN",R72="NEEDS_REPLAN")),MAX(0,INT(TODAY()-S72)),0)</f>
        <v/>
      </c>
    </row>
    <row r="73" ht="34" customHeight="1" s="41">
      <c r="R73" s="147">
        <f>'Human Operation Desktop'!I46</f>
        <v/>
      </c>
      <c r="S73" s="147">
        <f>'Human Operation Desktop'!AQ46</f>
        <v/>
      </c>
      <c r="T73" s="147">
        <f>IF(AND(S73&gt;0,OR(R73="PENDING",R73="WAITING_FOR_HUMAN",R73="NEEDS_REPLAN")),MAX(0,INT(TODAY()-S73)),0)</f>
        <v/>
      </c>
    </row>
    <row r="74" ht="34" customHeight="1" s="41">
      <c r="R74" s="147">
        <f>'Human Operation Desktop'!I47</f>
        <v/>
      </c>
      <c r="S74" s="147">
        <f>'Human Operation Desktop'!AQ47</f>
        <v/>
      </c>
      <c r="T74" s="147">
        <f>IF(AND(S74&gt;0,OR(R74="PENDING",R74="WAITING_FOR_HUMAN",R74="NEEDS_REPLAN")),MAX(0,INT(TODAY()-S74)),0)</f>
        <v/>
      </c>
    </row>
    <row r="75" ht="34" customHeight="1" s="41">
      <c r="R75" s="147">
        <f>'Human Operation Desktop'!I48</f>
        <v/>
      </c>
      <c r="S75" s="147">
        <f>'Human Operation Desktop'!AQ48</f>
        <v/>
      </c>
      <c r="T75" s="147">
        <f>IF(AND(S75&gt;0,OR(R75="PENDING",R75="WAITING_FOR_HUMAN",R75="NEEDS_REPLAN")),MAX(0,INT(TODAY()-S75)),0)</f>
        <v/>
      </c>
    </row>
    <row r="76" ht="34" customHeight="1" s="41">
      <c r="R76" s="147">
        <f>'Human Operation Desktop'!I49</f>
        <v/>
      </c>
      <c r="S76" s="147">
        <f>'Human Operation Desktop'!AQ49</f>
        <v/>
      </c>
      <c r="T76" s="147">
        <f>IF(AND(S76&gt;0,OR(R76="PENDING",R76="WAITING_FOR_HUMAN",R76="NEEDS_REPLAN")),MAX(0,INT(TODAY()-S76)),0)</f>
        <v/>
      </c>
    </row>
    <row r="77" ht="34" customHeight="1" s="41">
      <c r="R77" s="147">
        <f>'Human Operation Desktop'!I50</f>
        <v/>
      </c>
      <c r="S77" s="147">
        <f>'Human Operation Desktop'!AQ50</f>
        <v/>
      </c>
      <c r="T77" s="147">
        <f>IF(AND(S77&gt;0,OR(R77="PENDING",R77="WAITING_FOR_HUMAN",R77="NEEDS_REPLAN")),MAX(0,INT(TODAY()-S77)),0)</f>
        <v/>
      </c>
    </row>
    <row r="78" ht="34" customHeight="1" s="41">
      <c r="R78" s="147">
        <f>'Human Operation Desktop'!I51</f>
        <v/>
      </c>
      <c r="S78" s="147">
        <f>'Human Operation Desktop'!AQ51</f>
        <v/>
      </c>
      <c r="T78" s="147">
        <f>IF(AND(S78&gt;0,OR(R78="PENDING",R78="WAITING_FOR_HUMAN",R78="NEEDS_REPLAN")),MAX(0,INT(TODAY()-S78)),0)</f>
        <v/>
      </c>
    </row>
    <row r="79" ht="34" customHeight="1" s="41">
      <c r="R79" s="147">
        <f>'Human Operation Desktop'!I52</f>
        <v/>
      </c>
      <c r="S79" s="147">
        <f>'Human Operation Desktop'!AQ52</f>
        <v/>
      </c>
      <c r="T79" s="147">
        <f>IF(AND(S79&gt;0,OR(R79="PENDING",R79="WAITING_FOR_HUMAN",R79="NEEDS_REPLAN")),MAX(0,INT(TODAY()-S79)),0)</f>
        <v/>
      </c>
    </row>
    <row r="80" ht="34" customHeight="1" s="41">
      <c r="R80" s="147">
        <f>'Human Operation Desktop'!I53</f>
        <v/>
      </c>
      <c r="S80" s="147">
        <f>'Human Operation Desktop'!AQ53</f>
        <v/>
      </c>
      <c r="T80" s="147">
        <f>IF(AND(S80&gt;0,OR(R80="PENDING",R80="WAITING_FOR_HUMAN",R80="NEEDS_REPLAN")),MAX(0,INT(TODAY()-S80)),0)</f>
        <v/>
      </c>
    </row>
    <row r="81" ht="34" customHeight="1" s="41">
      <c r="R81" s="147">
        <f>'Human Operation Desktop'!I54</f>
        <v/>
      </c>
      <c r="S81" s="147">
        <f>'Human Operation Desktop'!AQ54</f>
        <v/>
      </c>
      <c r="T81" s="147">
        <f>IF(AND(S81&gt;0,OR(R81="PENDING",R81="WAITING_FOR_HUMAN",R81="NEEDS_REPLAN")),MAX(0,INT(TODAY()-S81)),0)</f>
        <v/>
      </c>
    </row>
    <row r="82" ht="34" customHeight="1" s="41">
      <c r="R82" s="147">
        <f>'Human Operation Desktop'!I55</f>
        <v/>
      </c>
      <c r="S82" s="147">
        <f>'Human Operation Desktop'!AQ55</f>
        <v/>
      </c>
      <c r="T82" s="147">
        <f>IF(AND(S82&gt;0,OR(R82="PENDING",R82="WAITING_FOR_HUMAN",R82="NEEDS_REPLAN")),MAX(0,INT(TODAY()-S82)),0)</f>
        <v/>
      </c>
    </row>
    <row r="83" ht="34" customHeight="1" s="41">
      <c r="R83" s="147">
        <f>'Human Operation Desktop'!I56</f>
        <v/>
      </c>
      <c r="S83" s="147">
        <f>'Human Operation Desktop'!AQ56</f>
        <v/>
      </c>
      <c r="T83" s="147">
        <f>IF(AND(S83&gt;0,OR(R83="PENDING",R83="WAITING_FOR_HUMAN",R83="NEEDS_REPLAN")),MAX(0,INT(TODAY()-S83)),0)</f>
        <v/>
      </c>
    </row>
    <row r="84" ht="34" customHeight="1" s="41">
      <c r="R84" s="147">
        <f>'Human Operation Desktop'!I57</f>
        <v/>
      </c>
      <c r="S84" s="147">
        <f>'Human Operation Desktop'!AQ57</f>
        <v/>
      </c>
      <c r="T84" s="147">
        <f>IF(AND(S84&gt;0,OR(R84="PENDING",R84="WAITING_FOR_HUMAN",R84="NEEDS_REPLAN")),MAX(0,INT(TODAY()-S84)),0)</f>
        <v/>
      </c>
    </row>
    <row r="85" ht="34" customHeight="1" s="41">
      <c r="R85" s="147">
        <f>'Human Operation Desktop'!I58</f>
        <v/>
      </c>
      <c r="S85" s="147">
        <f>'Human Operation Desktop'!AQ58</f>
        <v/>
      </c>
      <c r="T85" s="147">
        <f>IF(AND(S85&gt;0,OR(R85="PENDING",R85="WAITING_FOR_HUMAN",R85="NEEDS_REPLAN")),MAX(0,INT(TODAY()-S85)),0)</f>
        <v/>
      </c>
    </row>
    <row r="86" ht="34" customHeight="1" s="41">
      <c r="R86" s="147">
        <f>'Human Operation Desktop'!I59</f>
        <v/>
      </c>
      <c r="S86" s="147">
        <f>'Human Operation Desktop'!AQ59</f>
        <v/>
      </c>
      <c r="T86" s="147">
        <f>IF(AND(S86&gt;0,OR(R86="PENDING",R86="WAITING_FOR_HUMAN",R86="NEEDS_REPLAN")),MAX(0,INT(TODAY()-S86)),0)</f>
        <v/>
      </c>
    </row>
    <row r="87" ht="34" customHeight="1" s="41">
      <c r="R87" s="147">
        <f>'Human Operation Desktop'!I60</f>
        <v/>
      </c>
      <c r="S87" s="147">
        <f>'Human Operation Desktop'!AQ60</f>
        <v/>
      </c>
      <c r="T87" s="147">
        <f>IF(AND(S87&gt;0,OR(R87="PENDING",R87="WAITING_FOR_HUMAN",R87="NEEDS_REPLAN")),MAX(0,INT(TODAY()-S87)),0)</f>
        <v/>
      </c>
    </row>
    <row r="88" ht="34" customHeight="1" s="41">
      <c r="R88" s="147">
        <f>'Human Operation Desktop'!I61</f>
        <v/>
      </c>
      <c r="S88" s="147">
        <f>'Human Operation Desktop'!AQ61</f>
        <v/>
      </c>
      <c r="T88" s="147">
        <f>IF(AND(S88&gt;0,OR(R88="PENDING",R88="WAITING_FOR_HUMAN",R88="NEEDS_REPLAN")),MAX(0,INT(TODAY()-S88)),0)</f>
        <v/>
      </c>
    </row>
    <row r="89" ht="34" customHeight="1" s="41">
      <c r="R89" s="147">
        <f>'Human Operation Desktop'!I62</f>
        <v/>
      </c>
      <c r="S89" s="147">
        <f>'Human Operation Desktop'!AQ62</f>
        <v/>
      </c>
      <c r="T89" s="147">
        <f>IF(AND(S89&gt;0,OR(R89="PENDING",R89="WAITING_FOR_HUMAN",R89="NEEDS_REPLAN")),MAX(0,INT(TODAY()-S89)),0)</f>
        <v/>
      </c>
    </row>
    <row r="90" ht="34" customHeight="1" s="41">
      <c r="R90" s="147">
        <f>'Human Operation Desktop'!I63</f>
        <v/>
      </c>
      <c r="S90" s="147">
        <f>'Human Operation Desktop'!AQ63</f>
        <v/>
      </c>
      <c r="T90" s="147">
        <f>IF(AND(S90&gt;0,OR(R90="PENDING",R90="WAITING_FOR_HUMAN",R90="NEEDS_REPLAN")),MAX(0,INT(TODAY()-S90)),0)</f>
        <v/>
      </c>
    </row>
    <row r="91" ht="34" customHeight="1" s="41">
      <c r="R91" s="147">
        <f>'Human Operation Desktop'!I64</f>
        <v/>
      </c>
      <c r="S91" s="147">
        <f>'Human Operation Desktop'!AQ64</f>
        <v/>
      </c>
      <c r="T91" s="147">
        <f>IF(AND(S91&gt;0,OR(R91="PENDING",R91="WAITING_FOR_HUMAN",R91="NEEDS_REPLAN")),MAX(0,INT(TODAY()-S91)),0)</f>
        <v/>
      </c>
    </row>
    <row r="92" ht="34" customHeight="1" s="41">
      <c r="R92" s="147">
        <f>'Human Operation Desktop'!I65</f>
        <v/>
      </c>
      <c r="S92" s="147">
        <f>'Human Operation Desktop'!AQ65</f>
        <v/>
      </c>
      <c r="T92" s="147">
        <f>IF(AND(S92&gt;0,OR(R92="PENDING",R92="WAITING_FOR_HUMAN",R92="NEEDS_REPLAN")),MAX(0,INT(TODAY()-S92)),0)</f>
        <v/>
      </c>
    </row>
    <row r="93" ht="34" customHeight="1" s="41">
      <c r="R93" s="147">
        <f>'Human Operation Desktop'!I66</f>
        <v/>
      </c>
      <c r="S93" s="147">
        <f>'Human Operation Desktop'!AQ66</f>
        <v/>
      </c>
      <c r="T93" s="147">
        <f>IF(AND(S93&gt;0,OR(R93="PENDING",R93="WAITING_FOR_HUMAN",R93="NEEDS_REPLAN")),MAX(0,INT(TODAY()-S93)),0)</f>
        <v/>
      </c>
    </row>
    <row r="94" ht="34" customHeight="1" s="41">
      <c r="R94" s="147">
        <f>'Human Operation Desktop'!I67</f>
        <v/>
      </c>
      <c r="S94" s="147">
        <f>'Human Operation Desktop'!AQ67</f>
        <v/>
      </c>
      <c r="T94" s="147">
        <f>IF(AND(S94&gt;0,OR(R94="PENDING",R94="WAITING_FOR_HUMAN",R94="NEEDS_REPLAN")),MAX(0,INT(TODAY()-S94)),0)</f>
        <v/>
      </c>
    </row>
    <row r="95" ht="34" customHeight="1" s="41">
      <c r="R95" s="147">
        <f>'Human Operation Desktop'!I68</f>
        <v/>
      </c>
      <c r="S95" s="147">
        <f>'Human Operation Desktop'!AQ68</f>
        <v/>
      </c>
      <c r="T95" s="147">
        <f>IF(AND(S95&gt;0,OR(R95="PENDING",R95="WAITING_FOR_HUMAN",R95="NEEDS_REPLAN")),MAX(0,INT(TODAY()-S95)),0)</f>
        <v/>
      </c>
    </row>
    <row r="96" ht="34" customHeight="1" s="41">
      <c r="R96" s="147">
        <f>'Human Operation Desktop'!I69</f>
        <v/>
      </c>
      <c r="S96" s="147">
        <f>'Human Operation Desktop'!AQ69</f>
        <v/>
      </c>
      <c r="T96" s="147">
        <f>IF(AND(S96&gt;0,OR(R96="PENDING",R96="WAITING_FOR_HUMAN",R96="NEEDS_REPLAN")),MAX(0,INT(TODAY()-S96)),0)</f>
        <v/>
      </c>
    </row>
    <row r="97" ht="34" customHeight="1" s="41">
      <c r="R97" s="147">
        <f>'Human Operation Desktop'!I70</f>
        <v/>
      </c>
      <c r="S97" s="147">
        <f>'Human Operation Desktop'!AQ70</f>
        <v/>
      </c>
      <c r="T97" s="147">
        <f>IF(AND(S97&gt;0,OR(R97="PENDING",R97="WAITING_FOR_HUMAN",R97="NEEDS_REPLAN")),MAX(0,INT(TODAY()-S97)),0)</f>
        <v/>
      </c>
    </row>
    <row r="98" ht="34" customHeight="1" s="41">
      <c r="R98" s="147">
        <f>'Human Operation Desktop'!I71</f>
        <v/>
      </c>
      <c r="S98" s="147">
        <f>'Human Operation Desktop'!AQ71</f>
        <v/>
      </c>
      <c r="T98" s="147">
        <f>IF(AND(S98&gt;0,OR(R98="PENDING",R98="WAITING_FOR_HUMAN",R98="NEEDS_REPLAN")),MAX(0,INT(TODAY()-S98)),0)</f>
        <v/>
      </c>
    </row>
    <row r="99" ht="34" customHeight="1" s="41">
      <c r="R99" s="147">
        <f>'Human Operation Desktop'!I72</f>
        <v/>
      </c>
      <c r="S99" s="147">
        <f>'Human Operation Desktop'!AQ72</f>
        <v/>
      </c>
      <c r="T99" s="147">
        <f>IF(AND(S99&gt;0,OR(R99="PENDING",R99="WAITING_FOR_HUMAN",R99="NEEDS_REPLAN")),MAX(0,INT(TODAY()-S99)),0)</f>
        <v/>
      </c>
    </row>
    <row r="100" ht="34" customHeight="1" s="41">
      <c r="R100" s="147">
        <f>'Human Operation Desktop'!I73</f>
        <v/>
      </c>
      <c r="S100" s="147">
        <f>'Human Operation Desktop'!AQ73</f>
        <v/>
      </c>
      <c r="T100" s="147">
        <f>IF(AND(S100&gt;0,OR(R100="PENDING",R100="WAITING_FOR_HUMAN",R100="NEEDS_REPLAN")),MAX(0,INT(TODAY()-S100)),0)</f>
        <v/>
      </c>
    </row>
    <row r="101" ht="34" customHeight="1" s="41">
      <c r="R101" s="147">
        <f>'Human Operation Desktop'!I74</f>
        <v/>
      </c>
      <c r="S101" s="147">
        <f>'Human Operation Desktop'!AQ74</f>
        <v/>
      </c>
      <c r="T101" s="147">
        <f>IF(AND(S101&gt;0,OR(R101="PENDING",R101="WAITING_FOR_HUMAN",R101="NEEDS_REPLAN")),MAX(0,INT(TODAY()-S101)),0)</f>
        <v/>
      </c>
    </row>
    <row r="102" ht="34" customHeight="1" s="41">
      <c r="R102" s="147">
        <f>'Human Operation Desktop'!I75</f>
        <v/>
      </c>
      <c r="S102" s="147">
        <f>'Human Operation Desktop'!AQ75</f>
        <v/>
      </c>
      <c r="T102" s="147">
        <f>IF(AND(S102&gt;0,OR(R102="PENDING",R102="WAITING_FOR_HUMAN",R102="NEEDS_REPLAN")),MAX(0,INT(TODAY()-S102)),0)</f>
        <v/>
      </c>
    </row>
    <row r="103" ht="34" customHeight="1" s="41">
      <c r="R103" s="147">
        <f>'Human Operation Desktop'!I76</f>
        <v/>
      </c>
      <c r="S103" s="147">
        <f>'Human Operation Desktop'!AQ76</f>
        <v/>
      </c>
      <c r="T103" s="147">
        <f>IF(AND(S103&gt;0,OR(R103="PENDING",R103="WAITING_FOR_HUMAN",R103="NEEDS_REPLAN")),MAX(0,INT(TODAY()-S103)),0)</f>
        <v/>
      </c>
    </row>
    <row r="104" ht="34" customHeight="1" s="41">
      <c r="R104" s="147">
        <f>'Human Operation Desktop'!I77</f>
        <v/>
      </c>
      <c r="S104" s="147">
        <f>'Human Operation Desktop'!AQ77</f>
        <v/>
      </c>
      <c r="T104" s="147">
        <f>IF(AND(S104&gt;0,OR(R104="PENDING",R104="WAITING_FOR_HUMAN",R104="NEEDS_REPLAN")),MAX(0,INT(TODAY()-S104)),0)</f>
        <v/>
      </c>
    </row>
    <row r="105" ht="34" customHeight="1" s="41">
      <c r="R105" s="147">
        <f>'Human Operation Desktop'!I78</f>
        <v/>
      </c>
      <c r="S105" s="147">
        <f>'Human Operation Desktop'!AQ78</f>
        <v/>
      </c>
      <c r="T105" s="147">
        <f>IF(AND(S105&gt;0,OR(R105="PENDING",R105="WAITING_FOR_HUMAN",R105="NEEDS_REPLAN")),MAX(0,INT(TODAY()-S105)),0)</f>
        <v/>
      </c>
    </row>
    <row r="106" ht="34" customHeight="1" s="41">
      <c r="R106" s="147">
        <f>'Human Operation Desktop'!I79</f>
        <v/>
      </c>
      <c r="S106" s="147">
        <f>'Human Operation Desktop'!AQ79</f>
        <v/>
      </c>
      <c r="T106" s="147">
        <f>IF(AND(S106&gt;0,OR(R106="PENDING",R106="WAITING_FOR_HUMAN",R106="NEEDS_REPLAN")),MAX(0,INT(TODAY()-S106)),0)</f>
        <v/>
      </c>
    </row>
    <row r="107" ht="34" customHeight="1" s="41">
      <c r="R107" s="147">
        <f>'Human Operation Desktop'!I80</f>
        <v/>
      </c>
      <c r="S107" s="147">
        <f>'Human Operation Desktop'!AQ80</f>
        <v/>
      </c>
      <c r="T107" s="147">
        <f>IF(AND(S107&gt;0,OR(R107="PENDING",R107="WAITING_FOR_HUMAN",R107="NEEDS_REPLAN")),MAX(0,INT(TODAY()-S107)),0)</f>
        <v/>
      </c>
    </row>
    <row r="108" ht="34" customHeight="1" s="41">
      <c r="R108" s="147">
        <f>'Human Operation Desktop'!I81</f>
        <v/>
      </c>
      <c r="S108" s="147">
        <f>'Human Operation Desktop'!AQ81</f>
        <v/>
      </c>
      <c r="T108" s="147">
        <f>IF(AND(S108&gt;0,OR(R108="PENDING",R108="WAITING_FOR_HUMAN",R108="NEEDS_REPLAN")),MAX(0,INT(TODAY()-S108)),0)</f>
        <v/>
      </c>
    </row>
    <row r="109" ht="34" customHeight="1" s="41">
      <c r="R109" s="147">
        <f>'Human Operation Desktop'!I82</f>
        <v/>
      </c>
      <c r="S109" s="147">
        <f>'Human Operation Desktop'!AQ82</f>
        <v/>
      </c>
      <c r="T109" s="147">
        <f>IF(AND(S109&gt;0,OR(R109="PENDING",R109="WAITING_FOR_HUMAN",R109="NEEDS_REPLAN")),MAX(0,INT(TODAY()-S109)),0)</f>
        <v/>
      </c>
    </row>
    <row r="110" ht="34" customHeight="1" s="41">
      <c r="R110" s="147">
        <f>'Human Operation Desktop'!I83</f>
        <v/>
      </c>
      <c r="S110" s="147">
        <f>'Human Operation Desktop'!AQ83</f>
        <v/>
      </c>
      <c r="T110" s="147">
        <f>IF(AND(S110&gt;0,OR(R110="PENDING",R110="WAITING_FOR_HUMAN",R110="NEEDS_REPLAN")),MAX(0,INT(TODAY()-S110)),0)</f>
        <v/>
      </c>
    </row>
    <row r="111" ht="34" customHeight="1" s="41">
      <c r="R111" s="147">
        <f>'Human Operation Desktop'!I84</f>
        <v/>
      </c>
      <c r="S111" s="147">
        <f>'Human Operation Desktop'!AQ84</f>
        <v/>
      </c>
      <c r="T111" s="147">
        <f>IF(AND(S111&gt;0,OR(R111="PENDING",R111="WAITING_FOR_HUMAN",R111="NEEDS_REPLAN")),MAX(0,INT(TODAY()-S111)),0)</f>
        <v/>
      </c>
    </row>
    <row r="112" ht="34" customHeight="1" s="41">
      <c r="R112" s="147">
        <f>'Human Operation Desktop'!I85</f>
        <v/>
      </c>
      <c r="S112" s="147">
        <f>'Human Operation Desktop'!AQ85</f>
        <v/>
      </c>
      <c r="T112" s="147">
        <f>IF(AND(S112&gt;0,OR(R112="PENDING",R112="WAITING_FOR_HUMAN",R112="NEEDS_REPLAN")),MAX(0,INT(TODAY()-S112)),0)</f>
        <v/>
      </c>
    </row>
    <row r="113" ht="34" customHeight="1" s="41">
      <c r="R113" s="147">
        <f>'Human Operation Desktop'!I86</f>
        <v/>
      </c>
      <c r="S113" s="147">
        <f>'Human Operation Desktop'!AQ86</f>
        <v/>
      </c>
      <c r="T113" s="147">
        <f>IF(AND(S113&gt;0,OR(R113="PENDING",R113="WAITING_FOR_HUMAN",R113="NEEDS_REPLAN")),MAX(0,INT(TODAY()-S113)),0)</f>
        <v/>
      </c>
    </row>
    <row r="114" ht="34" customHeight="1" s="41">
      <c r="R114" s="147">
        <f>'Human Operation Desktop'!I87</f>
        <v/>
      </c>
      <c r="S114" s="147">
        <f>'Human Operation Desktop'!AQ87</f>
        <v/>
      </c>
      <c r="T114" s="147">
        <f>IF(AND(S114&gt;0,OR(R114="PENDING",R114="WAITING_FOR_HUMAN",R114="NEEDS_REPLAN")),MAX(0,INT(TODAY()-S114)),0)</f>
        <v/>
      </c>
    </row>
    <row r="115" ht="34" customHeight="1" s="41">
      <c r="R115" s="147">
        <f>'Human Operation Desktop'!I88</f>
        <v/>
      </c>
      <c r="S115" s="147">
        <f>'Human Operation Desktop'!AQ88</f>
        <v/>
      </c>
      <c r="T115" s="147">
        <f>IF(AND(S115&gt;0,OR(R115="PENDING",R115="WAITING_FOR_HUMAN",R115="NEEDS_REPLAN")),MAX(0,INT(TODAY()-S115)),0)</f>
        <v/>
      </c>
    </row>
    <row r="116" ht="34" customHeight="1" s="41">
      <c r="R116" s="147">
        <f>'Human Operation Desktop'!I89</f>
        <v/>
      </c>
      <c r="S116" s="147">
        <f>'Human Operation Desktop'!AQ89</f>
        <v/>
      </c>
      <c r="T116" s="147">
        <f>IF(AND(S116&gt;0,OR(R116="PENDING",R116="WAITING_FOR_HUMAN",R116="NEEDS_REPLAN")),MAX(0,INT(TODAY()-S116)),0)</f>
        <v/>
      </c>
    </row>
    <row r="117" ht="34" customHeight="1" s="41">
      <c r="R117" s="147">
        <f>'Human Operation Desktop'!I90</f>
        <v/>
      </c>
      <c r="S117" s="147">
        <f>'Human Operation Desktop'!AQ90</f>
        <v/>
      </c>
      <c r="T117" s="147">
        <f>IF(AND(S117&gt;0,OR(R117="PENDING",R117="WAITING_FOR_HUMAN",R117="NEEDS_REPLAN")),MAX(0,INT(TODAY()-S117)),0)</f>
        <v/>
      </c>
    </row>
    <row r="118" ht="34" customHeight="1" s="41">
      <c r="R118" s="147">
        <f>'Human Operation Desktop'!I91</f>
        <v/>
      </c>
      <c r="S118" s="147">
        <f>'Human Operation Desktop'!AQ91</f>
        <v/>
      </c>
      <c r="T118" s="147">
        <f>IF(AND(S118&gt;0,OR(R118="PENDING",R118="WAITING_FOR_HUMAN",R118="NEEDS_REPLAN")),MAX(0,INT(TODAY()-S118)),0)</f>
        <v/>
      </c>
    </row>
    <row r="119" ht="34" customHeight="1" s="41">
      <c r="R119" s="147">
        <f>'Human Operation Desktop'!I92</f>
        <v/>
      </c>
      <c r="S119" s="147">
        <f>'Human Operation Desktop'!AQ92</f>
        <v/>
      </c>
      <c r="T119" s="147">
        <f>IF(AND(S119&gt;0,OR(R119="PENDING",R119="WAITING_FOR_HUMAN",R119="NEEDS_REPLAN")),MAX(0,INT(TODAY()-S119)),0)</f>
        <v/>
      </c>
    </row>
    <row r="120" ht="34" customHeight="1" s="41">
      <c r="R120" s="147">
        <f>'Human Operation Desktop'!I93</f>
        <v/>
      </c>
      <c r="S120" s="147">
        <f>'Human Operation Desktop'!AQ93</f>
        <v/>
      </c>
      <c r="T120" s="147">
        <f>IF(AND(S120&gt;0,OR(R120="PENDING",R120="WAITING_FOR_HUMAN",R120="NEEDS_REPLAN")),MAX(0,INT(TODAY()-S120)),0)</f>
        <v/>
      </c>
    </row>
    <row r="121" ht="34" customHeight="1" s="41">
      <c r="R121" s="147">
        <f>'Human Operation Desktop'!I94</f>
        <v/>
      </c>
      <c r="S121" s="147">
        <f>'Human Operation Desktop'!AQ94</f>
        <v/>
      </c>
      <c r="T121" s="147">
        <f>IF(AND(S121&gt;0,OR(R121="PENDING",R121="WAITING_FOR_HUMAN",R121="NEEDS_REPLAN")),MAX(0,INT(TODAY()-S121)),0)</f>
        <v/>
      </c>
    </row>
    <row r="122" ht="34" customHeight="1" s="41">
      <c r="R122" s="147">
        <f>'Human Operation Desktop'!I95</f>
        <v/>
      </c>
      <c r="S122" s="147">
        <f>'Human Operation Desktop'!AQ95</f>
        <v/>
      </c>
      <c r="T122" s="147">
        <f>IF(AND(S122&gt;0,OR(R122="PENDING",R122="WAITING_FOR_HUMAN",R122="NEEDS_REPLAN")),MAX(0,INT(TODAY()-S122)),0)</f>
        <v/>
      </c>
    </row>
    <row r="123" ht="34" customHeight="1" s="41">
      <c r="R123" s="147">
        <f>'Human Operation Desktop'!I96</f>
        <v/>
      </c>
      <c r="S123" s="147">
        <f>'Human Operation Desktop'!AQ96</f>
        <v/>
      </c>
      <c r="T123" s="147">
        <f>IF(AND(S123&gt;0,OR(R123="PENDING",R123="WAITING_FOR_HUMAN",R123="NEEDS_REPLAN")),MAX(0,INT(TODAY()-S123)),0)</f>
        <v/>
      </c>
    </row>
    <row r="124" ht="34" customHeight="1" s="41">
      <c r="R124" s="147">
        <f>'Human Operation Desktop'!I97</f>
        <v/>
      </c>
      <c r="S124" s="147">
        <f>'Human Operation Desktop'!AQ97</f>
        <v/>
      </c>
      <c r="T124" s="147">
        <f>IF(AND(S124&gt;0,OR(R124="PENDING",R124="WAITING_FOR_HUMAN",R124="NEEDS_REPLAN")),MAX(0,INT(TODAY()-S124)),0)</f>
        <v/>
      </c>
    </row>
    <row r="125" ht="34" customHeight="1" s="41">
      <c r="R125" s="147">
        <f>'Human Operation Desktop'!I98</f>
        <v/>
      </c>
      <c r="S125" s="147">
        <f>'Human Operation Desktop'!AQ98</f>
        <v/>
      </c>
      <c r="T125" s="147">
        <f>IF(AND(S125&gt;0,OR(R125="PENDING",R125="WAITING_FOR_HUMAN",R125="NEEDS_REPLAN")),MAX(0,INT(TODAY()-S125)),0)</f>
        <v/>
      </c>
    </row>
    <row r="126" ht="34" customHeight="1" s="41">
      <c r="R126" s="147">
        <f>'Human Operation Desktop'!I99</f>
        <v/>
      </c>
      <c r="S126" s="147">
        <f>'Human Operation Desktop'!AQ99</f>
        <v/>
      </c>
      <c r="T126" s="147">
        <f>IF(AND(S126&gt;0,OR(R126="PENDING",R126="WAITING_FOR_HUMAN",R126="NEEDS_REPLAN")),MAX(0,INT(TODAY()-S126)),0)</f>
        <v/>
      </c>
    </row>
    <row r="127" ht="34" customHeight="1" s="41">
      <c r="R127" s="147">
        <f>'Human Operation Desktop'!I100</f>
        <v/>
      </c>
      <c r="S127" s="147">
        <f>'Human Operation Desktop'!AQ100</f>
        <v/>
      </c>
      <c r="T127" s="147">
        <f>IF(AND(S127&gt;0,OR(R127="PENDING",R127="WAITING_FOR_HUMAN",R127="NEEDS_REPLAN")),MAX(0,INT(TODAY()-S127)),0)</f>
        <v/>
      </c>
    </row>
    <row r="128" ht="34" customHeight="1" s="41">
      <c r="R128" s="147">
        <f>'Human Operation Desktop'!I101</f>
        <v/>
      </c>
      <c r="S128" s="147">
        <f>'Human Operation Desktop'!AQ101</f>
        <v/>
      </c>
      <c r="T128" s="147">
        <f>IF(AND(S128&gt;0,OR(R128="PENDING",R128="WAITING_FOR_HUMAN",R128="NEEDS_REPLAN")),MAX(0,INT(TODAY()-S128)),0)</f>
        <v/>
      </c>
    </row>
    <row r="129" ht="34" customHeight="1" s="41">
      <c r="R129" s="147">
        <f>'Human Operation Desktop'!I102</f>
        <v/>
      </c>
      <c r="S129" s="147">
        <f>'Human Operation Desktop'!AQ102</f>
        <v/>
      </c>
      <c r="T129" s="147">
        <f>IF(AND(S129&gt;0,OR(R129="PENDING",R129="WAITING_FOR_HUMAN",R129="NEEDS_REPLAN")),MAX(0,INT(TODAY()-S129)),0)</f>
        <v/>
      </c>
    </row>
    <row r="130" ht="34" customHeight="1" s="41">
      <c r="R130" s="147">
        <f>'Human Operation Desktop'!I103</f>
        <v/>
      </c>
      <c r="S130" s="147">
        <f>'Human Operation Desktop'!AQ103</f>
        <v/>
      </c>
      <c r="T130" s="147">
        <f>IF(AND(S130&gt;0,OR(R130="PENDING",R130="WAITING_FOR_HUMAN",R130="NEEDS_REPLAN")),MAX(0,INT(TODAY()-S130)),0)</f>
        <v/>
      </c>
    </row>
    <row r="131" ht="34" customHeight="1" s="41"/>
    <row r="132" ht="34" customHeight="1" s="41"/>
    <row r="133" ht="34" customHeight="1" s="41"/>
    <row r="134" ht="34" customHeight="1" s="41"/>
    <row r="135" ht="34" customHeight="1" s="41"/>
    <row r="136" ht="34" customHeight="1" s="41"/>
    <row r="137" ht="34" customHeight="1" s="41"/>
    <row r="138" ht="34" customHeight="1" s="41"/>
    <row r="139" ht="34" customHeight="1" s="41"/>
    <row r="140" ht="34" customHeight="1" s="41"/>
    <row r="141" ht="34" customHeight="1" s="41"/>
    <row r="142" ht="34" customHeight="1" s="41"/>
    <row r="143" ht="34" customHeight="1" s="41"/>
    <row r="144" ht="34" customHeight="1" s="41"/>
    <row r="145" ht="34" customHeight="1" s="41"/>
    <row r="146" ht="34" customHeight="1" s="41"/>
    <row r="147" ht="34" customHeight="1" s="41"/>
    <row r="148" ht="34" customHeight="1" s="41"/>
    <row r="149" ht="34" customHeight="1" s="41"/>
    <row r="150" ht="34" customHeight="1" s="41"/>
    <row r="151" ht="34" customHeight="1" s="41"/>
    <row r="152" ht="34" customHeight="1" s="41"/>
    <row r="153" ht="34" customHeight="1" s="41"/>
  </sheetData>
  <mergeCells count="61">
    <mergeCell ref="A42:P42"/>
    <mergeCell ref="D27:F27"/>
    <mergeCell ref="I1:L1"/>
    <mergeCell ref="L7:P7"/>
    <mergeCell ref="G35:P35"/>
    <mergeCell ref="G27:H27"/>
    <mergeCell ref="A5:B6"/>
    <mergeCell ref="A27:C27"/>
    <mergeCell ref="I29:L29"/>
    <mergeCell ref="M32:P32"/>
    <mergeCell ref="A1:H1"/>
    <mergeCell ref="M29:P29"/>
    <mergeCell ref="K23:L24"/>
    <mergeCell ref="K12:P12"/>
    <mergeCell ref="C4:D4"/>
    <mergeCell ref="I26:P26"/>
    <mergeCell ref="D28:F28"/>
    <mergeCell ref="A7:B7"/>
    <mergeCell ref="I31:L31"/>
    <mergeCell ref="E5:G6"/>
    <mergeCell ref="M23:N24"/>
    <mergeCell ref="O23:P24"/>
    <mergeCell ref="I30:L30"/>
    <mergeCell ref="G28:H28"/>
    <mergeCell ref="I2:L2"/>
    <mergeCell ref="A29:C29"/>
    <mergeCell ref="K22:L22"/>
    <mergeCell ref="D30:F30"/>
    <mergeCell ref="E7:G7"/>
    <mergeCell ref="M22:N22"/>
    <mergeCell ref="I27:L27"/>
    <mergeCell ref="O22:P22"/>
    <mergeCell ref="H4:K4"/>
    <mergeCell ref="A28:C28"/>
    <mergeCell ref="L4:P4"/>
    <mergeCell ref="A26:H26"/>
    <mergeCell ref="D29:F29"/>
    <mergeCell ref="G30:H30"/>
    <mergeCell ref="M1:P1"/>
    <mergeCell ref="A2:H2"/>
    <mergeCell ref="A31:C31"/>
    <mergeCell ref="C5:D6"/>
    <mergeCell ref="I32:L32"/>
    <mergeCell ref="M2:P2"/>
    <mergeCell ref="A30:C30"/>
    <mergeCell ref="A4:B4"/>
    <mergeCell ref="H5:K6"/>
    <mergeCell ref="I28:L28"/>
    <mergeCell ref="G29:H29"/>
    <mergeCell ref="M31:P31"/>
    <mergeCell ref="C7:D7"/>
    <mergeCell ref="D31:F31"/>
    <mergeCell ref="M30:P30"/>
    <mergeCell ref="A9:P10"/>
    <mergeCell ref="A12:J12"/>
    <mergeCell ref="E4:G4"/>
    <mergeCell ref="G31:H31"/>
    <mergeCell ref="H7:K7"/>
    <mergeCell ref="M28:P28"/>
    <mergeCell ref="L5:P6"/>
    <mergeCell ref="M27:P27"/>
  </mergeCells>
  <conditionalFormatting sqref="A46:C47">
    <cfRule type="containsText" priority="4" operator="containsText" dxfId="2" text="YES"/>
  </conditionalFormatting>
  <conditionalFormatting sqref="A28:H31">
    <cfRule type="expression" priority="7" dxfId="28">
      <formula>$A28="SUCCESS"</formula>
    </cfRule>
    <cfRule type="expression" priority="8" dxfId="32">
      <formula>$A28="NOT_RUN"</formula>
    </cfRule>
    <cfRule type="expression" priority="9" dxfId="25">
      <formula>$A28="PAYWALL_BLOCKED"</formula>
    </cfRule>
    <cfRule type="expression" priority="10" dxfId="26">
      <formula>$A28="FAIL"</formula>
    </cfRule>
  </conditionalFormatting>
  <conditionalFormatting sqref="A49:K50">
    <cfRule type="containsText" priority="1" operator="containsText" dxfId="1" text="REVIEW OVERDUE"/>
  </conditionalFormatting>
  <conditionalFormatting sqref="A9:P10">
    <cfRule type="expression" priority="5" dxfId="28">
      <formula>$H$5=0</formula>
    </cfRule>
    <cfRule type="expression" priority="6" dxfId="26">
      <formula>$S$17&gt;60</formula>
    </cfRule>
  </conditionalFormatting>
  <conditionalFormatting sqref="F36:F40">
    <cfRule type="expression" priority="11" dxfId="26">
      <formula>$F36="NEEDS_REPLAN"</formula>
    </cfRule>
    <cfRule type="expression" priority="12" dxfId="25">
      <formula>$F36="WAITING_FOR_HUMAN"</formula>
    </cfRule>
    <cfRule type="expression" priority="13" dxfId="24">
      <formula>$F36="PENDING"</formula>
    </cfRule>
  </conditionalFormatting>
  <conditionalFormatting sqref="J54:J153">
    <cfRule type="containsText" priority="2" operator="containsText" dxfId="1" text="OVERDUE"/>
    <cfRule type="containsText" priority="3" operator="containsText" dxfId="2" text="OPEN"/>
  </conditionalFormatting>
  <dataValidations count="2">
    <dataValidation sqref="A46:C47" showDropDown="0" showInputMessage="0" showErrorMessage="0" allowBlank="0" type="list">
      <formula1>"NO,YES"</formula1>
    </dataValidation>
    <dataValidation sqref="E46:G47" showDropDown="0" showInputMessage="0" showErrorMessage="0" allowBlank="0">
      <formula1>1</formula1>
      <formula2>20</formula2>
    </dataValidation>
  </dataValidation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R103"/>
  <sheetViews>
    <sheetView showGridLines="0" workbookViewId="0">
      <pane ySplit="2" topLeftCell="A3" activePane="bottomLeft" state="frozen"/>
      <selection pane="bottomLeft" activeCell="A1" sqref="A1"/>
    </sheetView>
  </sheetViews>
  <sheetFormatPr baseColWidth="10" defaultColWidth="8.83203125" defaultRowHeight="14"/>
  <cols>
    <col width="13" customWidth="1" style="41" min="1" max="1"/>
    <col width="25" customWidth="1" style="41" min="2" max="2"/>
    <col width="18" customWidth="1" style="41" min="3" max="3"/>
    <col width="36" customWidth="1" style="41" min="4" max="4"/>
    <col width="64" customWidth="1" style="41" min="5" max="5"/>
    <col width="14" customWidth="1" style="41" min="6" max="7"/>
    <col width="14" customWidth="1" style="41" min="7" max="7"/>
    <col width="38" customWidth="1" style="41" min="8" max="8"/>
    <col width="18" customWidth="1" style="41" min="9" max="9"/>
    <col width="18" customWidth="1" style="41" min="10" max="10"/>
    <col hidden="1" width="16" customWidth="1" style="41" min="11" max="44"/>
    <col width="14" customWidth="1" style="41" min="12" max="12"/>
    <col hidden="1" width="3" customWidth="1" style="41" min="13" max="13"/>
    <col hidden="1" width="3" customWidth="1" style="41" min="14" max="14"/>
    <col hidden="1" width="3" customWidth="1" style="41" min="15" max="15"/>
    <col hidden="1" width="3" customWidth="1" style="41" min="16" max="16"/>
    <col hidden="1" width="3" customWidth="1" style="41" min="17" max="17"/>
    <col hidden="1" width="3" customWidth="1" style="41" min="18" max="18"/>
    <col hidden="1" width="3" customWidth="1" style="41" min="19" max="19"/>
    <col hidden="1" width="3" customWidth="1" style="41" min="20" max="20"/>
    <col hidden="1" width="3" customWidth="1" style="41" min="21" max="21"/>
    <col hidden="1" width="3" customWidth="1" style="41" min="22" max="22"/>
    <col hidden="1" width="3" customWidth="1" style="41" min="23" max="23"/>
    <col hidden="1" width="3" customWidth="1" style="41" min="24" max="24"/>
    <col hidden="1" width="3" customWidth="1" style="41" min="25" max="25"/>
    <col hidden="1" width="3" customWidth="1" style="41" min="26" max="26"/>
    <col hidden="1" width="3" customWidth="1" style="41" min="27" max="27"/>
    <col hidden="1" width="3" customWidth="1" style="41" min="28" max="28"/>
    <col hidden="1" width="3" customWidth="1" style="41" min="29" max="29"/>
    <col hidden="1" width="3" customWidth="1" style="41" min="30" max="30"/>
    <col hidden="1" width="3" customWidth="1" style="41" min="31" max="31"/>
    <col hidden="1" width="3" customWidth="1" style="41" min="32" max="32"/>
    <col hidden="1" width="3" customWidth="1" style="41" min="33" max="33"/>
    <col hidden="1" width="3" customWidth="1" style="41" min="34" max="34"/>
    <col hidden="1" width="3" customWidth="1" style="41" min="35" max="35"/>
    <col hidden="1" width="3" customWidth="1" style="41" min="36" max="36"/>
    <col hidden="1" width="3" customWidth="1" style="41" min="37" max="37"/>
    <col hidden="1" width="3" customWidth="1" style="41" min="38" max="38"/>
    <col hidden="1" width="3" customWidth="1" style="41" min="39" max="39"/>
    <col hidden="1" width="3" customWidth="1" style="41" min="40" max="40"/>
    <col hidden="1" width="3" customWidth="1" style="41" min="41" max="41"/>
    <col hidden="1" width="3" customWidth="1" style="41" min="42" max="42"/>
    <col hidden="1" width="3" customWidth="1" style="41" min="43" max="43"/>
    <col hidden="1" width="3" customWidth="1" style="41" min="44" max="44"/>
  </cols>
  <sheetData>
    <row r="1" ht="28" customHeight="1" s="41">
      <c r="A1" s="177" t="inlineStr">
        <is>
          <t>OPERATOR WORK QUEUE</t>
        </is>
      </c>
      <c r="K1" s="179" t="inlineStr">
        <is>
          <t>SOURCE CORRECTIONS | UNHIDE ONLY WHEN REQUESTED</t>
        </is>
      </c>
      <c r="W1" s="80" t="inlineStr">
        <is>
          <t>CANDIDATE DETAILS | UNHIDE ONLY FOR NEW SOURCES</t>
        </is>
      </c>
      <c r="AN1" s="78" t="inlineStr">
        <is>
          <t>PROGRAM SUPPORT | DO NOT EDIT</t>
        </is>
      </c>
    </row>
    <row r="2" ht="22" customHeight="1" s="41">
      <c r="A2" s="181" t="inlineStr">
        <is>
          <t>source_id</t>
        </is>
      </c>
      <c r="B2" s="181" t="inlineStr">
        <is>
          <t>source_title</t>
        </is>
      </c>
      <c r="C2" s="181" t="inlineStr">
        <is>
          <t>task_type</t>
        </is>
      </c>
      <c r="D2" s="181" t="inlineStr">
        <is>
          <t>issue_summary</t>
        </is>
      </c>
      <c r="E2" s="181" t="inlineStr">
        <is>
          <t>requested_action</t>
        </is>
      </c>
      <c r="F2" s="181" t="inlineStr">
        <is>
          <t>operator_action</t>
        </is>
      </c>
      <c r="G2" s="181" t="inlineStr">
        <is>
          <t>operator</t>
        </is>
      </c>
      <c r="H2" s="181" t="inlineStr">
        <is>
          <t>operator_note</t>
        </is>
      </c>
      <c r="I2" s="181" t="inlineStr">
        <is>
          <t>program_status</t>
        </is>
      </c>
      <c r="J2" s="181" t="inlineStr">
        <is>
          <t>program_result</t>
        </is>
      </c>
      <c r="K2" s="181" t="inlineStr">
        <is>
          <t>official_url</t>
        </is>
      </c>
      <c r="L2" s="181" t="inlineStr">
        <is>
          <t>retrieval_url</t>
        </is>
      </c>
      <c r="M2" s="25" t="inlineStr">
        <is>
          <t>authority_quality</t>
        </is>
      </c>
      <c r="N2" s="25" t="inlineStr">
        <is>
          <t>scope_relevance</t>
        </is>
      </c>
      <c r="O2" s="25" t="inlineStr">
        <is>
          <t>version_currency</t>
        </is>
      </c>
      <c r="P2" s="25" t="inlineStr">
        <is>
          <t>traceability</t>
        </is>
      </c>
      <c r="Q2" s="25" t="inlineStr">
        <is>
          <t>access_permission</t>
        </is>
      </c>
      <c r="R2" s="25" t="inlineStr">
        <is>
          <t>operator_selection_decision</t>
        </is>
      </c>
      <c r="S2" s="25" t="inlineStr">
        <is>
          <t>applicability_reference</t>
        </is>
      </c>
      <c r="T2" s="25" t="inlineStr">
        <is>
          <t>source_status</t>
        </is>
      </c>
      <c r="U2" s="25" t="inlineStr">
        <is>
          <t>primary_source_id</t>
        </is>
      </c>
      <c r="V2" s="25" t="inlineStr">
        <is>
          <t>source_notes</t>
        </is>
      </c>
      <c r="W2" s="25" t="inlineStr">
        <is>
          <t>intake_file</t>
        </is>
      </c>
      <c r="X2" s="25" t="inlineStr">
        <is>
          <t>folder_code</t>
        </is>
      </c>
      <c r="Y2" s="25" t="inlineStr">
        <is>
          <t>issuer</t>
        </is>
      </c>
      <c r="Z2" s="25" t="inlineStr">
        <is>
          <t>jurisdiction</t>
        </is>
      </c>
      <c r="AA2" s="25" t="inlineStr">
        <is>
          <t>document_type</t>
        </is>
      </c>
      <c r="AB2" s="25" t="inlineStr">
        <is>
          <t>source_family</t>
        </is>
      </c>
      <c r="AC2" s="25" t="inlineStr">
        <is>
          <t>requirement_role</t>
        </is>
      </c>
      <c r="AD2" s="25" t="inlineStr">
        <is>
          <t>authoritative_language</t>
        </is>
      </c>
      <c r="AE2" s="25" t="inlineStr">
        <is>
          <t>file_format</t>
        </is>
      </c>
      <c r="AF2" s="25" t="inlineStr">
        <is>
          <t>version</t>
        </is>
      </c>
      <c r="AG2" s="25" t="inlineStr">
        <is>
          <t>effective_date</t>
        </is>
      </c>
      <c r="AH2" s="25" t="inlineStr">
        <is>
          <t>inclusion_rationale</t>
        </is>
      </c>
      <c r="AI2" s="25" t="inlineStr">
        <is>
          <t>automation_readiness</t>
        </is>
      </c>
      <c r="AJ2" s="25" t="inlineStr">
        <is>
          <t>acquisition_channel</t>
        </is>
      </c>
      <c r="AK2" s="25" t="inlineStr">
        <is>
          <t>provenance_status</t>
        </is>
      </c>
      <c r="AL2" s="25" t="inlineStr">
        <is>
          <t>update_model</t>
        </is>
      </c>
      <c r="AM2" s="25" t="inlineStr">
        <is>
          <t>candidate_origin</t>
        </is>
      </c>
      <c r="AN2" s="26" t="inlineStr">
        <is>
          <t>operation_id</t>
        </is>
      </c>
      <c r="AO2" s="26" t="inlineStr">
        <is>
          <t>checked_at</t>
        </is>
      </c>
      <c r="AP2" s="26" t="inlineStr">
        <is>
          <t>program_operated_at</t>
        </is>
      </c>
      <c r="AQ2" s="26" t="inlineStr">
        <is>
          <t>created_at</t>
        </is>
      </c>
      <c r="AR2" s="26" t="inlineStr">
        <is>
          <t>payload_json</t>
        </is>
      </c>
    </row>
    <row r="3" hidden="1" ht="22" customHeight="1" s="41">
      <c r="A3" s="182" t="inlineStr">
        <is>
          <t>CS013</t>
        </is>
      </c>
      <c r="B3" s="183" t="inlineStr">
        <is>
          <t>GLOBALG.A.P. General Regulations - Rules for individual producers</t>
        </is>
      </c>
      <c r="C3" s="183" t="inlineStr">
        <is>
          <t>SOURCE_REVIEW</t>
        </is>
      </c>
      <c r="D3" s="183" t="inlineStr">
        <is>
          <t>DUPLICATE_OFFICIAL_URL; SELECTION_PENDING</t>
        </is>
      </c>
      <c r="E3" s="183" t="inlineStr">
        <is>
          <t>Confirm whether this record is a distinct source, correct its identity, or exclude it. | Review the human-governed source fields and choose INCLUDE, PENDING or EXCLUDE in Human Operation Desktop.</t>
        </is>
      </c>
      <c r="F3" s="184" t="inlineStr">
        <is>
          <t>PENDING</t>
        </is>
      </c>
      <c r="G3" s="185" t="n"/>
      <c r="H3" s="206" t="n"/>
      <c r="I3" s="207" t="inlineStr">
        <is>
          <t>APPLIED</t>
        </is>
      </c>
      <c r="J3" s="183" t="inlineStr">
        <is>
          <t>Superseded by the current consolidated source task or resolved source state.</t>
        </is>
      </c>
      <c r="K3" s="188" t="inlineStr">
        <is>
          <t>https://globalgap.org/what-we-offer/solutions/ifa-aquaculture/</t>
        </is>
      </c>
      <c r="L3" s="188" t="inlineStr">
        <is>
          <t>https://documents.globalgap.org/documents/240902_GG_GR_Rules_for_IP_v6_0_Aug24_en.pdf</t>
        </is>
      </c>
      <c r="M3" t="inlineStr">
        <is>
          <t>HIGH</t>
        </is>
      </c>
      <c r="N3" t="inlineStr">
        <is>
          <t>MEDIUM</t>
        </is>
      </c>
      <c r="O3" t="inlineStr">
        <is>
          <t>HIGH</t>
        </is>
      </c>
      <c r="P3" t="inlineStr">
        <is>
          <t>HIGH</t>
        </is>
      </c>
      <c r="Q3" t="inlineStr">
        <is>
          <t>HIGH</t>
        </is>
      </c>
      <c r="R3" t="inlineStr">
        <is>
          <t>PENDING</t>
        </is>
      </c>
      <c r="T3" t="inlineStr">
        <is>
          <t>CURRENT</t>
        </is>
      </c>
      <c r="U3" t="inlineStr">
        <is>
          <t>CS008</t>
        </is>
      </c>
      <c r="V3" t="inlineStr">
        <is>
          <t>Coverage-audit expansion. The project checklist explicitly cites these rules for individual-producer self-assessment and certification.</t>
        </is>
      </c>
      <c r="X3" t="inlineStr">
        <is>
          <t>C_Certification_Scheme</t>
        </is>
      </c>
      <c r="Y3" t="inlineStr">
        <is>
          <t>GLOBALG.A.P.</t>
        </is>
      </c>
      <c r="Z3" t="inlineStr">
        <is>
          <t>International</t>
        </is>
      </c>
      <c r="AA3" t="inlineStr">
        <is>
          <t>Scheme standard</t>
        </is>
      </c>
      <c r="AB3" t="inlineStr">
        <is>
          <t>Certification scheme</t>
        </is>
      </c>
      <c r="AC3" t="inlineStr">
        <is>
          <t>Referenced normative</t>
        </is>
      </c>
      <c r="AD3" t="inlineStr">
        <is>
          <t>English</t>
        </is>
      </c>
      <c r="AE3" t="inlineStr">
        <is>
          <t>pdf</t>
        </is>
      </c>
      <c r="AF3" t="inlineStr">
        <is>
          <t>6.0_Aug24</t>
        </is>
      </c>
      <c r="AG3" t="n">
        <v>45510</v>
      </c>
      <c r="AH3" t="inlineStr">
        <is>
          <t>Official referenced source from GLOBALG.A.P.; included because an applicable law, permit or certification scheme may make its provisions binding within the approved scope.</t>
        </is>
      </c>
      <c r="AI3" t="inlineStr">
        <is>
          <t>HIGH</t>
        </is>
      </c>
      <c r="AJ3" t="inlineStr">
        <is>
          <t>OFFICIAL_WEBSITE</t>
        </is>
      </c>
      <c r="AK3" t="inlineStr">
        <is>
          <t>OFFICIAL_ORIGINAL</t>
        </is>
      </c>
      <c r="AL3" t="inlineStr">
        <is>
          <t>VERSIONED</t>
        </is>
      </c>
      <c r="AN3" t="inlineStr">
        <is>
          <t>REV-5a38e2c846da87f2</t>
        </is>
      </c>
      <c r="AO3" s="189" t="n"/>
      <c r="AP3" s="189" t="n">
        <v>46266.41396990741</v>
      </c>
      <c r="AQ3" s="189" t="n">
        <v>46265.41666666666</v>
      </c>
      <c r="AR3" t="inlineStr">
        <is>
          <t>{"action": "APPLY_FIELD_UPDATES", "issue_codes": ["DUPLICATE_OFFICIAL_URL", "SELECTION_PENDING"], "retry_after_apply": false, "review_fingerprint": "eb2894cb08d4626f", "source_fingerprint": "e6a4205a11d929b9b54e", "source_id": "CS013", "updates": {}}</t>
        </is>
      </c>
    </row>
    <row r="4" hidden="1" ht="38" customHeight="1" s="41">
      <c r="A4" s="190" t="inlineStr">
        <is>
          <t>CS014</t>
        </is>
      </c>
      <c r="B4" s="191" t="inlineStr">
        <is>
          <t>GLOBALG.A.P. General Regulations - Rules for producer groups and multisite producers with QMS</t>
        </is>
      </c>
      <c r="C4" s="191" t="inlineStr">
        <is>
          <t>SOURCE_REVIEW</t>
        </is>
      </c>
      <c r="D4" s="191" t="inlineStr">
        <is>
          <t>DUPLICATE_OFFICIAL_URL; SELECTION_PENDING</t>
        </is>
      </c>
      <c r="E4" s="191" t="inlineStr">
        <is>
          <t>Confirm whether this record is a distinct source, correct its identity, or exclude it. | Review the human-governed source fields and choose INCLUDE, PENDING or EXCLUDE in Human Operation Desktop.</t>
        </is>
      </c>
      <c r="F4" s="184" t="inlineStr">
        <is>
          <t>PENDING</t>
        </is>
      </c>
      <c r="G4" s="185" t="n"/>
      <c r="H4" s="206" t="n"/>
      <c r="I4" s="207" t="inlineStr">
        <is>
          <t>APPLIED</t>
        </is>
      </c>
      <c r="J4" s="191" t="inlineStr">
        <is>
          <t>Superseded by the current consolidated source task or resolved source state.</t>
        </is>
      </c>
      <c r="K4" s="192" t="inlineStr">
        <is>
          <t>https://globalgap.org/what-we-offer/solutions/ifa-aquaculture/</t>
        </is>
      </c>
      <c r="L4" s="192" t="inlineStr">
        <is>
          <t>https://documents.globalgap.org/documents/240902_GG_GR_Rules_for_QMS_v6_0_Aug24_en.pdf</t>
        </is>
      </c>
      <c r="M4" t="inlineStr">
        <is>
          <t>HIGH</t>
        </is>
      </c>
      <c r="N4" t="inlineStr">
        <is>
          <t>MEDIUM</t>
        </is>
      </c>
      <c r="O4" t="inlineStr">
        <is>
          <t>HIGH</t>
        </is>
      </c>
      <c r="P4" t="inlineStr">
        <is>
          <t>HIGH</t>
        </is>
      </c>
      <c r="Q4" t="inlineStr">
        <is>
          <t>HIGH</t>
        </is>
      </c>
      <c r="R4" t="inlineStr">
        <is>
          <t>PENDING</t>
        </is>
      </c>
      <c r="T4" t="inlineStr">
        <is>
          <t>CURRENT</t>
        </is>
      </c>
      <c r="U4" t="inlineStr">
        <is>
          <t>CS008</t>
        </is>
      </c>
      <c r="V4" t="inlineStr">
        <is>
          <t>Coverage-audit expansion. The project checklist explicitly cites these rules for QMS audits and group or multisite certification.</t>
        </is>
      </c>
      <c r="X4" t="inlineStr">
        <is>
          <t>C_Certification_Scheme</t>
        </is>
      </c>
      <c r="Y4" t="inlineStr">
        <is>
          <t>GLOBALG.A.P.</t>
        </is>
      </c>
      <c r="Z4" t="inlineStr">
        <is>
          <t>International</t>
        </is>
      </c>
      <c r="AA4" t="inlineStr">
        <is>
          <t>Scheme standard</t>
        </is>
      </c>
      <c r="AB4" t="inlineStr">
        <is>
          <t>Certification scheme</t>
        </is>
      </c>
      <c r="AC4" t="inlineStr">
        <is>
          <t>Referenced normative</t>
        </is>
      </c>
      <c r="AD4" t="inlineStr">
        <is>
          <t>English</t>
        </is>
      </c>
      <c r="AE4" t="inlineStr">
        <is>
          <t>pdf</t>
        </is>
      </c>
      <c r="AF4" t="inlineStr">
        <is>
          <t>6.0_Aug24</t>
        </is>
      </c>
      <c r="AG4" t="n">
        <v>45510</v>
      </c>
      <c r="AH4" t="inlineStr">
        <is>
          <t>Official referenced source from GLOBALG.A.P.; included because an applicable law, permit or certification scheme may make its provisions binding within the approved scope.</t>
        </is>
      </c>
      <c r="AI4" t="inlineStr">
        <is>
          <t>HIGH</t>
        </is>
      </c>
      <c r="AJ4" t="inlineStr">
        <is>
          <t>OFFICIAL_WEBSITE</t>
        </is>
      </c>
      <c r="AK4" t="inlineStr">
        <is>
          <t>OFFICIAL_ORIGINAL</t>
        </is>
      </c>
      <c r="AL4" t="inlineStr">
        <is>
          <t>VERSIONED</t>
        </is>
      </c>
      <c r="AN4" t="inlineStr">
        <is>
          <t>REV-778299194db7ebbc</t>
        </is>
      </c>
      <c r="AO4" s="189" t="n"/>
      <c r="AP4" s="189" t="n">
        <v>46266.41396990741</v>
      </c>
      <c r="AQ4" s="189" t="n">
        <v>46265.41666666666</v>
      </c>
      <c r="AR4" t="inlineStr">
        <is>
          <t>{"action": "APPLY_FIELD_UPDATES", "issue_codes": ["DUPLICATE_OFFICIAL_URL", "SELECTION_PENDING"], "retry_after_apply": false, "review_fingerprint": "579da8d5875e55dd", "source_fingerprint": "c027994bba7cd614ba90", "source_id": "CS014", "updates": {}}</t>
        </is>
      </c>
    </row>
    <row r="5" hidden="1" ht="38" customHeight="1" s="41">
      <c r="A5" s="182" t="inlineStr">
        <is>
          <t>PA006</t>
        </is>
      </c>
      <c r="B5" s="183" t="inlineStr">
        <is>
          <t>Organic Production and Labelling Regulations</t>
        </is>
      </c>
      <c r="C5" s="183" t="inlineStr">
        <is>
          <t>SELECTION_REVIEW</t>
        </is>
      </c>
      <c r="D5" s="183" t="inlineStr">
        <is>
          <t>SELECTION_PENDING</t>
        </is>
      </c>
      <c r="E5" s="183" t="inlineStr">
        <is>
          <t>Review the human-governed source fields and choose INCLUDE, PENDING or EXCLUDE in Human Operation Desktop.</t>
        </is>
      </c>
      <c r="F5" s="184" t="inlineStr">
        <is>
          <t>PENDING</t>
        </is>
      </c>
      <c r="G5" s="185" t="n"/>
      <c r="H5" s="206" t="n"/>
      <c r="I5" s="207" t="inlineStr">
        <is>
          <t>APPLIED</t>
        </is>
      </c>
      <c r="J5" s="183" t="inlineStr">
        <is>
          <t>Superseded by the current consolidated source task or resolved source state.</t>
        </is>
      </c>
      <c r="K5" s="188" t="inlineStr">
        <is>
          <t>https://lovdata.no/dokument/SF/forskrift/2022-06-11-1171</t>
        </is>
      </c>
      <c r="L5" s="188" t="inlineStr">
        <is>
          <t>https://lovdata.no/dokument/SF/forskrift/2022-06-11-1171</t>
        </is>
      </c>
      <c r="M5" t="inlineStr">
        <is>
          <t>HIGH</t>
        </is>
      </c>
      <c r="N5" t="inlineStr">
        <is>
          <t>MEDIUM</t>
        </is>
      </c>
      <c r="O5" t="inlineStr">
        <is>
          <t>HIGH</t>
        </is>
      </c>
      <c r="P5" t="inlineStr">
        <is>
          <t>HIGH</t>
        </is>
      </c>
      <c r="Q5" t="inlineStr">
        <is>
          <t>HIGH</t>
        </is>
      </c>
      <c r="R5" t="inlineStr">
        <is>
          <t>PENDING</t>
        </is>
      </c>
      <c r="T5" t="inlineStr">
        <is>
          <t>CURRENT</t>
        </is>
      </c>
      <c r="V5" t="inlineStr">
        <is>
          <t>Project-mentioned candidate. Include only for organic production or labelling scope.</t>
        </is>
      </c>
      <c r="X5" t="inlineStr">
        <is>
          <t>A_Public_Authority</t>
        </is>
      </c>
      <c r="Y5" t="inlineStr">
        <is>
          <t>Norwegian Government</t>
        </is>
      </c>
      <c r="Z5" t="inlineStr">
        <is>
          <t>Norway</t>
        </is>
      </c>
      <c r="AA5" t="inlineStr">
        <is>
          <t>Regulation</t>
        </is>
      </c>
      <c r="AB5" t="inlineStr">
        <is>
          <t>Public authority</t>
        </is>
      </c>
      <c r="AC5" t="inlineStr">
        <is>
          <t>Primary normative</t>
        </is>
      </c>
      <c r="AD5" t="inlineStr">
        <is>
          <t>Norwegian</t>
        </is>
      </c>
      <c r="AE5" t="inlineStr">
        <is>
          <t>html</t>
        </is>
      </c>
      <c r="AH5" t="inlineStr">
        <is>
          <t>Official regulation issued by Norwegian Government; included because it may impose binding requirements on an in-scope aquaculture asset, activity, permit or certification.</t>
        </is>
      </c>
      <c r="AI5" t="inlineStr">
        <is>
          <t>HIGH</t>
        </is>
      </c>
      <c r="AJ5" t="inlineStr">
        <is>
          <t>OFFICIAL_WEBSITE</t>
        </is>
      </c>
      <c r="AK5" t="inlineStr">
        <is>
          <t>OFFICIAL_ORIGINAL</t>
        </is>
      </c>
      <c r="AL5" t="inlineStr">
        <is>
          <t>ROLLING</t>
        </is>
      </c>
      <c r="AN5" t="inlineStr">
        <is>
          <t>REV-c0d0c6e81b4104ff</t>
        </is>
      </c>
      <c r="AO5" s="189" t="n"/>
      <c r="AP5" s="189" t="n">
        <v>46266.41396990741</v>
      </c>
      <c r="AQ5" s="189" t="n">
        <v>46265.41666666666</v>
      </c>
      <c r="AR5" t="inlineStr">
        <is>
          <t>{"action": "APPLY_FIELD_UPDATES", "issue_codes": ["SELECTION_PENDING"], "retry_after_apply": false, "review_fingerprint": "64364727049ba9c7", "source_fingerprint": "ed006914277b62cdf04c", "source_id": "PA006", "updates": {}}</t>
        </is>
      </c>
    </row>
    <row r="6" hidden="1" ht="38" customHeight="1" s="41">
      <c r="A6" s="190" t="inlineStr">
        <is>
          <t>PA008</t>
        </is>
      </c>
      <c r="B6" s="191" t="inlineStr">
        <is>
          <t>Water Framework Regulations</t>
        </is>
      </c>
      <c r="C6" s="191" t="inlineStr">
        <is>
          <t>SELECTION_REVIEW</t>
        </is>
      </c>
      <c r="D6" s="191" t="inlineStr">
        <is>
          <t>SELECTION_PENDING</t>
        </is>
      </c>
      <c r="E6" s="191" t="inlineStr">
        <is>
          <t>Review the human-governed source fields and choose INCLUDE, PENDING or EXCLUDE in Human Operation Desktop.</t>
        </is>
      </c>
      <c r="F6" s="184" t="inlineStr">
        <is>
          <t>PENDING</t>
        </is>
      </c>
      <c r="G6" s="185" t="n"/>
      <c r="H6" s="206" t="n"/>
      <c r="I6" s="207" t="inlineStr">
        <is>
          <t>APPLIED</t>
        </is>
      </c>
      <c r="J6" s="191" t="inlineStr">
        <is>
          <t>Superseded by the current consolidated source task or resolved source state.</t>
        </is>
      </c>
      <c r="K6" s="192" t="inlineStr">
        <is>
          <t>https://lovdata.no/dokument/SF/forskrift/2006-12-15-1446</t>
        </is>
      </c>
      <c r="L6" s="192" t="inlineStr">
        <is>
          <t>https://lovdata.no/dokument/SF/forskrift/2006-12-15-1446</t>
        </is>
      </c>
      <c r="M6" t="inlineStr">
        <is>
          <t>HIGH</t>
        </is>
      </c>
      <c r="N6" t="inlineStr">
        <is>
          <t>MEDIUM</t>
        </is>
      </c>
      <c r="O6" t="inlineStr">
        <is>
          <t>HIGH</t>
        </is>
      </c>
      <c r="P6" t="inlineStr">
        <is>
          <t>HIGH</t>
        </is>
      </c>
      <c r="Q6" t="inlineStr">
        <is>
          <t>HIGH</t>
        </is>
      </c>
      <c r="R6" t="inlineStr">
        <is>
          <t>PENDING</t>
        </is>
      </c>
      <c r="T6" t="inlineStr">
        <is>
          <t>CURRENT</t>
        </is>
      </c>
      <c r="V6" t="inlineStr">
        <is>
          <t>Project-mentioned candidate. Relevance depends on recipient and water-body assessment.</t>
        </is>
      </c>
      <c r="X6" t="inlineStr">
        <is>
          <t>A_Public_Authority</t>
        </is>
      </c>
      <c r="Y6" t="inlineStr">
        <is>
          <t>Norwegian Government</t>
        </is>
      </c>
      <c r="Z6" t="inlineStr">
        <is>
          <t>Norway</t>
        </is>
      </c>
      <c r="AA6" t="inlineStr">
        <is>
          <t>Regulation</t>
        </is>
      </c>
      <c r="AB6" t="inlineStr">
        <is>
          <t>Public authority</t>
        </is>
      </c>
      <c r="AC6" t="inlineStr">
        <is>
          <t>Referenced normative</t>
        </is>
      </c>
      <c r="AD6" t="inlineStr">
        <is>
          <t>Norwegian</t>
        </is>
      </c>
      <c r="AE6" t="inlineStr">
        <is>
          <t>html</t>
        </is>
      </c>
      <c r="AH6" t="inlineStr">
        <is>
          <t>Official referenced source from Norwegian Government; included because an applicable law, permit or certification scheme may make its provisions binding within the approved scope.</t>
        </is>
      </c>
      <c r="AI6" t="inlineStr">
        <is>
          <t>HIGH</t>
        </is>
      </c>
      <c r="AJ6" t="inlineStr">
        <is>
          <t>OFFICIAL_WEBSITE</t>
        </is>
      </c>
      <c r="AK6" t="inlineStr">
        <is>
          <t>OFFICIAL_ORIGINAL</t>
        </is>
      </c>
      <c r="AL6" t="inlineStr">
        <is>
          <t>ROLLING</t>
        </is>
      </c>
      <c r="AN6" t="inlineStr">
        <is>
          <t>REV-5a368d2a1657cd27</t>
        </is>
      </c>
      <c r="AO6" s="189" t="n"/>
      <c r="AP6" s="189" t="n">
        <v>46266.41396990741</v>
      </c>
      <c r="AQ6" s="189" t="n">
        <v>46265.41666666666</v>
      </c>
      <c r="AR6" t="inlineStr">
        <is>
          <t>{"action": "APPLY_FIELD_UPDATES", "issue_codes": ["SELECTION_PENDING"], "retry_after_apply": false, "review_fingerprint": "11215ea179c26b10", "source_fingerprint": "d78eb0d1e4bb9a342cfc", "source_id": "PA008", "updates": {}}</t>
        </is>
      </c>
    </row>
    <row r="7" hidden="1" ht="38" customHeight="1" s="41">
      <c r="A7" s="182" t="inlineStr">
        <is>
          <t>PA014</t>
        </is>
      </c>
      <c r="B7" s="183" t="inlineStr">
        <is>
          <t>Animal Health Personnel Act</t>
        </is>
      </c>
      <c r="C7" s="183" t="inlineStr">
        <is>
          <t>SELECTION_REVIEW</t>
        </is>
      </c>
      <c r="D7" s="183" t="inlineStr">
        <is>
          <t>SELECTION_PENDING</t>
        </is>
      </c>
      <c r="E7" s="183" t="inlineStr">
        <is>
          <t>Review the human-governed source fields and choose INCLUDE, PENDING or EXCLUDE in Human Operation Desktop.</t>
        </is>
      </c>
      <c r="F7" s="184" t="inlineStr">
        <is>
          <t>PENDING</t>
        </is>
      </c>
      <c r="G7" s="185" t="n"/>
      <c r="H7" s="206" t="n"/>
      <c r="I7" s="207" t="inlineStr">
        <is>
          <t>APPLIED</t>
        </is>
      </c>
      <c r="J7" s="183" t="inlineStr">
        <is>
          <t>Superseded by the current consolidated source task or resolved source state.</t>
        </is>
      </c>
      <c r="K7" s="188" t="inlineStr">
        <is>
          <t>https://lovdata.no/dokument/NL/lov/2001-06-15-75</t>
        </is>
      </c>
      <c r="L7" s="188" t="inlineStr">
        <is>
          <t>https://lovdata.no/dokument/NL/lov/2001-06-15-75</t>
        </is>
      </c>
      <c r="M7" t="inlineStr">
        <is>
          <t>HIGH</t>
        </is>
      </c>
      <c r="N7" t="inlineStr">
        <is>
          <t>MEDIUM</t>
        </is>
      </c>
      <c r="O7" t="inlineStr">
        <is>
          <t>HIGH</t>
        </is>
      </c>
      <c r="P7" t="inlineStr">
        <is>
          <t>HIGH</t>
        </is>
      </c>
      <c r="Q7" t="inlineStr">
        <is>
          <t>HIGH</t>
        </is>
      </c>
      <c r="R7" t="inlineStr">
        <is>
          <t>PENDING</t>
        </is>
      </c>
      <c r="T7" t="inlineStr">
        <is>
          <t>CURRENT</t>
        </is>
      </c>
      <c r="V7" t="inlineStr">
        <is>
          <t>Official expansion. Relevant where veterinarians or aquatic animal health personnel perform regulated tasks.</t>
        </is>
      </c>
      <c r="X7" t="inlineStr">
        <is>
          <t>A_Public_Authority</t>
        </is>
      </c>
      <c r="Y7" t="inlineStr">
        <is>
          <t>Norwegian Ministry of Agriculture and Food</t>
        </is>
      </c>
      <c r="Z7" t="inlineStr">
        <is>
          <t>Norway</t>
        </is>
      </c>
      <c r="AA7" t="inlineStr">
        <is>
          <t>Law</t>
        </is>
      </c>
      <c r="AB7" t="inlineStr">
        <is>
          <t>Public authority</t>
        </is>
      </c>
      <c r="AC7" t="inlineStr">
        <is>
          <t>Primary normative</t>
        </is>
      </c>
      <c r="AD7" t="inlineStr">
        <is>
          <t>Norwegian</t>
        </is>
      </c>
      <c r="AE7" t="inlineStr">
        <is>
          <t>html</t>
        </is>
      </c>
      <c r="AH7" t="inlineStr">
        <is>
          <t>Official law issued by Norwegian Ministry of Agriculture and Food; included because it may impose binding requirements on an in-scope aquaculture asset, activity, permit or certification.</t>
        </is>
      </c>
      <c r="AI7" t="inlineStr">
        <is>
          <t>HIGH</t>
        </is>
      </c>
      <c r="AJ7" t="inlineStr">
        <is>
          <t>OFFICIAL_WEBSITE</t>
        </is>
      </c>
      <c r="AK7" t="inlineStr">
        <is>
          <t>OFFICIAL_ORIGINAL</t>
        </is>
      </c>
      <c r="AL7" t="inlineStr">
        <is>
          <t>ROLLING</t>
        </is>
      </c>
      <c r="AN7" t="inlineStr">
        <is>
          <t>REV-62751c59a66c6a1d</t>
        </is>
      </c>
      <c r="AO7" s="189" t="n"/>
      <c r="AP7" s="189" t="n">
        <v>46266.41396990741</v>
      </c>
      <c r="AQ7" s="189" t="n">
        <v>46265.41666666666</v>
      </c>
      <c r="AR7" t="inlineStr">
        <is>
          <t>{"action": "APPLY_FIELD_UPDATES", "issue_codes": ["SELECTION_PENDING"], "retry_after_apply": false, "review_fingerprint": "afad6131b20484b3", "source_fingerprint": "2178f0dbfba51fe85739", "source_id": "PA014", "updates": {}}</t>
        </is>
      </c>
    </row>
    <row r="8" hidden="1" ht="38" customHeight="1" s="41">
      <c r="A8" s="190" t="inlineStr">
        <is>
          <t>PA018</t>
        </is>
      </c>
      <c r="B8" s="191" t="inlineStr">
        <is>
          <t>Ship Safety and Security Act</t>
        </is>
      </c>
      <c r="C8" s="191" t="inlineStr">
        <is>
          <t>SELECTION_REVIEW</t>
        </is>
      </c>
      <c r="D8" s="191" t="inlineStr">
        <is>
          <t>SELECTION_PENDING</t>
        </is>
      </c>
      <c r="E8" s="191" t="inlineStr">
        <is>
          <t>Review the human-governed source fields and choose INCLUDE, PENDING or EXCLUDE in Human Operation Desktop.</t>
        </is>
      </c>
      <c r="F8" s="184" t="inlineStr">
        <is>
          <t>PENDING</t>
        </is>
      </c>
      <c r="G8" s="185" t="n"/>
      <c r="H8" s="206" t="n"/>
      <c r="I8" s="207" t="inlineStr">
        <is>
          <t>APPLIED</t>
        </is>
      </c>
      <c r="J8" s="191" t="inlineStr">
        <is>
          <t>Superseded by the current consolidated source task or resolved source state.</t>
        </is>
      </c>
      <c r="K8" s="192" t="inlineStr">
        <is>
          <t>https://lovdata.no/dokument/NL/lov/2007-02-16-9</t>
        </is>
      </c>
      <c r="L8" s="192" t="inlineStr">
        <is>
          <t>https://lovdata.no/dokument/NL/lov/2007-02-16-9</t>
        </is>
      </c>
      <c r="M8" t="inlineStr">
        <is>
          <t>HIGH</t>
        </is>
      </c>
      <c r="N8" t="inlineStr">
        <is>
          <t>MEDIUM</t>
        </is>
      </c>
      <c r="O8" t="inlineStr">
        <is>
          <t>HIGH</t>
        </is>
      </c>
      <c r="P8" t="inlineStr">
        <is>
          <t>HIGH</t>
        </is>
      </c>
      <c r="Q8" t="inlineStr">
        <is>
          <t>HIGH</t>
        </is>
      </c>
      <c r="R8" t="inlineStr">
        <is>
          <t>PENDING</t>
        </is>
      </c>
      <c r="T8" t="inlineStr">
        <is>
          <t>CURRENT</t>
        </is>
      </c>
      <c r="V8" t="inlineStr">
        <is>
          <t>Official expansion. Conditional on vessels and maritime operations within client scope.</t>
        </is>
      </c>
      <c r="X8" t="inlineStr">
        <is>
          <t>A_Public_Authority</t>
        </is>
      </c>
      <c r="Y8" t="inlineStr">
        <is>
          <t>Norwegian Government</t>
        </is>
      </c>
      <c r="Z8" t="inlineStr">
        <is>
          <t>Norway</t>
        </is>
      </c>
      <c r="AA8" t="inlineStr">
        <is>
          <t>Law</t>
        </is>
      </c>
      <c r="AB8" t="inlineStr">
        <is>
          <t>Public authority</t>
        </is>
      </c>
      <c r="AC8" t="inlineStr">
        <is>
          <t>Primary normative</t>
        </is>
      </c>
      <c r="AD8" t="inlineStr">
        <is>
          <t>Norwegian</t>
        </is>
      </c>
      <c r="AE8" t="inlineStr">
        <is>
          <t>html</t>
        </is>
      </c>
      <c r="AH8" t="inlineStr">
        <is>
          <t>Official law issued by Norwegian Government; included because it may impose binding requirements on an in-scope aquaculture asset, activity, permit or certification.</t>
        </is>
      </c>
      <c r="AI8" t="inlineStr">
        <is>
          <t>HIGH</t>
        </is>
      </c>
      <c r="AJ8" t="inlineStr">
        <is>
          <t>OFFICIAL_WEBSITE</t>
        </is>
      </c>
      <c r="AK8" t="inlineStr">
        <is>
          <t>OFFICIAL_ORIGINAL</t>
        </is>
      </c>
      <c r="AL8" t="inlineStr">
        <is>
          <t>ROLLING</t>
        </is>
      </c>
      <c r="AN8" t="inlineStr">
        <is>
          <t>REV-af45076e6262b2a1</t>
        </is>
      </c>
      <c r="AO8" s="189" t="n"/>
      <c r="AP8" s="189" t="n">
        <v>46266.41396990741</v>
      </c>
      <c r="AQ8" s="189" t="n">
        <v>46265.41666666666</v>
      </c>
      <c r="AR8" t="inlineStr">
        <is>
          <t>{"action": "APPLY_FIELD_UPDATES", "issue_codes": ["SELECTION_PENDING"], "retry_after_apply": false, "review_fingerprint": "b525ac10ad083ce4", "source_fingerprint": "0d4353e153fca38772dd", "source_id": "PA018", "updates": {}}</t>
        </is>
      </c>
    </row>
    <row r="9" hidden="1" ht="38" customHeight="1" s="41">
      <c r="A9" s="182" t="inlineStr">
        <is>
          <t>PA019</t>
        </is>
      </c>
      <c r="B9" s="183" t="inlineStr">
        <is>
          <t>Regulation on transport of aquaculture animals</t>
        </is>
      </c>
      <c r="C9" s="183" t="inlineStr">
        <is>
          <t>SELECTION_REVIEW</t>
        </is>
      </c>
      <c r="D9" s="183" t="inlineStr">
        <is>
          <t>SELECTION_PENDING</t>
        </is>
      </c>
      <c r="E9" s="183" t="inlineStr">
        <is>
          <t>Review the human-governed source fields and choose INCLUDE, PENDING or EXCLUDE in Human Operation Desktop.</t>
        </is>
      </c>
      <c r="F9" s="184" t="inlineStr">
        <is>
          <t>PENDING</t>
        </is>
      </c>
      <c r="G9" s="185" t="n"/>
      <c r="H9" s="206" t="n"/>
      <c r="I9" s="207" t="inlineStr">
        <is>
          <t>APPLIED</t>
        </is>
      </c>
      <c r="J9" s="183" t="inlineStr">
        <is>
          <t>Superseded by the current consolidated source task or resolved source state.</t>
        </is>
      </c>
      <c r="K9" s="188" t="inlineStr">
        <is>
          <t>https://lovdata.no/dokument/SF/forskrift/2008-06-17-820</t>
        </is>
      </c>
      <c r="L9" s="188" t="inlineStr">
        <is>
          <t>https://lovdata.no/dokument/SF/forskrift/2008-06-17-820</t>
        </is>
      </c>
      <c r="M9" t="inlineStr">
        <is>
          <t>HIGH</t>
        </is>
      </c>
      <c r="N9" t="inlineStr">
        <is>
          <t>MEDIUM</t>
        </is>
      </c>
      <c r="O9" t="inlineStr">
        <is>
          <t>HIGH</t>
        </is>
      </c>
      <c r="P9" t="inlineStr">
        <is>
          <t>HIGH</t>
        </is>
      </c>
      <c r="Q9" t="inlineStr">
        <is>
          <t>HIGH</t>
        </is>
      </c>
      <c r="R9" t="inlineStr">
        <is>
          <t>PENDING</t>
        </is>
      </c>
      <c r="T9" t="inlineStr">
        <is>
          <t>CURRENT</t>
        </is>
      </c>
      <c r="V9" t="inlineStr">
        <is>
          <t>Official expansion from Mattilsynet. Conditional on live-animal transport activities.</t>
        </is>
      </c>
      <c r="X9" t="inlineStr">
        <is>
          <t>A_Public_Authority</t>
        </is>
      </c>
      <c r="Y9" t="inlineStr">
        <is>
          <t>Norwegian Government</t>
        </is>
      </c>
      <c r="Z9" t="inlineStr">
        <is>
          <t>Norway</t>
        </is>
      </c>
      <c r="AA9" t="inlineStr">
        <is>
          <t>Regulation</t>
        </is>
      </c>
      <c r="AB9" t="inlineStr">
        <is>
          <t>Public authority</t>
        </is>
      </c>
      <c r="AC9" t="inlineStr">
        <is>
          <t>Primary normative</t>
        </is>
      </c>
      <c r="AD9" t="inlineStr">
        <is>
          <t>Norwegian</t>
        </is>
      </c>
      <c r="AE9" t="inlineStr">
        <is>
          <t>html</t>
        </is>
      </c>
      <c r="AH9" t="inlineStr">
        <is>
          <t>Official regulation issued by Norwegian Government; included because it may impose binding requirements on an in-scope aquaculture asset, activity, permit or certification.</t>
        </is>
      </c>
      <c r="AI9" t="inlineStr">
        <is>
          <t>HIGH</t>
        </is>
      </c>
      <c r="AJ9" t="inlineStr">
        <is>
          <t>OFFICIAL_WEBSITE</t>
        </is>
      </c>
      <c r="AK9" t="inlineStr">
        <is>
          <t>OFFICIAL_ORIGINAL</t>
        </is>
      </c>
      <c r="AL9" t="inlineStr">
        <is>
          <t>ROLLING</t>
        </is>
      </c>
      <c r="AN9" t="inlineStr">
        <is>
          <t>REV-64b96f6ce11e0034</t>
        </is>
      </c>
      <c r="AO9" s="189" t="n"/>
      <c r="AP9" s="189" t="n">
        <v>46266.41396990741</v>
      </c>
      <c r="AQ9" s="189" t="n">
        <v>46265.41666666666</v>
      </c>
      <c r="AR9" t="inlineStr">
        <is>
          <t>{"action": "APPLY_FIELD_UPDATES", "issue_codes": ["SELECTION_PENDING"], "retry_after_apply": false, "review_fingerprint": "4fb758d3454f3940", "source_fingerprint": "2e3fef8b6d09ac93916f", "source_id": "PA019", "updates": {}}</t>
        </is>
      </c>
    </row>
    <row r="10" hidden="1" ht="38" customHeight="1" s="41">
      <c r="A10" s="190" t="inlineStr">
        <is>
          <t>PA020</t>
        </is>
      </c>
      <c r="B10" s="191" t="inlineStr">
        <is>
          <t>Regulation on slaughterhouses and processing facilities for aquaculture animals</t>
        </is>
      </c>
      <c r="C10" s="191" t="inlineStr">
        <is>
          <t>SELECTION_REVIEW</t>
        </is>
      </c>
      <c r="D10" s="191" t="inlineStr">
        <is>
          <t>SELECTION_PENDING</t>
        </is>
      </c>
      <c r="E10" s="191" t="inlineStr">
        <is>
          <t>Review the human-governed source fields and choose INCLUDE, PENDING or EXCLUDE in Human Operation Desktop.</t>
        </is>
      </c>
      <c r="F10" s="184" t="inlineStr">
        <is>
          <t>PENDING</t>
        </is>
      </c>
      <c r="G10" s="185" t="n"/>
      <c r="H10" s="206" t="n"/>
      <c r="I10" s="207" t="inlineStr">
        <is>
          <t>APPLIED</t>
        </is>
      </c>
      <c r="J10" s="191" t="inlineStr">
        <is>
          <t>Superseded by the current consolidated source task or resolved source state.</t>
        </is>
      </c>
      <c r="K10" s="192" t="inlineStr">
        <is>
          <t>https://lovdata.no/dokument/SF/forskrift/2006-10-30-1250</t>
        </is>
      </c>
      <c r="L10" s="192" t="inlineStr">
        <is>
          <t>https://lovdata.no/dokument/SF/forskrift/2006-10-30-1250</t>
        </is>
      </c>
      <c r="M10" t="inlineStr">
        <is>
          <t>HIGH</t>
        </is>
      </c>
      <c r="N10" t="inlineStr">
        <is>
          <t>MEDIUM</t>
        </is>
      </c>
      <c r="O10" t="inlineStr">
        <is>
          <t>HIGH</t>
        </is>
      </c>
      <c r="P10" t="inlineStr">
        <is>
          <t>HIGH</t>
        </is>
      </c>
      <c r="Q10" t="inlineStr">
        <is>
          <t>HIGH</t>
        </is>
      </c>
      <c r="R10" t="inlineStr">
        <is>
          <t>PENDING</t>
        </is>
      </c>
      <c r="T10" t="inlineStr">
        <is>
          <t>CURRENT</t>
        </is>
      </c>
      <c r="V10" t="inlineStr">
        <is>
          <t>Official expansion from Mattilsynet. Include only when slaughter or processing is in scope.</t>
        </is>
      </c>
      <c r="X10" t="inlineStr">
        <is>
          <t>A_Public_Authority</t>
        </is>
      </c>
      <c r="Y10" t="inlineStr">
        <is>
          <t>Norwegian Ministry of Trade, Industry and Fisheries</t>
        </is>
      </c>
      <c r="Z10" t="inlineStr">
        <is>
          <t>Norway</t>
        </is>
      </c>
      <c r="AA10" t="inlineStr">
        <is>
          <t>Regulation</t>
        </is>
      </c>
      <c r="AB10" t="inlineStr">
        <is>
          <t>Public authority</t>
        </is>
      </c>
      <c r="AC10" t="inlineStr">
        <is>
          <t>Primary normative</t>
        </is>
      </c>
      <c r="AD10" t="inlineStr">
        <is>
          <t>Norwegian</t>
        </is>
      </c>
      <c r="AE10" t="inlineStr">
        <is>
          <t>html</t>
        </is>
      </c>
      <c r="AH10" t="inlineStr">
        <is>
          <t>Official regulation issued by Norwegian Ministry of Trade, Industry and Fisheries; included because it may impose binding requirements on an in-scope aquaculture asset, activity, permit or certification.</t>
        </is>
      </c>
      <c r="AI10" t="inlineStr">
        <is>
          <t>HIGH</t>
        </is>
      </c>
      <c r="AJ10" t="inlineStr">
        <is>
          <t>OFFICIAL_WEBSITE</t>
        </is>
      </c>
      <c r="AK10" t="inlineStr">
        <is>
          <t>OFFICIAL_ORIGINAL</t>
        </is>
      </c>
      <c r="AL10" t="inlineStr">
        <is>
          <t>ROLLING</t>
        </is>
      </c>
      <c r="AN10" t="inlineStr">
        <is>
          <t>REV-8894a57f04ce2796</t>
        </is>
      </c>
      <c r="AO10" s="189" t="n"/>
      <c r="AP10" s="189" t="n">
        <v>46266.41396990741</v>
      </c>
      <c r="AQ10" s="189" t="n">
        <v>46265.41666666666</v>
      </c>
      <c r="AR10" t="inlineStr">
        <is>
          <t>{"action": "APPLY_FIELD_UPDATES", "issue_codes": ["SELECTION_PENDING"], "retry_after_apply": false, "review_fingerprint": "464511ec37ae5ab8", "source_fingerprint": "b195fa28ffbc2bc3fd0b", "source_id": "PA020", "updates": {}}</t>
        </is>
      </c>
    </row>
    <row r="11" hidden="1" ht="38" customHeight="1" s="41">
      <c r="A11" s="182" t="inlineStr">
        <is>
          <t>PA021</t>
        </is>
      </c>
      <c r="B11" s="183" t="inlineStr">
        <is>
          <t>Regulation on permits for aquaculture of salmon, trout and rainbow trout (Salmon Allocation Regulations)</t>
        </is>
      </c>
      <c r="C11" s="183" t="inlineStr">
        <is>
          <t>SELECTION_REVIEW</t>
        </is>
      </c>
      <c r="D11" s="183" t="inlineStr">
        <is>
          <t>SELECTION_PENDING</t>
        </is>
      </c>
      <c r="E11" s="183" t="inlineStr">
        <is>
          <t>Review the human-governed source fields and choose INCLUDE, PENDING or EXCLUDE in Human Operation Desktop.</t>
        </is>
      </c>
      <c r="F11" s="184" t="inlineStr">
        <is>
          <t>PENDING</t>
        </is>
      </c>
      <c r="G11" s="185" t="n"/>
      <c r="H11" s="206" t="n"/>
      <c r="I11" s="207" t="inlineStr">
        <is>
          <t>APPLIED</t>
        </is>
      </c>
      <c r="J11" s="183" t="inlineStr">
        <is>
          <t>Superseded by the current consolidated source task or resolved source state.</t>
        </is>
      </c>
      <c r="K11" s="188" t="inlineStr">
        <is>
          <t>https://lovdata.no/dokument/SF/forskrift/2022-11-07-1929</t>
        </is>
      </c>
      <c r="L11" s="188" t="inlineStr">
        <is>
          <t>https://lovdata.no/dokument/SF/forskrift/2022-11-07-1929</t>
        </is>
      </c>
      <c r="M11" t="inlineStr">
        <is>
          <t>HIGH</t>
        </is>
      </c>
      <c r="N11" t="inlineStr">
        <is>
          <t>MEDIUM</t>
        </is>
      </c>
      <c r="O11" t="inlineStr">
        <is>
          <t>HIGH</t>
        </is>
      </c>
      <c r="P11" t="inlineStr">
        <is>
          <t>HIGH</t>
        </is>
      </c>
      <c r="Q11" t="inlineStr">
        <is>
          <t>HIGH</t>
        </is>
      </c>
      <c r="R11" t="inlineStr">
        <is>
          <t>PENDING</t>
        </is>
      </c>
      <c r="T11" t="inlineStr">
        <is>
          <t>CURRENT</t>
        </is>
      </c>
      <c r="V11" t="inlineStr">
        <is>
          <t>Official expansion from Fiskeridirektoratet's aquaculture regulation index; conditional on species and permit type.</t>
        </is>
      </c>
      <c r="X11" t="inlineStr">
        <is>
          <t>A_Public_Authority</t>
        </is>
      </c>
      <c r="Y11" t="inlineStr">
        <is>
          <t>Norwegian Ministry of Trade, Industry and Fisheries</t>
        </is>
      </c>
      <c r="Z11" t="inlineStr">
        <is>
          <t>Norway</t>
        </is>
      </c>
      <c r="AA11" t="inlineStr">
        <is>
          <t>Regulation</t>
        </is>
      </c>
      <c r="AB11" t="inlineStr">
        <is>
          <t>Public authority</t>
        </is>
      </c>
      <c r="AC11" t="inlineStr">
        <is>
          <t>Primary normative</t>
        </is>
      </c>
      <c r="AD11" t="inlineStr">
        <is>
          <t>Norwegian</t>
        </is>
      </c>
      <c r="AE11" t="inlineStr">
        <is>
          <t>html</t>
        </is>
      </c>
      <c r="AH11" t="inlineStr">
        <is>
          <t>Official regulation issued by Norwegian Ministry of Trade, Industry and Fisheries; included because it may impose binding requirements on an in-scope aquaculture asset, activity, permit or certification.</t>
        </is>
      </c>
      <c r="AI11" t="inlineStr">
        <is>
          <t>HIGH</t>
        </is>
      </c>
      <c r="AJ11" t="inlineStr">
        <is>
          <t>OFFICIAL_WEBSITE</t>
        </is>
      </c>
      <c r="AK11" t="inlineStr">
        <is>
          <t>OFFICIAL_ORIGINAL</t>
        </is>
      </c>
      <c r="AL11" t="inlineStr">
        <is>
          <t>ROLLING</t>
        </is>
      </c>
      <c r="AN11" t="inlineStr">
        <is>
          <t>REV-5214575831eeb70e</t>
        </is>
      </c>
      <c r="AO11" s="189" t="n"/>
      <c r="AP11" s="189" t="n">
        <v>46266.41396990741</v>
      </c>
      <c r="AQ11" s="189" t="n">
        <v>46265.41666666666</v>
      </c>
      <c r="AR11" t="inlineStr">
        <is>
          <t>{"action": "APPLY_FIELD_UPDATES", "issue_codes": ["SELECTION_PENDING"], "retry_after_apply": false, "review_fingerprint": "a54937e050552d22", "source_fingerprint": "e7ea7c2cca720ae19f62", "source_id": "PA021", "updates": {}}</t>
        </is>
      </c>
    </row>
    <row r="12" hidden="1" ht="38" customHeight="1" s="41">
      <c r="A12" s="190" t="inlineStr">
        <is>
          <t>PA022</t>
        </is>
      </c>
      <c r="B12" s="191" t="inlineStr">
        <is>
          <t>Regulation on technical standards for land-based aquaculture facilities for fish</t>
        </is>
      </c>
      <c r="C12" s="191" t="inlineStr">
        <is>
          <t>SELECTION_REVIEW</t>
        </is>
      </c>
      <c r="D12" s="191" t="inlineStr">
        <is>
          <t>SELECTION_PENDING</t>
        </is>
      </c>
      <c r="E12" s="191" t="inlineStr">
        <is>
          <t>Review the human-governed source fields and choose INCLUDE, PENDING or EXCLUDE in Human Operation Desktop.</t>
        </is>
      </c>
      <c r="F12" s="184" t="inlineStr">
        <is>
          <t>PENDING</t>
        </is>
      </c>
      <c r="G12" s="185" t="n"/>
      <c r="H12" s="206" t="n"/>
      <c r="I12" s="207" t="inlineStr">
        <is>
          <t>APPLIED</t>
        </is>
      </c>
      <c r="J12" s="191" t="inlineStr">
        <is>
          <t>Superseded by the current consolidated source task or resolved source state.</t>
        </is>
      </c>
      <c r="K12" s="192" t="inlineStr">
        <is>
          <t>https://lovdata.no/dokument/SF/forskrift/2017-06-19-941</t>
        </is>
      </c>
      <c r="L12" s="192" t="inlineStr">
        <is>
          <t>https://lovdata.no/dokument/SF/forskrift/2017-06-19-941</t>
        </is>
      </c>
      <c r="M12" t="inlineStr">
        <is>
          <t>HIGH</t>
        </is>
      </c>
      <c r="N12" t="inlineStr">
        <is>
          <t>MEDIUM</t>
        </is>
      </c>
      <c r="O12" t="inlineStr">
        <is>
          <t>HIGH</t>
        </is>
      </c>
      <c r="P12" t="inlineStr">
        <is>
          <t>HIGH</t>
        </is>
      </c>
      <c r="Q12" t="inlineStr">
        <is>
          <t>HIGH</t>
        </is>
      </c>
      <c r="R12" t="inlineStr">
        <is>
          <t>PENDING</t>
        </is>
      </c>
      <c r="T12" t="inlineStr">
        <is>
          <t>CURRENT</t>
        </is>
      </c>
      <c r="V12" t="inlineStr">
        <is>
          <t>Official expansion. Include only for land-based facilities.</t>
        </is>
      </c>
      <c r="X12" t="inlineStr">
        <is>
          <t>A_Public_Authority</t>
        </is>
      </c>
      <c r="Y12" t="inlineStr">
        <is>
          <t>Norwegian Ministry of Trade, Industry and Fisheries</t>
        </is>
      </c>
      <c r="Z12" t="inlineStr">
        <is>
          <t>Norway</t>
        </is>
      </c>
      <c r="AA12" t="inlineStr">
        <is>
          <t>Regulation</t>
        </is>
      </c>
      <c r="AB12" t="inlineStr">
        <is>
          <t>Public authority</t>
        </is>
      </c>
      <c r="AC12" t="inlineStr">
        <is>
          <t>Primary normative</t>
        </is>
      </c>
      <c r="AD12" t="inlineStr">
        <is>
          <t>Norwegian</t>
        </is>
      </c>
      <c r="AE12" t="inlineStr">
        <is>
          <t>html</t>
        </is>
      </c>
      <c r="AH12" t="inlineStr">
        <is>
          <t>Official regulation issued by Norwegian Ministry of Trade, Industry and Fisheries; included because it may impose binding requirements on an in-scope aquaculture asset, activity, permit or certification.</t>
        </is>
      </c>
      <c r="AI12" t="inlineStr">
        <is>
          <t>HIGH</t>
        </is>
      </c>
      <c r="AJ12" t="inlineStr">
        <is>
          <t>OFFICIAL_WEBSITE</t>
        </is>
      </c>
      <c r="AK12" t="inlineStr">
        <is>
          <t>OFFICIAL_ORIGINAL</t>
        </is>
      </c>
      <c r="AL12" t="inlineStr">
        <is>
          <t>ROLLING</t>
        </is>
      </c>
      <c r="AN12" t="inlineStr">
        <is>
          <t>REV-ce7aaed511f69969</t>
        </is>
      </c>
      <c r="AO12" s="189" t="n"/>
      <c r="AP12" s="189" t="n">
        <v>46266.41396990741</v>
      </c>
      <c r="AQ12" s="189" t="n">
        <v>46265.41666666666</v>
      </c>
      <c r="AR12" t="inlineStr">
        <is>
          <t>{"action": "APPLY_FIELD_UPDATES", "issue_codes": ["SELECTION_PENDING"], "retry_after_apply": false, "review_fingerprint": "e95fc13cb3c7a606", "source_fingerprint": "00fd018ac8e880688a41", "source_id": "PA022", "updates": {}}</t>
        </is>
      </c>
    </row>
    <row r="13" hidden="1" ht="38" customHeight="1" s="41">
      <c r="A13" s="182" t="inlineStr">
        <is>
          <t>PA028</t>
        </is>
      </c>
      <c r="B13" s="183" t="inlineStr">
        <is>
          <t>Norwegian Aquaculture Register</t>
        </is>
      </c>
      <c r="C13" s="183" t="inlineStr">
        <is>
          <t>SELECTION_REVIEW</t>
        </is>
      </c>
      <c r="D13" s="183" t="inlineStr">
        <is>
          <t>SELECTION_PENDING</t>
        </is>
      </c>
      <c r="E13" s="183" t="inlineStr">
        <is>
          <t>Review the human-governed source fields and choose INCLUDE, PENDING or EXCLUDE in Human Operation Desktop.</t>
        </is>
      </c>
      <c r="F13" s="184" t="inlineStr">
        <is>
          <t>PENDING</t>
        </is>
      </c>
      <c r="G13" s="185" t="n"/>
      <c r="H13" s="206" t="n"/>
      <c r="I13" s="207" t="inlineStr">
        <is>
          <t>APPLIED</t>
        </is>
      </c>
      <c r="J13" s="183" t="inlineStr">
        <is>
          <t>Superseded by the current consolidated source task or resolved source state.</t>
        </is>
      </c>
      <c r="K13" s="188" t="inlineStr">
        <is>
          <t>https://www.fiskeridir.no/registre/akvakulturregisteret</t>
        </is>
      </c>
      <c r="L13" s="188" t="inlineStr">
        <is>
          <t>https://www.fiskeridir.no/registre/akvakulturregisteret</t>
        </is>
      </c>
      <c r="M13" t="inlineStr">
        <is>
          <t>HIGH</t>
        </is>
      </c>
      <c r="N13" t="inlineStr">
        <is>
          <t>MEDIUM</t>
        </is>
      </c>
      <c r="O13" t="inlineStr">
        <is>
          <t>HIGH</t>
        </is>
      </c>
      <c r="P13" t="inlineStr">
        <is>
          <t>HIGH</t>
        </is>
      </c>
      <c r="Q13" t="inlineStr">
        <is>
          <t>HIGH</t>
        </is>
      </c>
      <c r="R13" t="inlineStr">
        <is>
          <t>PENDING</t>
        </is>
      </c>
      <c r="T13" t="inlineStr">
        <is>
          <t>CURRENT</t>
        </is>
      </c>
      <c r="U13" t="inlineStr">
        <is>
          <t>PA032</t>
        </is>
      </c>
      <c r="V13" t="inlineStr">
        <is>
          <t>Official expansion. Applicability and site identity source, not a primary source of normative text.</t>
        </is>
      </c>
      <c r="X13" t="inlineStr">
        <is>
          <t>A_Public_Authority</t>
        </is>
      </c>
      <c r="Y13" t="inlineStr">
        <is>
          <t>Norwegian Directorate of Fisheries</t>
        </is>
      </c>
      <c r="Z13" t="inlineStr">
        <is>
          <t>Norway</t>
        </is>
      </c>
      <c r="AA13" t="inlineStr">
        <is>
          <t>Other</t>
        </is>
      </c>
      <c r="AB13" t="inlineStr">
        <is>
          <t>Public authority</t>
        </is>
      </c>
      <c r="AC13" t="inlineStr">
        <is>
          <t>Context / evidence</t>
        </is>
      </c>
      <c r="AD13" t="inlineStr">
        <is>
          <t>Norwegian</t>
        </is>
      </c>
      <c r="AE13" t="inlineStr">
        <is>
          <t>html</t>
        </is>
      </c>
      <c r="AH13" t="inlineStr">
        <is>
          <t>Official context source from Norwegian Directorate of Fisheries; included for applicability, site identity or source discovery, not for generating standalone requirements.</t>
        </is>
      </c>
      <c r="AI13" t="inlineStr">
        <is>
          <t>HIGH</t>
        </is>
      </c>
      <c r="AJ13" t="inlineStr">
        <is>
          <t>OFFICIAL_WEBSITE</t>
        </is>
      </c>
      <c r="AK13" t="inlineStr">
        <is>
          <t>OFFICIAL_ORIGINAL</t>
        </is>
      </c>
      <c r="AL13" t="inlineStr">
        <is>
          <t>ROLLING</t>
        </is>
      </c>
      <c r="AN13" t="inlineStr">
        <is>
          <t>REV-3073be5b0db89d79</t>
        </is>
      </c>
      <c r="AO13" s="189" t="n"/>
      <c r="AP13" s="189" t="n">
        <v>46266.41396990741</v>
      </c>
      <c r="AQ13" s="189" t="n">
        <v>46265.41666666666</v>
      </c>
      <c r="AR13" t="inlineStr">
        <is>
          <t>{"action": "APPLY_FIELD_UPDATES", "issue_codes": ["SELECTION_PENDING"], "retry_after_apply": false, "review_fingerprint": "6c26fe7eca8d65bc", "source_fingerprint": "22fc09ccd876b9a8644e", "source_id": "PA028", "updates": {}}</t>
        </is>
      </c>
    </row>
    <row r="14" hidden="1" ht="38" customHeight="1" s="41">
      <c r="A14" s="190" t="inlineStr">
        <is>
          <t>PA030</t>
        </is>
      </c>
      <c r="B14" s="191" t="inlineStr">
        <is>
          <t>Regulation on special requirements for aquaculture-related activities in or near national salmon rivers and fjords</t>
        </is>
      </c>
      <c r="C14" s="191" t="inlineStr">
        <is>
          <t>SELECTION_REVIEW</t>
        </is>
      </c>
      <c r="D14" s="191" t="inlineStr">
        <is>
          <t>SELECTION_PENDING</t>
        </is>
      </c>
      <c r="E14" s="191" t="inlineStr">
        <is>
          <t>Review the human-governed source fields and choose INCLUDE, PENDING or EXCLUDE in Human Operation Desktop.</t>
        </is>
      </c>
      <c r="F14" s="184" t="inlineStr">
        <is>
          <t>PENDING</t>
        </is>
      </c>
      <c r="G14" s="185" t="n"/>
      <c r="H14" s="206" t="n"/>
      <c r="I14" s="207" t="inlineStr">
        <is>
          <t>APPLIED</t>
        </is>
      </c>
      <c r="J14" s="191" t="inlineStr">
        <is>
          <t>Superseded by the current consolidated source task or resolved source state.</t>
        </is>
      </c>
      <c r="K14" s="192" t="inlineStr">
        <is>
          <t>https://lovdata.no/dokument/SF/forskrift/2009-06-22-961</t>
        </is>
      </c>
      <c r="L14" s="192" t="inlineStr">
        <is>
          <t>https://lovdata.no/dokument/SF/forskrift/2009-06-22-961</t>
        </is>
      </c>
      <c r="M14" t="inlineStr">
        <is>
          <t>HIGH</t>
        </is>
      </c>
      <c r="N14" t="inlineStr">
        <is>
          <t>MEDIUM</t>
        </is>
      </c>
      <c r="O14" t="inlineStr">
        <is>
          <t>HIGH</t>
        </is>
      </c>
      <c r="P14" t="inlineStr">
        <is>
          <t>HIGH</t>
        </is>
      </c>
      <c r="Q14" t="inlineStr">
        <is>
          <t>HIGH</t>
        </is>
      </c>
      <c r="R14" t="inlineStr">
        <is>
          <t>PENDING</t>
        </is>
      </c>
      <c r="T14" t="inlineStr">
        <is>
          <t>CURRENT</t>
        </is>
      </c>
      <c r="V14" t="inlineStr">
        <is>
          <t>Official expansion from the aquaculture regulation index. Site-specific applicability must be established.</t>
        </is>
      </c>
      <c r="X14" t="inlineStr">
        <is>
          <t>A_Public_Authority</t>
        </is>
      </c>
      <c r="Y14" t="inlineStr">
        <is>
          <t>Norwegian Ministry of Trade, Industry and Fisheries</t>
        </is>
      </c>
      <c r="Z14" t="inlineStr">
        <is>
          <t>Norway</t>
        </is>
      </c>
      <c r="AA14" t="inlineStr">
        <is>
          <t>Regulation</t>
        </is>
      </c>
      <c r="AB14" t="inlineStr">
        <is>
          <t>Public authority</t>
        </is>
      </c>
      <c r="AC14" t="inlineStr">
        <is>
          <t>Primary normative</t>
        </is>
      </c>
      <c r="AD14" t="inlineStr">
        <is>
          <t>Norwegian</t>
        </is>
      </c>
      <c r="AE14" t="inlineStr">
        <is>
          <t>html</t>
        </is>
      </c>
      <c r="AH14" t="inlineStr">
        <is>
          <t>Official regulation issued by Norwegian Ministry of Trade, Industry and Fisheries; included because it may impose binding requirements on an in-scope aquaculture asset, activity, permit or certification.</t>
        </is>
      </c>
      <c r="AI14" t="inlineStr">
        <is>
          <t>HIGH</t>
        </is>
      </c>
      <c r="AJ14" t="inlineStr">
        <is>
          <t>OFFICIAL_WEBSITE</t>
        </is>
      </c>
      <c r="AK14" t="inlineStr">
        <is>
          <t>OFFICIAL_ORIGINAL</t>
        </is>
      </c>
      <c r="AL14" t="inlineStr">
        <is>
          <t>ROLLING</t>
        </is>
      </c>
      <c r="AN14" t="inlineStr">
        <is>
          <t>REV-301ed53bf0adec93</t>
        </is>
      </c>
      <c r="AO14" s="189" t="n"/>
      <c r="AP14" s="189" t="n">
        <v>46266.41396990741</v>
      </c>
      <c r="AQ14" s="189" t="n">
        <v>46265.41666666666</v>
      </c>
      <c r="AR14" t="inlineStr">
        <is>
          <t>{"action": "APPLY_FIELD_UPDATES", "issue_codes": ["SELECTION_PENDING"], "retry_after_apply": false, "review_fingerprint": "6135e4d4ef5dee80", "source_fingerprint": "f8e5308311861676e1b6", "source_id": "PA030", "updates": {}}</t>
        </is>
      </c>
    </row>
    <row r="15" hidden="1" ht="38" customHeight="1" s="41">
      <c r="A15" s="182" t="inlineStr">
        <is>
          <t>PA033</t>
        </is>
      </c>
      <c r="B15" s="183" t="inlineStr">
        <is>
          <t>Regulation on catch-based aquaculture</t>
        </is>
      </c>
      <c r="C15" s="183" t="inlineStr">
        <is>
          <t>SELECTION_REVIEW</t>
        </is>
      </c>
      <c r="D15" s="183" t="inlineStr">
        <is>
          <t>SELECTION_PENDING</t>
        </is>
      </c>
      <c r="E15" s="183" t="inlineStr">
        <is>
          <t>Review the human-governed source fields and choose INCLUDE, PENDING or EXCLUDE in Human Operation Desktop.</t>
        </is>
      </c>
      <c r="F15" s="184" t="inlineStr">
        <is>
          <t>PENDING</t>
        </is>
      </c>
      <c r="G15" s="185" t="n"/>
      <c r="H15" s="206" t="n"/>
      <c r="I15" s="207" t="inlineStr">
        <is>
          <t>APPLIED</t>
        </is>
      </c>
      <c r="J15" s="183" t="inlineStr">
        <is>
          <t>Superseded by the current consolidated source task or resolved source state.</t>
        </is>
      </c>
      <c r="K15" s="188" t="inlineStr">
        <is>
          <t>https://lovdata.no/dokument/SF/forskrift/2014-12-15-1831</t>
        </is>
      </c>
      <c r="L15" s="188" t="inlineStr">
        <is>
          <t>https://lovdata.no/dokument/SF/forskrift/2014-12-15-1831</t>
        </is>
      </c>
      <c r="M15" t="inlineStr">
        <is>
          <t>HIGH</t>
        </is>
      </c>
      <c r="N15" t="inlineStr">
        <is>
          <t>MEDIUM</t>
        </is>
      </c>
      <c r="O15" t="inlineStr">
        <is>
          <t>HIGH</t>
        </is>
      </c>
      <c r="P15" t="inlineStr">
        <is>
          <t>HIGH</t>
        </is>
      </c>
      <c r="Q15" t="inlineStr">
        <is>
          <t>HIGH</t>
        </is>
      </c>
      <c r="R15" t="inlineStr">
        <is>
          <t>PENDING</t>
        </is>
      </c>
      <c r="T15" t="inlineStr">
        <is>
          <t>CURRENT</t>
        </is>
      </c>
      <c r="V15" t="inlineStr">
        <is>
          <t>Official coverage expansion from the aquaculture regulation index. Include only for catch-based aquaculture activities.</t>
        </is>
      </c>
      <c r="X15" t="inlineStr">
        <is>
          <t>A_Public_Authority</t>
        </is>
      </c>
      <c r="Y15" t="inlineStr">
        <is>
          <t>Norwegian Ministry of Trade, Industry and Fisheries</t>
        </is>
      </c>
      <c r="Z15" t="inlineStr">
        <is>
          <t>Norway</t>
        </is>
      </c>
      <c r="AA15" t="inlineStr">
        <is>
          <t>Regulation</t>
        </is>
      </c>
      <c r="AB15" t="inlineStr">
        <is>
          <t>Public authority</t>
        </is>
      </c>
      <c r="AC15" t="inlineStr">
        <is>
          <t>Primary normative</t>
        </is>
      </c>
      <c r="AD15" t="inlineStr">
        <is>
          <t>Norwegian</t>
        </is>
      </c>
      <c r="AE15" t="inlineStr">
        <is>
          <t>html</t>
        </is>
      </c>
      <c r="AH15" t="inlineStr">
        <is>
          <t>Official regulation issued by Norwegian Ministry of Trade, Industry and Fisheries; included because it may impose binding requirements on an in-scope aquaculture asset, activity, permit or certification.</t>
        </is>
      </c>
      <c r="AI15" t="inlineStr">
        <is>
          <t>HIGH</t>
        </is>
      </c>
      <c r="AJ15" t="inlineStr">
        <is>
          <t>OFFICIAL_WEBSITE</t>
        </is>
      </c>
      <c r="AK15" t="inlineStr">
        <is>
          <t>OFFICIAL_ORIGINAL</t>
        </is>
      </c>
      <c r="AL15" t="inlineStr">
        <is>
          <t>ROLLING</t>
        </is>
      </c>
      <c r="AN15" t="inlineStr">
        <is>
          <t>REV-16013a2add91919e</t>
        </is>
      </c>
      <c r="AO15" s="189" t="n"/>
      <c r="AP15" s="189" t="n">
        <v>46266.41396990741</v>
      </c>
      <c r="AQ15" s="189" t="n">
        <v>46265.41666666666</v>
      </c>
      <c r="AR15" t="inlineStr">
        <is>
          <t>{"action": "APPLY_FIELD_UPDATES", "issue_codes": ["SELECTION_PENDING"], "retry_after_apply": false, "review_fingerprint": "ea4022fbd355db2e", "source_fingerprint": "3738582123bed3d7ecdb", "source_id": "PA033", "updates": {}}</t>
        </is>
      </c>
    </row>
    <row r="16" hidden="1" ht="38" customHeight="1" s="41">
      <c r="A16" s="190" t="inlineStr">
        <is>
          <t>PA034</t>
        </is>
      </c>
      <c r="B16" s="191" t="inlineStr">
        <is>
          <t>Regulation on coordination and time limits for processing aquaculture applications</t>
        </is>
      </c>
      <c r="C16" s="191" t="inlineStr">
        <is>
          <t>SELECTION_REVIEW</t>
        </is>
      </c>
      <c r="D16" s="191" t="inlineStr">
        <is>
          <t>SELECTION_PENDING</t>
        </is>
      </c>
      <c r="E16" s="191" t="inlineStr">
        <is>
          <t>Review the human-governed source fields and choose INCLUDE, PENDING or EXCLUDE in Human Operation Desktop.</t>
        </is>
      </c>
      <c r="F16" s="184" t="inlineStr">
        <is>
          <t>PENDING</t>
        </is>
      </c>
      <c r="G16" s="185" t="n"/>
      <c r="H16" s="206" t="n"/>
      <c r="I16" s="207" t="inlineStr">
        <is>
          <t>APPLIED</t>
        </is>
      </c>
      <c r="J16" s="191" t="inlineStr">
        <is>
          <t>Superseded by the current consolidated source task or resolved source state.</t>
        </is>
      </c>
      <c r="K16" s="192" t="inlineStr">
        <is>
          <t>https://lovdata.no/dokument/SF/forskrift/2010-05-18-708</t>
        </is>
      </c>
      <c r="L16" s="192" t="inlineStr">
        <is>
          <t>https://lovdata.no/dokument/SF/forskrift/2010-05-18-708</t>
        </is>
      </c>
      <c r="M16" t="inlineStr">
        <is>
          <t>HIGH</t>
        </is>
      </c>
      <c r="N16" t="inlineStr">
        <is>
          <t>MEDIUM</t>
        </is>
      </c>
      <c r="O16" t="inlineStr">
        <is>
          <t>HIGH</t>
        </is>
      </c>
      <c r="P16" t="inlineStr">
        <is>
          <t>HIGH</t>
        </is>
      </c>
      <c r="Q16" t="inlineStr">
        <is>
          <t>HIGH</t>
        </is>
      </c>
      <c r="R16" t="inlineStr">
        <is>
          <t>PENDING</t>
        </is>
      </c>
      <c r="T16" t="inlineStr">
        <is>
          <t>CURRENT</t>
        </is>
      </c>
      <c r="V16" t="inlineStr">
        <is>
          <t>Official coverage expansion. Relevant to permitting workflow rather than routine operational controls.</t>
        </is>
      </c>
      <c r="X16" t="inlineStr">
        <is>
          <t>A_Public_Authority</t>
        </is>
      </c>
      <c r="Y16" t="inlineStr">
        <is>
          <t>Norwegian Ministry of Trade, Industry and Fisheries</t>
        </is>
      </c>
      <c r="Z16" t="inlineStr">
        <is>
          <t>Norway</t>
        </is>
      </c>
      <c r="AA16" t="inlineStr">
        <is>
          <t>Regulation</t>
        </is>
      </c>
      <c r="AB16" t="inlineStr">
        <is>
          <t>Public authority</t>
        </is>
      </c>
      <c r="AC16" t="inlineStr">
        <is>
          <t>Referenced normative</t>
        </is>
      </c>
      <c r="AD16" t="inlineStr">
        <is>
          <t>Norwegian</t>
        </is>
      </c>
      <c r="AE16" t="inlineStr">
        <is>
          <t>html</t>
        </is>
      </c>
      <c r="AH16" t="inlineStr">
        <is>
          <t>Official referenced source from Norwegian Ministry of Trade, Industry and Fisheries; included because an applicable law, permit or certification scheme may make its provisions binding within the approved scope.</t>
        </is>
      </c>
      <c r="AI16" t="inlineStr">
        <is>
          <t>HIGH</t>
        </is>
      </c>
      <c r="AJ16" t="inlineStr">
        <is>
          <t>OFFICIAL_WEBSITE</t>
        </is>
      </c>
      <c r="AK16" t="inlineStr">
        <is>
          <t>OFFICIAL_ORIGINAL</t>
        </is>
      </c>
      <c r="AL16" t="inlineStr">
        <is>
          <t>ROLLING</t>
        </is>
      </c>
      <c r="AN16" t="inlineStr">
        <is>
          <t>REV-fbbd147b79c87105</t>
        </is>
      </c>
      <c r="AO16" s="189" t="n"/>
      <c r="AP16" s="189" t="n">
        <v>46266.41396990741</v>
      </c>
      <c r="AQ16" s="189" t="n">
        <v>46265.41666666666</v>
      </c>
      <c r="AR16" t="inlineStr">
        <is>
          <t>{"action": "APPLY_FIELD_UPDATES", "issue_codes": ["SELECTION_PENDING"], "retry_after_apply": false, "review_fingerprint": "b5cc2e7fce068903", "source_fingerprint": "896ae3f3720272896809", "source_id": "PA034", "updates": {}}</t>
        </is>
      </c>
    </row>
    <row r="17" hidden="1" ht="38" customHeight="1" s="41">
      <c r="A17" s="182" t="inlineStr">
        <is>
          <t>PA035</t>
        </is>
      </c>
      <c r="B17" s="183" t="inlineStr">
        <is>
          <t>Regulation on reactions for violations of the Aquaculture Act</t>
        </is>
      </c>
      <c r="C17" s="183" t="inlineStr">
        <is>
          <t>SELECTION_REVIEW</t>
        </is>
      </c>
      <c r="D17" s="183" t="inlineStr">
        <is>
          <t>SELECTION_PENDING</t>
        </is>
      </c>
      <c r="E17" s="183" t="inlineStr">
        <is>
          <t>Review the human-governed source fields and choose INCLUDE, PENDING or EXCLUDE in Human Operation Desktop.</t>
        </is>
      </c>
      <c r="F17" s="184" t="inlineStr">
        <is>
          <t>PENDING</t>
        </is>
      </c>
      <c r="G17" s="185" t="n"/>
      <c r="H17" s="206" t="n"/>
      <c r="I17" s="207" t="inlineStr">
        <is>
          <t>APPLIED</t>
        </is>
      </c>
      <c r="J17" s="183" t="inlineStr">
        <is>
          <t>Superseded by the current consolidated source task or resolved source state.</t>
        </is>
      </c>
      <c r="K17" s="188" t="inlineStr">
        <is>
          <t>https://lovdata.no/dokument/SF/forskrift/2013-12-20-1675</t>
        </is>
      </c>
      <c r="L17" s="188" t="inlineStr">
        <is>
          <t>https://lovdata.no/dokument/SF/forskrift/2013-12-20-1675</t>
        </is>
      </c>
      <c r="M17" t="inlineStr">
        <is>
          <t>HIGH</t>
        </is>
      </c>
      <c r="N17" t="inlineStr">
        <is>
          <t>MEDIUM</t>
        </is>
      </c>
      <c r="O17" t="inlineStr">
        <is>
          <t>HIGH</t>
        </is>
      </c>
      <c r="P17" t="inlineStr">
        <is>
          <t>HIGH</t>
        </is>
      </c>
      <c r="Q17" t="inlineStr">
        <is>
          <t>HIGH</t>
        </is>
      </c>
      <c r="R17" t="inlineStr">
        <is>
          <t>PENDING</t>
        </is>
      </c>
      <c r="T17" t="inlineStr">
        <is>
          <t>CURRENT</t>
        </is>
      </c>
      <c r="V17" t="inlineStr">
        <is>
          <t>Official coverage expansion. Supports enforcement and consequence mapping; it is not normally the source of the underlying operational duty.</t>
        </is>
      </c>
      <c r="X17" t="inlineStr">
        <is>
          <t>A_Public_Authority</t>
        </is>
      </c>
      <c r="Y17" t="inlineStr">
        <is>
          <t>Norwegian Ministry of Trade, Industry and Fisheries</t>
        </is>
      </c>
      <c r="Z17" t="inlineStr">
        <is>
          <t>Norway</t>
        </is>
      </c>
      <c r="AA17" t="inlineStr">
        <is>
          <t>Regulation</t>
        </is>
      </c>
      <c r="AB17" t="inlineStr">
        <is>
          <t>Public authority</t>
        </is>
      </c>
      <c r="AC17" t="inlineStr">
        <is>
          <t>Referenced normative</t>
        </is>
      </c>
      <c r="AD17" t="inlineStr">
        <is>
          <t>Norwegian</t>
        </is>
      </c>
      <c r="AE17" t="inlineStr">
        <is>
          <t>html</t>
        </is>
      </c>
      <c r="AH17" t="inlineStr">
        <is>
          <t>Official referenced source from Norwegian Ministry of Trade, Industry and Fisheries; included because an applicable law, permit or certification scheme may make its provisions binding within the approved scope.</t>
        </is>
      </c>
      <c r="AI17" t="inlineStr">
        <is>
          <t>HIGH</t>
        </is>
      </c>
      <c r="AJ17" t="inlineStr">
        <is>
          <t>OFFICIAL_WEBSITE</t>
        </is>
      </c>
      <c r="AK17" t="inlineStr">
        <is>
          <t>OFFICIAL_ORIGINAL</t>
        </is>
      </c>
      <c r="AL17" t="inlineStr">
        <is>
          <t>ROLLING</t>
        </is>
      </c>
      <c r="AN17" t="inlineStr">
        <is>
          <t>REV-f54a8f5c53ce4fe7</t>
        </is>
      </c>
      <c r="AO17" s="189" t="n"/>
      <c r="AP17" s="189" t="n">
        <v>46266.41396990741</v>
      </c>
      <c r="AQ17" s="189" t="n">
        <v>46265.41666666666</v>
      </c>
      <c r="AR17" t="inlineStr">
        <is>
          <t>{"action": "APPLY_FIELD_UPDATES", "issue_codes": ["SELECTION_PENDING"], "retry_after_apply": false, "review_fingerprint": "1ba3332bbb479513", "source_fingerprint": "e8afd00bec99d1053812", "source_id": "PA035", "updates": {}}</t>
        </is>
      </c>
    </row>
    <row r="18" hidden="1" ht="38" customHeight="1" s="41">
      <c r="A18" s="190" t="inlineStr">
        <is>
          <t>PA036</t>
        </is>
      </c>
      <c r="B18" s="191" t="inlineStr">
        <is>
          <t>Regulation on permits for aquaculture of species other than salmon, trout and rainbow trout</t>
        </is>
      </c>
      <c r="C18" s="191" t="inlineStr">
        <is>
          <t>SELECTION_REVIEW</t>
        </is>
      </c>
      <c r="D18" s="191" t="inlineStr">
        <is>
          <t>SELECTION_PENDING</t>
        </is>
      </c>
      <c r="E18" s="191" t="inlineStr">
        <is>
          <t>Review the human-governed source fields and choose INCLUDE, PENDING or EXCLUDE in Human Operation Desktop.</t>
        </is>
      </c>
      <c r="F18" s="184" t="inlineStr">
        <is>
          <t>PENDING</t>
        </is>
      </c>
      <c r="G18" s="185" t="n"/>
      <c r="H18" s="206" t="n"/>
      <c r="I18" s="207" t="inlineStr">
        <is>
          <t>APPLIED</t>
        </is>
      </c>
      <c r="J18" s="191" t="inlineStr">
        <is>
          <t>Superseded by the current consolidated source task or resolved source state.</t>
        </is>
      </c>
      <c r="K18" s="192" t="inlineStr">
        <is>
          <t>https://lovdata.no/dokument/SF/forskrift/2004-12-22-1799</t>
        </is>
      </c>
      <c r="L18" s="192" t="inlineStr">
        <is>
          <t>https://lovdata.no/dokument/SF/forskrift/2004-12-22-1799</t>
        </is>
      </c>
      <c r="M18" t="inlineStr">
        <is>
          <t>HIGH</t>
        </is>
      </c>
      <c r="N18" t="inlineStr">
        <is>
          <t>MEDIUM</t>
        </is>
      </c>
      <c r="O18" t="inlineStr">
        <is>
          <t>HIGH</t>
        </is>
      </c>
      <c r="P18" t="inlineStr">
        <is>
          <t>HIGH</t>
        </is>
      </c>
      <c r="Q18" t="inlineStr">
        <is>
          <t>HIGH</t>
        </is>
      </c>
      <c r="R18" t="inlineStr">
        <is>
          <t>PENDING</t>
        </is>
      </c>
      <c r="T18" t="inlineStr">
        <is>
          <t>CURRENT</t>
        </is>
      </c>
      <c r="V18" t="inlineStr">
        <is>
          <t>Official coverage expansion. Include only when other species are within the approved scope.</t>
        </is>
      </c>
      <c r="X18" t="inlineStr">
        <is>
          <t>A_Public_Authority</t>
        </is>
      </c>
      <c r="Y18" t="inlineStr">
        <is>
          <t>Norwegian Ministry of Trade, Industry and Fisheries</t>
        </is>
      </c>
      <c r="Z18" t="inlineStr">
        <is>
          <t>Norway</t>
        </is>
      </c>
      <c r="AA18" t="inlineStr">
        <is>
          <t>Regulation</t>
        </is>
      </c>
      <c r="AB18" t="inlineStr">
        <is>
          <t>Public authority</t>
        </is>
      </c>
      <c r="AC18" t="inlineStr">
        <is>
          <t>Primary normative</t>
        </is>
      </c>
      <c r="AD18" t="inlineStr">
        <is>
          <t>Norwegian</t>
        </is>
      </c>
      <c r="AE18" t="inlineStr">
        <is>
          <t>html</t>
        </is>
      </c>
      <c r="AH18" t="inlineStr">
        <is>
          <t>Official regulation issued by Norwegian Ministry of Trade, Industry and Fisheries; included because it may impose binding requirements on an in-scope aquaculture asset, activity, permit or certification.</t>
        </is>
      </c>
      <c r="AI18" t="inlineStr">
        <is>
          <t>HIGH</t>
        </is>
      </c>
      <c r="AJ18" t="inlineStr">
        <is>
          <t>OFFICIAL_WEBSITE</t>
        </is>
      </c>
      <c r="AK18" t="inlineStr">
        <is>
          <t>OFFICIAL_ORIGINAL</t>
        </is>
      </c>
      <c r="AL18" t="inlineStr">
        <is>
          <t>ROLLING</t>
        </is>
      </c>
      <c r="AN18" t="inlineStr">
        <is>
          <t>REV-8872582ab90c10ad</t>
        </is>
      </c>
      <c r="AO18" s="189" t="n"/>
      <c r="AP18" s="189" t="n">
        <v>46266.41396990741</v>
      </c>
      <c r="AQ18" s="189" t="n">
        <v>46265.41666666666</v>
      </c>
      <c r="AR18" t="inlineStr">
        <is>
          <t>{"action": "APPLY_FIELD_UPDATES", "issue_codes": ["SELECTION_PENDING"], "retry_after_apply": false, "review_fingerprint": "0419ea92c35358c8", "source_fingerprint": "55086e07ededd38cbf63", "source_id": "PA036", "updates": {}}</t>
        </is>
      </c>
    </row>
    <row r="19" hidden="1" ht="38" customHeight="1" s="41">
      <c r="A19" s="182" t="inlineStr">
        <is>
          <t>PA037</t>
        </is>
      </c>
      <c r="B19" s="183" t="inlineStr">
        <is>
          <t>Regulation on fees and charges relating to aquaculture activities</t>
        </is>
      </c>
      <c r="C19" s="183" t="inlineStr">
        <is>
          <t>SELECTION_REVIEW</t>
        </is>
      </c>
      <c r="D19" s="183" t="inlineStr">
        <is>
          <t>SELECTION_PENDING</t>
        </is>
      </c>
      <c r="E19" s="183" t="inlineStr">
        <is>
          <t>Review the human-governed source fields and choose INCLUDE, PENDING or EXCLUDE in Human Operation Desktop.</t>
        </is>
      </c>
      <c r="F19" s="184" t="inlineStr">
        <is>
          <t>PENDING</t>
        </is>
      </c>
      <c r="G19" s="185" t="n"/>
      <c r="H19" s="206" t="n"/>
      <c r="I19" s="207" t="inlineStr">
        <is>
          <t>APPLIED</t>
        </is>
      </c>
      <c r="J19" s="183" t="inlineStr">
        <is>
          <t>Superseded by the current consolidated source task or resolved source state.</t>
        </is>
      </c>
      <c r="K19" s="188" t="inlineStr">
        <is>
          <t>https://lovdata.no/dokument/SF/forskrift/2001-12-21-1597</t>
        </is>
      </c>
      <c r="L19" s="188" t="inlineStr">
        <is>
          <t>https://lovdata.no/dokument/SF/forskrift/2001-12-21-1597</t>
        </is>
      </c>
      <c r="M19" t="inlineStr">
        <is>
          <t>HIGH</t>
        </is>
      </c>
      <c r="N19" t="inlineStr">
        <is>
          <t>MEDIUM</t>
        </is>
      </c>
      <c r="O19" t="inlineStr">
        <is>
          <t>HIGH</t>
        </is>
      </c>
      <c r="P19" t="inlineStr">
        <is>
          <t>HIGH</t>
        </is>
      </c>
      <c r="Q19" t="inlineStr">
        <is>
          <t>HIGH</t>
        </is>
      </c>
      <c r="R19" t="inlineStr">
        <is>
          <t>PENDING</t>
        </is>
      </c>
      <c r="T19" t="inlineStr">
        <is>
          <t>CURRENT</t>
        </is>
      </c>
      <c r="V19" t="inlineStr">
        <is>
          <t>Official coverage expansion. Administrative and financial relevance depends on the permit or application process.</t>
        </is>
      </c>
      <c r="X19" t="inlineStr">
        <is>
          <t>A_Public_Authority</t>
        </is>
      </c>
      <c r="Y19" t="inlineStr">
        <is>
          <t>Norwegian Ministry of Trade, Industry and Fisheries</t>
        </is>
      </c>
      <c r="Z19" t="inlineStr">
        <is>
          <t>Norway</t>
        </is>
      </c>
      <c r="AA19" t="inlineStr">
        <is>
          <t>Regulation</t>
        </is>
      </c>
      <c r="AB19" t="inlineStr">
        <is>
          <t>Public authority</t>
        </is>
      </c>
      <c r="AC19" t="inlineStr">
        <is>
          <t>Referenced normative</t>
        </is>
      </c>
      <c r="AD19" t="inlineStr">
        <is>
          <t>Norwegian</t>
        </is>
      </c>
      <c r="AE19" t="inlineStr">
        <is>
          <t>html</t>
        </is>
      </c>
      <c r="AH19" t="inlineStr">
        <is>
          <t>Official referenced source from Norwegian Ministry of Trade, Industry and Fisheries; included because an applicable law, permit or certification scheme may make its provisions binding within the approved scope.</t>
        </is>
      </c>
      <c r="AI19" t="inlineStr">
        <is>
          <t>HIGH</t>
        </is>
      </c>
      <c r="AJ19" t="inlineStr">
        <is>
          <t>OFFICIAL_WEBSITE</t>
        </is>
      </c>
      <c r="AK19" t="inlineStr">
        <is>
          <t>OFFICIAL_ORIGINAL</t>
        </is>
      </c>
      <c r="AL19" t="inlineStr">
        <is>
          <t>ROLLING</t>
        </is>
      </c>
      <c r="AN19" t="inlineStr">
        <is>
          <t>REV-ddd02e0d3f82138e</t>
        </is>
      </c>
      <c r="AO19" s="189" t="n"/>
      <c r="AP19" s="189" t="n">
        <v>46266.41396990741</v>
      </c>
      <c r="AQ19" s="189" t="n">
        <v>46265.41666666666</v>
      </c>
      <c r="AR19" t="inlineStr">
        <is>
          <t>{"action": "APPLY_FIELD_UPDATES", "issue_codes": ["SELECTION_PENDING"], "retry_after_apply": false, "review_fingerprint": "24b48946a8f92449", "source_fingerprint": "baba6ea809c6be64cba6", "source_id": "PA037", "updates": {}}</t>
        </is>
      </c>
    </row>
    <row r="20" hidden="1" ht="38" customHeight="1" s="41">
      <c r="A20" s="190" t="inlineStr">
        <is>
          <t>PA038</t>
        </is>
      </c>
      <c r="B20" s="191" t="inlineStr">
        <is>
          <t>Regulation on sea ranching</t>
        </is>
      </c>
      <c r="C20" s="191" t="inlineStr">
        <is>
          <t>SELECTION_REVIEW</t>
        </is>
      </c>
      <c r="D20" s="191" t="inlineStr">
        <is>
          <t>SELECTION_PENDING</t>
        </is>
      </c>
      <c r="E20" s="191" t="inlineStr">
        <is>
          <t>Review the human-governed source fields and choose INCLUDE, PENDING or EXCLUDE in Human Operation Desktop.</t>
        </is>
      </c>
      <c r="F20" s="184" t="inlineStr">
        <is>
          <t>PENDING</t>
        </is>
      </c>
      <c r="G20" s="185" t="n"/>
      <c r="H20" s="206" t="n"/>
      <c r="I20" s="207" t="inlineStr">
        <is>
          <t>APPLIED</t>
        </is>
      </c>
      <c r="J20" s="191" t="inlineStr">
        <is>
          <t>Superseded by the current consolidated source task or resolved source state.</t>
        </is>
      </c>
      <c r="K20" s="192" t="inlineStr">
        <is>
          <t>https://lovdata.no/dokument/SF/forskrift/2003-08-28-1110</t>
        </is>
      </c>
      <c r="L20" s="192" t="inlineStr">
        <is>
          <t>https://lovdata.no/dokument/SF/forskrift/2003-08-28-1110</t>
        </is>
      </c>
      <c r="M20" t="inlineStr">
        <is>
          <t>HIGH</t>
        </is>
      </c>
      <c r="N20" t="inlineStr">
        <is>
          <t>MEDIUM</t>
        </is>
      </c>
      <c r="O20" t="inlineStr">
        <is>
          <t>HIGH</t>
        </is>
      </c>
      <c r="P20" t="inlineStr">
        <is>
          <t>HIGH</t>
        </is>
      </c>
      <c r="Q20" t="inlineStr">
        <is>
          <t>HIGH</t>
        </is>
      </c>
      <c r="R20" t="inlineStr">
        <is>
          <t>PENDING</t>
        </is>
      </c>
      <c r="T20" t="inlineStr">
        <is>
          <t>CURRENT</t>
        </is>
      </c>
      <c r="V20" t="inlineStr">
        <is>
          <t>Official coverage expansion. Include only for sea-ranching operations.</t>
        </is>
      </c>
      <c r="X20" t="inlineStr">
        <is>
          <t>A_Public_Authority</t>
        </is>
      </c>
      <c r="Y20" t="inlineStr">
        <is>
          <t>Norwegian Ministry of Trade, Industry and Fisheries</t>
        </is>
      </c>
      <c r="Z20" t="inlineStr">
        <is>
          <t>Norway</t>
        </is>
      </c>
      <c r="AA20" t="inlineStr">
        <is>
          <t>Regulation</t>
        </is>
      </c>
      <c r="AB20" t="inlineStr">
        <is>
          <t>Public authority</t>
        </is>
      </c>
      <c r="AC20" t="inlineStr">
        <is>
          <t>Primary normative</t>
        </is>
      </c>
      <c r="AD20" t="inlineStr">
        <is>
          <t>Norwegian</t>
        </is>
      </c>
      <c r="AE20" t="inlineStr">
        <is>
          <t>html</t>
        </is>
      </c>
      <c r="AH20" t="inlineStr">
        <is>
          <t>Official regulation issued by Norwegian Ministry of Trade, Industry and Fisheries; included because it may impose binding requirements on an in-scope aquaculture asset, activity, permit or certification.</t>
        </is>
      </c>
      <c r="AI20" t="inlineStr">
        <is>
          <t>HIGH</t>
        </is>
      </c>
      <c r="AJ20" t="inlineStr">
        <is>
          <t>OFFICIAL_WEBSITE</t>
        </is>
      </c>
      <c r="AK20" t="inlineStr">
        <is>
          <t>OFFICIAL_ORIGINAL</t>
        </is>
      </c>
      <c r="AL20" t="inlineStr">
        <is>
          <t>ROLLING</t>
        </is>
      </c>
      <c r="AN20" t="inlineStr">
        <is>
          <t>REV-a73de1b0ec41d41a</t>
        </is>
      </c>
      <c r="AO20" s="189" t="n"/>
      <c r="AP20" s="189" t="n">
        <v>46266.41396990741</v>
      </c>
      <c r="AQ20" s="189" t="n">
        <v>46265.41666666666</v>
      </c>
      <c r="AR20" t="inlineStr">
        <is>
          <t>{"action": "APPLY_FIELD_UPDATES", "issue_codes": ["SELECTION_PENDING"], "retry_after_apply": false, "review_fingerprint": "b05c260bf1ddf27b", "source_fingerprint": "b092eb13f773c2f57e52", "source_id": "PA038", "updates": {}}</t>
        </is>
      </c>
    </row>
    <row r="21" hidden="1" ht="38" customHeight="1" s="41">
      <c r="A21" s="182" t="inlineStr">
        <is>
          <t>PA049</t>
        </is>
      </c>
      <c r="B21" s="183" t="inlineStr">
        <is>
          <t>Regulation on working environment, safety and health for persons working on board ships</t>
        </is>
      </c>
      <c r="C21" s="183" t="inlineStr">
        <is>
          <t>SELECTION_REVIEW</t>
        </is>
      </c>
      <c r="D21" s="183" t="inlineStr">
        <is>
          <t>SELECTION_PENDING</t>
        </is>
      </c>
      <c r="E21" s="183" t="inlineStr">
        <is>
          <t>Review the human-governed source fields and choose INCLUDE, PENDING or EXCLUDE in Human Operation Desktop.</t>
        </is>
      </c>
      <c r="F21" s="184" t="inlineStr">
        <is>
          <t>PENDING</t>
        </is>
      </c>
      <c r="G21" s="185" t="n"/>
      <c r="H21" s="206" t="n"/>
      <c r="I21" s="207" t="inlineStr">
        <is>
          <t>APPLIED</t>
        </is>
      </c>
      <c r="J21" s="183" t="inlineStr">
        <is>
          <t>Superseded by the current consolidated source task or resolved source state.</t>
        </is>
      </c>
      <c r="K21" s="188" t="inlineStr">
        <is>
          <t>https://lovdata.no/dokument/SF/forskrift/2005-01-01-8</t>
        </is>
      </c>
      <c r="L21" s="188" t="inlineStr">
        <is>
          <t>https://lovdata.no/dokument/SF/forskrift/2005-01-01-8</t>
        </is>
      </c>
      <c r="M21" t="inlineStr">
        <is>
          <t>HIGH</t>
        </is>
      </c>
      <c r="N21" t="inlineStr">
        <is>
          <t>MEDIUM</t>
        </is>
      </c>
      <c r="O21" t="inlineStr">
        <is>
          <t>HIGH</t>
        </is>
      </c>
      <c r="P21" t="inlineStr">
        <is>
          <t>HIGH</t>
        </is>
      </c>
      <c r="Q21" t="inlineStr">
        <is>
          <t>HIGH</t>
        </is>
      </c>
      <c r="R21" t="inlineStr">
        <is>
          <t>PENDING</t>
        </is>
      </c>
      <c r="T21" t="inlineStr">
        <is>
          <t>CURRENT</t>
        </is>
      </c>
      <c r="U21" t="inlineStr">
        <is>
          <t>PA018</t>
        </is>
      </c>
      <c r="V21" t="inlineStr">
        <is>
          <t>Official maritime HSE expansion. Include only for personnel and vessels falling within maritime scope.</t>
        </is>
      </c>
      <c r="X21" t="inlineStr">
        <is>
          <t>A_Public_Authority</t>
        </is>
      </c>
      <c r="Y21" t="inlineStr">
        <is>
          <t>Norwegian Ministry of Trade, Industry and Fisheries</t>
        </is>
      </c>
      <c r="Z21" t="inlineStr">
        <is>
          <t>Norway</t>
        </is>
      </c>
      <c r="AA21" t="inlineStr">
        <is>
          <t>Regulation</t>
        </is>
      </c>
      <c r="AB21" t="inlineStr">
        <is>
          <t>Public authority</t>
        </is>
      </c>
      <c r="AC21" t="inlineStr">
        <is>
          <t>Primary normative</t>
        </is>
      </c>
      <c r="AD21" t="inlineStr">
        <is>
          <t>Norwegian</t>
        </is>
      </c>
      <c r="AE21" t="inlineStr">
        <is>
          <t>html</t>
        </is>
      </c>
      <c r="AH21" t="inlineStr">
        <is>
          <t>Official regulation issued by Norwegian Ministry of Trade, Industry and Fisheries; included because it may impose binding requirements on an in-scope aquaculture asset, activity, permit or certification.</t>
        </is>
      </c>
      <c r="AI21" t="inlineStr">
        <is>
          <t>HIGH</t>
        </is>
      </c>
      <c r="AJ21" t="inlineStr">
        <is>
          <t>OFFICIAL_WEBSITE</t>
        </is>
      </c>
      <c r="AK21" t="inlineStr">
        <is>
          <t>OFFICIAL_ORIGINAL</t>
        </is>
      </c>
      <c r="AL21" t="inlineStr">
        <is>
          <t>ROLLING</t>
        </is>
      </c>
      <c r="AN21" t="inlineStr">
        <is>
          <t>REV-9ecc78b700cc34a9</t>
        </is>
      </c>
      <c r="AO21" s="189" t="n"/>
      <c r="AP21" s="189" t="n">
        <v>46266.41396990741</v>
      </c>
      <c r="AQ21" s="189" t="n">
        <v>46265.41666666666</v>
      </c>
      <c r="AR21" t="inlineStr">
        <is>
          <t>{"action": "APPLY_FIELD_UPDATES", "issue_codes": ["SELECTION_PENDING"], "retry_after_apply": false, "review_fingerprint": "f9528b69f2230ff7", "source_fingerprint": "f91987a5cba443c5f3f5", "source_id": "PA049", "updates": {}}</t>
        </is>
      </c>
    </row>
    <row r="22" hidden="1" ht="38" customHeight="1" s="41">
      <c r="A22" s="190" t="inlineStr">
        <is>
          <t>PA051</t>
        </is>
      </c>
      <c r="B22" s="191" t="inlineStr">
        <is>
          <t>Planning and Building Act</t>
        </is>
      </c>
      <c r="C22" s="191" t="inlineStr">
        <is>
          <t>SELECTION_REVIEW</t>
        </is>
      </c>
      <c r="D22" s="191" t="inlineStr">
        <is>
          <t>SELECTION_PENDING</t>
        </is>
      </c>
      <c r="E22" s="191" t="inlineStr">
        <is>
          <t>Review the human-governed source fields and choose INCLUDE, PENDING or EXCLUDE in Human Operation Desktop.</t>
        </is>
      </c>
      <c r="F22" s="184" t="inlineStr">
        <is>
          <t>PENDING</t>
        </is>
      </c>
      <c r="G22" s="185" t="n"/>
      <c r="H22" s="206" t="n"/>
      <c r="I22" s="207" t="inlineStr">
        <is>
          <t>APPLIED</t>
        </is>
      </c>
      <c r="J22" s="191" t="inlineStr">
        <is>
          <t>Superseded by the current consolidated source task or resolved source state.</t>
        </is>
      </c>
      <c r="K22" s="192" t="inlineStr">
        <is>
          <t>https://lovdata.no/dokument/NL/lov/2008-06-27-71</t>
        </is>
      </c>
      <c r="L22" s="192" t="inlineStr">
        <is>
          <t>https://lovdata.no/dokument/NL/lov/2008-06-27-71</t>
        </is>
      </c>
      <c r="M22" t="inlineStr">
        <is>
          <t>HIGH</t>
        </is>
      </c>
      <c r="N22" t="inlineStr">
        <is>
          <t>MEDIUM</t>
        </is>
      </c>
      <c r="O22" t="inlineStr">
        <is>
          <t>HIGH</t>
        </is>
      </c>
      <c r="P22" t="inlineStr">
        <is>
          <t>HIGH</t>
        </is>
      </c>
      <c r="Q22" t="inlineStr">
        <is>
          <t>HIGH</t>
        </is>
      </c>
      <c r="R22" t="inlineStr">
        <is>
          <t>PENDING</t>
        </is>
      </c>
      <c r="T22" t="inlineStr">
        <is>
          <t>CURRENT</t>
        </is>
      </c>
      <c r="V22" t="inlineStr">
        <is>
          <t>Official permitting expansion. Relevance depends on municipal plans, land-based works and the specific application.</t>
        </is>
      </c>
      <c r="X22" t="inlineStr">
        <is>
          <t>A_Public_Authority</t>
        </is>
      </c>
      <c r="Y22" t="inlineStr">
        <is>
          <t>Norwegian Ministry of Local Government and Regional Development</t>
        </is>
      </c>
      <c r="Z22" t="inlineStr">
        <is>
          <t>Norway</t>
        </is>
      </c>
      <c r="AA22" t="inlineStr">
        <is>
          <t>Law</t>
        </is>
      </c>
      <c r="AB22" t="inlineStr">
        <is>
          <t>Public authority</t>
        </is>
      </c>
      <c r="AC22" t="inlineStr">
        <is>
          <t>Referenced normative</t>
        </is>
      </c>
      <c r="AD22" t="inlineStr">
        <is>
          <t>Norwegian</t>
        </is>
      </c>
      <c r="AE22" t="inlineStr">
        <is>
          <t>html</t>
        </is>
      </c>
      <c r="AH22" t="inlineStr">
        <is>
          <t>Official referenced source from Norwegian Ministry of Local Government and Regional Development; included because an applicable law, permit or certification scheme may make its provisions binding within the approved scope.</t>
        </is>
      </c>
      <c r="AI22" t="inlineStr">
        <is>
          <t>HIGH</t>
        </is>
      </c>
      <c r="AJ22" t="inlineStr">
        <is>
          <t>OFFICIAL_WEBSITE</t>
        </is>
      </c>
      <c r="AK22" t="inlineStr">
        <is>
          <t>OFFICIAL_ORIGINAL</t>
        </is>
      </c>
      <c r="AL22" t="inlineStr">
        <is>
          <t>ROLLING</t>
        </is>
      </c>
      <c r="AN22" t="inlineStr">
        <is>
          <t>REV-beff403a206a6350</t>
        </is>
      </c>
      <c r="AO22" s="189" t="n"/>
      <c r="AP22" s="189" t="n">
        <v>46266.41396990741</v>
      </c>
      <c r="AQ22" s="189" t="n">
        <v>46265.41666666666</v>
      </c>
      <c r="AR22" t="inlineStr">
        <is>
          <t>{"action": "APPLY_FIELD_UPDATES", "issue_codes": ["SELECTION_PENDING"], "retry_after_apply": false, "review_fingerprint": "e66c941f54564f91", "source_fingerprint": "0fb4a0f2cbb380c4e9eb", "source_id": "PA051", "updates": {}}</t>
        </is>
      </c>
    </row>
    <row r="23" hidden="1" ht="38" customHeight="1" s="41">
      <c r="A23" s="182" t="inlineStr">
        <is>
          <t>PA052</t>
        </is>
      </c>
      <c r="B23" s="183" t="inlineStr">
        <is>
          <t>Cultural Heritage Act</t>
        </is>
      </c>
      <c r="C23" s="183" t="inlineStr">
        <is>
          <t>SELECTION_REVIEW</t>
        </is>
      </c>
      <c r="D23" s="183" t="inlineStr">
        <is>
          <t>SELECTION_PENDING</t>
        </is>
      </c>
      <c r="E23" s="183" t="inlineStr">
        <is>
          <t>Review the human-governed source fields and choose INCLUDE, PENDING or EXCLUDE in Human Operation Desktop.</t>
        </is>
      </c>
      <c r="F23" s="184" t="inlineStr">
        <is>
          <t>PENDING</t>
        </is>
      </c>
      <c r="G23" s="185" t="n"/>
      <c r="H23" s="206" t="n"/>
      <c r="I23" s="207" t="inlineStr">
        <is>
          <t>APPLIED</t>
        </is>
      </c>
      <c r="J23" s="183" t="inlineStr">
        <is>
          <t>Superseded by the current consolidated source task or resolved source state.</t>
        </is>
      </c>
      <c r="K23" s="188" t="inlineStr">
        <is>
          <t>https://lovdata.no/dokument/NL/lov/1978-06-09-50</t>
        </is>
      </c>
      <c r="L23" s="188" t="inlineStr">
        <is>
          <t>https://lovdata.no/dokument/NL/lov/1978-06-09-50</t>
        </is>
      </c>
      <c r="M23" t="inlineStr">
        <is>
          <t>HIGH</t>
        </is>
      </c>
      <c r="N23" t="inlineStr">
        <is>
          <t>MEDIUM</t>
        </is>
      </c>
      <c r="O23" t="inlineStr">
        <is>
          <t>HIGH</t>
        </is>
      </c>
      <c r="P23" t="inlineStr">
        <is>
          <t>HIGH</t>
        </is>
      </c>
      <c r="Q23" t="inlineStr">
        <is>
          <t>HIGH</t>
        </is>
      </c>
      <c r="R23" t="inlineStr">
        <is>
          <t>PENDING</t>
        </is>
      </c>
      <c r="T23" t="inlineStr">
        <is>
          <t>CURRENT</t>
        </is>
      </c>
      <c r="V23" t="inlineStr">
        <is>
          <t>Official permitting expansion. Site-specific relevance depends on registered or discovered cultural heritage.</t>
        </is>
      </c>
      <c r="X23" t="inlineStr">
        <is>
          <t>A_Public_Authority</t>
        </is>
      </c>
      <c r="Y23" t="inlineStr">
        <is>
          <t>Norwegian Ministry of Climate and Environment</t>
        </is>
      </c>
      <c r="Z23" t="inlineStr">
        <is>
          <t>Norway</t>
        </is>
      </c>
      <c r="AA23" t="inlineStr">
        <is>
          <t>Law</t>
        </is>
      </c>
      <c r="AB23" t="inlineStr">
        <is>
          <t>Public authority</t>
        </is>
      </c>
      <c r="AC23" t="inlineStr">
        <is>
          <t>Referenced normative</t>
        </is>
      </c>
      <c r="AD23" t="inlineStr">
        <is>
          <t>Norwegian</t>
        </is>
      </c>
      <c r="AE23" t="inlineStr">
        <is>
          <t>html</t>
        </is>
      </c>
      <c r="AH23" t="inlineStr">
        <is>
          <t>Official referenced source from Norwegian Ministry of Climate and Environment; included because an applicable law, permit or certification scheme may make its provisions binding within the approved scope.</t>
        </is>
      </c>
      <c r="AI23" t="inlineStr">
        <is>
          <t>HIGH</t>
        </is>
      </c>
      <c r="AJ23" t="inlineStr">
        <is>
          <t>OFFICIAL_WEBSITE</t>
        </is>
      </c>
      <c r="AK23" t="inlineStr">
        <is>
          <t>OFFICIAL_ORIGINAL</t>
        </is>
      </c>
      <c r="AL23" t="inlineStr">
        <is>
          <t>ROLLING</t>
        </is>
      </c>
      <c r="AN23" t="inlineStr">
        <is>
          <t>REV-550fc55c7afd30ff</t>
        </is>
      </c>
      <c r="AO23" s="189" t="n"/>
      <c r="AP23" s="189" t="n">
        <v>46266.41396990741</v>
      </c>
      <c r="AQ23" s="189" t="n">
        <v>46265.41666666666</v>
      </c>
      <c r="AR23" t="inlineStr">
        <is>
          <t>{"action": "APPLY_FIELD_UPDATES", "issue_codes": ["SELECTION_PENDING"], "retry_after_apply": false, "review_fingerprint": "f6796138335f3423", "source_fingerprint": "331705cb37e029717721", "source_id": "PA052", "updates": {}}</t>
        </is>
      </c>
    </row>
    <row r="24" hidden="1" ht="38" customHeight="1" s="41">
      <c r="A24" s="190" t="inlineStr">
        <is>
          <t>PA053</t>
        </is>
      </c>
      <c r="B24" s="191" t="inlineStr">
        <is>
          <t>Water Resources Act</t>
        </is>
      </c>
      <c r="C24" s="191" t="inlineStr">
        <is>
          <t>SELECTION_REVIEW</t>
        </is>
      </c>
      <c r="D24" s="191" t="inlineStr">
        <is>
          <t>SELECTION_PENDING</t>
        </is>
      </c>
      <c r="E24" s="191" t="inlineStr">
        <is>
          <t>Review the human-governed source fields and choose INCLUDE, PENDING or EXCLUDE in Human Operation Desktop.</t>
        </is>
      </c>
      <c r="F24" s="184" t="inlineStr">
        <is>
          <t>PENDING</t>
        </is>
      </c>
      <c r="G24" s="185" t="n"/>
      <c r="H24" s="206" t="n"/>
      <c r="I24" s="207" t="inlineStr">
        <is>
          <t>APPLIED</t>
        </is>
      </c>
      <c r="J24" s="191" t="inlineStr">
        <is>
          <t>Superseded by the current consolidated source task or resolved source state.</t>
        </is>
      </c>
      <c r="K24" s="192" t="inlineStr">
        <is>
          <t>https://lovdata.no/dokument/NL/lov/2000-11-24-82</t>
        </is>
      </c>
      <c r="L24" s="192" t="inlineStr">
        <is>
          <t>https://lovdata.no/dokument/NL/lov/2000-11-24-82</t>
        </is>
      </c>
      <c r="M24" t="inlineStr">
        <is>
          <t>HIGH</t>
        </is>
      </c>
      <c r="N24" t="inlineStr">
        <is>
          <t>MEDIUM</t>
        </is>
      </c>
      <c r="O24" t="inlineStr">
        <is>
          <t>HIGH</t>
        </is>
      </c>
      <c r="P24" t="inlineStr">
        <is>
          <t>HIGH</t>
        </is>
      </c>
      <c r="Q24" t="inlineStr">
        <is>
          <t>HIGH</t>
        </is>
      </c>
      <c r="R24" t="inlineStr">
        <is>
          <t>PENDING</t>
        </is>
      </c>
      <c r="T24" t="inlineStr">
        <is>
          <t>CURRENT</t>
        </is>
      </c>
      <c r="V24" t="inlineStr">
        <is>
          <t>Official permitting expansion. Particularly relevant to freshwater or water-abstraction and discharge arrangements.</t>
        </is>
      </c>
      <c r="X24" t="inlineStr">
        <is>
          <t>A_Public_Authority</t>
        </is>
      </c>
      <c r="Y24" t="inlineStr">
        <is>
          <t>Norwegian Ministry of Energy</t>
        </is>
      </c>
      <c r="Z24" t="inlineStr">
        <is>
          <t>Norway</t>
        </is>
      </c>
      <c r="AA24" t="inlineStr">
        <is>
          <t>Law</t>
        </is>
      </c>
      <c r="AB24" t="inlineStr">
        <is>
          <t>Public authority</t>
        </is>
      </c>
      <c r="AC24" t="inlineStr">
        <is>
          <t>Referenced normative</t>
        </is>
      </c>
      <c r="AD24" t="inlineStr">
        <is>
          <t>Norwegian</t>
        </is>
      </c>
      <c r="AE24" t="inlineStr">
        <is>
          <t>html</t>
        </is>
      </c>
      <c r="AH24" t="inlineStr">
        <is>
          <t>Official referenced source from Norwegian Ministry of Energy; included because an applicable law, permit or certification scheme may make its provisions binding within the approved scope.</t>
        </is>
      </c>
      <c r="AI24" t="inlineStr">
        <is>
          <t>HIGH</t>
        </is>
      </c>
      <c r="AJ24" t="inlineStr">
        <is>
          <t>OFFICIAL_WEBSITE</t>
        </is>
      </c>
      <c r="AK24" t="inlineStr">
        <is>
          <t>OFFICIAL_ORIGINAL</t>
        </is>
      </c>
      <c r="AL24" t="inlineStr">
        <is>
          <t>ROLLING</t>
        </is>
      </c>
      <c r="AN24" t="inlineStr">
        <is>
          <t>REV-f7e513d3ac05fd66</t>
        </is>
      </c>
      <c r="AO24" s="189" t="n"/>
      <c r="AP24" s="189" t="n">
        <v>46266.41396990741</v>
      </c>
      <c r="AQ24" s="189" t="n">
        <v>46265.41666666666</v>
      </c>
      <c r="AR24" t="inlineStr">
        <is>
          <t>{"action": "APPLY_FIELD_UPDATES", "issue_codes": ["SELECTION_PENDING"], "retry_after_apply": false, "review_fingerprint": "f1d2df20c0193139", "source_fingerprint": "0abf23e4e51bdb982f12", "source_id": "PA053", "updates": {}}</t>
        </is>
      </c>
    </row>
    <row r="25" hidden="1" ht="38" customHeight="1" s="41">
      <c r="A25" s="182" t="inlineStr">
        <is>
          <t>PA054</t>
        </is>
      </c>
      <c r="B25" s="183" t="inlineStr">
        <is>
          <t>Marine Nature Protection Act</t>
        </is>
      </c>
      <c r="C25" s="183" t="inlineStr">
        <is>
          <t>SELECTION_REVIEW</t>
        </is>
      </c>
      <c r="D25" s="183" t="inlineStr">
        <is>
          <t>SELECTION_PENDING</t>
        </is>
      </c>
      <c r="E25" s="183" t="inlineStr">
        <is>
          <t>Review the human-governed source fields and choose INCLUDE, PENDING or EXCLUDE in Human Operation Desktop.</t>
        </is>
      </c>
      <c r="F25" s="184" t="inlineStr">
        <is>
          <t>PENDING</t>
        </is>
      </c>
      <c r="G25" s="185" t="n"/>
      <c r="H25" s="206" t="n"/>
      <c r="I25" s="207" t="inlineStr">
        <is>
          <t>APPLIED</t>
        </is>
      </c>
      <c r="J25" s="183" t="inlineStr">
        <is>
          <t>Superseded by the current consolidated source task or resolved source state.</t>
        </is>
      </c>
      <c r="K25" s="188" t="inlineStr">
        <is>
          <t>https://lovdata.no/dokument/NL/lov/2025-06-10-33</t>
        </is>
      </c>
      <c r="L25" s="188" t="inlineStr">
        <is>
          <t>https://lovdata.no/dokument/NL/lov/2025-06-10-33</t>
        </is>
      </c>
      <c r="M25" t="inlineStr">
        <is>
          <t>HIGH</t>
        </is>
      </c>
      <c r="N25" t="inlineStr">
        <is>
          <t>MEDIUM</t>
        </is>
      </c>
      <c r="O25" t="inlineStr">
        <is>
          <t>HIGH</t>
        </is>
      </c>
      <c r="P25" t="inlineStr">
        <is>
          <t>HIGH</t>
        </is>
      </c>
      <c r="Q25" t="inlineStr">
        <is>
          <t>HIGH</t>
        </is>
      </c>
      <c r="R25" t="inlineStr">
        <is>
          <t>PENDING</t>
        </is>
      </c>
      <c r="T25" t="inlineStr">
        <is>
          <t>CURRENT</t>
        </is>
      </c>
      <c r="V25" t="inlineStr">
        <is>
          <t>Official future-facing coverage expansion. Offshore and site-specific applicability must be confirmed before use.</t>
        </is>
      </c>
      <c r="X25" t="inlineStr">
        <is>
          <t>A_Public_Authority</t>
        </is>
      </c>
      <c r="Y25" t="inlineStr">
        <is>
          <t>Norwegian Ministry of Climate and Environment</t>
        </is>
      </c>
      <c r="Z25" t="inlineStr">
        <is>
          <t>Norway</t>
        </is>
      </c>
      <c r="AA25" t="inlineStr">
        <is>
          <t>Law</t>
        </is>
      </c>
      <c r="AB25" t="inlineStr">
        <is>
          <t>Public authority</t>
        </is>
      </c>
      <c r="AC25" t="inlineStr">
        <is>
          <t>Referenced normative</t>
        </is>
      </c>
      <c r="AD25" t="inlineStr">
        <is>
          <t>Norwegian</t>
        </is>
      </c>
      <c r="AE25" t="inlineStr">
        <is>
          <t>html</t>
        </is>
      </c>
      <c r="AG25" t="n">
        <v>46023</v>
      </c>
      <c r="AH25" t="inlineStr">
        <is>
          <t>Official referenced source from Norwegian Ministry of Climate and Environment; included because an applicable law, permit or certification scheme may make its provisions binding within the approved scope.</t>
        </is>
      </c>
      <c r="AI25" t="inlineStr">
        <is>
          <t>HIGH</t>
        </is>
      </c>
      <c r="AJ25" t="inlineStr">
        <is>
          <t>OFFICIAL_WEBSITE</t>
        </is>
      </c>
      <c r="AK25" t="inlineStr">
        <is>
          <t>OFFICIAL_ORIGINAL</t>
        </is>
      </c>
      <c r="AL25" t="inlineStr">
        <is>
          <t>ROLLING</t>
        </is>
      </c>
      <c r="AN25" t="inlineStr">
        <is>
          <t>REV-be855437b042dc29</t>
        </is>
      </c>
      <c r="AO25" s="189" t="n"/>
      <c r="AP25" s="189" t="n">
        <v>46266.41396990741</v>
      </c>
      <c r="AQ25" s="189" t="n">
        <v>46265.41666666666</v>
      </c>
      <c r="AR25" t="inlineStr">
        <is>
          <t>{"action": "APPLY_FIELD_UPDATES", "issue_codes": ["SELECTION_PENDING"], "retry_after_apply": false, "review_fingerprint": "c3a7dd72e6daa7d1", "source_fingerprint": "e4ffcdfce505d629d3ef", "source_id": "PA054", "updates": {}}</t>
        </is>
      </c>
    </row>
    <row r="26" hidden="1" ht="38" customHeight="1" s="41">
      <c r="A26" s="190" t="inlineStr">
        <is>
          <t>PA056</t>
        </is>
      </c>
      <c r="B26" s="191" t="inlineStr">
        <is>
          <t>Fiskeridirektoratet guidance for land-based aquaculture facilities</t>
        </is>
      </c>
      <c r="C26" s="191" t="inlineStr">
        <is>
          <t>SELECTION_REVIEW</t>
        </is>
      </c>
      <c r="D26" s="191" t="inlineStr">
        <is>
          <t>SELECTION_PENDING</t>
        </is>
      </c>
      <c r="E26" s="191" t="inlineStr">
        <is>
          <t>Review the human-governed source fields and choose INCLUDE, PENDING or EXCLUDE in Human Operation Desktop.</t>
        </is>
      </c>
      <c r="F26" s="184" t="inlineStr">
        <is>
          <t>PENDING</t>
        </is>
      </c>
      <c r="G26" s="185" t="n"/>
      <c r="H26" s="206" t="n"/>
      <c r="I26" s="207" t="inlineStr">
        <is>
          <t>APPLIED</t>
        </is>
      </c>
      <c r="J26" s="191" t="inlineStr">
        <is>
          <t>Superseded by the current consolidated source task or resolved source state.</t>
        </is>
      </c>
      <c r="K26" s="192" t="inlineStr">
        <is>
          <t>https://www.fiskeridir.no/akvakultur/landbaserte-anlegg</t>
        </is>
      </c>
      <c r="L26" s="192" t="inlineStr">
        <is>
          <t>https://www.fiskeridir.no/akvakultur/landbaserte-anlegg</t>
        </is>
      </c>
      <c r="M26" t="inlineStr">
        <is>
          <t>HIGH</t>
        </is>
      </c>
      <c r="N26" t="inlineStr">
        <is>
          <t>MEDIUM</t>
        </is>
      </c>
      <c r="O26" t="inlineStr">
        <is>
          <t>HIGH</t>
        </is>
      </c>
      <c r="P26" t="inlineStr">
        <is>
          <t>HIGH</t>
        </is>
      </c>
      <c r="Q26" t="inlineStr">
        <is>
          <t>HIGH</t>
        </is>
      </c>
      <c r="R26" t="inlineStr">
        <is>
          <t>PENDING</t>
        </is>
      </c>
      <c r="T26" t="inlineStr">
        <is>
          <t>CURRENT</t>
        </is>
      </c>
      <c r="U26" t="inlineStr">
        <is>
          <t>PA022</t>
        </is>
      </c>
      <c r="V26" t="inlineStr">
        <is>
          <t>Official land-based facility guidance. Include only when land-based facilities are within scope.</t>
        </is>
      </c>
      <c r="X26" t="inlineStr">
        <is>
          <t>A_Public_Authority</t>
        </is>
      </c>
      <c r="Y26" t="inlineStr">
        <is>
          <t>Norwegian Directorate of Fisheries</t>
        </is>
      </c>
      <c r="Z26" t="inlineStr">
        <is>
          <t>Norway</t>
        </is>
      </c>
      <c r="AA26" t="inlineStr">
        <is>
          <t>Interpretation document</t>
        </is>
      </c>
      <c r="AB26" t="inlineStr">
        <is>
          <t>Public authority</t>
        </is>
      </c>
      <c r="AC26" t="inlineStr">
        <is>
          <t>Guidance / interpretation</t>
        </is>
      </c>
      <c r="AD26" t="inlineStr">
        <is>
          <t>Norwegian</t>
        </is>
      </c>
      <c r="AE26" t="inlineStr">
        <is>
          <t>html</t>
        </is>
      </c>
      <c r="AH26" t="inlineStr">
        <is>
          <t>Official guidance from Norwegian Directorate of Fisheries; included to interpret and operationalise linked normative requirements, not as independent legal or certification authority.</t>
        </is>
      </c>
      <c r="AI26" t="inlineStr">
        <is>
          <t>HIGH</t>
        </is>
      </c>
      <c r="AJ26" t="inlineStr">
        <is>
          <t>OFFICIAL_WEBSITE</t>
        </is>
      </c>
      <c r="AK26" t="inlineStr">
        <is>
          <t>OFFICIAL_ORIGINAL</t>
        </is>
      </c>
      <c r="AL26" t="inlineStr">
        <is>
          <t>ROLLING</t>
        </is>
      </c>
      <c r="AN26" t="inlineStr">
        <is>
          <t>REV-8319d3f2fb4e1a05</t>
        </is>
      </c>
      <c r="AO26" s="189" t="n"/>
      <c r="AP26" s="189" t="n">
        <v>46266.41396990741</v>
      </c>
      <c r="AQ26" s="189" t="n">
        <v>46265.41666666666</v>
      </c>
      <c r="AR26" t="inlineStr">
        <is>
          <t>{"action": "APPLY_FIELD_UPDATES", "issue_codes": ["SELECTION_PENDING"], "retry_after_apply": false, "review_fingerprint": "5ecb358e1b758e72", "source_fingerprint": "748ccee9aec960a5cf52", "source_id": "PA056", "updates": {}}</t>
        </is>
      </c>
    </row>
    <row r="27" hidden="1" ht="38" customHeight="1" s="41">
      <c r="A27" s="182" t="inlineStr">
        <is>
          <t>PA057</t>
        </is>
      </c>
      <c r="B27" s="183" t="inlineStr">
        <is>
          <t>Guidance for condition assessment of land-based aquaculture facilities</t>
        </is>
      </c>
      <c r="C27" s="183" t="inlineStr">
        <is>
          <t>SELECTION_REVIEW</t>
        </is>
      </c>
      <c r="D27" s="183" t="inlineStr">
        <is>
          <t>SELECTION_PENDING</t>
        </is>
      </c>
      <c r="E27" s="183" t="inlineStr">
        <is>
          <t>Review the human-governed source fields and choose INCLUDE, PENDING or EXCLUDE in Human Operation Desktop.</t>
        </is>
      </c>
      <c r="F27" s="184" t="inlineStr">
        <is>
          <t>PENDING</t>
        </is>
      </c>
      <c r="G27" s="185" t="n"/>
      <c r="H27" s="206" t="n"/>
      <c r="I27" s="207" t="inlineStr">
        <is>
          <t>APPLIED</t>
        </is>
      </c>
      <c r="J27" s="183" t="inlineStr">
        <is>
          <t>Superseded by the current consolidated source task or resolved source state.</t>
        </is>
      </c>
      <c r="K27" s="188" t="inlineStr">
        <is>
          <t>https://www.fiskeridir.no/Akvakultur/Dokumenter/Veiledere/Tilstandsanalyse-av-landbaserte-anlegg</t>
        </is>
      </c>
      <c r="L27" s="188" t="inlineStr">
        <is>
          <t>https://www.fiskeridir.no/Akvakultur/Dokumenter/Veiledere/Tilstandsanalyse-av-landbaserte-anlegg/_/attachment/download/df2fc451-04b7-4984-8628-770e2cf13ac9%3Ad6ae5a53d45201b6bb2458a1e3506f3f9cd7e3fe/Veileder_tilstandsanalyse_20241011.pdf</t>
        </is>
      </c>
      <c r="M27" t="inlineStr">
        <is>
          <t>HIGH</t>
        </is>
      </c>
      <c r="N27" t="inlineStr">
        <is>
          <t>MEDIUM</t>
        </is>
      </c>
      <c r="O27" t="inlineStr">
        <is>
          <t>HIGH</t>
        </is>
      </c>
      <c r="P27" t="inlineStr">
        <is>
          <t>HIGH</t>
        </is>
      </c>
      <c r="Q27" t="inlineStr">
        <is>
          <t>HIGH</t>
        </is>
      </c>
      <c r="R27" t="inlineStr">
        <is>
          <t>PENDING</t>
        </is>
      </c>
      <c r="T27" t="inlineStr">
        <is>
          <t>CURRENT</t>
        </is>
      </c>
      <c r="U27" t="inlineStr">
        <is>
          <t>PA022</t>
        </is>
      </c>
      <c r="V27" t="inlineStr">
        <is>
          <t>Official technical guidance linked to land-based facility regulation and NS 3424. Conditional on land-based scope.</t>
        </is>
      </c>
      <c r="X27" t="inlineStr">
        <is>
          <t>A_Public_Authority</t>
        </is>
      </c>
      <c r="Y27" t="inlineStr">
        <is>
          <t>Norwegian Directorate of Fisheries</t>
        </is>
      </c>
      <c r="Z27" t="inlineStr">
        <is>
          <t>Norway</t>
        </is>
      </c>
      <c r="AA27" t="inlineStr">
        <is>
          <t>Interpretation document</t>
        </is>
      </c>
      <c r="AB27" t="inlineStr">
        <is>
          <t>Public authority</t>
        </is>
      </c>
      <c r="AC27" t="inlineStr">
        <is>
          <t>Guidance / interpretation</t>
        </is>
      </c>
      <c r="AD27" t="inlineStr">
        <is>
          <t>Norwegian</t>
        </is>
      </c>
      <c r="AE27" t="inlineStr">
        <is>
          <t>pdf</t>
        </is>
      </c>
      <c r="AF27" t="inlineStr">
        <is>
          <t>2024-10-11</t>
        </is>
      </c>
      <c r="AH27" t="inlineStr">
        <is>
          <t>Official guidance from Norwegian Directorate of Fisheries; included to interpret and operationalise linked normative requirements, not as independent legal or certification authority.</t>
        </is>
      </c>
      <c r="AI27" t="inlineStr">
        <is>
          <t>HIGH</t>
        </is>
      </c>
      <c r="AJ27" t="inlineStr">
        <is>
          <t>OFFICIAL_WEBSITE</t>
        </is>
      </c>
      <c r="AK27" t="inlineStr">
        <is>
          <t>OFFICIAL_ORIGINAL</t>
        </is>
      </c>
      <c r="AL27" t="inlineStr">
        <is>
          <t>VERSIONED</t>
        </is>
      </c>
      <c r="AN27" t="inlineStr">
        <is>
          <t>REV-9a310e18a85a2e64</t>
        </is>
      </c>
      <c r="AO27" s="189" t="n"/>
      <c r="AP27" s="189" t="n">
        <v>46266.41396990741</v>
      </c>
      <c r="AQ27" s="189" t="n">
        <v>46265.41666666666</v>
      </c>
      <c r="AR27" t="inlineStr">
        <is>
          <t>{"action": "APPLY_FIELD_UPDATES", "issue_codes": ["SELECTION_PENDING"], "retry_after_apply": false, "review_fingerprint": "a373a2c32a8899c1", "source_fingerprint": "55b4c48205e5bb4bbcf4", "source_id": "PA057", "updates": {}}</t>
        </is>
      </c>
    </row>
    <row r="28" hidden="1" ht="38" customHeight="1" s="41">
      <c r="A28" s="190" t="inlineStr">
        <is>
          <t>PA010</t>
        </is>
      </c>
      <c r="B28" s="191" t="inlineStr">
        <is>
          <t>Regulation (EU) 2016/429 on transmissible animal diseases (Animal Health Law)</t>
        </is>
      </c>
      <c r="C28" s="191" t="inlineStr">
        <is>
          <t>SELECTION_REVIEW</t>
        </is>
      </c>
      <c r="D28" s="191" t="inlineStr">
        <is>
          <t>SELECTION_PENDING</t>
        </is>
      </c>
      <c r="E28" s="191" t="inlineStr">
        <is>
          <t>Review the human-governed source fields and choose INCLUDE, PENDING or EXCLUDE in Human Operation Desktop.</t>
        </is>
      </c>
      <c r="F28" s="184" t="inlineStr">
        <is>
          <t>PENDING</t>
        </is>
      </c>
      <c r="G28" s="185" t="n"/>
      <c r="H28" s="206" t="n"/>
      <c r="I28" s="207" t="inlineStr">
        <is>
          <t>APPLIED</t>
        </is>
      </c>
      <c r="J28" s="191" t="inlineStr">
        <is>
          <t>Superseded by the current consolidated source task or resolved source state.</t>
        </is>
      </c>
      <c r="K28" s="192" t="inlineStr">
        <is>
          <t>https://eur-lex.europa.eu/legal-content/EN/TXT/?uri=CELEX:32016R0429</t>
        </is>
      </c>
      <c r="L28" s="192" t="inlineStr">
        <is>
          <t>https://publications.europa.eu/resource/oj/JOL_2016_084_R_0001.ENG</t>
        </is>
      </c>
      <c r="M28" t="inlineStr">
        <is>
          <t>HIGH</t>
        </is>
      </c>
      <c r="N28" t="inlineStr">
        <is>
          <t>MEDIUM</t>
        </is>
      </c>
      <c r="O28" t="inlineStr">
        <is>
          <t>HIGH</t>
        </is>
      </c>
      <c r="P28" t="inlineStr">
        <is>
          <t>HIGH</t>
        </is>
      </c>
      <c r="Q28" t="inlineStr">
        <is>
          <t>HIGH</t>
        </is>
      </c>
      <c r="R28" t="inlineStr">
        <is>
          <t>PENDING</t>
        </is>
      </c>
      <c r="T28" t="inlineStr">
        <is>
          <t>CURRENT</t>
        </is>
      </c>
      <c r="V28"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28" t="inlineStr">
        <is>
          <t>A_Public_Authority</t>
        </is>
      </c>
      <c r="Y28" t="inlineStr">
        <is>
          <t>European Parliament and Council of the European Union</t>
        </is>
      </c>
      <c r="Z28" t="inlineStr">
        <is>
          <t>EU / EEA</t>
        </is>
      </c>
      <c r="AA28" t="inlineStr">
        <is>
          <t>Regulation</t>
        </is>
      </c>
      <c r="AB28" t="inlineStr">
        <is>
          <t>Public authority</t>
        </is>
      </c>
      <c r="AC28" t="inlineStr">
        <is>
          <t>Referenced normative</t>
        </is>
      </c>
      <c r="AD28" t="inlineStr">
        <is>
          <t>English</t>
        </is>
      </c>
      <c r="AE28" t="inlineStr">
        <is>
          <t>html</t>
        </is>
      </c>
      <c r="AH28" t="inlineStr">
        <is>
          <t>Official referenced source from European Parliament and Council of the European Union; included because an applicable law, permit or certification scheme may make its provisions binding within the approved scope.</t>
        </is>
      </c>
      <c r="AI28" t="inlineStr">
        <is>
          <t>HIGH</t>
        </is>
      </c>
      <c r="AJ28" t="inlineStr">
        <is>
          <t>OFFICIAL_WEBSITE</t>
        </is>
      </c>
      <c r="AK28" t="inlineStr">
        <is>
          <t>OFFICIAL_ORIGINAL</t>
        </is>
      </c>
      <c r="AL28" t="inlineStr">
        <is>
          <t>ROLLING</t>
        </is>
      </c>
      <c r="AN28" t="inlineStr">
        <is>
          <t>REV-0eff5961ab3160a2</t>
        </is>
      </c>
      <c r="AO28" s="189" t="n"/>
      <c r="AP28" s="189" t="n">
        <v>46266.41396990741</v>
      </c>
      <c r="AQ28" s="189" t="n">
        <v>46265.41666666666</v>
      </c>
      <c r="AR28" t="inlineStr">
        <is>
          <t>{"action": "APPLY_FIELD_UPDATES", "issue_codes": ["SELECTION_PENDING"], "retry_after_apply": false, "review_fingerprint": "476fb4f1f5620784", "source_fingerprint": "b3a6960da22375609577", "source_id": "PA010", "updates": {}}</t>
        </is>
      </c>
    </row>
    <row r="29" hidden="1" ht="38" customHeight="1" s="41">
      <c r="A29" s="182" t="inlineStr">
        <is>
          <t>CS003</t>
        </is>
      </c>
      <c r="B29" s="183" t="inlineStr">
        <is>
          <t>ASC Salmon Audit Manual</t>
        </is>
      </c>
      <c r="C29" s="183" t="inlineStr">
        <is>
          <t>SOURCE_REVIEW</t>
        </is>
      </c>
      <c r="D29" s="183" t="inlineStr">
        <is>
          <t>DUPLICATE_OFFICIAL_URL</t>
        </is>
      </c>
      <c r="E29" s="183" t="inlineStr">
        <is>
          <t>Confirm whether this record is a distinct source, correct its identity, or exclude it.</t>
        </is>
      </c>
      <c r="F29" s="184" t="inlineStr">
        <is>
          <t>PENDING</t>
        </is>
      </c>
      <c r="G29" s="185" t="n"/>
      <c r="H29" s="206" t="n"/>
      <c r="I29" s="207" t="inlineStr">
        <is>
          <t>APPLIED</t>
        </is>
      </c>
      <c r="J29" s="183" t="inlineStr">
        <is>
          <t>Superseded by the current consolidated source task or resolved source state.</t>
        </is>
      </c>
      <c r="K29" s="188" t="inlineStr">
        <is>
          <t>https://asc-aqua.org/producers/asc-standards/species-standards/salmon-cod/</t>
        </is>
      </c>
      <c r="L29" s="188" t="inlineStr">
        <is>
          <t>https://asc-aqua.org/wp-content/uploads/2023/04/ASC-Salmon-Audit-Manual_v1.4.pdf</t>
        </is>
      </c>
      <c r="M29" t="inlineStr">
        <is>
          <t>HIGH</t>
        </is>
      </c>
      <c r="N29" t="inlineStr">
        <is>
          <t>HIGH</t>
        </is>
      </c>
      <c r="O29" t="inlineStr">
        <is>
          <t>HIGH</t>
        </is>
      </c>
      <c r="P29" t="inlineStr">
        <is>
          <t>HIGH</t>
        </is>
      </c>
      <c r="Q29" t="inlineStr">
        <is>
          <t>HIGH</t>
        </is>
      </c>
      <c r="R29" t="inlineStr">
        <is>
          <t>INCLUDE</t>
        </is>
      </c>
      <c r="T29" t="inlineStr">
        <is>
          <t>CURRENT</t>
        </is>
      </c>
      <c r="U29" t="inlineStr">
        <is>
          <t>CS004</t>
        </is>
      </c>
      <c r="V29" t="inlineStr">
        <is>
          <t>Repository-held assessment tool. Trace extracted requirements to the applicable normative ASC standard.</t>
        </is>
      </c>
      <c r="X29" t="inlineStr">
        <is>
          <t>C_Certification_Scheme</t>
        </is>
      </c>
      <c r="Y29" t="inlineStr">
        <is>
          <t>Aquaculture Stewardship Council</t>
        </is>
      </c>
      <c r="Z29" t="inlineStr">
        <is>
          <t>International</t>
        </is>
      </c>
      <c r="AA29" t="inlineStr">
        <is>
          <t>Audit / assessment document</t>
        </is>
      </c>
      <c r="AB29" t="inlineStr">
        <is>
          <t>Certification scheme</t>
        </is>
      </c>
      <c r="AC29" t="inlineStr">
        <is>
          <t>Audit / assessment tool</t>
        </is>
      </c>
      <c r="AD29" t="inlineStr">
        <is>
          <t>English</t>
        </is>
      </c>
      <c r="AE29" t="inlineStr">
        <is>
          <t>pdf</t>
        </is>
      </c>
      <c r="AF29" t="inlineStr">
        <is>
          <t>1.4</t>
        </is>
      </c>
      <c r="AH29" t="inlineStr">
        <is>
          <t>Official assessment tool from Aquaculture Stewardship Council; included to structure compliance checks and trace evidence back to its linked normative source.</t>
        </is>
      </c>
      <c r="AI29" t="inlineStr">
        <is>
          <t>HIGH</t>
        </is>
      </c>
      <c r="AJ29" t="inlineStr">
        <is>
          <t>OFFICIAL_WEBSITE</t>
        </is>
      </c>
      <c r="AK29" t="inlineStr">
        <is>
          <t>OFFICIAL_ORIGINAL</t>
        </is>
      </c>
      <c r="AL29" t="inlineStr">
        <is>
          <t>VERSIONED</t>
        </is>
      </c>
      <c r="AN29" t="inlineStr">
        <is>
          <t>REV-b39d1649620a2d3e</t>
        </is>
      </c>
      <c r="AO29" s="189" t="n"/>
      <c r="AP29" s="189" t="n">
        <v>46266.41396990741</v>
      </c>
      <c r="AQ29" s="189" t="n">
        <v>46265.41666666666</v>
      </c>
      <c r="AR29" t="inlineStr">
        <is>
          <t>{"action": "APPLY_FIELD_UPDATES", "issue_codes": ["DUPLICATE_OFFICIAL_URL"], "retry_after_apply": false, "review_fingerprint": "e3b0c44298fc1c14", "source_fingerprint": "ef45bb9f7155edc827f3", "source_id": "CS003", "updates": {}}</t>
        </is>
      </c>
    </row>
    <row r="30" hidden="1" ht="38" customHeight="1" s="41">
      <c r="A30" s="190" t="inlineStr">
        <is>
          <t>CS004</t>
        </is>
      </c>
      <c r="B30" s="191" t="inlineStr">
        <is>
          <t>ASC Salmon and Cod Standard</t>
        </is>
      </c>
      <c r="C30" s="191" t="inlineStr">
        <is>
          <t>SOURCE_REVIEW</t>
        </is>
      </c>
      <c r="D30" s="191" t="inlineStr">
        <is>
          <t>DUPLICATE_OFFICIAL_URL</t>
        </is>
      </c>
      <c r="E30" s="191" t="inlineStr">
        <is>
          <t>Confirm whether this record is a distinct source, correct its identity, or exclude it.</t>
        </is>
      </c>
      <c r="F30" s="184" t="inlineStr">
        <is>
          <t>PENDING</t>
        </is>
      </c>
      <c r="G30" s="185" t="n"/>
      <c r="H30" s="206" t="n"/>
      <c r="I30" s="207" t="inlineStr">
        <is>
          <t>APPLIED</t>
        </is>
      </c>
      <c r="J30" s="191" t="inlineStr">
        <is>
          <t>Superseded by the current consolidated source task or resolved source state.</t>
        </is>
      </c>
      <c r="K30" s="192" t="inlineStr">
        <is>
          <t>https://asc-aqua.org/producers/asc-standards/species-standards/salmon-cod/</t>
        </is>
      </c>
      <c r="L30" s="192" t="inlineStr">
        <is>
          <t>https://asc-aqua.org/wp-content/uploads/2025/10/ASC-STD-010-ASC-Salmon-and-Cod-Standard-V1.5-Oct-2025-1.pdf</t>
        </is>
      </c>
      <c r="M30" t="inlineStr">
        <is>
          <t>HIGH</t>
        </is>
      </c>
      <c r="N30" t="inlineStr">
        <is>
          <t>HIGH</t>
        </is>
      </c>
      <c r="O30" t="inlineStr">
        <is>
          <t>HIGH</t>
        </is>
      </c>
      <c r="P30" t="inlineStr">
        <is>
          <t>HIGH</t>
        </is>
      </c>
      <c r="Q30" t="inlineStr">
        <is>
          <t>HIGH</t>
        </is>
      </c>
      <c r="R30" t="inlineStr">
        <is>
          <t>INCLUDE</t>
        </is>
      </c>
      <c r="T30" t="inlineStr">
        <is>
          <t>CURRENT</t>
        </is>
      </c>
      <c r="V30" t="inlineStr">
        <is>
          <t>Project-mentioned candidate. Include while the species standard remains applicable during ASC transition.</t>
        </is>
      </c>
      <c r="X30" t="inlineStr">
        <is>
          <t>C_Certification_Scheme</t>
        </is>
      </c>
      <c r="Y30" t="inlineStr">
        <is>
          <t>Aquaculture Stewardship Council</t>
        </is>
      </c>
      <c r="Z30" t="inlineStr">
        <is>
          <t>International</t>
        </is>
      </c>
      <c r="AA30" t="inlineStr">
        <is>
          <t>Scheme standard</t>
        </is>
      </c>
      <c r="AB30" t="inlineStr">
        <is>
          <t>Certification scheme</t>
        </is>
      </c>
      <c r="AC30" t="inlineStr">
        <is>
          <t>Primary normative</t>
        </is>
      </c>
      <c r="AD30" t="inlineStr">
        <is>
          <t>English</t>
        </is>
      </c>
      <c r="AE30" t="inlineStr">
        <is>
          <t>pdf</t>
        </is>
      </c>
      <c r="AF30" t="inlineStr">
        <is>
          <t>1.5</t>
        </is>
      </c>
      <c r="AG30" t="n">
        <v>45943</v>
      </c>
      <c r="AH30" t="inlineStr">
        <is>
          <t>Official scheme standard issued by Aquaculture Stewardship Council; included because it may impose binding requirements on an in-scope aquaculture asset, activity, permit or certification.</t>
        </is>
      </c>
      <c r="AI30" t="inlineStr">
        <is>
          <t>HIGH</t>
        </is>
      </c>
      <c r="AJ30" t="inlineStr">
        <is>
          <t>OFFICIAL_WEBSITE</t>
        </is>
      </c>
      <c r="AK30" t="inlineStr">
        <is>
          <t>OFFICIAL_ORIGINAL</t>
        </is>
      </c>
      <c r="AL30" t="inlineStr">
        <is>
          <t>VERSIONED</t>
        </is>
      </c>
      <c r="AN30" t="inlineStr">
        <is>
          <t>REV-5c7b29945d5ca3e1</t>
        </is>
      </c>
      <c r="AO30" s="189" t="n"/>
      <c r="AP30" s="189" t="n">
        <v>46266.41396990741</v>
      </c>
      <c r="AQ30" s="189" t="n">
        <v>46265.41666666666</v>
      </c>
      <c r="AR30" t="inlineStr">
        <is>
          <t>{"action": "APPLY_FIELD_UPDATES", "issue_codes": ["DUPLICATE_OFFICIAL_URL"], "retry_after_apply": false, "review_fingerprint": "e3b0c44298fc1c14", "source_fingerprint": "a7a56653614f3dbc9706", "source_id": "CS004", "updates": {}}</t>
        </is>
      </c>
    </row>
    <row r="31" hidden="1" ht="38" customHeight="1" s="41">
      <c r="A31" s="182" t="inlineStr">
        <is>
          <t>CS005</t>
        </is>
      </c>
      <c r="B31" s="183" t="inlineStr">
        <is>
          <t>ASC Farm and Feed Certification and Accreditation Requirements</t>
        </is>
      </c>
      <c r="C31" s="183" t="inlineStr">
        <is>
          <t>SOURCE_REVIEW</t>
        </is>
      </c>
      <c r="D31" s="183" t="inlineStr">
        <is>
          <t>DUPLICATE_OFFICIAL_URL</t>
        </is>
      </c>
      <c r="E31" s="183" t="inlineStr">
        <is>
          <t>Confirm whether this record is a distinct source, correct its identity, or exclude it.</t>
        </is>
      </c>
      <c r="F31" s="184" t="inlineStr">
        <is>
          <t>PENDING</t>
        </is>
      </c>
      <c r="G31" s="185" t="n"/>
      <c r="H31" s="206" t="n"/>
      <c r="I31" s="207" t="inlineStr">
        <is>
          <t>APPLIED</t>
        </is>
      </c>
      <c r="J31" s="183" t="inlineStr">
        <is>
          <t>Superseded by the current consolidated source task or resolved source state.</t>
        </is>
      </c>
      <c r="K31" s="188" t="inlineStr">
        <is>
          <t>https://programme-centre.asc-aqua.org/resource-hub/?filter=farm</t>
        </is>
      </c>
      <c r="L31" s="188" t="inlineStr">
        <is>
          <t>https://programme-centre.asc-aqua.org/app/uploads/2025/04/ASC-CAR-001-ASC-Farm-and-Feed-CAR-V1.0-May-2025.pdf</t>
        </is>
      </c>
      <c r="M31" t="inlineStr">
        <is>
          <t>HIGH</t>
        </is>
      </c>
      <c r="N31" t="inlineStr">
        <is>
          <t>HIGH</t>
        </is>
      </c>
      <c r="O31" t="inlineStr">
        <is>
          <t>HIGH</t>
        </is>
      </c>
      <c r="P31" t="inlineStr">
        <is>
          <t>HIGH</t>
        </is>
      </c>
      <c r="Q31" t="inlineStr">
        <is>
          <t>HIGH</t>
        </is>
      </c>
      <c r="R31" t="inlineStr">
        <is>
          <t>INCLUDE</t>
        </is>
      </c>
      <c r="T31" t="inlineStr">
        <is>
          <t>CURRENT</t>
        </is>
      </c>
      <c r="U31" t="inlineStr">
        <is>
          <t>CS001</t>
        </is>
      </c>
      <c r="V31" t="inlineStr">
        <is>
          <t>Official expansion. The ASC Farm Standard identifies this CAR as normative.</t>
        </is>
      </c>
      <c r="X31" t="inlineStr">
        <is>
          <t>C_Certification_Scheme</t>
        </is>
      </c>
      <c r="Y31" t="inlineStr">
        <is>
          <t>Aquaculture Stewardship Council</t>
        </is>
      </c>
      <c r="Z31" t="inlineStr">
        <is>
          <t>International</t>
        </is>
      </c>
      <c r="AA31" t="inlineStr">
        <is>
          <t>Scheme standard</t>
        </is>
      </c>
      <c r="AB31" t="inlineStr">
        <is>
          <t>Certification scheme</t>
        </is>
      </c>
      <c r="AC31" t="inlineStr">
        <is>
          <t>Referenced normative</t>
        </is>
      </c>
      <c r="AD31" t="inlineStr">
        <is>
          <t>English</t>
        </is>
      </c>
      <c r="AE31" t="inlineStr">
        <is>
          <t>pdf</t>
        </is>
      </c>
      <c r="AF31" t="inlineStr">
        <is>
          <t>1.0</t>
        </is>
      </c>
      <c r="AH31" t="inlineStr">
        <is>
          <t>Official referenced source from Aquaculture Stewardship Council; included because an applicable law, permit or certification scheme may make its provisions binding within the approved scope.</t>
        </is>
      </c>
      <c r="AI31" t="inlineStr">
        <is>
          <t>HIGH</t>
        </is>
      </c>
      <c r="AJ31" t="inlineStr">
        <is>
          <t>OFFICIAL_WEBSITE</t>
        </is>
      </c>
      <c r="AK31" t="inlineStr">
        <is>
          <t>OFFICIAL_ORIGINAL</t>
        </is>
      </c>
      <c r="AL31" t="inlineStr">
        <is>
          <t>VERSIONED</t>
        </is>
      </c>
      <c r="AN31" t="inlineStr">
        <is>
          <t>REV-c877d3279e3b7c50</t>
        </is>
      </c>
      <c r="AO31" s="189" t="n"/>
      <c r="AP31" s="189" t="n">
        <v>46266.41396990741</v>
      </c>
      <c r="AQ31" s="189" t="n">
        <v>46265.41666666666</v>
      </c>
      <c r="AR31" t="inlineStr">
        <is>
          <t>{"action": "APPLY_FIELD_UPDATES", "issue_codes": ["DUPLICATE_OFFICIAL_URL"], "retry_after_apply": false, "review_fingerprint": "e3b0c44298fc1c14", "source_fingerprint": "bb7df6bf2e0cba15c192", "source_id": "CS005", "updates": {}}</t>
        </is>
      </c>
    </row>
    <row r="32" hidden="1" ht="38" customHeight="1" s="41">
      <c r="A32" s="190" t="inlineStr">
        <is>
          <t>CS006</t>
        </is>
      </c>
      <c r="B32" s="191" t="inlineStr">
        <is>
          <t>ASC Group Requirements for Farms</t>
        </is>
      </c>
      <c r="C32" s="191" t="inlineStr">
        <is>
          <t>SOURCE_REVIEW</t>
        </is>
      </c>
      <c r="D32" s="191" t="inlineStr">
        <is>
          <t>DUPLICATE_OFFICIAL_URL; MISSING_RETRIEVAL_URL; SELECTION_PENDING</t>
        </is>
      </c>
      <c r="E32" s="191"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2" s="184" t="inlineStr">
        <is>
          <t>PENDING</t>
        </is>
      </c>
      <c r="G32" s="185" t="n"/>
      <c r="H32" s="206" t="n"/>
      <c r="I32" s="207" t="inlineStr">
        <is>
          <t>APPLIED</t>
        </is>
      </c>
      <c r="J32" s="191" t="inlineStr">
        <is>
          <t>Superseded by the current consolidated source task or resolved source state.</t>
        </is>
      </c>
      <c r="K32" s="192" t="inlineStr">
        <is>
          <t>https://programme-centre.asc-aqua.org/resource-hub/?filter=farm</t>
        </is>
      </c>
      <c r="M32" t="inlineStr">
        <is>
          <t>HIGH</t>
        </is>
      </c>
      <c r="N32" t="inlineStr">
        <is>
          <t>MEDIUM</t>
        </is>
      </c>
      <c r="O32" t="inlineStr">
        <is>
          <t>MEDIUM</t>
        </is>
      </c>
      <c r="P32" t="inlineStr">
        <is>
          <t>MEDIUM</t>
        </is>
      </c>
      <c r="Q32" t="inlineStr">
        <is>
          <t>HIGH</t>
        </is>
      </c>
      <c r="R32" t="inlineStr">
        <is>
          <t>PENDING</t>
        </is>
      </c>
      <c r="T32" t="inlineStr">
        <is>
          <t>CURRENT</t>
        </is>
      </c>
      <c r="U32" t="inlineStr">
        <is>
          <t>CS001</t>
        </is>
      </c>
      <c r="V32" t="inlineStr">
        <is>
          <t>Official expansion. Conditional on group certification structure.</t>
        </is>
      </c>
      <c r="X32" t="inlineStr">
        <is>
          <t>C_Certification_Scheme</t>
        </is>
      </c>
      <c r="Y32" t="inlineStr">
        <is>
          <t>Aquaculture Stewardship Council</t>
        </is>
      </c>
      <c r="Z32" t="inlineStr">
        <is>
          <t>International</t>
        </is>
      </c>
      <c r="AA32" t="inlineStr">
        <is>
          <t>Scheme standard</t>
        </is>
      </c>
      <c r="AB32" t="inlineStr">
        <is>
          <t>Certification scheme</t>
        </is>
      </c>
      <c r="AC32" t="inlineStr">
        <is>
          <t>Referenced normative</t>
        </is>
      </c>
      <c r="AD32" t="inlineStr">
        <is>
          <t>English</t>
        </is>
      </c>
      <c r="AE32" t="inlineStr">
        <is>
          <t>pdf</t>
        </is>
      </c>
      <c r="AF32" t="inlineStr">
        <is>
          <t>1.0</t>
        </is>
      </c>
      <c r="AH32" t="inlineStr">
        <is>
          <t>Official referenced source from Aquaculture Stewardship Council; included because an applicable law, permit or certification scheme may make its provisions binding within the approved scope.</t>
        </is>
      </c>
      <c r="AI32" t="inlineStr">
        <is>
          <t>LOW</t>
        </is>
      </c>
      <c r="AJ32" t="inlineStr">
        <is>
          <t>OFFICIAL_WEBSITE</t>
        </is>
      </c>
      <c r="AK32" t="inlineStr">
        <is>
          <t>OFFICIAL_ORIGINAL</t>
        </is>
      </c>
      <c r="AL32" t="inlineStr">
        <is>
          <t>VERSIONED</t>
        </is>
      </c>
      <c r="AN32" t="inlineStr">
        <is>
          <t>REV-a1519927338ed1f6</t>
        </is>
      </c>
      <c r="AO32" s="189" t="n"/>
      <c r="AP32" s="189" t="n">
        <v>46266.41396990741</v>
      </c>
      <c r="AQ32" s="189" t="n">
        <v>46265.41666666666</v>
      </c>
      <c r="AR32" t="inlineStr">
        <is>
          <t>{"action": "APPLY_FIELD_UPDATES", "issue_codes": ["DUPLICATE_OFFICIAL_URL", "MISSING_RETRIEVAL_URL", "SELECTION_PENDING"], "retry_after_apply": false, "review_fingerprint": "f520841686ac8957", "source_fingerprint": "06f2c6186305eef8c346", "source_id": "CS006", "updates": {}}</t>
        </is>
      </c>
    </row>
    <row r="33" hidden="1" ht="38" customHeight="1" s="41">
      <c r="A33" s="182" t="inlineStr">
        <is>
          <t>CS007</t>
        </is>
      </c>
      <c r="B33" s="183" t="inlineStr">
        <is>
          <t>ASC Data Submission Procedure</t>
        </is>
      </c>
      <c r="C33" s="183" t="inlineStr">
        <is>
          <t>SOURCE_REVIEW</t>
        </is>
      </c>
      <c r="D33" s="183" t="inlineStr">
        <is>
          <t>DUPLICATE_OFFICIAL_URL; MISSING_RETRIEVAL_URL; SELECTION_PENDING</t>
        </is>
      </c>
      <c r="E33" s="18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3" s="184" t="inlineStr">
        <is>
          <t>PENDING</t>
        </is>
      </c>
      <c r="G33" s="185" t="n"/>
      <c r="H33" s="206" t="n"/>
      <c r="I33" s="207" t="inlineStr">
        <is>
          <t>APPLIED</t>
        </is>
      </c>
      <c r="J33" s="183" t="inlineStr">
        <is>
          <t>Superseded by the current consolidated source task or resolved source state.</t>
        </is>
      </c>
      <c r="K33" s="188" t="inlineStr">
        <is>
          <t>https://programme-centre.asc-aqua.org/resource-hub/?filter=farm</t>
        </is>
      </c>
      <c r="M33" t="inlineStr">
        <is>
          <t>HIGH</t>
        </is>
      </c>
      <c r="N33" t="inlineStr">
        <is>
          <t>HIGH</t>
        </is>
      </c>
      <c r="O33" t="inlineStr">
        <is>
          <t>MEDIUM</t>
        </is>
      </c>
      <c r="P33" t="inlineStr">
        <is>
          <t>MEDIUM</t>
        </is>
      </c>
      <c r="Q33" t="inlineStr">
        <is>
          <t>HIGH</t>
        </is>
      </c>
      <c r="R33" t="inlineStr">
        <is>
          <t>PENDING</t>
        </is>
      </c>
      <c r="T33" t="inlineStr">
        <is>
          <t>CURRENT</t>
        </is>
      </c>
      <c r="U33" t="inlineStr">
        <is>
          <t>CS001</t>
        </is>
      </c>
      <c r="V33" t="inlineStr">
        <is>
          <t>Official expansion. The ASC Farm Standard lists this procedure among normative references.</t>
        </is>
      </c>
      <c r="X33" t="inlineStr">
        <is>
          <t>C_Certification_Scheme</t>
        </is>
      </c>
      <c r="Y33" t="inlineStr">
        <is>
          <t>Aquaculture Stewardship Council</t>
        </is>
      </c>
      <c r="Z33" t="inlineStr">
        <is>
          <t>International</t>
        </is>
      </c>
      <c r="AA33" t="inlineStr">
        <is>
          <t>Scheme standard</t>
        </is>
      </c>
      <c r="AB33" t="inlineStr">
        <is>
          <t>Certification scheme</t>
        </is>
      </c>
      <c r="AC33" t="inlineStr">
        <is>
          <t>Referenced normative</t>
        </is>
      </c>
      <c r="AD33" t="inlineStr">
        <is>
          <t>English</t>
        </is>
      </c>
      <c r="AE33" t="inlineStr">
        <is>
          <t>pdf</t>
        </is>
      </c>
      <c r="AF33" t="inlineStr">
        <is>
          <t>1.0</t>
        </is>
      </c>
      <c r="AH33" t="inlineStr">
        <is>
          <t>Official referenced source from Aquaculture Stewardship Council; included because an applicable law, permit or certification scheme may make its provisions binding within the approved scope.</t>
        </is>
      </c>
      <c r="AI33" t="inlineStr">
        <is>
          <t>LOW</t>
        </is>
      </c>
      <c r="AJ33" t="inlineStr">
        <is>
          <t>OFFICIAL_WEBSITE</t>
        </is>
      </c>
      <c r="AK33" t="inlineStr">
        <is>
          <t>OFFICIAL_ORIGINAL</t>
        </is>
      </c>
      <c r="AL33" t="inlineStr">
        <is>
          <t>VERSIONED</t>
        </is>
      </c>
      <c r="AN33" t="inlineStr">
        <is>
          <t>REV-0c593b44a19c5a8f</t>
        </is>
      </c>
      <c r="AO33" s="189" t="n"/>
      <c r="AP33" s="189" t="n">
        <v>46266.41396990741</v>
      </c>
      <c r="AQ33" s="189" t="n">
        <v>46265.41666666666</v>
      </c>
      <c r="AR33" t="inlineStr">
        <is>
          <t>{"action": "APPLY_FIELD_UPDATES", "issue_codes": ["DUPLICATE_OFFICIAL_URL", "MISSING_RETRIEVAL_URL", "SELECTION_PENDING"], "retry_after_apply": false, "review_fingerprint": "e130671ccb2b3b20", "source_fingerprint": "c23c11db5a7bea053a09", "source_id": "CS007", "updates": {}}</t>
        </is>
      </c>
    </row>
    <row r="34" hidden="1" ht="38" customHeight="1" s="41">
      <c r="A34" s="190" t="inlineStr">
        <is>
          <t>CS008</t>
        </is>
      </c>
      <c r="B34" s="191" t="inlineStr">
        <is>
          <t>GLOBALG.A.P. IFA v6 Smart for aquaculture - Principles and criteria</t>
        </is>
      </c>
      <c r="C34" s="191" t="inlineStr">
        <is>
          <t>SOURCE_REVIEW</t>
        </is>
      </c>
      <c r="D34" s="191" t="inlineStr">
        <is>
          <t>DUPLICATE_OFFICIAL_URL; MISSING_RETRIEVAL_URL; SELECTION_PENDING</t>
        </is>
      </c>
      <c r="E34" s="191"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4" s="184" t="inlineStr">
        <is>
          <t>PENDING</t>
        </is>
      </c>
      <c r="G34" s="185" t="n"/>
      <c r="H34" s="206" t="n"/>
      <c r="I34" s="207" t="inlineStr">
        <is>
          <t>APPLIED</t>
        </is>
      </c>
      <c r="J34" s="191" t="inlineStr">
        <is>
          <t>Superseded by the current consolidated source task or resolved source state.</t>
        </is>
      </c>
      <c r="K34" s="192" t="inlineStr">
        <is>
          <t>https://globalgap.org/what-we-offer/solutions/ifa-aquaculture/</t>
        </is>
      </c>
      <c r="M34" t="inlineStr">
        <is>
          <t>HIGH</t>
        </is>
      </c>
      <c r="N34" t="inlineStr">
        <is>
          <t>HIGH</t>
        </is>
      </c>
      <c r="O34" t="inlineStr">
        <is>
          <t>MEDIUM</t>
        </is>
      </c>
      <c r="P34" t="inlineStr">
        <is>
          <t>MEDIUM</t>
        </is>
      </c>
      <c r="Q34" t="inlineStr">
        <is>
          <t>HIGH</t>
        </is>
      </c>
      <c r="R34" t="inlineStr">
        <is>
          <t>PENDING</t>
        </is>
      </c>
      <c r="T34" t="inlineStr">
        <is>
          <t>CURRENT</t>
        </is>
      </c>
      <c r="V34" t="inlineStr">
        <is>
          <t>Project-mentioned scheme source. The repository contains the checklist, but the P&amp;C document is the primary normative source.</t>
        </is>
      </c>
      <c r="X34" t="inlineStr">
        <is>
          <t>C_Certification_Scheme</t>
        </is>
      </c>
      <c r="Y34" t="inlineStr">
        <is>
          <t>GLOBALG.A.P.</t>
        </is>
      </c>
      <c r="Z34" t="inlineStr">
        <is>
          <t>International</t>
        </is>
      </c>
      <c r="AA34" t="inlineStr">
        <is>
          <t>Scheme standard</t>
        </is>
      </c>
      <c r="AB34" t="inlineStr">
        <is>
          <t>Certification scheme</t>
        </is>
      </c>
      <c r="AC34" t="inlineStr">
        <is>
          <t>Primary normative</t>
        </is>
      </c>
      <c r="AD34" t="inlineStr">
        <is>
          <t>English</t>
        </is>
      </c>
      <c r="AE34" t="inlineStr">
        <is>
          <t>pdf</t>
        </is>
      </c>
      <c r="AF34" t="inlineStr">
        <is>
          <t>V6</t>
        </is>
      </c>
      <c r="AH34" t="inlineStr">
        <is>
          <t>Official scheme standard issued by GLOBALG.A.P.; included because it may impose binding requirements on an in-scope aquaculture asset, activity, permit or certification.</t>
        </is>
      </c>
      <c r="AI34" t="inlineStr">
        <is>
          <t>LOW</t>
        </is>
      </c>
      <c r="AJ34" t="inlineStr">
        <is>
          <t>OFFICIAL_WEBSITE</t>
        </is>
      </c>
      <c r="AK34" t="inlineStr">
        <is>
          <t>OFFICIAL_ORIGINAL</t>
        </is>
      </c>
      <c r="AL34" t="inlineStr">
        <is>
          <t>VERSIONED</t>
        </is>
      </c>
      <c r="AN34" t="inlineStr">
        <is>
          <t>REV-565e876ffeb3a989</t>
        </is>
      </c>
      <c r="AO34" s="189" t="n"/>
      <c r="AP34" s="189" t="n">
        <v>46266.41396990741</v>
      </c>
      <c r="AQ34" s="189" t="n">
        <v>46265.41666666666</v>
      </c>
      <c r="AR34" t="inlineStr">
        <is>
          <t>{"action": "APPLY_FIELD_UPDATES", "issue_codes": ["DUPLICATE_OFFICIAL_URL", "MISSING_RETRIEVAL_URL", "SELECTION_PENDING"], "retry_after_apply": false, "review_fingerprint": "7004ddede14ea42e", "source_fingerprint": "21e7c3350d68128954b9", "source_id": "CS008", "updates": {}}</t>
        </is>
      </c>
    </row>
    <row r="35" hidden="1" ht="38" customHeight="1" s="41">
      <c r="A35" s="182" t="inlineStr">
        <is>
          <t>CS009</t>
        </is>
      </c>
      <c r="B35" s="183" t="inlineStr">
        <is>
          <t>GLOBALG.A.P. IFA v6 Smart for aquaculture - Checklist</t>
        </is>
      </c>
      <c r="C35" s="183" t="inlineStr">
        <is>
          <t>SOURCE_REVIEW</t>
        </is>
      </c>
      <c r="D35" s="183" t="inlineStr">
        <is>
          <t>DUPLICATE_OFFICIAL_URL; MISSING_RETRIEVAL_URL; SELECTION_PENDING</t>
        </is>
      </c>
      <c r="E35" s="18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5" s="184" t="inlineStr">
        <is>
          <t>PENDING</t>
        </is>
      </c>
      <c r="G35" s="185" t="n"/>
      <c r="H35" s="206" t="n"/>
      <c r="I35" s="207" t="inlineStr">
        <is>
          <t>APPLIED</t>
        </is>
      </c>
      <c r="J35" s="183" t="inlineStr">
        <is>
          <t>Superseded by the current consolidated source task or resolved source state.</t>
        </is>
      </c>
      <c r="K35" s="188" t="inlineStr">
        <is>
          <t>https://globalgap.org/what-we-offer/solutions/ifa-aquaculture/</t>
        </is>
      </c>
      <c r="M35" t="inlineStr">
        <is>
          <t>HIGH</t>
        </is>
      </c>
      <c r="N35" t="inlineStr">
        <is>
          <t>HIGH</t>
        </is>
      </c>
      <c r="O35" t="inlineStr">
        <is>
          <t>MEDIUM</t>
        </is>
      </c>
      <c r="P35" t="inlineStr">
        <is>
          <t>MEDIUM</t>
        </is>
      </c>
      <c r="Q35" t="inlineStr">
        <is>
          <t>HIGH</t>
        </is>
      </c>
      <c r="R35" t="inlineStr">
        <is>
          <t>PENDING</t>
        </is>
      </c>
      <c r="T35" t="inlineStr">
        <is>
          <t>CURRENT</t>
        </is>
      </c>
      <c r="U35" t="inlineStr">
        <is>
          <t>CS008</t>
        </is>
      </c>
      <c r="V35" t="inlineStr">
        <is>
          <t>Repository-held assessment artifact. Official distribution may be ZIP/XLSX; trace requirements to CS008.</t>
        </is>
      </c>
      <c r="X35" t="inlineStr">
        <is>
          <t>C_Certification_Scheme</t>
        </is>
      </c>
      <c r="Y35" t="inlineStr">
        <is>
          <t>GLOBALG.A.P.</t>
        </is>
      </c>
      <c r="Z35" t="inlineStr">
        <is>
          <t>International</t>
        </is>
      </c>
      <c r="AA35" t="inlineStr">
        <is>
          <t>Audit / assessment document</t>
        </is>
      </c>
      <c r="AB35" t="inlineStr">
        <is>
          <t>Certification scheme</t>
        </is>
      </c>
      <c r="AC35" t="inlineStr">
        <is>
          <t>Audit / assessment tool</t>
        </is>
      </c>
      <c r="AD35" t="inlineStr">
        <is>
          <t>English</t>
        </is>
      </c>
      <c r="AE35" t="inlineStr">
        <is>
          <t>xlsx</t>
        </is>
      </c>
      <c r="AF35" t="inlineStr">
        <is>
          <t>V6</t>
        </is>
      </c>
      <c r="AH35" t="inlineStr">
        <is>
          <t>Official assessment tool from GLOBALG.A.P.; included to structure compliance checks and trace evidence back to its linked normative source.</t>
        </is>
      </c>
      <c r="AI35" t="inlineStr">
        <is>
          <t>LOW</t>
        </is>
      </c>
      <c r="AJ35" t="inlineStr">
        <is>
          <t>OFFICIAL_WEBSITE</t>
        </is>
      </c>
      <c r="AK35" t="inlineStr">
        <is>
          <t>OFFICIAL_ORIGINAL</t>
        </is>
      </c>
      <c r="AL35" t="inlineStr">
        <is>
          <t>VERSIONED</t>
        </is>
      </c>
      <c r="AN35" t="inlineStr">
        <is>
          <t>REV-1eacbdadf7698db5</t>
        </is>
      </c>
      <c r="AO35" s="189" t="n"/>
      <c r="AP35" s="189" t="n">
        <v>46266.41396990741</v>
      </c>
      <c r="AQ35" s="189" t="n">
        <v>46265.41666666666</v>
      </c>
      <c r="AR35" t="inlineStr">
        <is>
          <t>{"action": "APPLY_FIELD_UPDATES", "issue_codes": ["DUPLICATE_OFFICIAL_URL", "MISSING_RETRIEVAL_URL", "SELECTION_PENDING"], "retry_after_apply": false, "review_fingerprint": "459ec814550586ea", "source_fingerprint": "03883cc7e0a5487eb0f1", "source_id": "CS009", "updates": {}}</t>
        </is>
      </c>
    </row>
    <row r="36" hidden="1" ht="38" customHeight="1" s="41">
      <c r="A36" s="190" t="inlineStr">
        <is>
          <t>CS010</t>
        </is>
      </c>
      <c r="B36" s="191" t="inlineStr">
        <is>
          <t>GLOBALG.A.P. General Regulations - Rules for aquaculture scope</t>
        </is>
      </c>
      <c r="C36" s="191" t="inlineStr">
        <is>
          <t>SOURCE_REVIEW</t>
        </is>
      </c>
      <c r="D36" s="191" t="inlineStr">
        <is>
          <t>DUPLICATE_OFFICIAL_URL</t>
        </is>
      </c>
      <c r="E36" s="191" t="inlineStr">
        <is>
          <t>Confirm whether this record is a distinct source, correct its identity, or exclude it.</t>
        </is>
      </c>
      <c r="F36" s="184" t="inlineStr">
        <is>
          <t>PENDING</t>
        </is>
      </c>
      <c r="G36" s="185" t="n"/>
      <c r="H36" s="206" t="n"/>
      <c r="I36" s="207" t="inlineStr">
        <is>
          <t>APPLIED</t>
        </is>
      </c>
      <c r="J36" s="191" t="inlineStr">
        <is>
          <t>Superseded by the current consolidated source task or resolved source state.</t>
        </is>
      </c>
      <c r="K36" s="192" t="inlineStr">
        <is>
          <t>https://globalgap.org/what-we-offer/solutions/ifa-aquaculture/</t>
        </is>
      </c>
      <c r="L36" s="192" t="inlineStr">
        <is>
          <t>https://documents.globalgap.org/documents/220929_GG_GR_Rules_for_aquaculture_v6_0_Sep22_en.pdf</t>
        </is>
      </c>
      <c r="M36" t="inlineStr">
        <is>
          <t>HIGH</t>
        </is>
      </c>
      <c r="N36" t="inlineStr">
        <is>
          <t>HIGH</t>
        </is>
      </c>
      <c r="O36" t="inlineStr">
        <is>
          <t>HIGH</t>
        </is>
      </c>
      <c r="P36" t="inlineStr">
        <is>
          <t>HIGH</t>
        </is>
      </c>
      <c r="Q36" t="inlineStr">
        <is>
          <t>HIGH</t>
        </is>
      </c>
      <c r="R36" t="inlineStr">
        <is>
          <t>INCLUDE</t>
        </is>
      </c>
      <c r="T36" t="inlineStr">
        <is>
          <t>CURRENT</t>
        </is>
      </c>
      <c r="U36" t="inlineStr">
        <is>
          <t>CS008</t>
        </is>
      </c>
      <c r="V36" t="inlineStr">
        <is>
          <t>Official expansion. GLOBALG.A.P. identifies the general regulations as required for certification.</t>
        </is>
      </c>
      <c r="X36" t="inlineStr">
        <is>
          <t>C_Certification_Scheme</t>
        </is>
      </c>
      <c r="Y36" t="inlineStr">
        <is>
          <t>GLOBALG.A.P.</t>
        </is>
      </c>
      <c r="Z36" t="inlineStr">
        <is>
          <t>International</t>
        </is>
      </c>
      <c r="AA36" t="inlineStr">
        <is>
          <t>Scheme standard</t>
        </is>
      </c>
      <c r="AB36" t="inlineStr">
        <is>
          <t>Certification scheme</t>
        </is>
      </c>
      <c r="AC36" t="inlineStr">
        <is>
          <t>Referenced normative</t>
        </is>
      </c>
      <c r="AD36" t="inlineStr">
        <is>
          <t>English</t>
        </is>
      </c>
      <c r="AE36" t="inlineStr">
        <is>
          <t>pdf</t>
        </is>
      </c>
      <c r="AF36" t="inlineStr">
        <is>
          <t>6.0</t>
        </is>
      </c>
      <c r="AH36" t="inlineStr">
        <is>
          <t>Official referenced source from GLOBALG.A.P.; included because an applicable law, permit or certification scheme may make its provisions binding within the approved scope.</t>
        </is>
      </c>
      <c r="AI36" t="inlineStr">
        <is>
          <t>HIGH</t>
        </is>
      </c>
      <c r="AJ36" t="inlineStr">
        <is>
          <t>OFFICIAL_WEBSITE</t>
        </is>
      </c>
      <c r="AK36" t="inlineStr">
        <is>
          <t>OFFICIAL_ORIGINAL</t>
        </is>
      </c>
      <c r="AL36" t="inlineStr">
        <is>
          <t>VERSIONED</t>
        </is>
      </c>
      <c r="AN36" t="inlineStr">
        <is>
          <t>REV-3fdefe7f9888274e</t>
        </is>
      </c>
      <c r="AO36" s="189" t="n"/>
      <c r="AP36" s="189" t="n">
        <v>46266.41396990741</v>
      </c>
      <c r="AQ36" s="189" t="n">
        <v>46265.41666666666</v>
      </c>
      <c r="AR36" t="inlineStr">
        <is>
          <t>{"action": "APPLY_FIELD_UPDATES", "issue_codes": ["DUPLICATE_OFFICIAL_URL"], "retry_after_apply": false, "review_fingerprint": "e3b0c44298fc1c14", "source_fingerprint": "17f1541f0a581abbb0a9", "source_id": "CS010", "updates": {}}</t>
        </is>
      </c>
    </row>
    <row r="37" hidden="1" ht="38" customHeight="1" s="41">
      <c r="A37" s="182" t="inlineStr">
        <is>
          <t>CS011</t>
        </is>
      </c>
      <c r="B37" s="183" t="inlineStr">
        <is>
          <t>GLOBALG.A.P. GRASP v2 - Principles and criteria</t>
        </is>
      </c>
      <c r="C37" s="183" t="inlineStr">
        <is>
          <t>SOURCE_REVIEW</t>
        </is>
      </c>
      <c r="D37" s="183" t="inlineStr">
        <is>
          <t>DUPLICATE_OFFICIAL_URL</t>
        </is>
      </c>
      <c r="E37" s="183" t="inlineStr">
        <is>
          <t>Confirm whether this record is a distinct source, correct its identity, or exclude it.</t>
        </is>
      </c>
      <c r="F37" s="184" t="inlineStr">
        <is>
          <t>PENDING</t>
        </is>
      </c>
      <c r="G37" s="185" t="n"/>
      <c r="H37" s="206" t="n"/>
      <c r="I37" s="207" t="inlineStr">
        <is>
          <t>APPLIED</t>
        </is>
      </c>
      <c r="J37" s="183" t="inlineStr">
        <is>
          <t>Superseded by the current consolidated source task or resolved source state.</t>
        </is>
      </c>
      <c r="K37" s="188" t="inlineStr">
        <is>
          <t>https://globalgap.org/what-we-offer/solutions/grasp/</t>
        </is>
      </c>
      <c r="L37" s="188" t="inlineStr">
        <is>
          <t>https://documents.globalgap.org/documents/220929_GRASP_PCs_v2_0_Sep22_en.pdf</t>
        </is>
      </c>
      <c r="M37" t="inlineStr">
        <is>
          <t>HIGH</t>
        </is>
      </c>
      <c r="N37" t="inlineStr">
        <is>
          <t>HIGH</t>
        </is>
      </c>
      <c r="O37" t="inlineStr">
        <is>
          <t>HIGH</t>
        </is>
      </c>
      <c r="P37" t="inlineStr">
        <is>
          <t>HIGH</t>
        </is>
      </c>
      <c r="Q37" t="inlineStr">
        <is>
          <t>HIGH</t>
        </is>
      </c>
      <c r="R37" t="inlineStr">
        <is>
          <t>INCLUDE</t>
        </is>
      </c>
      <c r="T37" t="inlineStr">
        <is>
          <t>CURRENT</t>
        </is>
      </c>
      <c r="U37" t="inlineStr">
        <is>
          <t>CS008</t>
        </is>
      </c>
      <c r="V37" t="inlineStr">
        <is>
          <t>Official expansion. GLOBALG.A.P. states GRASP is mandatory for IFA aquaculture audits.</t>
        </is>
      </c>
      <c r="X37" t="inlineStr">
        <is>
          <t>C_Certification_Scheme</t>
        </is>
      </c>
      <c r="Y37" t="inlineStr">
        <is>
          <t>GLOBALG.A.P.</t>
        </is>
      </c>
      <c r="Z37" t="inlineStr">
        <is>
          <t>International</t>
        </is>
      </c>
      <c r="AA37" t="inlineStr">
        <is>
          <t>Scheme standard</t>
        </is>
      </c>
      <c r="AB37" t="inlineStr">
        <is>
          <t>Certification scheme</t>
        </is>
      </c>
      <c r="AC37" t="inlineStr">
        <is>
          <t>Referenced normative</t>
        </is>
      </c>
      <c r="AD37" t="inlineStr">
        <is>
          <t>English</t>
        </is>
      </c>
      <c r="AE37" t="inlineStr">
        <is>
          <t>pdf</t>
        </is>
      </c>
      <c r="AF37" t="inlineStr">
        <is>
          <t>2.0_Sep22</t>
        </is>
      </c>
      <c r="AH37" t="inlineStr">
        <is>
          <t>Official referenced source from GLOBALG.A.P.; included because an applicable law, permit or certification scheme may make its provisions binding within the approved scope.</t>
        </is>
      </c>
      <c r="AI37" t="inlineStr">
        <is>
          <t>HIGH</t>
        </is>
      </c>
      <c r="AJ37" t="inlineStr">
        <is>
          <t>OFFICIAL_WEBSITE</t>
        </is>
      </c>
      <c r="AK37" t="inlineStr">
        <is>
          <t>OFFICIAL_ORIGINAL</t>
        </is>
      </c>
      <c r="AL37" t="inlineStr">
        <is>
          <t>VERSIONED</t>
        </is>
      </c>
      <c r="AN37" t="inlineStr">
        <is>
          <t>REV-9853d40d6dbd9e44</t>
        </is>
      </c>
      <c r="AO37" s="189" t="n"/>
      <c r="AP37" s="189" t="n">
        <v>46266.41396990741</v>
      </c>
      <c r="AQ37" s="189" t="n">
        <v>46265.41666666666</v>
      </c>
      <c r="AR37" t="inlineStr">
        <is>
          <t>{"action": "APPLY_FIELD_UPDATES", "issue_codes": ["DUPLICATE_OFFICIAL_URL"], "retry_after_apply": false, "review_fingerprint": "e3b0c44298fc1c14", "source_fingerprint": "99d5698ee7deccd81c6e", "source_id": "CS011", "updates": {}}</t>
        </is>
      </c>
    </row>
    <row r="38" hidden="1" ht="38" customHeight="1" s="41">
      <c r="A38" s="190" t="inlineStr">
        <is>
          <t>CS012</t>
        </is>
      </c>
      <c r="B38" s="191" t="inlineStr">
        <is>
          <t>GLOBALG.A.P. Compound Feed Manufacturing Standard</t>
        </is>
      </c>
      <c r="C38" s="191" t="inlineStr">
        <is>
          <t>SOURCE_REVIEW</t>
        </is>
      </c>
      <c r="D38" s="191" t="inlineStr">
        <is>
          <t>MISSING_RETRIEVAL_URL; SELECTION_PENDING</t>
        </is>
      </c>
      <c r="E38" s="191" t="inlineStr">
        <is>
          <t>Provide the complete official HTML target when available, otherwise the original official file URL. | Review the human-governed source fields and choose INCLUDE, PENDING or EXCLUDE in Human Operation Desktop.</t>
        </is>
      </c>
      <c r="F38" s="184" t="inlineStr">
        <is>
          <t>PENDING</t>
        </is>
      </c>
      <c r="G38" s="185" t="n"/>
      <c r="H38" s="206" t="n"/>
      <c r="I38" s="207" t="inlineStr">
        <is>
          <t>APPLIED</t>
        </is>
      </c>
      <c r="J38" s="191" t="inlineStr">
        <is>
          <t>Superseded by the current consolidated source task or resolved source state.</t>
        </is>
      </c>
      <c r="K38" s="192" t="inlineStr">
        <is>
          <t>https://globalgap.org/what-we-offer/solutions/compound-feed-manufacturing/</t>
        </is>
      </c>
      <c r="M38" t="inlineStr">
        <is>
          <t>HIGH</t>
        </is>
      </c>
      <c r="N38" t="inlineStr">
        <is>
          <t>HIGH</t>
        </is>
      </c>
      <c r="O38" t="inlineStr">
        <is>
          <t>MEDIUM</t>
        </is>
      </c>
      <c r="P38" t="inlineStr">
        <is>
          <t>MEDIUM</t>
        </is>
      </c>
      <c r="Q38" t="inlineStr">
        <is>
          <t>HIGH</t>
        </is>
      </c>
      <c r="R38" t="inlineStr">
        <is>
          <t>PENDING</t>
        </is>
      </c>
      <c r="T38" t="inlineStr">
        <is>
          <t>CURRENT</t>
        </is>
      </c>
      <c r="U38" t="inlineStr">
        <is>
          <t>CS008</t>
        </is>
      </c>
      <c r="V38" t="inlineStr">
        <is>
          <t>Official expansion. Relevant to feed-sourcing requirements under IFA aquaculture.</t>
        </is>
      </c>
      <c r="X38" t="inlineStr">
        <is>
          <t>C_Certification_Scheme</t>
        </is>
      </c>
      <c r="Y38" t="inlineStr">
        <is>
          <t>GLOBALG.A.P.</t>
        </is>
      </c>
      <c r="Z38" t="inlineStr">
        <is>
          <t>International</t>
        </is>
      </c>
      <c r="AA38" t="inlineStr">
        <is>
          <t>Scheme standard</t>
        </is>
      </c>
      <c r="AB38" t="inlineStr">
        <is>
          <t>Certification scheme</t>
        </is>
      </c>
      <c r="AC38" t="inlineStr">
        <is>
          <t>Referenced normative</t>
        </is>
      </c>
      <c r="AD38" t="inlineStr">
        <is>
          <t>English</t>
        </is>
      </c>
      <c r="AE38" t="inlineStr">
        <is>
          <t>pdf</t>
        </is>
      </c>
      <c r="AH38" t="inlineStr">
        <is>
          <t>Official referenced source from GLOBALG.A.P.; included because an applicable law, permit or certification scheme may make its provisions binding within the approved scope.</t>
        </is>
      </c>
      <c r="AI38" t="inlineStr">
        <is>
          <t>LOW</t>
        </is>
      </c>
      <c r="AJ38" t="inlineStr">
        <is>
          <t>OFFICIAL_WEBSITE</t>
        </is>
      </c>
      <c r="AK38" t="inlineStr">
        <is>
          <t>OFFICIAL_ORIGINAL</t>
        </is>
      </c>
      <c r="AL38" t="inlineStr">
        <is>
          <t>VERSIONED</t>
        </is>
      </c>
      <c r="AN38" t="inlineStr">
        <is>
          <t>REV-31515b2e7f40399a</t>
        </is>
      </c>
      <c r="AO38" s="189" t="n"/>
      <c r="AP38" s="189" t="n">
        <v>46266.41396990741</v>
      </c>
      <c r="AQ38" s="189" t="n">
        <v>46265.41666666666</v>
      </c>
      <c r="AR38" t="inlineStr">
        <is>
          <t>{"action": "APPLY_FIELD_UPDATES", "issue_codes": ["MISSING_RETRIEVAL_URL", "SELECTION_PENDING"], "retry_after_apply": false, "review_fingerprint": "1bc858880d0469b4", "source_fingerprint": "cc5526b4cb976ae724eb", "source_id": "CS012", "updates": {}}</t>
        </is>
      </c>
    </row>
    <row r="39" hidden="1" ht="38" customHeight="1" s="41">
      <c r="A39" s="182" t="inlineStr">
        <is>
          <t>CS015</t>
        </is>
      </c>
      <c r="B39" s="183" t="inlineStr">
        <is>
          <t>GLOBALG.A.P. trademarks use: Policy and guidelines</t>
        </is>
      </c>
      <c r="C39" s="183" t="inlineStr">
        <is>
          <t>SOURCE_REVIEW</t>
        </is>
      </c>
      <c r="D39" s="183" t="inlineStr">
        <is>
          <t>DUPLICATE_OFFICIAL_URL</t>
        </is>
      </c>
      <c r="E39" s="183" t="inlineStr">
        <is>
          <t>Confirm whether this record is a distinct source, correct its identity, or exclude it.</t>
        </is>
      </c>
      <c r="F39" s="184" t="inlineStr">
        <is>
          <t>PENDING</t>
        </is>
      </c>
      <c r="G39" s="185" t="n"/>
      <c r="H39" s="206" t="n"/>
      <c r="I39" s="207" t="inlineStr">
        <is>
          <t>APPLIED</t>
        </is>
      </c>
      <c r="J39" s="183" t="inlineStr">
        <is>
          <t>Superseded by the current consolidated source task or resolved source state.</t>
        </is>
      </c>
      <c r="K39" s="188" t="inlineStr">
        <is>
          <t>https://globalgap.org/what-we-offer/solutions/ifa-aquaculture/</t>
        </is>
      </c>
      <c r="L39" s="188" t="inlineStr">
        <is>
          <t>https://documents.globalgap.org/documents/230523_GG_Trademarks_policy_v1_0-1_en.pdf</t>
        </is>
      </c>
      <c r="M39" t="inlineStr">
        <is>
          <t>HIGH</t>
        </is>
      </c>
      <c r="N39" t="inlineStr">
        <is>
          <t>HIGH</t>
        </is>
      </c>
      <c r="O39" t="inlineStr">
        <is>
          <t>HIGH</t>
        </is>
      </c>
      <c r="P39" t="inlineStr">
        <is>
          <t>HIGH</t>
        </is>
      </c>
      <c r="Q39" t="inlineStr">
        <is>
          <t>HIGH</t>
        </is>
      </c>
      <c r="R39" t="inlineStr">
        <is>
          <t>INCLUDE</t>
        </is>
      </c>
      <c r="T39" t="inlineStr">
        <is>
          <t>CURRENT</t>
        </is>
      </c>
      <c r="U39" t="inlineStr">
        <is>
          <t>CS008</t>
        </is>
      </c>
      <c r="V39" t="inlineStr">
        <is>
          <t>Coverage-audit expansion. The project checklist cites this policy for certification claims, marks and identification numbers.</t>
        </is>
      </c>
      <c r="X39" t="inlineStr">
        <is>
          <t>C_Certification_Scheme</t>
        </is>
      </c>
      <c r="Y39" t="inlineStr">
        <is>
          <t>GLOBALG.A.P.</t>
        </is>
      </c>
      <c r="Z39" t="inlineStr">
        <is>
          <t>International</t>
        </is>
      </c>
      <c r="AA39" t="inlineStr">
        <is>
          <t>Scheme standard</t>
        </is>
      </c>
      <c r="AB39" t="inlineStr">
        <is>
          <t>Certification scheme</t>
        </is>
      </c>
      <c r="AC39" t="inlineStr">
        <is>
          <t>Referenced normative</t>
        </is>
      </c>
      <c r="AD39" t="inlineStr">
        <is>
          <t>English</t>
        </is>
      </c>
      <c r="AE39" t="inlineStr">
        <is>
          <t>pdf</t>
        </is>
      </c>
      <c r="AF39" t="inlineStr">
        <is>
          <t>1.0-1</t>
        </is>
      </c>
      <c r="AH39" t="inlineStr">
        <is>
          <t>Official referenced source from GLOBALG.A.P.; included because an applicable law, permit or certification scheme may make its provisions binding within the approved scope.</t>
        </is>
      </c>
      <c r="AI39" t="inlineStr">
        <is>
          <t>HIGH</t>
        </is>
      </c>
      <c r="AJ39" t="inlineStr">
        <is>
          <t>OFFICIAL_WEBSITE</t>
        </is>
      </c>
      <c r="AK39" t="inlineStr">
        <is>
          <t>OFFICIAL_ORIGINAL</t>
        </is>
      </c>
      <c r="AL39" t="inlineStr">
        <is>
          <t>VERSIONED</t>
        </is>
      </c>
      <c r="AN39" t="inlineStr">
        <is>
          <t>REV-e27652c414f662de</t>
        </is>
      </c>
      <c r="AO39" s="189" t="n"/>
      <c r="AP39" s="189" t="n">
        <v>46266.41396990741</v>
      </c>
      <c r="AQ39" s="189" t="n">
        <v>46265.41666666666</v>
      </c>
      <c r="AR39" t="inlineStr">
        <is>
          <t>{"action": "APPLY_FIELD_UPDATES", "issue_codes": ["DUPLICATE_OFFICIAL_URL"], "retry_after_apply": false, "review_fingerprint": "e3b0c44298fc1c14", "source_fingerprint": "f64b01c7e13f83b56b2e", "source_id": "CS015", "updates": {}}</t>
        </is>
      </c>
    </row>
    <row r="40" hidden="1" ht="38" customHeight="1" s="41">
      <c r="A40" s="190" t="inlineStr">
        <is>
          <t>CS016</t>
        </is>
      </c>
      <c r="B40" s="191" t="inlineStr">
        <is>
          <t>GLOBALG.A.P. GRASP - General Rules</t>
        </is>
      </c>
      <c r="C40" s="191" t="inlineStr">
        <is>
          <t>SOURCE_REVIEW</t>
        </is>
      </c>
      <c r="D40" s="191" t="inlineStr">
        <is>
          <t>DUPLICATE_OFFICIAL_URL</t>
        </is>
      </c>
      <c r="E40" s="191" t="inlineStr">
        <is>
          <t>Confirm whether this record is a distinct source, correct its identity, or exclude it.</t>
        </is>
      </c>
      <c r="F40" s="184" t="inlineStr">
        <is>
          <t>PENDING</t>
        </is>
      </c>
      <c r="G40" s="185" t="n"/>
      <c r="H40" s="206" t="n"/>
      <c r="I40" s="207" t="inlineStr">
        <is>
          <t>APPLIED</t>
        </is>
      </c>
      <c r="J40" s="191" t="inlineStr">
        <is>
          <t>Superseded by the current consolidated source task or resolved source state.</t>
        </is>
      </c>
      <c r="K40" s="192" t="inlineStr">
        <is>
          <t>https://globalgap.org/what-we-offer/solutions/grasp/</t>
        </is>
      </c>
      <c r="L40" s="192" t="inlineStr">
        <is>
          <t>https://documents.globalgap.org/documents/220929_GRASP_general_rules_v2_0_Sep22_en.pdf</t>
        </is>
      </c>
      <c r="M40" t="inlineStr">
        <is>
          <t>HIGH</t>
        </is>
      </c>
      <c r="N40" t="inlineStr">
        <is>
          <t>HIGH</t>
        </is>
      </c>
      <c r="O40" t="inlineStr">
        <is>
          <t>HIGH</t>
        </is>
      </c>
      <c r="P40" t="inlineStr">
        <is>
          <t>HIGH</t>
        </is>
      </c>
      <c r="Q40" t="inlineStr">
        <is>
          <t>HIGH</t>
        </is>
      </c>
      <c r="R40" t="inlineStr">
        <is>
          <t>INCLUDE</t>
        </is>
      </c>
      <c r="T40" t="inlineStr">
        <is>
          <t>CURRENT</t>
        </is>
      </c>
      <c r="U40" t="inlineStr">
        <is>
          <t>CS011</t>
        </is>
      </c>
      <c r="V40" t="inlineStr">
        <is>
          <t>Coverage-audit expansion. GRASP is mandatory for IFA v6 aquaculture and these rules define its application and assessment process.</t>
        </is>
      </c>
      <c r="X40" t="inlineStr">
        <is>
          <t>C_Certification_Scheme</t>
        </is>
      </c>
      <c r="Y40" t="inlineStr">
        <is>
          <t>GLOBALG.A.P.</t>
        </is>
      </c>
      <c r="Z40" t="inlineStr">
        <is>
          <t>International</t>
        </is>
      </c>
      <c r="AA40" t="inlineStr">
        <is>
          <t>Scheme standard</t>
        </is>
      </c>
      <c r="AB40" t="inlineStr">
        <is>
          <t>Certification scheme</t>
        </is>
      </c>
      <c r="AC40" t="inlineStr">
        <is>
          <t>Referenced normative</t>
        </is>
      </c>
      <c r="AD40" t="inlineStr">
        <is>
          <t>English</t>
        </is>
      </c>
      <c r="AE40" t="inlineStr">
        <is>
          <t>pdf</t>
        </is>
      </c>
      <c r="AF40" t="inlineStr">
        <is>
          <t>2.0_Sep22</t>
        </is>
      </c>
      <c r="AG40" t="n">
        <v>45292</v>
      </c>
      <c r="AH40" t="inlineStr">
        <is>
          <t>Official referenced source from GLOBALG.A.P.; included because an applicable law, permit or certification scheme may make its provisions binding within the approved scope.</t>
        </is>
      </c>
      <c r="AI40" t="inlineStr">
        <is>
          <t>HIGH</t>
        </is>
      </c>
      <c r="AJ40" t="inlineStr">
        <is>
          <t>OFFICIAL_WEBSITE</t>
        </is>
      </c>
      <c r="AK40" t="inlineStr">
        <is>
          <t>OFFICIAL_ORIGINAL</t>
        </is>
      </c>
      <c r="AL40" t="inlineStr">
        <is>
          <t>VERSIONED</t>
        </is>
      </c>
      <c r="AN40" t="inlineStr">
        <is>
          <t>REV-bdb8f8520eecd860</t>
        </is>
      </c>
      <c r="AO40" s="189" t="n"/>
      <c r="AP40" s="189" t="n">
        <v>46266.41396990741</v>
      </c>
      <c r="AQ40" s="189" t="n">
        <v>46265.41666666666</v>
      </c>
      <c r="AR40" t="inlineStr">
        <is>
          <t>{"action": "APPLY_FIELD_UPDATES", "issue_codes": ["DUPLICATE_OFFICIAL_URL"], "retry_after_apply": false, "review_fingerprint": "e3b0c44298fc1c14", "source_fingerprint": "563812618def5c061030", "source_id": "CS016", "updates": {}}</t>
        </is>
      </c>
    </row>
    <row r="41" hidden="1" ht="38" customHeight="1" s="41">
      <c r="A41" s="182" t="inlineStr">
        <is>
          <t>CS017</t>
        </is>
      </c>
      <c r="B41" s="183" t="inlineStr">
        <is>
          <t>GLOBALG.A.P. GRASP v2 National Interpretation Guideline for Norway</t>
        </is>
      </c>
      <c r="C41" s="183" t="inlineStr">
        <is>
          <t>SOURCE_REVIEW</t>
        </is>
      </c>
      <c r="D41" s="183" t="inlineStr">
        <is>
          <t>DUPLICATE_OFFICIAL_URL; MISSING_RETRIEVAL_URL; SELECTION_PENDING</t>
        </is>
      </c>
      <c r="E41" s="18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1" s="184" t="inlineStr">
        <is>
          <t>PENDING</t>
        </is>
      </c>
      <c r="G41" s="185" t="n"/>
      <c r="H41" s="206" t="n"/>
      <c r="I41" s="207" t="inlineStr">
        <is>
          <t>APPLIED</t>
        </is>
      </c>
      <c r="J41" s="183" t="inlineStr">
        <is>
          <t>Superseded by the current consolidated source task or resolved source state.</t>
        </is>
      </c>
      <c r="K41" s="188" t="inlineStr">
        <is>
          <t>https://globalgap.org/what-we-offer/solutions/grasp/</t>
        </is>
      </c>
      <c r="M41" t="inlineStr">
        <is>
          <t>HIGH</t>
        </is>
      </c>
      <c r="N41" t="inlineStr">
        <is>
          <t>HIGH</t>
        </is>
      </c>
      <c r="O41" t="inlineStr">
        <is>
          <t>MEDIUM</t>
        </is>
      </c>
      <c r="P41" t="inlineStr">
        <is>
          <t>MEDIUM</t>
        </is>
      </c>
      <c r="Q41" t="inlineStr">
        <is>
          <t>HIGH</t>
        </is>
      </c>
      <c r="R41" t="inlineStr">
        <is>
          <t>PENDING</t>
        </is>
      </c>
      <c r="T41" t="inlineStr">
        <is>
          <t>CURRENT</t>
        </is>
      </c>
      <c r="U41" t="inlineStr">
        <is>
          <t>CS011</t>
        </is>
      </c>
      <c r="V41" t="inlineStr">
        <is>
          <t>Coverage-audit expansion. An existing country NIG must be applied; confirm the current Norway document and direct download in the GLOBALG.A.P. document center.</t>
        </is>
      </c>
      <c r="X41" t="inlineStr">
        <is>
          <t>C_Certification_Scheme</t>
        </is>
      </c>
      <c r="Y41" t="inlineStr">
        <is>
          <t>GLOBALG.A.P.</t>
        </is>
      </c>
      <c r="Z41" t="inlineStr">
        <is>
          <t>Norway</t>
        </is>
      </c>
      <c r="AA41" t="inlineStr">
        <is>
          <t>Interpretation document</t>
        </is>
      </c>
      <c r="AB41" t="inlineStr">
        <is>
          <t>Certification scheme</t>
        </is>
      </c>
      <c r="AC41" t="inlineStr">
        <is>
          <t>Referenced normative</t>
        </is>
      </c>
      <c r="AD41" t="inlineStr">
        <is>
          <t>Norwegian</t>
        </is>
      </c>
      <c r="AE41" t="inlineStr">
        <is>
          <t>pdf</t>
        </is>
      </c>
      <c r="AF41" t="inlineStr">
        <is>
          <t>V2</t>
        </is>
      </c>
      <c r="AH41" t="inlineStr">
        <is>
          <t>Official referenced source from GLOBALG.A.P.; included because an applicable law, permit or certification scheme may make its provisions binding within the approved scope.</t>
        </is>
      </c>
      <c r="AI41" t="inlineStr">
        <is>
          <t>LOW</t>
        </is>
      </c>
      <c r="AJ41" t="inlineStr">
        <is>
          <t>OFFICIAL_WEBSITE</t>
        </is>
      </c>
      <c r="AK41" t="inlineStr">
        <is>
          <t>OFFICIAL_ORIGINAL</t>
        </is>
      </c>
      <c r="AL41" t="inlineStr">
        <is>
          <t>VERSIONED</t>
        </is>
      </c>
      <c r="AN41" t="inlineStr">
        <is>
          <t>REV-d5788fe74dcada53</t>
        </is>
      </c>
      <c r="AO41" s="189" t="n"/>
      <c r="AP41" s="189" t="n">
        <v>46266.41396990741</v>
      </c>
      <c r="AQ41" s="189" t="n">
        <v>46265.41666666666</v>
      </c>
      <c r="AR41" t="inlineStr">
        <is>
          <t>{"action": "APPLY_FIELD_UPDATES", "issue_codes": ["DUPLICATE_OFFICIAL_URL", "MISSING_RETRIEVAL_URL", "SELECTION_PENDING"], "retry_after_apply": false, "review_fingerprint": "1d6f1da2d9a1b7cf", "source_fingerprint": "5f90ce8ff5fef6de42e1", "source_id": "CS017", "updates": {}}</t>
        </is>
      </c>
    </row>
    <row r="42" hidden="1" ht="38" customHeight="1" s="41">
      <c r="A42" s="190" t="inlineStr">
        <is>
          <t>CS018</t>
        </is>
      </c>
      <c r="B42" s="191" t="inlineStr">
        <is>
          <t>ASC Vocabulary</t>
        </is>
      </c>
      <c r="C42" s="191" t="inlineStr">
        <is>
          <t>SOURCE_REVIEW</t>
        </is>
      </c>
      <c r="D42" s="191" t="inlineStr">
        <is>
          <t>DUPLICATE_OFFICIAL_URL; MISSING_RETRIEVAL_URL; SELECTION_PENDING</t>
        </is>
      </c>
      <c r="E42" s="191"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2" s="184" t="inlineStr">
        <is>
          <t>PENDING</t>
        </is>
      </c>
      <c r="G42" s="185" t="n"/>
      <c r="H42" s="206" t="n"/>
      <c r="I42" s="207" t="inlineStr">
        <is>
          <t>APPLIED</t>
        </is>
      </c>
      <c r="J42" s="191" t="inlineStr">
        <is>
          <t>Superseded by the current consolidated source task or resolved source state.</t>
        </is>
      </c>
      <c r="K42" s="192" t="inlineStr">
        <is>
          <t>https://programme-centre.asc-aqua.org/resource-hub/?filter=farm</t>
        </is>
      </c>
      <c r="M42" t="inlineStr">
        <is>
          <t>HIGH</t>
        </is>
      </c>
      <c r="N42" t="inlineStr">
        <is>
          <t>HIGH</t>
        </is>
      </c>
      <c r="O42" t="inlineStr">
        <is>
          <t>MEDIUM</t>
        </is>
      </c>
      <c r="P42" t="inlineStr">
        <is>
          <t>MEDIUM</t>
        </is>
      </c>
      <c r="Q42" t="inlineStr">
        <is>
          <t>HIGH</t>
        </is>
      </c>
      <c r="R42" t="inlineStr">
        <is>
          <t>PENDING</t>
        </is>
      </c>
      <c r="T42" t="inlineStr">
        <is>
          <t>CURRENT</t>
        </is>
      </c>
      <c r="U42" t="inlineStr">
        <is>
          <t>CS001</t>
        </is>
      </c>
      <c r="V42" t="inlineStr">
        <is>
          <t>Official coverage expansion. The current ASC Farm Standard lists the vocabulary as a normative reference; direct-file traceability still requires confirmation.</t>
        </is>
      </c>
      <c r="X42" t="inlineStr">
        <is>
          <t>C_Certification_Scheme</t>
        </is>
      </c>
      <c r="Y42" t="inlineStr">
        <is>
          <t>Aquaculture Stewardship Council</t>
        </is>
      </c>
      <c r="Z42" t="inlineStr">
        <is>
          <t>International</t>
        </is>
      </c>
      <c r="AA42" t="inlineStr">
        <is>
          <t>Scheme standard</t>
        </is>
      </c>
      <c r="AB42" t="inlineStr">
        <is>
          <t>Certification scheme</t>
        </is>
      </c>
      <c r="AC42" t="inlineStr">
        <is>
          <t>Referenced normative</t>
        </is>
      </c>
      <c r="AD42" t="inlineStr">
        <is>
          <t>English</t>
        </is>
      </c>
      <c r="AE42" t="inlineStr">
        <is>
          <t>pdf</t>
        </is>
      </c>
      <c r="AH42" t="inlineStr">
        <is>
          <t>Official referenced source from Aquaculture Stewardship Council; included because an applicable law, permit or certification scheme may make its provisions binding within the approved scope.</t>
        </is>
      </c>
      <c r="AI42" t="inlineStr">
        <is>
          <t>LOW</t>
        </is>
      </c>
      <c r="AJ42" t="inlineStr">
        <is>
          <t>OFFICIAL_WEBSITE</t>
        </is>
      </c>
      <c r="AK42" t="inlineStr">
        <is>
          <t>OFFICIAL_ORIGINAL</t>
        </is>
      </c>
      <c r="AL42" t="inlineStr">
        <is>
          <t>VERSIONED</t>
        </is>
      </c>
      <c r="AN42" t="inlineStr">
        <is>
          <t>REV-0f090f336f06848d</t>
        </is>
      </c>
      <c r="AO42" s="189" t="n"/>
      <c r="AP42" s="189" t="n">
        <v>46266.41396990741</v>
      </c>
      <c r="AQ42" s="189" t="n">
        <v>46265.41666666666</v>
      </c>
      <c r="AR42" t="inlineStr">
        <is>
          <t>{"action": "APPLY_FIELD_UPDATES", "issue_codes": ["DUPLICATE_OFFICIAL_URL", "MISSING_RETRIEVAL_URL", "SELECTION_PENDING"], "retry_after_apply": false, "review_fingerprint": "e130671ccb2b3b20", "source_fingerprint": "671cb13781fdedcb8822", "source_id": "CS018", "updates": {}}</t>
        </is>
      </c>
    </row>
    <row r="43" hidden="1" ht="38" customHeight="1" s="41">
      <c r="A43" s="182" t="inlineStr">
        <is>
          <t>CS019</t>
        </is>
      </c>
      <c r="B43" s="183" t="inlineStr">
        <is>
          <t>ASC Data Submission Requirements</t>
        </is>
      </c>
      <c r="C43" s="183" t="inlineStr">
        <is>
          <t>SOURCE_REVIEW</t>
        </is>
      </c>
      <c r="D43" s="183" t="inlineStr">
        <is>
          <t>DUPLICATE_OFFICIAL_URL; MISSING_RETRIEVAL_URL; SELECTION_PENDING</t>
        </is>
      </c>
      <c r="E43" s="18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3" s="184" t="inlineStr">
        <is>
          <t>PENDING</t>
        </is>
      </c>
      <c r="G43" s="185" t="n"/>
      <c r="H43" s="206" t="n"/>
      <c r="I43" s="207" t="inlineStr">
        <is>
          <t>APPLIED</t>
        </is>
      </c>
      <c r="J43" s="183" t="inlineStr">
        <is>
          <t>Superseded by the current consolidated source task or resolved source state.</t>
        </is>
      </c>
      <c r="K43" s="188" t="inlineStr">
        <is>
          <t>https://programme-centre.asc-aqua.org/resource-hub/?filter=farm</t>
        </is>
      </c>
      <c r="M43" t="inlineStr">
        <is>
          <t>HIGH</t>
        </is>
      </c>
      <c r="N43" t="inlineStr">
        <is>
          <t>HIGH</t>
        </is>
      </c>
      <c r="O43" t="inlineStr">
        <is>
          <t>MEDIUM</t>
        </is>
      </c>
      <c r="P43" t="inlineStr">
        <is>
          <t>MEDIUM</t>
        </is>
      </c>
      <c r="Q43" t="inlineStr">
        <is>
          <t>HIGH</t>
        </is>
      </c>
      <c r="R43" t="inlineStr">
        <is>
          <t>PENDING</t>
        </is>
      </c>
      <c r="T43" t="inlineStr">
        <is>
          <t>CURRENT</t>
        </is>
      </c>
      <c r="U43" t="inlineStr">
        <is>
          <t>CS001</t>
        </is>
      </c>
      <c r="V43" t="inlineStr">
        <is>
          <t>Official coverage expansion. The current ASC Farm Standard lists data submission requirements as a normative reference; direct-file traceability still requires confirmation.</t>
        </is>
      </c>
      <c r="X43" t="inlineStr">
        <is>
          <t>C_Certification_Scheme</t>
        </is>
      </c>
      <c r="Y43" t="inlineStr">
        <is>
          <t>Aquaculture Stewardship Council</t>
        </is>
      </c>
      <c r="Z43" t="inlineStr">
        <is>
          <t>International</t>
        </is>
      </c>
      <c r="AA43" t="inlineStr">
        <is>
          <t>Scheme standard</t>
        </is>
      </c>
      <c r="AB43" t="inlineStr">
        <is>
          <t>Certification scheme</t>
        </is>
      </c>
      <c r="AC43" t="inlineStr">
        <is>
          <t>Referenced normative</t>
        </is>
      </c>
      <c r="AD43" t="inlineStr">
        <is>
          <t>English</t>
        </is>
      </c>
      <c r="AE43" t="inlineStr">
        <is>
          <t>pdf</t>
        </is>
      </c>
      <c r="AH43" t="inlineStr">
        <is>
          <t>Official referenced source from Aquaculture Stewardship Council; included because an applicable law, permit or certification scheme may make its provisions binding within the approved scope.</t>
        </is>
      </c>
      <c r="AI43" t="inlineStr">
        <is>
          <t>LOW</t>
        </is>
      </c>
      <c r="AJ43" t="inlineStr">
        <is>
          <t>OFFICIAL_WEBSITE</t>
        </is>
      </c>
      <c r="AK43" t="inlineStr">
        <is>
          <t>OFFICIAL_ORIGINAL</t>
        </is>
      </c>
      <c r="AL43" t="inlineStr">
        <is>
          <t>VERSIONED</t>
        </is>
      </c>
      <c r="AN43" t="inlineStr">
        <is>
          <t>REV-0aaeb18cdf1173c4</t>
        </is>
      </c>
      <c r="AO43" s="189" t="n"/>
      <c r="AP43" s="189" t="n">
        <v>46266.41396990741</v>
      </c>
      <c r="AQ43" s="189" t="n">
        <v>46265.41666666666</v>
      </c>
      <c r="AR43" t="inlineStr">
        <is>
          <t>{"action": "APPLY_FIELD_UPDATES", "issue_codes": ["DUPLICATE_OFFICIAL_URL", "MISSING_RETRIEVAL_URL", "SELECTION_PENDING"], "retry_after_apply": false, "review_fingerprint": "e130671ccb2b3b20", "source_fingerprint": "4ffc2cc9753f4df684d6", "source_id": "CS019", "updates": {}}</t>
        </is>
      </c>
    </row>
    <row r="44" hidden="1" ht="38" customHeight="1" s="41">
      <c r="A44" s="190" t="inlineStr">
        <is>
          <t>CS020</t>
        </is>
      </c>
      <c r="B44" s="191" t="inlineStr">
        <is>
          <t>GLOBALG.A.P. GRASP v2 - Checklist</t>
        </is>
      </c>
      <c r="C44" s="191" t="inlineStr">
        <is>
          <t>SOURCE_REVIEW</t>
        </is>
      </c>
      <c r="D44" s="191" t="inlineStr">
        <is>
          <t>DUPLICATE_OFFICIAL_URL; MISSING_RETRIEVAL_URL; SELECTION_PENDING</t>
        </is>
      </c>
      <c r="E44" s="191"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4" s="184" t="inlineStr">
        <is>
          <t>PENDING</t>
        </is>
      </c>
      <c r="G44" s="185" t="n"/>
      <c r="H44" s="206" t="n"/>
      <c r="I44" s="207" t="inlineStr">
        <is>
          <t>APPLIED</t>
        </is>
      </c>
      <c r="J44" s="191" t="inlineStr">
        <is>
          <t>Superseded by the current consolidated source task or resolved source state.</t>
        </is>
      </c>
      <c r="K44" s="192" t="inlineStr">
        <is>
          <t>https://globalgap.org/what-we-offer/solutions/grasp/</t>
        </is>
      </c>
      <c r="M44" t="inlineStr">
        <is>
          <t>HIGH</t>
        </is>
      </c>
      <c r="N44" t="inlineStr">
        <is>
          <t>HIGH</t>
        </is>
      </c>
      <c r="O44" t="inlineStr">
        <is>
          <t>HIGH</t>
        </is>
      </c>
      <c r="P44" t="inlineStr">
        <is>
          <t>MEDIUM</t>
        </is>
      </c>
      <c r="Q44" t="inlineStr">
        <is>
          <t>HIGH</t>
        </is>
      </c>
      <c r="R44" t="inlineStr">
        <is>
          <t>PENDING</t>
        </is>
      </c>
      <c r="T44" t="inlineStr">
        <is>
          <t>CURRENT</t>
        </is>
      </c>
      <c r="U44" t="inlineStr">
        <is>
          <t>CS011</t>
        </is>
      </c>
      <c r="V44" t="inlineStr">
        <is>
          <t>Official coverage expansion. Assessment tool linked to CS011 and CS016; direct-file URL must be confirmed before automated retrieval.</t>
        </is>
      </c>
      <c r="X44" t="inlineStr">
        <is>
          <t>C_Certification_Scheme</t>
        </is>
      </c>
      <c r="Y44" t="inlineStr">
        <is>
          <t>GLOBALG.A.P.</t>
        </is>
      </c>
      <c r="Z44" t="inlineStr">
        <is>
          <t>International</t>
        </is>
      </c>
      <c r="AA44" t="inlineStr">
        <is>
          <t>Audit / assessment document</t>
        </is>
      </c>
      <c r="AB44" t="inlineStr">
        <is>
          <t>Certification scheme</t>
        </is>
      </c>
      <c r="AC44" t="inlineStr">
        <is>
          <t>Audit / assessment tool</t>
        </is>
      </c>
      <c r="AD44" t="inlineStr">
        <is>
          <t>English</t>
        </is>
      </c>
      <c r="AE44" t="inlineStr">
        <is>
          <t>xlsx</t>
        </is>
      </c>
      <c r="AF44" t="inlineStr">
        <is>
          <t>V2</t>
        </is>
      </c>
      <c r="AH44" t="inlineStr">
        <is>
          <t>Official assessment tool from GLOBALG.A.P.; included to structure compliance checks and trace evidence back to its linked normative source.</t>
        </is>
      </c>
      <c r="AI44" t="inlineStr">
        <is>
          <t>LOW</t>
        </is>
      </c>
      <c r="AJ44" t="inlineStr">
        <is>
          <t>OFFICIAL_WEBSITE</t>
        </is>
      </c>
      <c r="AK44" t="inlineStr">
        <is>
          <t>OFFICIAL_ORIGINAL</t>
        </is>
      </c>
      <c r="AL44" t="inlineStr">
        <is>
          <t>VERSIONED</t>
        </is>
      </c>
      <c r="AN44" t="inlineStr">
        <is>
          <t>REV-e2b8e990ffaa8a7f</t>
        </is>
      </c>
      <c r="AO44" s="189" t="n"/>
      <c r="AP44" s="189" t="n">
        <v>46266.41396990741</v>
      </c>
      <c r="AQ44" s="189" t="n">
        <v>46265.41666666666</v>
      </c>
      <c r="AR44" t="inlineStr">
        <is>
          <t>{"action": "APPLY_FIELD_UPDATES", "issue_codes": ["DUPLICATE_OFFICIAL_URL", "MISSING_RETRIEVAL_URL", "SELECTION_PENDING"], "retry_after_apply": false, "review_fingerprint": "2e121f20c395f9b0", "source_fingerprint": "d8b7bd7cc8a883410e16", "source_id": "CS020", "updates": {}}</t>
        </is>
      </c>
    </row>
    <row r="45" hidden="1" ht="38" customHeight="1" s="41">
      <c r="A45" s="182" t="inlineStr">
        <is>
          <t>SB001</t>
        </is>
      </c>
      <c r="B45" s="183" t="inlineStr">
        <is>
          <t>NS 9415:2021+AC:2024 Floating aquaculture farms - Site survey, design, execution and use</t>
        </is>
      </c>
      <c r="C45" s="183" t="inlineStr">
        <is>
          <t>SOURCE_REVIEW</t>
        </is>
      </c>
      <c r="D45" s="183" t="inlineStr">
        <is>
          <t>PAYWALL_BLOCKED; SELECTION_PENDING</t>
        </is>
      </c>
      <c r="E45" s="183" t="inlineStr">
        <is>
          <t>Place an authorised copy in Data/00_Human_Intake or record an authorised retrieval route. | Review the human-governed source fields and choose INCLUDE, PENDING or EXCLUDE in Human Operation Desktop.</t>
        </is>
      </c>
      <c r="F45" s="184" t="inlineStr">
        <is>
          <t>PENDING</t>
        </is>
      </c>
      <c r="G45" s="185" t="n"/>
      <c r="H45" s="206" t="n"/>
      <c r="I45" s="207" t="inlineStr">
        <is>
          <t>APPLIED</t>
        </is>
      </c>
      <c r="J45" s="183" t="inlineStr">
        <is>
          <t>Superseded by the current consolidated source task or resolved source state.</t>
        </is>
      </c>
      <c r="K45" s="188" t="inlineStr">
        <is>
          <t>https://online.standard.no/nb/ns-9415-2021</t>
        </is>
      </c>
      <c r="M45" t="inlineStr">
        <is>
          <t>HIGH</t>
        </is>
      </c>
      <c r="N45" t="inlineStr">
        <is>
          <t>HIGH</t>
        </is>
      </c>
      <c r="O45" t="inlineStr">
        <is>
          <t>HIGH</t>
        </is>
      </c>
      <c r="P45" t="inlineStr">
        <is>
          <t>HIGH</t>
        </is>
      </c>
      <c r="Q45" t="inlineStr">
        <is>
          <t>MEDIUM</t>
        </is>
      </c>
      <c r="R45" t="inlineStr">
        <is>
          <t>PENDING</t>
        </is>
      </c>
      <c r="T45" t="inlineStr">
        <is>
          <t>CURRENT</t>
        </is>
      </c>
      <c r="U45" t="inlineStr">
        <is>
          <t>PA004</t>
        </is>
      </c>
      <c r="V45" t="inlineStr">
        <is>
          <t>Project-mentioned standard referenced by NYTEK23. Licensed access is required before automated retrieval.</t>
        </is>
      </c>
      <c r="X45" t="inlineStr">
        <is>
          <t>B_Standards_Body</t>
        </is>
      </c>
      <c r="Y45" t="inlineStr">
        <is>
          <t>Standards Norway</t>
        </is>
      </c>
      <c r="Z45" t="inlineStr">
        <is>
          <t>Norway</t>
        </is>
      </c>
      <c r="AA45" t="inlineStr">
        <is>
          <t>Technical standard</t>
        </is>
      </c>
      <c r="AB45" t="inlineStr">
        <is>
          <t>Standards body</t>
        </is>
      </c>
      <c r="AC45" t="inlineStr">
        <is>
          <t>Referenced normative</t>
        </is>
      </c>
      <c r="AD45" t="inlineStr">
        <is>
          <t>Norwegian</t>
        </is>
      </c>
      <c r="AE45" t="inlineStr">
        <is>
          <t>pdf</t>
        </is>
      </c>
      <c r="AF45" t="inlineStr">
        <is>
          <t>2021+AC:2024</t>
        </is>
      </c>
      <c r="AH45" t="inlineStr">
        <is>
          <t>Official referenced source from Standards Norway; included because an applicable law, permit or certification scheme may make its provisions binding within the approved scope.</t>
        </is>
      </c>
      <c r="AI45" t="inlineStr">
        <is>
          <t>LOW</t>
        </is>
      </c>
      <c r="AJ45" t="inlineStr">
        <is>
          <t>OFFICIAL_WEBSITE</t>
        </is>
      </c>
      <c r="AK45" t="inlineStr">
        <is>
          <t>OFFICIAL_ORIGINAL</t>
        </is>
      </c>
      <c r="AL45" t="inlineStr">
        <is>
          <t>VERSIONED</t>
        </is>
      </c>
      <c r="AN45" t="inlineStr">
        <is>
          <t>REV-23b8f7a9ea8e3785</t>
        </is>
      </c>
      <c r="AO45" s="189" t="n"/>
      <c r="AP45" s="189" t="n">
        <v>46266.41396990741</v>
      </c>
      <c r="AQ45" s="189" t="n">
        <v>46265.41666666666</v>
      </c>
      <c r="AR45" t="inlineStr">
        <is>
          <t>{"action": "APPLY_FIELD_UPDATES", "issue_codes": ["PAYWALL_BLOCKED", "SELECTION_PENDING"], "retry_after_apply": false, "review_fingerprint": "54e8f4f6c6b1c521", "source_fingerprint": "99158f3e59ce137f03ac", "source_id": "SB001", "updates": {}}</t>
        </is>
      </c>
    </row>
    <row r="46" hidden="1" ht="38" customHeight="1" s="41">
      <c r="A46" s="190" t="inlineStr">
        <is>
          <t>SB002</t>
        </is>
      </c>
      <c r="B46" s="191" t="inlineStr">
        <is>
          <t>NS 9410:2016 Environmental monitoring of benthic impact from marine fish farms</t>
        </is>
      </c>
      <c r="C46" s="191" t="inlineStr">
        <is>
          <t>SOURCE_REVIEW</t>
        </is>
      </c>
      <c r="D46" s="191" t="inlineStr">
        <is>
          <t>PAYWALL_BLOCKED; SELECTION_PENDING</t>
        </is>
      </c>
      <c r="E46" s="191" t="inlineStr">
        <is>
          <t>Place an authorised copy in Data/00_Human_Intake or record an authorised retrieval route. | Review the human-governed source fields and choose INCLUDE, PENDING or EXCLUDE in Human Operation Desktop.</t>
        </is>
      </c>
      <c r="F46" s="184" t="inlineStr">
        <is>
          <t>PENDING</t>
        </is>
      </c>
      <c r="G46" s="185" t="n"/>
      <c r="H46" s="206" t="n"/>
      <c r="I46" s="207" t="inlineStr">
        <is>
          <t>APPLIED</t>
        </is>
      </c>
      <c r="J46" s="191" t="inlineStr">
        <is>
          <t>Superseded by the current consolidated source task or resolved source state.</t>
        </is>
      </c>
      <c r="K46" s="192" t="inlineStr">
        <is>
          <t>https://online.standard.no/ns-9410-2016</t>
        </is>
      </c>
      <c r="M46" t="inlineStr">
        <is>
          <t>HIGH</t>
        </is>
      </c>
      <c r="N46" t="inlineStr">
        <is>
          <t>HIGH</t>
        </is>
      </c>
      <c r="O46" t="inlineStr">
        <is>
          <t>MEDIUM</t>
        </is>
      </c>
      <c r="P46" t="inlineStr">
        <is>
          <t>HIGH</t>
        </is>
      </c>
      <c r="Q46" t="inlineStr">
        <is>
          <t>MEDIUM</t>
        </is>
      </c>
      <c r="R46" t="inlineStr">
        <is>
          <t>PENDING</t>
        </is>
      </c>
      <c r="T46" t="inlineStr">
        <is>
          <t>CURRENT</t>
        </is>
      </c>
      <c r="U46" t="inlineStr">
        <is>
          <t>PA044</t>
        </is>
      </c>
      <c r="V46" t="inlineStr">
        <is>
          <t>Official expansion from environmental authority guidance. Licensed access is required.</t>
        </is>
      </c>
      <c r="X46" t="inlineStr">
        <is>
          <t>B_Standards_Body</t>
        </is>
      </c>
      <c r="Y46" t="inlineStr">
        <is>
          <t>Standards Norway</t>
        </is>
      </c>
      <c r="Z46" t="inlineStr">
        <is>
          <t>Norway</t>
        </is>
      </c>
      <c r="AA46" t="inlineStr">
        <is>
          <t>Technical standard</t>
        </is>
      </c>
      <c r="AB46" t="inlineStr">
        <is>
          <t>Standards body</t>
        </is>
      </c>
      <c r="AC46" t="inlineStr">
        <is>
          <t>Referenced normative</t>
        </is>
      </c>
      <c r="AD46" t="inlineStr">
        <is>
          <t>Norwegian</t>
        </is>
      </c>
      <c r="AE46" t="inlineStr">
        <is>
          <t>pdf</t>
        </is>
      </c>
      <c r="AF46" t="inlineStr">
        <is>
          <t>2016</t>
        </is>
      </c>
      <c r="AH46" t="inlineStr">
        <is>
          <t>Official referenced source from Standards Norway; included because an applicable law, permit or certification scheme may make its provisions binding within the approved scope.</t>
        </is>
      </c>
      <c r="AI46" t="inlineStr">
        <is>
          <t>LOW</t>
        </is>
      </c>
      <c r="AJ46" t="inlineStr">
        <is>
          <t>OFFICIAL_WEBSITE</t>
        </is>
      </c>
      <c r="AK46" t="inlineStr">
        <is>
          <t>OFFICIAL_ORIGINAL</t>
        </is>
      </c>
      <c r="AL46" t="inlineStr">
        <is>
          <t>VERSIONED</t>
        </is>
      </c>
      <c r="AN46" t="inlineStr">
        <is>
          <t>REV-5b0f91bee7830e8c</t>
        </is>
      </c>
      <c r="AO46" s="189" t="n"/>
      <c r="AP46" s="189" t="n">
        <v>46266.41396990741</v>
      </c>
      <c r="AQ46" s="189" t="n">
        <v>46265.41666666666</v>
      </c>
      <c r="AR46" t="inlineStr">
        <is>
          <t>{"action": "APPLY_FIELD_UPDATES", "issue_codes": ["PAYWALL_BLOCKED", "SELECTION_PENDING"], "retry_after_apply": false, "review_fingerprint": "6d634d06afc3637c", "source_fingerprint": "b1c973f16f25f73a2162", "source_id": "SB002", "updates": {}}</t>
        </is>
      </c>
    </row>
    <row r="47" hidden="1" ht="38" customHeight="1" s="41">
      <c r="A47" s="182" t="inlineStr">
        <is>
          <t>SB003</t>
        </is>
      </c>
      <c r="B47" s="183" t="inlineStr">
        <is>
          <t>NS 9416:2013 Land-based aquaculture facilities for fish</t>
        </is>
      </c>
      <c r="C47" s="183" t="inlineStr">
        <is>
          <t>SOURCE_REVIEW</t>
        </is>
      </c>
      <c r="D47" s="183" t="inlineStr">
        <is>
          <t>PAYWALL_BLOCKED; SELECTION_PENDING</t>
        </is>
      </c>
      <c r="E47" s="183" t="inlineStr">
        <is>
          <t>Place an authorised copy in Data/00_Human_Intake or record an authorised retrieval route. | Review the human-governed source fields and choose INCLUDE, PENDING or EXCLUDE in Human Operation Desktop.</t>
        </is>
      </c>
      <c r="F47" s="184" t="inlineStr">
        <is>
          <t>PENDING</t>
        </is>
      </c>
      <c r="G47" s="185" t="n"/>
      <c r="H47" s="206" t="n"/>
      <c r="I47" s="207" t="inlineStr">
        <is>
          <t>APPLIED</t>
        </is>
      </c>
      <c r="J47" s="183" t="inlineStr">
        <is>
          <t>Superseded by the current consolidated source task or resolved source state.</t>
        </is>
      </c>
      <c r="K47" s="188" t="inlineStr">
        <is>
          <t>https://online.standard.no/nb/ns-9416-2013</t>
        </is>
      </c>
      <c r="M47" t="inlineStr">
        <is>
          <t>HIGH</t>
        </is>
      </c>
      <c r="N47" t="inlineStr">
        <is>
          <t>MEDIUM</t>
        </is>
      </c>
      <c r="O47" t="inlineStr">
        <is>
          <t>MEDIUM</t>
        </is>
      </c>
      <c r="P47" t="inlineStr">
        <is>
          <t>HIGH</t>
        </is>
      </c>
      <c r="Q47" t="inlineStr">
        <is>
          <t>MEDIUM</t>
        </is>
      </c>
      <c r="R47" t="inlineStr">
        <is>
          <t>PENDING</t>
        </is>
      </c>
      <c r="T47" t="inlineStr">
        <is>
          <t>CURRENT</t>
        </is>
      </c>
      <c r="U47" t="inlineStr">
        <is>
          <t>PA022</t>
        </is>
      </c>
      <c r="V47" t="inlineStr">
        <is>
          <t>Referenced by PA022. A revision project is active, so currency requires explicit monitoring.</t>
        </is>
      </c>
      <c r="X47" t="inlineStr">
        <is>
          <t>B_Standards_Body</t>
        </is>
      </c>
      <c r="Y47" t="inlineStr">
        <is>
          <t>Standards Norway</t>
        </is>
      </c>
      <c r="Z47" t="inlineStr">
        <is>
          <t>Norway</t>
        </is>
      </c>
      <c r="AA47" t="inlineStr">
        <is>
          <t>Technical standard</t>
        </is>
      </c>
      <c r="AB47" t="inlineStr">
        <is>
          <t>Standards body</t>
        </is>
      </c>
      <c r="AC47" t="inlineStr">
        <is>
          <t>Referenced normative</t>
        </is>
      </c>
      <c r="AD47" t="inlineStr">
        <is>
          <t>Norwegian</t>
        </is>
      </c>
      <c r="AE47" t="inlineStr">
        <is>
          <t>pdf</t>
        </is>
      </c>
      <c r="AF47" t="inlineStr">
        <is>
          <t>2013</t>
        </is>
      </c>
      <c r="AH47" t="inlineStr">
        <is>
          <t>Official referenced source from Standards Norway; included because an applicable law, permit or certification scheme may make its provisions binding within the approved scope.</t>
        </is>
      </c>
      <c r="AI47" t="inlineStr">
        <is>
          <t>LOW</t>
        </is>
      </c>
      <c r="AJ47" t="inlineStr">
        <is>
          <t>OFFICIAL_WEBSITE</t>
        </is>
      </c>
      <c r="AK47" t="inlineStr">
        <is>
          <t>OFFICIAL_ORIGINAL</t>
        </is>
      </c>
      <c r="AL47" t="inlineStr">
        <is>
          <t>VERSIONED</t>
        </is>
      </c>
      <c r="AN47" t="inlineStr">
        <is>
          <t>REV-6d35dd892819bbc9</t>
        </is>
      </c>
      <c r="AO47" s="189" t="n"/>
      <c r="AP47" s="189" t="n">
        <v>46266.41396990741</v>
      </c>
      <c r="AQ47" s="189" t="n">
        <v>46265.41666666666</v>
      </c>
      <c r="AR47" t="inlineStr">
        <is>
          <t>{"action": "APPLY_FIELD_UPDATES", "issue_codes": ["PAYWALL_BLOCKED", "SELECTION_PENDING"], "retry_after_apply": false, "review_fingerprint": "9117ae12f5316dc0", "source_fingerprint": "bad0e3f5cea0a2294729", "source_id": "SB003", "updates": {}}</t>
        </is>
      </c>
    </row>
    <row r="48" hidden="1" ht="38" customHeight="1" s="41">
      <c r="A48" s="190" t="inlineStr">
        <is>
          <t>SB004</t>
        </is>
      </c>
      <c r="B48" s="191" t="inlineStr">
        <is>
          <t>NS 5814:2021+AC:2023 Requirements for risk assessments</t>
        </is>
      </c>
      <c r="C48" s="191" t="inlineStr">
        <is>
          <t>SOURCE_REVIEW</t>
        </is>
      </c>
      <c r="D48" s="191" t="inlineStr">
        <is>
          <t>PAYWALL_BLOCKED; SELECTION_PENDING</t>
        </is>
      </c>
      <c r="E48" s="191" t="inlineStr">
        <is>
          <t>Place an authorised copy in Data/00_Human_Intake or record an authorised retrieval route. | Review the human-governed source fields and choose INCLUDE, PENDING or EXCLUDE in Human Operation Desktop.</t>
        </is>
      </c>
      <c r="F48" s="184" t="inlineStr">
        <is>
          <t>PENDING</t>
        </is>
      </c>
      <c r="G48" s="185" t="n"/>
      <c r="H48" s="206" t="n"/>
      <c r="I48" s="207" t="inlineStr">
        <is>
          <t>APPLIED</t>
        </is>
      </c>
      <c r="J48" s="191" t="inlineStr">
        <is>
          <t>Superseded by the current consolidated source task or resolved source state.</t>
        </is>
      </c>
      <c r="K48" s="192" t="inlineStr">
        <is>
          <t>https://standard.no/fagomrader/risikostyring/ns-5814-krav-til-risikovurderinger/</t>
        </is>
      </c>
      <c r="M48" t="inlineStr">
        <is>
          <t>HIGH</t>
        </is>
      </c>
      <c r="N48" t="inlineStr">
        <is>
          <t>MEDIUM</t>
        </is>
      </c>
      <c r="O48" t="inlineStr">
        <is>
          <t>HIGH</t>
        </is>
      </c>
      <c r="P48" t="inlineStr">
        <is>
          <t>HIGH</t>
        </is>
      </c>
      <c r="Q48" t="inlineStr">
        <is>
          <t>MEDIUM</t>
        </is>
      </c>
      <c r="R48" t="inlineStr">
        <is>
          <t>PENDING</t>
        </is>
      </c>
      <c r="T48" t="inlineStr">
        <is>
          <t>CURRENT</t>
        </is>
      </c>
      <c r="V48" t="inlineStr">
        <is>
          <t>Official expansion from Fiskeridirektoratet risk-management guidance. Include only if adopted by contract, policy or method.</t>
        </is>
      </c>
      <c r="X48" t="inlineStr">
        <is>
          <t>B_Standards_Body</t>
        </is>
      </c>
      <c r="Y48" t="inlineStr">
        <is>
          <t>Standards Norway</t>
        </is>
      </c>
      <c r="Z48" t="inlineStr">
        <is>
          <t>Norway</t>
        </is>
      </c>
      <c r="AA48" t="inlineStr">
        <is>
          <t>Technical standard</t>
        </is>
      </c>
      <c r="AB48" t="inlineStr">
        <is>
          <t>Standards body</t>
        </is>
      </c>
      <c r="AC48" t="inlineStr">
        <is>
          <t>Guidance / interpretation</t>
        </is>
      </c>
      <c r="AD48" t="inlineStr">
        <is>
          <t>Norwegian</t>
        </is>
      </c>
      <c r="AE48" t="inlineStr">
        <is>
          <t>pdf</t>
        </is>
      </c>
      <c r="AF48" t="inlineStr">
        <is>
          <t>2021+AC:2023</t>
        </is>
      </c>
      <c r="AH48" t="inlineStr">
        <is>
          <t>Official guidance from Standards Norway; included to interpret and operationalise linked normative requirements, not as independent legal or certification authority.</t>
        </is>
      </c>
      <c r="AI48" t="inlineStr">
        <is>
          <t>LOW</t>
        </is>
      </c>
      <c r="AJ48" t="inlineStr">
        <is>
          <t>OFFICIAL_WEBSITE</t>
        </is>
      </c>
      <c r="AK48" t="inlineStr">
        <is>
          <t>OFFICIAL_ORIGINAL</t>
        </is>
      </c>
      <c r="AL48" t="inlineStr">
        <is>
          <t>VERSIONED</t>
        </is>
      </c>
      <c r="AN48" t="inlineStr">
        <is>
          <t>REV-22e0e1dc464d8702</t>
        </is>
      </c>
      <c r="AO48" s="189" t="n"/>
      <c r="AP48" s="189" t="n">
        <v>46266.41396990741</v>
      </c>
      <c r="AQ48" s="189" t="n">
        <v>46265.41666666666</v>
      </c>
      <c r="AR48" t="inlineStr">
        <is>
          <t>{"action": "APPLY_FIELD_UPDATES", "issue_codes": ["PAYWALL_BLOCKED", "SELECTION_PENDING"], "retry_after_apply": false, "review_fingerprint": "9e7cf44ea1b1dc51", "source_fingerprint": "093058dd8229d13f4eb0", "source_id": "SB004", "updates": {}}</t>
        </is>
      </c>
    </row>
    <row r="49" hidden="1" ht="38" customHeight="1" s="41">
      <c r="A49" s="182" t="inlineStr">
        <is>
          <t>SB005</t>
        </is>
      </c>
      <c r="B49" s="183" t="inlineStr">
        <is>
          <t>NS-ISO 31000:2018 Risk management - Guidelines</t>
        </is>
      </c>
      <c r="C49" s="183" t="inlineStr">
        <is>
          <t>SOURCE_REVIEW</t>
        </is>
      </c>
      <c r="D49" s="183" t="inlineStr">
        <is>
          <t>PAYWALL_BLOCKED; SELECTION_PENDING</t>
        </is>
      </c>
      <c r="E49" s="183" t="inlineStr">
        <is>
          <t>Place an authorised copy in Data/00_Human_Intake or record an authorised retrieval route. | Review the human-governed source fields and choose INCLUDE, PENDING or EXCLUDE in Human Operation Desktop.</t>
        </is>
      </c>
      <c r="F49" s="184" t="inlineStr">
        <is>
          <t>PENDING</t>
        </is>
      </c>
      <c r="G49" s="185" t="n"/>
      <c r="H49" s="206" t="n"/>
      <c r="I49" s="207" t="inlineStr">
        <is>
          <t>APPLIED</t>
        </is>
      </c>
      <c r="J49" s="183" t="inlineStr">
        <is>
          <t>Superseded by the current consolidated source task or resolved source state.</t>
        </is>
      </c>
      <c r="K49" s="188" t="inlineStr">
        <is>
          <t>https://standard.no/fagomrader/risikostyring/iso-31000-risikostyring--retningslinjer/</t>
        </is>
      </c>
      <c r="M49" t="inlineStr">
        <is>
          <t>HIGH</t>
        </is>
      </c>
      <c r="N49" t="inlineStr">
        <is>
          <t>MEDIUM</t>
        </is>
      </c>
      <c r="O49" t="inlineStr">
        <is>
          <t>HIGH</t>
        </is>
      </c>
      <c r="P49" t="inlineStr">
        <is>
          <t>HIGH</t>
        </is>
      </c>
      <c r="Q49" t="inlineStr">
        <is>
          <t>MEDIUM</t>
        </is>
      </c>
      <c r="R49" t="inlineStr">
        <is>
          <t>PENDING</t>
        </is>
      </c>
      <c r="T49" t="inlineStr">
        <is>
          <t>CURRENT</t>
        </is>
      </c>
      <c r="V49" t="inlineStr">
        <is>
          <t>Official expansion. Provides guidance rather than certifiable requirements unless contractually adopted.</t>
        </is>
      </c>
      <c r="X49" t="inlineStr">
        <is>
          <t>B_Standards_Body</t>
        </is>
      </c>
      <c r="Y49" t="inlineStr">
        <is>
          <t>Standards Norway / ISO</t>
        </is>
      </c>
      <c r="Z49" t="inlineStr">
        <is>
          <t>International</t>
        </is>
      </c>
      <c r="AA49" t="inlineStr">
        <is>
          <t>Technical standard</t>
        </is>
      </c>
      <c r="AB49" t="inlineStr">
        <is>
          <t>Standards body</t>
        </is>
      </c>
      <c r="AC49" t="inlineStr">
        <is>
          <t>Guidance / interpretation</t>
        </is>
      </c>
      <c r="AD49" t="inlineStr">
        <is>
          <t>Norwegian</t>
        </is>
      </c>
      <c r="AE49" t="inlineStr">
        <is>
          <t>pdf</t>
        </is>
      </c>
      <c r="AF49" t="inlineStr">
        <is>
          <t>2018</t>
        </is>
      </c>
      <c r="AH49" t="inlineStr">
        <is>
          <t>Official guidance from Standards Norway / ISO; included to interpret and operationalise linked normative requirements, not as independent legal or certification authority.</t>
        </is>
      </c>
      <c r="AI49" t="inlineStr">
        <is>
          <t>LOW</t>
        </is>
      </c>
      <c r="AJ49" t="inlineStr">
        <is>
          <t>OFFICIAL_WEBSITE</t>
        </is>
      </c>
      <c r="AK49" t="inlineStr">
        <is>
          <t>OFFICIAL_ORIGINAL</t>
        </is>
      </c>
      <c r="AL49" t="inlineStr">
        <is>
          <t>VERSIONED</t>
        </is>
      </c>
      <c r="AN49" t="inlineStr">
        <is>
          <t>REV-a0afc8bc731a3303</t>
        </is>
      </c>
      <c r="AO49" s="189" t="n"/>
      <c r="AP49" s="189" t="n">
        <v>46266.41396990741</v>
      </c>
      <c r="AQ49" s="189" t="n">
        <v>46265.41666666666</v>
      </c>
      <c r="AR49" t="inlineStr">
        <is>
          <t>{"action": "APPLY_FIELD_UPDATES", "issue_codes": ["PAYWALL_BLOCKED", "SELECTION_PENDING"], "retry_after_apply": false, "review_fingerprint": "2115a2c6738c7e4c", "source_fingerprint": "675c555b75e3d334c176", "source_id": "SB005", "updates": {}}</t>
        </is>
      </c>
    </row>
    <row r="50" hidden="1" ht="38" customHeight="1" s="41">
      <c r="A50" s="190" t="inlineStr">
        <is>
          <t>SB006</t>
        </is>
      </c>
      <c r="B50" s="191" t="inlineStr">
        <is>
          <t>NS-EN ISO 9001:2015 Quality management systems - Requirements</t>
        </is>
      </c>
      <c r="C50" s="191" t="inlineStr">
        <is>
          <t>SOURCE_REVIEW</t>
        </is>
      </c>
      <c r="D50" s="191" t="inlineStr">
        <is>
          <t>PAYWALL_BLOCKED; SELECTION_PENDING</t>
        </is>
      </c>
      <c r="E50" s="191" t="inlineStr">
        <is>
          <t>Place an authorised copy in Data/00_Human_Intake or record an authorised retrieval route. | Review the human-governed source fields and choose INCLUDE, PENDING or EXCLUDE in Human Operation Desktop.</t>
        </is>
      </c>
      <c r="F50" s="184" t="inlineStr">
        <is>
          <t>PENDING</t>
        </is>
      </c>
      <c r="G50" s="185" t="n"/>
      <c r="H50" s="206" t="n"/>
      <c r="I50" s="207" t="inlineStr">
        <is>
          <t>APPLIED</t>
        </is>
      </c>
      <c r="J50" s="191" t="inlineStr">
        <is>
          <t>Superseded by the current consolidated source task or resolved source state.</t>
        </is>
      </c>
      <c r="K50" s="192" t="inlineStr">
        <is>
          <t>https://standard.no/fagomrader/kvalitetsstyring---iso-9000/ledelsessystemer-for-kvalitet--iso-9001/</t>
        </is>
      </c>
      <c r="M50" t="inlineStr">
        <is>
          <t>HIGH</t>
        </is>
      </c>
      <c r="N50" t="inlineStr">
        <is>
          <t>MEDIUM</t>
        </is>
      </c>
      <c r="O50" t="inlineStr">
        <is>
          <t>HIGH</t>
        </is>
      </c>
      <c r="P50" t="inlineStr">
        <is>
          <t>HIGH</t>
        </is>
      </c>
      <c r="Q50" t="inlineStr">
        <is>
          <t>MEDIUM</t>
        </is>
      </c>
      <c r="R50" t="inlineStr">
        <is>
          <t>PENDING</t>
        </is>
      </c>
      <c r="T50" t="inlineStr">
        <is>
          <t>CURRENT</t>
        </is>
      </c>
      <c r="V50" t="inlineStr">
        <is>
          <t>Official expansion from Fiskeridirektoratet risk-management guidance. Include only if client certification or contract makes it applicable.</t>
        </is>
      </c>
      <c r="X50" t="inlineStr">
        <is>
          <t>B_Standards_Body</t>
        </is>
      </c>
      <c r="Y50" t="inlineStr">
        <is>
          <t>Standards Norway / ISO</t>
        </is>
      </c>
      <c r="Z50" t="inlineStr">
        <is>
          <t>International</t>
        </is>
      </c>
      <c r="AA50" t="inlineStr">
        <is>
          <t>Technical standard</t>
        </is>
      </c>
      <c r="AB50" t="inlineStr">
        <is>
          <t>Standards body</t>
        </is>
      </c>
      <c r="AC50" t="inlineStr">
        <is>
          <t>Referenced normative</t>
        </is>
      </c>
      <c r="AD50" t="inlineStr">
        <is>
          <t>Norwegian</t>
        </is>
      </c>
      <c r="AE50" t="inlineStr">
        <is>
          <t>pdf</t>
        </is>
      </c>
      <c r="AF50" t="inlineStr">
        <is>
          <t>2015</t>
        </is>
      </c>
      <c r="AH50" t="inlineStr">
        <is>
          <t>Official referenced source from Standards Norway / ISO; included because an applicable law, permit or certification scheme may make its provisions binding within the approved scope.</t>
        </is>
      </c>
      <c r="AI50" t="inlineStr">
        <is>
          <t>LOW</t>
        </is>
      </c>
      <c r="AJ50" t="inlineStr">
        <is>
          <t>OFFICIAL_WEBSITE</t>
        </is>
      </c>
      <c r="AK50" t="inlineStr">
        <is>
          <t>OFFICIAL_ORIGINAL</t>
        </is>
      </c>
      <c r="AL50" t="inlineStr">
        <is>
          <t>VERSIONED</t>
        </is>
      </c>
      <c r="AN50" t="inlineStr">
        <is>
          <t>REV-5f9522f7d2d7dc43</t>
        </is>
      </c>
      <c r="AO50" s="189" t="n"/>
      <c r="AP50" s="189" t="n">
        <v>46266.41396990741</v>
      </c>
      <c r="AQ50" s="189" t="n">
        <v>46265.41666666666</v>
      </c>
      <c r="AR50" t="inlineStr">
        <is>
          <t>{"action": "APPLY_FIELD_UPDATES", "issue_codes": ["PAYWALL_BLOCKED", "SELECTION_PENDING"], "retry_after_apply": false, "review_fingerprint": "625821142bfafa5b", "source_fingerprint": "f73ea70ddfc88234fba9", "source_id": "SB006", "updates": {}}</t>
        </is>
      </c>
    </row>
    <row r="51" hidden="1" ht="38" customHeight="1" s="41">
      <c r="A51" s="182" t="inlineStr">
        <is>
          <t>SB007</t>
        </is>
      </c>
      <c r="B51" s="183" t="inlineStr">
        <is>
          <t>NS 3424:2012 Condition survey of construction works - Content and execution</t>
        </is>
      </c>
      <c r="C51" s="183" t="inlineStr">
        <is>
          <t>SOURCE_REVIEW</t>
        </is>
      </c>
      <c r="D51" s="183" t="inlineStr">
        <is>
          <t>PAYWALL_BLOCKED; SELECTION_PENDING</t>
        </is>
      </c>
      <c r="E51" s="183" t="inlineStr">
        <is>
          <t>Place an authorised copy in Data/00_Human_Intake or record an authorised retrieval route. | Review the human-governed source fields and choose INCLUDE, PENDING or EXCLUDE in Human Operation Desktop.</t>
        </is>
      </c>
      <c r="F51" s="184" t="inlineStr">
        <is>
          <t>PENDING</t>
        </is>
      </c>
      <c r="G51" s="185" t="n"/>
      <c r="H51" s="206" t="n"/>
      <c r="I51" s="207" t="inlineStr">
        <is>
          <t>APPLIED</t>
        </is>
      </c>
      <c r="J51" s="183" t="inlineStr">
        <is>
          <t>Superseded by the current consolidated source task or resolved source state.</t>
        </is>
      </c>
      <c r="K51" s="188" t="inlineStr">
        <is>
          <t>https://online.standard.no/nb/ns-3424-2012</t>
        </is>
      </c>
      <c r="M51" t="inlineStr">
        <is>
          <t>HIGH</t>
        </is>
      </c>
      <c r="N51" t="inlineStr">
        <is>
          <t>MEDIUM</t>
        </is>
      </c>
      <c r="O51" t="inlineStr">
        <is>
          <t>HIGH</t>
        </is>
      </c>
      <c r="P51" t="inlineStr">
        <is>
          <t>HIGH</t>
        </is>
      </c>
      <c r="Q51" t="inlineStr">
        <is>
          <t>MEDIUM</t>
        </is>
      </c>
      <c r="R51" t="inlineStr">
        <is>
          <t>PENDING</t>
        </is>
      </c>
      <c r="T51" t="inlineStr">
        <is>
          <t>CURRENT</t>
        </is>
      </c>
      <c r="U51" t="inlineStr">
        <is>
          <t>PA022</t>
        </is>
      </c>
      <c r="V51" t="inlineStr">
        <is>
          <t>Directly referenced by PA057 for condition assessment of land-based facilities. Licensed access is required.</t>
        </is>
      </c>
      <c r="X51" t="inlineStr">
        <is>
          <t>B_Standards_Body</t>
        </is>
      </c>
      <c r="Y51" t="inlineStr">
        <is>
          <t>Standards Norway</t>
        </is>
      </c>
      <c r="Z51" t="inlineStr">
        <is>
          <t>Norway</t>
        </is>
      </c>
      <c r="AA51" t="inlineStr">
        <is>
          <t>Technical standard</t>
        </is>
      </c>
      <c r="AB51" t="inlineStr">
        <is>
          <t>Standards body</t>
        </is>
      </c>
      <c r="AC51" t="inlineStr">
        <is>
          <t>Referenced normative</t>
        </is>
      </c>
      <c r="AD51" t="inlineStr">
        <is>
          <t>Norwegian</t>
        </is>
      </c>
      <c r="AE51" t="inlineStr">
        <is>
          <t>pdf</t>
        </is>
      </c>
      <c r="AF51" t="inlineStr">
        <is>
          <t>2012</t>
        </is>
      </c>
      <c r="AH51" t="inlineStr">
        <is>
          <t>Official referenced source from Standards Norway; included because an applicable law, permit or certification scheme may make its provisions binding within the approved scope.</t>
        </is>
      </c>
      <c r="AI51" t="inlineStr">
        <is>
          <t>LOW</t>
        </is>
      </c>
      <c r="AJ51" t="inlineStr">
        <is>
          <t>OFFICIAL_WEBSITE</t>
        </is>
      </c>
      <c r="AK51" t="inlineStr">
        <is>
          <t>OFFICIAL_ORIGINAL</t>
        </is>
      </c>
      <c r="AL51" t="inlineStr">
        <is>
          <t>VERSIONED</t>
        </is>
      </c>
      <c r="AN51" t="inlineStr">
        <is>
          <t>REV-86e144db90d2cf51</t>
        </is>
      </c>
      <c r="AO51" s="189" t="n"/>
      <c r="AP51" s="189" t="n">
        <v>46266.41396990741</v>
      </c>
      <c r="AQ51" s="189" t="n">
        <v>46265.41666666666</v>
      </c>
      <c r="AR51" t="inlineStr">
        <is>
          <t>{"action": "APPLY_FIELD_UPDATES", "issue_codes": ["PAYWALL_BLOCKED", "SELECTION_PENDING"], "retry_after_apply": false, "review_fingerprint": "9f05856ed39d0268", "source_fingerprint": "6b3e76451403fe581889", "source_id": "SB007", "updates": {}}</t>
        </is>
      </c>
    </row>
    <row r="52" hidden="1" ht="28" customHeight="1" s="41">
      <c r="A52" s="190" t="inlineStr">
        <is>
          <t>PA029</t>
        </is>
      </c>
      <c r="B52" s="191" t="inlineStr">
        <is>
          <t>Yggdrasil aquaculture map and portal</t>
        </is>
      </c>
      <c r="C52" s="191" t="inlineStr">
        <is>
          <t>SOURCE_REVIEW</t>
        </is>
      </c>
      <c r="D52" s="191" t="inlineStr">
        <is>
          <t>SCOPE_REVIEW</t>
        </is>
      </c>
      <c r="E52" s="191" t="inlineStr">
        <is>
          <t>WITHDRAW_SOURCE</t>
        </is>
      </c>
      <c r="F52" s="184" t="inlineStr">
        <is>
          <t>ACCEPT</t>
        </is>
      </c>
      <c r="G52" s="191" t="inlineStr">
        <is>
          <t>Jay</t>
        </is>
      </c>
      <c r="H52" s="208" t="inlineStr">
        <is>
          <t>Confirmed that Yggdrasil is an interactive map and not a Requirement source.</t>
        </is>
      </c>
      <c r="I52" s="207" t="inlineStr">
        <is>
          <t>APPLIED</t>
        </is>
      </c>
      <c r="J52" s="191" t="inlineStr">
        <is>
          <t>scope_relevance set to LOW; source_status set to WITHDRAWN.</t>
        </is>
      </c>
      <c r="K52" s="192" t="inlineStr">
        <is>
          <t>https://portal.fiskeridir.no/portal/apps/sites/#/yggdrasil</t>
        </is>
      </c>
      <c r="Y52" t="inlineStr">
        <is>
          <t>Norwegian Directorate of Fisheries</t>
        </is>
      </c>
      <c r="Z52" t="inlineStr">
        <is>
          <t>Norway</t>
        </is>
      </c>
      <c r="AA52" t="inlineStr">
        <is>
          <t>Interactive portal / map</t>
        </is>
      </c>
      <c r="AB52" t="inlineStr">
        <is>
          <t>Spatial and environmental evidence platform</t>
        </is>
      </c>
      <c r="AC52" t="inlineStr">
        <is>
          <t>Supporting / orientation</t>
        </is>
      </c>
      <c r="AD52" t="inlineStr">
        <is>
          <t>Norwegian</t>
        </is>
      </c>
      <c r="AE52" t="inlineStr">
        <is>
          <t>html</t>
        </is>
      </c>
      <c r="AM52" t="inlineStr">
        <is>
          <t>SYSTEM_REVIEW</t>
        </is>
      </c>
      <c r="AN52" t="inlineStr">
        <is>
          <t>REV-PA029-WITHDRAW-20260831</t>
        </is>
      </c>
      <c r="AO52" s="189" t="n">
        <v>46265.29166666666</v>
      </c>
      <c r="AP52" s="189" t="n">
        <v>46265.29166666666</v>
      </c>
      <c r="AQ52" s="189" t="n">
        <v>46265.29166666666</v>
      </c>
      <c r="AR52" t="inlineStr">
        <is>
          <t>{"action":"WITHDRAW_SOURCE","source_id":"PA029"}</t>
        </is>
      </c>
    </row>
    <row r="53" hidden="1" ht="42" customHeight="1" s="41">
      <c r="A53" s="182" t="inlineStr">
        <is>
          <t>PA010</t>
        </is>
      </c>
      <c r="B53" s="183" t="inlineStr">
        <is>
          <t>Regulation (EU) 2016/429 on transmissible animal diseases (Animal Health Law)</t>
        </is>
      </c>
      <c r="C53" s="183" t="inlineStr">
        <is>
          <t>SOURCE_REVIEW</t>
        </is>
      </c>
      <c r="D53" s="183" t="inlineStr">
        <is>
          <t>DOWNLOAD_FAILURE</t>
        </is>
      </c>
      <c r="E53" s="183" t="inlineStr">
        <is>
          <t>RETRY_SOURCE</t>
        </is>
      </c>
      <c r="F53" s="184" t="inlineStr">
        <is>
          <t>PENDING</t>
        </is>
      </c>
      <c r="G53" s="185" t="n"/>
      <c r="H53" s="206" t="n"/>
      <c r="I53" s="207" t="inlineStr">
        <is>
          <t>APPLIED</t>
        </is>
      </c>
      <c r="J53" s="183" t="inlineStr">
        <is>
          <t>The underlying source state was resolved automatically; no human decision was required.</t>
        </is>
      </c>
      <c r="K53" s="188" t="inlineStr">
        <is>
          <t>https://eur-lex.europa.eu/legal-content/EN/TXT/?uri=CELEX:32016R0429</t>
        </is>
      </c>
      <c r="Y53" t="inlineStr">
        <is>
          <t>European Parliament and Council of the European Union</t>
        </is>
      </c>
      <c r="Z53" t="inlineStr">
        <is>
          <t>EU / EEA</t>
        </is>
      </c>
      <c r="AA53" t="inlineStr">
        <is>
          <t>Regulation</t>
        </is>
      </c>
      <c r="AB53" t="inlineStr">
        <is>
          <t>Public authority</t>
        </is>
      </c>
      <c r="AC53" t="inlineStr">
        <is>
          <t>Referenced normative</t>
        </is>
      </c>
      <c r="AD53" t="inlineStr">
        <is>
          <t>English</t>
        </is>
      </c>
      <c r="AE53" t="inlineStr">
        <is>
          <t>html</t>
        </is>
      </c>
      <c r="AM53" t="inlineStr">
        <is>
          <t>SYSTEM_REVIEW</t>
        </is>
      </c>
      <c r="AN53" t="inlineStr">
        <is>
          <t>REV-e789712a4df3b25e</t>
        </is>
      </c>
      <c r="AO53" s="189" t="n"/>
      <c r="AP53" s="189" t="n">
        <v>46265.44850694444</v>
      </c>
      <c r="AQ53" s="189" t="n">
        <v>46265.41292824074</v>
      </c>
      <c r="AR53" t="inlineStr">
        <is>
          <t>{"action": "RETRY_SOURCE", "source_id": "PA010", "updates": {}}</t>
        </is>
      </c>
    </row>
    <row r="54" hidden="1" ht="42" customHeight="1" s="41">
      <c r="A54" s="23" t="n"/>
      <c r="B54" s="191" t="inlineStr">
        <is>
          <t>Team-reported random QA batch</t>
        </is>
      </c>
      <c r="C54" s="191" t="inlineStr">
        <is>
          <t>RANDOM_QA_BATCH_SUMMARY</t>
        </is>
      </c>
      <c r="D54" s="191" t="inlineStr">
        <is>
          <t>TEAM_REPORTED</t>
        </is>
      </c>
      <c r="E54" s="191" t="inlineStr">
        <is>
          <t>7/7</t>
        </is>
      </c>
      <c r="F54" s="184" t="inlineStr">
        <is>
          <t>CORRECT</t>
        </is>
      </c>
      <c r="G54" s="191" t="inlineStr">
        <is>
          <t>Jokic; Ana</t>
        </is>
      </c>
      <c r="H54" s="208" t="inlineStr">
        <is>
          <t>Seven sources were checked and all were correct. Individual source IDs were not supplied.</t>
        </is>
      </c>
      <c r="I54" s="207" t="inlineStr">
        <is>
          <t>APPLIED</t>
        </is>
      </c>
      <c r="J54" s="191" t="inlineStr">
        <is>
          <t>Historical batch summary migrated from the deleted QA worksheet into the retained Human Operation Desktop audit trail.</t>
        </is>
      </c>
      <c r="AM54" t="inlineStr">
        <is>
          <t>TEAM_REPORTED</t>
        </is>
      </c>
      <c r="AN54" t="inlineStr">
        <is>
          <t>QA-20260831-TEAM-001</t>
        </is>
      </c>
      <c r="AO54" s="189" t="n">
        <v>46265</v>
      </c>
      <c r="AP54" s="189" t="n">
        <v>46265.50171299768</v>
      </c>
      <c r="AQ54" s="189" t="n">
        <v>46265.50171299768</v>
      </c>
      <c r="AR54" t="inlineStr">
        <is>
          <t>{"requested_count":7,"checked_count":7,"correct_count":7,"incorrect_count":0,"detail_status":"SUMMARY_ONLY"}</t>
        </is>
      </c>
    </row>
    <row r="55" ht="30" customHeight="1" s="41">
      <c r="A55" s="188" t="inlineStr">
        <is>
          <t>CS013</t>
        </is>
      </c>
      <c r="B55" s="188" t="inlineStr">
        <is>
          <t>GLOBALG.A.P. General Regulations - Rules for individual producers</t>
        </is>
      </c>
      <c r="C55" s="188" t="inlineStr">
        <is>
          <t>SOURCE_REVIEW</t>
        </is>
      </c>
      <c r="D55" s="188" t="inlineStr">
        <is>
          <t>DUPLICATE_OFFICIAL_URL; SELECTION_PENDING</t>
        </is>
      </c>
      <c r="E55" s="188" t="inlineStr">
        <is>
          <t>Confirm whether this record is a distinct source, correct its identity, or exclude it. | Review the human-governed source fields and choose INCLUDE, PENDING or EXCLUDE in Human Operation Desktop.</t>
        </is>
      </c>
      <c r="F55" s="194" t="inlineStr">
        <is>
          <t>PENDING</t>
        </is>
      </c>
      <c r="G55" s="195" t="n"/>
      <c r="H55" s="209" t="n"/>
      <c r="I55" s="210" t="inlineStr">
        <is>
          <t>PENDING</t>
        </is>
      </c>
      <c r="J55" s="188" t="inlineStr">
        <is>
          <t>The official URL is shared by 6 current source records. | operator_selection_decision is PENDING; mandatory assessment is not HIGH: scope_relevance.</t>
        </is>
      </c>
      <c r="K55" s="188" t="inlineStr">
        <is>
          <t>https://globalgap.org/what-we-offer/solutions/ifa-aquaculture/</t>
        </is>
      </c>
      <c r="L55" s="188" t="inlineStr">
        <is>
          <t>https://documents.globalgap.org/documents/240902_GG_GR_Rules_for_IP_v6_0_Aug24_en.pdf</t>
        </is>
      </c>
      <c r="M55" t="inlineStr">
        <is>
          <t>HIGH</t>
        </is>
      </c>
      <c r="N55" t="inlineStr">
        <is>
          <t>MEDIUM</t>
        </is>
      </c>
      <c r="O55" t="inlineStr">
        <is>
          <t>HIGH</t>
        </is>
      </c>
      <c r="P55" t="inlineStr">
        <is>
          <t>HIGH</t>
        </is>
      </c>
      <c r="Q55" t="inlineStr">
        <is>
          <t>HIGH</t>
        </is>
      </c>
      <c r="R55" t="inlineStr">
        <is>
          <t>PENDING</t>
        </is>
      </c>
      <c r="T55" t="inlineStr">
        <is>
          <t>CURRENT</t>
        </is>
      </c>
      <c r="U55" t="inlineStr">
        <is>
          <t>CS008</t>
        </is>
      </c>
      <c r="V55" t="inlineStr">
        <is>
          <t>Coverage-audit expansion. The project checklist explicitly cites these rules for individual-producer self-assessment and certification.</t>
        </is>
      </c>
      <c r="X55" t="inlineStr">
        <is>
          <t>C_Certification_Scheme</t>
        </is>
      </c>
      <c r="Y55" t="inlineStr">
        <is>
          <t>GLOBALG.A.P.</t>
        </is>
      </c>
      <c r="Z55" t="inlineStr">
        <is>
          <t>International</t>
        </is>
      </c>
      <c r="AA55" t="inlineStr">
        <is>
          <t>Scheme standard</t>
        </is>
      </c>
      <c r="AB55" t="inlineStr">
        <is>
          <t>Certification scheme</t>
        </is>
      </c>
      <c r="AC55" t="inlineStr">
        <is>
          <t>Referenced normative</t>
        </is>
      </c>
      <c r="AD55" t="inlineStr">
        <is>
          <t>English</t>
        </is>
      </c>
      <c r="AE55" t="inlineStr">
        <is>
          <t>pdf</t>
        </is>
      </c>
      <c r="AF55" t="inlineStr">
        <is>
          <t>6.0_Aug24</t>
        </is>
      </c>
      <c r="AG55" t="n">
        <v>45510</v>
      </c>
      <c r="AH55" t="inlineStr">
        <is>
          <t>Official referenced source from GLOBALG.A.P.; included because an applicable law, permit or certification scheme may make its provisions binding within the approved scope.</t>
        </is>
      </c>
      <c r="AI55" t="inlineStr">
        <is>
          <t>HIGH</t>
        </is>
      </c>
      <c r="AJ55" t="inlineStr">
        <is>
          <t>OFFICIAL_WEBSITE</t>
        </is>
      </c>
      <c r="AK55" t="inlineStr">
        <is>
          <t>OFFICIAL_ORIGINAL</t>
        </is>
      </c>
      <c r="AL55" t="inlineStr">
        <is>
          <t>VERSIONED</t>
        </is>
      </c>
      <c r="AN55" t="inlineStr">
        <is>
          <t>REV-5aa99f8061bd9a8a</t>
        </is>
      </c>
      <c r="AQ55" s="198" t="n">
        <v>46266.41396990741</v>
      </c>
      <c r="AR55" t="inlineStr">
        <is>
          <t>{"action": "APPLY_FIELD_UPDATES", "issue_codes": ["DUPLICATE_OFFICIAL_URL", "SELECTION_PENDING"], "retry_after_apply": false, "review_fingerprint": "a4b32bdfa34df8c1", "source_fingerprint": "e6a4205a11d929b9b54e", "source_id": "CS013", "updates": {}}</t>
        </is>
      </c>
    </row>
    <row r="56" ht="30" customHeight="1" s="41">
      <c r="A56" s="192" t="inlineStr">
        <is>
          <t>CS014</t>
        </is>
      </c>
      <c r="B56" s="192" t="inlineStr">
        <is>
          <t>GLOBALG.A.P. General Regulations - Rules for producer groups and multisite producers with QMS</t>
        </is>
      </c>
      <c r="C56" s="192" t="inlineStr">
        <is>
          <t>SOURCE_REVIEW</t>
        </is>
      </c>
      <c r="D56" s="192" t="inlineStr">
        <is>
          <t>DUPLICATE_OFFICIAL_URL; SELECTION_PENDING</t>
        </is>
      </c>
      <c r="E56" s="192" t="inlineStr">
        <is>
          <t>Confirm whether this record is a distinct source, correct its identity, or exclude it. | Review the human-governed source fields and choose INCLUDE, PENDING or EXCLUDE in Human Operation Desktop.</t>
        </is>
      </c>
      <c r="F56" s="194" t="inlineStr">
        <is>
          <t>PENDING</t>
        </is>
      </c>
      <c r="G56" s="195" t="n"/>
      <c r="H56" s="209" t="n"/>
      <c r="I56" s="210" t="inlineStr">
        <is>
          <t>PENDING</t>
        </is>
      </c>
      <c r="J56" s="192" t="inlineStr">
        <is>
          <t>The official URL is shared by 6 current source records. | operator_selection_decision is PENDING; mandatory assessment is not HIGH: scope_relevance.</t>
        </is>
      </c>
      <c r="K56" s="192" t="inlineStr">
        <is>
          <t>https://globalgap.org/what-we-offer/solutions/ifa-aquaculture/</t>
        </is>
      </c>
      <c r="L56" s="192" t="inlineStr">
        <is>
          <t>https://documents.globalgap.org/documents/240902_GG_GR_Rules_for_QMS_v6_0_Aug24_en.pdf</t>
        </is>
      </c>
      <c r="M56" t="inlineStr">
        <is>
          <t>HIGH</t>
        </is>
      </c>
      <c r="N56" t="inlineStr">
        <is>
          <t>MEDIUM</t>
        </is>
      </c>
      <c r="O56" t="inlineStr">
        <is>
          <t>HIGH</t>
        </is>
      </c>
      <c r="P56" t="inlineStr">
        <is>
          <t>HIGH</t>
        </is>
      </c>
      <c r="Q56" t="inlineStr">
        <is>
          <t>HIGH</t>
        </is>
      </c>
      <c r="R56" t="inlineStr">
        <is>
          <t>PENDING</t>
        </is>
      </c>
      <c r="T56" t="inlineStr">
        <is>
          <t>CURRENT</t>
        </is>
      </c>
      <c r="U56" t="inlineStr">
        <is>
          <t>CS008</t>
        </is>
      </c>
      <c r="V56" t="inlineStr">
        <is>
          <t>Coverage-audit expansion. The project checklist explicitly cites these rules for QMS audits and group or multisite certification.</t>
        </is>
      </c>
      <c r="X56" t="inlineStr">
        <is>
          <t>C_Certification_Scheme</t>
        </is>
      </c>
      <c r="Y56" t="inlineStr">
        <is>
          <t>GLOBALG.A.P.</t>
        </is>
      </c>
      <c r="Z56" t="inlineStr">
        <is>
          <t>International</t>
        </is>
      </c>
      <c r="AA56" t="inlineStr">
        <is>
          <t>Scheme standard</t>
        </is>
      </c>
      <c r="AB56" t="inlineStr">
        <is>
          <t>Certification scheme</t>
        </is>
      </c>
      <c r="AC56" t="inlineStr">
        <is>
          <t>Referenced normative</t>
        </is>
      </c>
      <c r="AD56" t="inlineStr">
        <is>
          <t>English</t>
        </is>
      </c>
      <c r="AE56" t="inlineStr">
        <is>
          <t>pdf</t>
        </is>
      </c>
      <c r="AF56" t="inlineStr">
        <is>
          <t>6.0_Aug24</t>
        </is>
      </c>
      <c r="AG56" t="n">
        <v>45510</v>
      </c>
      <c r="AH56" t="inlineStr">
        <is>
          <t>Official referenced source from GLOBALG.A.P.; included because an applicable law, permit or certification scheme may make its provisions binding within the approved scope.</t>
        </is>
      </c>
      <c r="AI56" t="inlineStr">
        <is>
          <t>HIGH</t>
        </is>
      </c>
      <c r="AJ56" t="inlineStr">
        <is>
          <t>OFFICIAL_WEBSITE</t>
        </is>
      </c>
      <c r="AK56" t="inlineStr">
        <is>
          <t>OFFICIAL_ORIGINAL</t>
        </is>
      </c>
      <c r="AL56" t="inlineStr">
        <is>
          <t>VERSIONED</t>
        </is>
      </c>
      <c r="AN56" t="inlineStr">
        <is>
          <t>REV-36b4eae27648a0bb</t>
        </is>
      </c>
      <c r="AQ56" s="198" t="n">
        <v>46266.41396990741</v>
      </c>
      <c r="AR56" t="inlineStr">
        <is>
          <t>{"action": "APPLY_FIELD_UPDATES", "issue_codes": ["DUPLICATE_OFFICIAL_URL", "SELECTION_PENDING"], "retry_after_apply": false, "review_fingerprint": "dc7b27619b286367", "source_fingerprint": "c027994bba7cd614ba90", "source_id": "CS014", "updates": {}}</t>
        </is>
      </c>
    </row>
    <row r="57" ht="30" customHeight="1" s="41">
      <c r="A57" s="188" t="inlineStr">
        <is>
          <t>PA006</t>
        </is>
      </c>
      <c r="B57" s="188" t="inlineStr">
        <is>
          <t>Organic Production and Labelling Regulations</t>
        </is>
      </c>
      <c r="C57" s="188" t="inlineStr">
        <is>
          <t>SELECTION_REVIEW</t>
        </is>
      </c>
      <c r="D57" s="188" t="inlineStr">
        <is>
          <t>SELECTION_PENDING</t>
        </is>
      </c>
      <c r="E57" s="188" t="inlineStr">
        <is>
          <t>Review the human-governed source fields and choose INCLUDE, PENDING or EXCLUDE in Human Operation Desktop.</t>
        </is>
      </c>
      <c r="F57" s="194" t="inlineStr">
        <is>
          <t>PENDING</t>
        </is>
      </c>
      <c r="G57" s="195" t="n"/>
      <c r="H57" s="209" t="n"/>
      <c r="I57" s="210" t="inlineStr">
        <is>
          <t>PENDING</t>
        </is>
      </c>
      <c r="J57" s="188" t="inlineStr">
        <is>
          <t>operator_selection_decision is PENDING; mandatory assessment is not HIGH: scope_relevance.</t>
        </is>
      </c>
      <c r="K57" s="188" t="inlineStr">
        <is>
          <t>https://lovdata.no/dokument/SF/forskrift/2022-06-11-1171</t>
        </is>
      </c>
      <c r="L57" s="188" t="inlineStr">
        <is>
          <t>https://lovdata.no/dokument/SF/forskrift/2022-06-11-1171</t>
        </is>
      </c>
      <c r="M57" t="inlineStr">
        <is>
          <t>HIGH</t>
        </is>
      </c>
      <c r="N57" t="inlineStr">
        <is>
          <t>MEDIUM</t>
        </is>
      </c>
      <c r="O57" t="inlineStr">
        <is>
          <t>HIGH</t>
        </is>
      </c>
      <c r="P57" t="inlineStr">
        <is>
          <t>HIGH</t>
        </is>
      </c>
      <c r="Q57" t="inlineStr">
        <is>
          <t>HIGH</t>
        </is>
      </c>
      <c r="R57" t="inlineStr">
        <is>
          <t>PENDING</t>
        </is>
      </c>
      <c r="T57" t="inlineStr">
        <is>
          <t>CURRENT</t>
        </is>
      </c>
      <c r="V57" t="inlineStr">
        <is>
          <t>Project-mentioned candidate. Include only for organic production or labelling scope.</t>
        </is>
      </c>
      <c r="X57" t="inlineStr">
        <is>
          <t>A_Public_Authority</t>
        </is>
      </c>
      <c r="Y57" t="inlineStr">
        <is>
          <t>Norwegian Government</t>
        </is>
      </c>
      <c r="Z57" t="inlineStr">
        <is>
          <t>Norway</t>
        </is>
      </c>
      <c r="AA57" t="inlineStr">
        <is>
          <t>Regulation</t>
        </is>
      </c>
      <c r="AB57" t="inlineStr">
        <is>
          <t>Public authority</t>
        </is>
      </c>
      <c r="AC57" t="inlineStr">
        <is>
          <t>Primary normative</t>
        </is>
      </c>
      <c r="AD57" t="inlineStr">
        <is>
          <t>Norwegian</t>
        </is>
      </c>
      <c r="AE57" t="inlineStr">
        <is>
          <t>html</t>
        </is>
      </c>
      <c r="AH57" t="inlineStr">
        <is>
          <t>Official regulation issued by Norwegian Government; included because it may impose binding requirements on an in-scope aquaculture asset, activity, permit or certification.</t>
        </is>
      </c>
      <c r="AI57" t="inlineStr">
        <is>
          <t>HIGH</t>
        </is>
      </c>
      <c r="AJ57" t="inlineStr">
        <is>
          <t>OFFICIAL_WEBSITE</t>
        </is>
      </c>
      <c r="AK57" t="inlineStr">
        <is>
          <t>OFFICIAL_ORIGINAL</t>
        </is>
      </c>
      <c r="AL57" t="inlineStr">
        <is>
          <t>ROLLING</t>
        </is>
      </c>
      <c r="AN57" t="inlineStr">
        <is>
          <t>REV-ddd5e0d517f54b21</t>
        </is>
      </c>
      <c r="AQ57" s="198" t="n">
        <v>46266.41396990741</v>
      </c>
      <c r="AR57" t="inlineStr">
        <is>
          <t>{"action": "APPLY_FIELD_UPDATES", "issue_codes": ["SELECTION_PENDING"], "retry_after_apply": false, "review_fingerprint": "4717e576c84b25bf", "source_fingerprint": "ed006914277b62cdf04c", "source_id": "PA006", "updates": {}}</t>
        </is>
      </c>
    </row>
    <row r="58" ht="30" customHeight="1" s="41">
      <c r="A58" s="192" t="inlineStr">
        <is>
          <t>PA008</t>
        </is>
      </c>
      <c r="B58" s="192" t="inlineStr">
        <is>
          <t>Water Framework Regulations</t>
        </is>
      </c>
      <c r="C58" s="192" t="inlineStr">
        <is>
          <t>SELECTION_REVIEW</t>
        </is>
      </c>
      <c r="D58" s="192" t="inlineStr">
        <is>
          <t>SELECTION_PENDING</t>
        </is>
      </c>
      <c r="E58" s="192" t="inlineStr">
        <is>
          <t>Review the human-governed source fields and choose INCLUDE, PENDING or EXCLUDE in Human Operation Desktop.</t>
        </is>
      </c>
      <c r="F58" s="194" t="inlineStr">
        <is>
          <t>PENDING</t>
        </is>
      </c>
      <c r="G58" s="195" t="n"/>
      <c r="H58" s="209" t="n"/>
      <c r="I58" s="210" t="inlineStr">
        <is>
          <t>PENDING</t>
        </is>
      </c>
      <c r="J58" s="192" t="inlineStr">
        <is>
          <t>operator_selection_decision is PENDING; mandatory assessment is not HIGH: scope_relevance.</t>
        </is>
      </c>
      <c r="K58" s="192" t="inlineStr">
        <is>
          <t>https://lovdata.no/dokument/SF/forskrift/2006-12-15-1446</t>
        </is>
      </c>
      <c r="L58" s="192" t="inlineStr">
        <is>
          <t>https://lovdata.no/dokument/SF/forskrift/2006-12-15-1446</t>
        </is>
      </c>
      <c r="M58" t="inlineStr">
        <is>
          <t>HIGH</t>
        </is>
      </c>
      <c r="N58" t="inlineStr">
        <is>
          <t>MEDIUM</t>
        </is>
      </c>
      <c r="O58" t="inlineStr">
        <is>
          <t>HIGH</t>
        </is>
      </c>
      <c r="P58" t="inlineStr">
        <is>
          <t>HIGH</t>
        </is>
      </c>
      <c r="Q58" t="inlineStr">
        <is>
          <t>HIGH</t>
        </is>
      </c>
      <c r="R58" t="inlineStr">
        <is>
          <t>PENDING</t>
        </is>
      </c>
      <c r="T58" t="inlineStr">
        <is>
          <t>CURRENT</t>
        </is>
      </c>
      <c r="V58" t="inlineStr">
        <is>
          <t>Project-mentioned candidate. Relevance depends on recipient and water-body assessment.</t>
        </is>
      </c>
      <c r="X58" t="inlineStr">
        <is>
          <t>A_Public_Authority</t>
        </is>
      </c>
      <c r="Y58" t="inlineStr">
        <is>
          <t>Norwegian Government</t>
        </is>
      </c>
      <c r="Z58" t="inlineStr">
        <is>
          <t>Norway</t>
        </is>
      </c>
      <c r="AA58" t="inlineStr">
        <is>
          <t>Regulation</t>
        </is>
      </c>
      <c r="AB58" t="inlineStr">
        <is>
          <t>Public authority</t>
        </is>
      </c>
      <c r="AC58" t="inlineStr">
        <is>
          <t>Referenced normative</t>
        </is>
      </c>
      <c r="AD58" t="inlineStr">
        <is>
          <t>Norwegian</t>
        </is>
      </c>
      <c r="AE58" t="inlineStr">
        <is>
          <t>html</t>
        </is>
      </c>
      <c r="AH58" t="inlineStr">
        <is>
          <t>Official referenced source from Norwegian Government; included because an applicable law, permit or certification scheme may make its provisions binding within the approved scope.</t>
        </is>
      </c>
      <c r="AI58" t="inlineStr">
        <is>
          <t>HIGH</t>
        </is>
      </c>
      <c r="AJ58" t="inlineStr">
        <is>
          <t>OFFICIAL_WEBSITE</t>
        </is>
      </c>
      <c r="AK58" t="inlineStr">
        <is>
          <t>OFFICIAL_ORIGINAL</t>
        </is>
      </c>
      <c r="AL58" t="inlineStr">
        <is>
          <t>ROLLING</t>
        </is>
      </c>
      <c r="AN58" t="inlineStr">
        <is>
          <t>REV-37be44f040b0221a</t>
        </is>
      </c>
      <c r="AQ58" s="198" t="n">
        <v>46266.41396990741</v>
      </c>
      <c r="AR58" t="inlineStr">
        <is>
          <t>{"action": "APPLY_FIELD_UPDATES", "issue_codes": ["SELECTION_PENDING"], "retry_after_apply": false, "review_fingerprint": "96e4c615d2b91fb3", "source_fingerprint": "d78eb0d1e4bb9a342cfc", "source_id": "PA008", "updates": {}}</t>
        </is>
      </c>
    </row>
    <row r="59" ht="30" customHeight="1" s="41">
      <c r="A59" s="188" t="inlineStr">
        <is>
          <t>PA014</t>
        </is>
      </c>
      <c r="B59" s="188" t="inlineStr">
        <is>
          <t>Animal Health Personnel Act</t>
        </is>
      </c>
      <c r="C59" s="188" t="inlineStr">
        <is>
          <t>SELECTION_REVIEW</t>
        </is>
      </c>
      <c r="D59" s="188" t="inlineStr">
        <is>
          <t>SELECTION_PENDING</t>
        </is>
      </c>
      <c r="E59" s="188" t="inlineStr">
        <is>
          <t>Review the human-governed source fields and choose INCLUDE, PENDING or EXCLUDE in Human Operation Desktop.</t>
        </is>
      </c>
      <c r="F59" s="194" t="inlineStr">
        <is>
          <t>PENDING</t>
        </is>
      </c>
      <c r="G59" s="195" t="n"/>
      <c r="H59" s="209" t="n"/>
      <c r="I59" s="210" t="inlineStr">
        <is>
          <t>PENDING</t>
        </is>
      </c>
      <c r="J59" s="188" t="inlineStr">
        <is>
          <t>operator_selection_decision is PENDING; mandatory assessment is not HIGH: scope_relevance.</t>
        </is>
      </c>
      <c r="K59" s="188" t="inlineStr">
        <is>
          <t>https://lovdata.no/dokument/NL/lov/2001-06-15-75</t>
        </is>
      </c>
      <c r="L59" s="188" t="inlineStr">
        <is>
          <t>https://lovdata.no/dokument/NL/lov/2001-06-15-75</t>
        </is>
      </c>
      <c r="M59" t="inlineStr">
        <is>
          <t>HIGH</t>
        </is>
      </c>
      <c r="N59" t="inlineStr">
        <is>
          <t>MEDIUM</t>
        </is>
      </c>
      <c r="O59" t="inlineStr">
        <is>
          <t>HIGH</t>
        </is>
      </c>
      <c r="P59" t="inlineStr">
        <is>
          <t>HIGH</t>
        </is>
      </c>
      <c r="Q59" t="inlineStr">
        <is>
          <t>HIGH</t>
        </is>
      </c>
      <c r="R59" t="inlineStr">
        <is>
          <t>PENDING</t>
        </is>
      </c>
      <c r="T59" t="inlineStr">
        <is>
          <t>CURRENT</t>
        </is>
      </c>
      <c r="V59" t="inlineStr">
        <is>
          <t>Official expansion. Relevant where veterinarians or aquatic animal health personnel perform regulated tasks.</t>
        </is>
      </c>
      <c r="X59" t="inlineStr">
        <is>
          <t>A_Public_Authority</t>
        </is>
      </c>
      <c r="Y59" t="inlineStr">
        <is>
          <t>Norwegian Ministry of Agriculture and Food</t>
        </is>
      </c>
      <c r="Z59" t="inlineStr">
        <is>
          <t>Norway</t>
        </is>
      </c>
      <c r="AA59" t="inlineStr">
        <is>
          <t>Law</t>
        </is>
      </c>
      <c r="AB59" t="inlineStr">
        <is>
          <t>Public authority</t>
        </is>
      </c>
      <c r="AC59" t="inlineStr">
        <is>
          <t>Primary normative</t>
        </is>
      </c>
      <c r="AD59" t="inlineStr">
        <is>
          <t>Norwegian</t>
        </is>
      </c>
      <c r="AE59" t="inlineStr">
        <is>
          <t>html</t>
        </is>
      </c>
      <c r="AH59" t="inlineStr">
        <is>
          <t>Official law issued by Norwegian Ministry of Agriculture and Food; included because it may impose binding requirements on an in-scope aquaculture asset, activity, permit or certification.</t>
        </is>
      </c>
      <c r="AI59" t="inlineStr">
        <is>
          <t>HIGH</t>
        </is>
      </c>
      <c r="AJ59" t="inlineStr">
        <is>
          <t>OFFICIAL_WEBSITE</t>
        </is>
      </c>
      <c r="AK59" t="inlineStr">
        <is>
          <t>OFFICIAL_ORIGINAL</t>
        </is>
      </c>
      <c r="AL59" t="inlineStr">
        <is>
          <t>ROLLING</t>
        </is>
      </c>
      <c r="AN59" t="inlineStr">
        <is>
          <t>REV-e1b9984b8dbf099d</t>
        </is>
      </c>
      <c r="AQ59" s="198" t="n">
        <v>46266.41396990741</v>
      </c>
      <c r="AR59" t="inlineStr">
        <is>
          <t>{"action": "APPLY_FIELD_UPDATES", "issue_codes": ["SELECTION_PENDING"], "retry_after_apply": false, "review_fingerprint": "c9623a88e39de75b", "source_fingerprint": "2178f0dbfba51fe85739", "source_id": "PA014", "updates": {}}</t>
        </is>
      </c>
    </row>
    <row r="60" ht="30" customHeight="1" s="41">
      <c r="A60" s="192" t="inlineStr">
        <is>
          <t>PA018</t>
        </is>
      </c>
      <c r="B60" s="192" t="inlineStr">
        <is>
          <t>Ship Safety and Security Act</t>
        </is>
      </c>
      <c r="C60" s="192" t="inlineStr">
        <is>
          <t>SELECTION_REVIEW</t>
        </is>
      </c>
      <c r="D60" s="192" t="inlineStr">
        <is>
          <t>SELECTION_PENDING</t>
        </is>
      </c>
      <c r="E60" s="192" t="inlineStr">
        <is>
          <t>Review the human-governed source fields and choose INCLUDE, PENDING or EXCLUDE in Human Operation Desktop.</t>
        </is>
      </c>
      <c r="F60" s="194" t="inlineStr">
        <is>
          <t>PENDING</t>
        </is>
      </c>
      <c r="G60" s="195" t="n"/>
      <c r="H60" s="209" t="n"/>
      <c r="I60" s="210" t="inlineStr">
        <is>
          <t>PENDING</t>
        </is>
      </c>
      <c r="J60" s="192" t="inlineStr">
        <is>
          <t>operator_selection_decision is PENDING; mandatory assessment is not HIGH: scope_relevance.</t>
        </is>
      </c>
      <c r="K60" s="192" t="inlineStr">
        <is>
          <t>https://lovdata.no/dokument/NL/lov/2007-02-16-9</t>
        </is>
      </c>
      <c r="L60" s="192" t="inlineStr">
        <is>
          <t>https://lovdata.no/dokument/NL/lov/2007-02-16-9</t>
        </is>
      </c>
      <c r="M60" t="inlineStr">
        <is>
          <t>HIGH</t>
        </is>
      </c>
      <c r="N60" t="inlineStr">
        <is>
          <t>MEDIUM</t>
        </is>
      </c>
      <c r="O60" t="inlineStr">
        <is>
          <t>HIGH</t>
        </is>
      </c>
      <c r="P60" t="inlineStr">
        <is>
          <t>HIGH</t>
        </is>
      </c>
      <c r="Q60" t="inlineStr">
        <is>
          <t>HIGH</t>
        </is>
      </c>
      <c r="R60" t="inlineStr">
        <is>
          <t>PENDING</t>
        </is>
      </c>
      <c r="T60" t="inlineStr">
        <is>
          <t>CURRENT</t>
        </is>
      </c>
      <c r="V60" t="inlineStr">
        <is>
          <t>Official expansion. Conditional on vessels and maritime operations within client scope.</t>
        </is>
      </c>
      <c r="X60" t="inlineStr">
        <is>
          <t>A_Public_Authority</t>
        </is>
      </c>
      <c r="Y60" t="inlineStr">
        <is>
          <t>Norwegian Government</t>
        </is>
      </c>
      <c r="Z60" t="inlineStr">
        <is>
          <t>Norway</t>
        </is>
      </c>
      <c r="AA60" t="inlineStr">
        <is>
          <t>Law</t>
        </is>
      </c>
      <c r="AB60" t="inlineStr">
        <is>
          <t>Public authority</t>
        </is>
      </c>
      <c r="AC60" t="inlineStr">
        <is>
          <t>Primary normative</t>
        </is>
      </c>
      <c r="AD60" t="inlineStr">
        <is>
          <t>Norwegian</t>
        </is>
      </c>
      <c r="AE60" t="inlineStr">
        <is>
          <t>html</t>
        </is>
      </c>
      <c r="AH60" t="inlineStr">
        <is>
          <t>Official law issued by Norwegian Government; included because it may impose binding requirements on an in-scope aquaculture asset, activity, permit or certification.</t>
        </is>
      </c>
      <c r="AI60" t="inlineStr">
        <is>
          <t>HIGH</t>
        </is>
      </c>
      <c r="AJ60" t="inlineStr">
        <is>
          <t>OFFICIAL_WEBSITE</t>
        </is>
      </c>
      <c r="AK60" t="inlineStr">
        <is>
          <t>OFFICIAL_ORIGINAL</t>
        </is>
      </c>
      <c r="AL60" t="inlineStr">
        <is>
          <t>ROLLING</t>
        </is>
      </c>
      <c r="AN60" t="inlineStr">
        <is>
          <t>REV-35fdfb127760a13f</t>
        </is>
      </c>
      <c r="AQ60" s="198" t="n">
        <v>46266.41396990741</v>
      </c>
      <c r="AR60" t="inlineStr">
        <is>
          <t>{"action": "APPLY_FIELD_UPDATES", "issue_codes": ["SELECTION_PENDING"], "retry_after_apply": false, "review_fingerprint": "fb32dae56dd71dfb", "source_fingerprint": "0d4353e153fca38772dd", "source_id": "PA018", "updates": {}}</t>
        </is>
      </c>
    </row>
    <row r="61" ht="30" customHeight="1" s="41">
      <c r="A61" s="188" t="inlineStr">
        <is>
          <t>PA019</t>
        </is>
      </c>
      <c r="B61" s="188" t="inlineStr">
        <is>
          <t>Regulation on transport of aquaculture animals</t>
        </is>
      </c>
      <c r="C61" s="188" t="inlineStr">
        <is>
          <t>SELECTION_REVIEW</t>
        </is>
      </c>
      <c r="D61" s="188" t="inlineStr">
        <is>
          <t>SELECTION_PENDING</t>
        </is>
      </c>
      <c r="E61" s="188" t="inlineStr">
        <is>
          <t>Review the human-governed source fields and choose INCLUDE, PENDING or EXCLUDE in Human Operation Desktop.</t>
        </is>
      </c>
      <c r="F61" s="194" t="inlineStr">
        <is>
          <t>PENDING</t>
        </is>
      </c>
      <c r="G61" s="195" t="n"/>
      <c r="H61" s="209" t="n"/>
      <c r="I61" s="210" t="inlineStr">
        <is>
          <t>PENDING</t>
        </is>
      </c>
      <c r="J61" s="188" t="inlineStr">
        <is>
          <t>operator_selection_decision is PENDING; mandatory assessment is not HIGH: scope_relevance.</t>
        </is>
      </c>
      <c r="K61" s="188" t="inlineStr">
        <is>
          <t>https://lovdata.no/dokument/SF/forskrift/2008-06-17-820</t>
        </is>
      </c>
      <c r="L61" s="188" t="inlineStr">
        <is>
          <t>https://lovdata.no/dokument/SF/forskrift/2008-06-17-820</t>
        </is>
      </c>
      <c r="M61" t="inlineStr">
        <is>
          <t>HIGH</t>
        </is>
      </c>
      <c r="N61" t="inlineStr">
        <is>
          <t>MEDIUM</t>
        </is>
      </c>
      <c r="O61" t="inlineStr">
        <is>
          <t>HIGH</t>
        </is>
      </c>
      <c r="P61" t="inlineStr">
        <is>
          <t>HIGH</t>
        </is>
      </c>
      <c r="Q61" t="inlineStr">
        <is>
          <t>HIGH</t>
        </is>
      </c>
      <c r="R61" t="inlineStr">
        <is>
          <t>PENDING</t>
        </is>
      </c>
      <c r="T61" t="inlineStr">
        <is>
          <t>CURRENT</t>
        </is>
      </c>
      <c r="V61" t="inlineStr">
        <is>
          <t>Official expansion from Mattilsynet. Conditional on live-animal transport activities.</t>
        </is>
      </c>
      <c r="X61" t="inlineStr">
        <is>
          <t>A_Public_Authority</t>
        </is>
      </c>
      <c r="Y61" t="inlineStr">
        <is>
          <t>Norwegian Government</t>
        </is>
      </c>
      <c r="Z61" t="inlineStr">
        <is>
          <t>Norway</t>
        </is>
      </c>
      <c r="AA61" t="inlineStr">
        <is>
          <t>Regulation</t>
        </is>
      </c>
      <c r="AB61" t="inlineStr">
        <is>
          <t>Public authority</t>
        </is>
      </c>
      <c r="AC61" t="inlineStr">
        <is>
          <t>Primary normative</t>
        </is>
      </c>
      <c r="AD61" t="inlineStr">
        <is>
          <t>Norwegian</t>
        </is>
      </c>
      <c r="AE61" t="inlineStr">
        <is>
          <t>html</t>
        </is>
      </c>
      <c r="AH61" t="inlineStr">
        <is>
          <t>Official regulation issued by Norwegian Government; included because it may impose binding requirements on an in-scope aquaculture asset, activity, permit or certification.</t>
        </is>
      </c>
      <c r="AI61" t="inlineStr">
        <is>
          <t>HIGH</t>
        </is>
      </c>
      <c r="AJ61" t="inlineStr">
        <is>
          <t>OFFICIAL_WEBSITE</t>
        </is>
      </c>
      <c r="AK61" t="inlineStr">
        <is>
          <t>OFFICIAL_ORIGINAL</t>
        </is>
      </c>
      <c r="AL61" t="inlineStr">
        <is>
          <t>ROLLING</t>
        </is>
      </c>
      <c r="AN61" t="inlineStr">
        <is>
          <t>REV-bd47432545bcf8a8</t>
        </is>
      </c>
      <c r="AQ61" s="198" t="n">
        <v>46266.41396990741</v>
      </c>
      <c r="AR61" t="inlineStr">
        <is>
          <t>{"action": "APPLY_FIELD_UPDATES", "issue_codes": ["SELECTION_PENDING"], "retry_after_apply": false, "review_fingerprint": "9651fe8325b6f217", "source_fingerprint": "2e3fef8b6d09ac93916f", "source_id": "PA019", "updates": {}}</t>
        </is>
      </c>
    </row>
    <row r="62" ht="30" customHeight="1" s="41">
      <c r="A62" s="192" t="inlineStr">
        <is>
          <t>PA020</t>
        </is>
      </c>
      <c r="B62" s="192" t="inlineStr">
        <is>
          <t>Regulation on slaughterhouses and processing facilities for aquaculture animals</t>
        </is>
      </c>
      <c r="C62" s="192" t="inlineStr">
        <is>
          <t>SELECTION_REVIEW</t>
        </is>
      </c>
      <c r="D62" s="192" t="inlineStr">
        <is>
          <t>SELECTION_PENDING</t>
        </is>
      </c>
      <c r="E62" s="192" t="inlineStr">
        <is>
          <t>Review the human-governed source fields and choose INCLUDE, PENDING or EXCLUDE in Human Operation Desktop.</t>
        </is>
      </c>
      <c r="F62" s="194" t="inlineStr">
        <is>
          <t>PENDING</t>
        </is>
      </c>
      <c r="G62" s="195" t="n"/>
      <c r="H62" s="209" t="n"/>
      <c r="I62" s="210" t="inlineStr">
        <is>
          <t>PENDING</t>
        </is>
      </c>
      <c r="J62" s="192" t="inlineStr">
        <is>
          <t>operator_selection_decision is PENDING; mandatory assessment is not HIGH: scope_relevance.</t>
        </is>
      </c>
      <c r="K62" s="192" t="inlineStr">
        <is>
          <t>https://lovdata.no/dokument/SF/forskrift/2006-10-30-1250</t>
        </is>
      </c>
      <c r="L62" s="192" t="inlineStr">
        <is>
          <t>https://lovdata.no/dokument/SF/forskrift/2006-10-30-1250</t>
        </is>
      </c>
      <c r="M62" t="inlineStr">
        <is>
          <t>HIGH</t>
        </is>
      </c>
      <c r="N62" t="inlineStr">
        <is>
          <t>MEDIUM</t>
        </is>
      </c>
      <c r="O62" t="inlineStr">
        <is>
          <t>HIGH</t>
        </is>
      </c>
      <c r="P62" t="inlineStr">
        <is>
          <t>HIGH</t>
        </is>
      </c>
      <c r="Q62" t="inlineStr">
        <is>
          <t>HIGH</t>
        </is>
      </c>
      <c r="R62" t="inlineStr">
        <is>
          <t>PENDING</t>
        </is>
      </c>
      <c r="T62" t="inlineStr">
        <is>
          <t>CURRENT</t>
        </is>
      </c>
      <c r="V62" t="inlineStr">
        <is>
          <t>Official expansion from Mattilsynet. Include only when slaughter or processing is in scope.</t>
        </is>
      </c>
      <c r="X62" t="inlineStr">
        <is>
          <t>A_Public_Authority</t>
        </is>
      </c>
      <c r="Y62" t="inlineStr">
        <is>
          <t>Norwegian Ministry of Trade, Industry and Fisheries</t>
        </is>
      </c>
      <c r="Z62" t="inlineStr">
        <is>
          <t>Norway</t>
        </is>
      </c>
      <c r="AA62" t="inlineStr">
        <is>
          <t>Regulation</t>
        </is>
      </c>
      <c r="AB62" t="inlineStr">
        <is>
          <t>Public authority</t>
        </is>
      </c>
      <c r="AC62" t="inlineStr">
        <is>
          <t>Primary normative</t>
        </is>
      </c>
      <c r="AD62" t="inlineStr">
        <is>
          <t>Norwegian</t>
        </is>
      </c>
      <c r="AE62" t="inlineStr">
        <is>
          <t>html</t>
        </is>
      </c>
      <c r="AH62" t="inlineStr">
        <is>
          <t>Official regulation issued by Norwegian Ministry of Trade, Industry and Fisheries; included because it may impose binding requirements on an in-scope aquaculture asset, activity, permit or certification.</t>
        </is>
      </c>
      <c r="AI62" t="inlineStr">
        <is>
          <t>HIGH</t>
        </is>
      </c>
      <c r="AJ62" t="inlineStr">
        <is>
          <t>OFFICIAL_WEBSITE</t>
        </is>
      </c>
      <c r="AK62" t="inlineStr">
        <is>
          <t>OFFICIAL_ORIGINAL</t>
        </is>
      </c>
      <c r="AL62" t="inlineStr">
        <is>
          <t>ROLLING</t>
        </is>
      </c>
      <c r="AN62" t="inlineStr">
        <is>
          <t>REV-7e2142b52e74cdac</t>
        </is>
      </c>
      <c r="AQ62" s="198" t="n">
        <v>46266.41396990741</v>
      </c>
      <c r="AR62" t="inlineStr">
        <is>
          <t>{"action": "APPLY_FIELD_UPDATES", "issue_codes": ["SELECTION_PENDING"], "retry_after_apply": false, "review_fingerprint": "20fc4ca8d2d665c1", "source_fingerprint": "b195fa28ffbc2bc3fd0b", "source_id": "PA020", "updates": {}}</t>
        </is>
      </c>
    </row>
    <row r="63" ht="30" customHeight="1" s="41">
      <c r="A63" s="188" t="inlineStr">
        <is>
          <t>PA021</t>
        </is>
      </c>
      <c r="B63" s="188" t="inlineStr">
        <is>
          <t>Regulation on permits for aquaculture of salmon, trout and rainbow trout (Salmon Allocation Regulations)</t>
        </is>
      </c>
      <c r="C63" s="188" t="inlineStr">
        <is>
          <t>SELECTION_REVIEW</t>
        </is>
      </c>
      <c r="D63" s="188" t="inlineStr">
        <is>
          <t>SELECTION_PENDING</t>
        </is>
      </c>
      <c r="E63" s="188" t="inlineStr">
        <is>
          <t>Review the human-governed source fields and choose INCLUDE, PENDING or EXCLUDE in Human Operation Desktop.</t>
        </is>
      </c>
      <c r="F63" s="194" t="inlineStr">
        <is>
          <t>PENDING</t>
        </is>
      </c>
      <c r="G63" s="195" t="n"/>
      <c r="H63" s="209" t="n"/>
      <c r="I63" s="210" t="inlineStr">
        <is>
          <t>PENDING</t>
        </is>
      </c>
      <c r="J63" s="188" t="inlineStr">
        <is>
          <t>operator_selection_decision is PENDING; mandatory assessment is not HIGH: scope_relevance.</t>
        </is>
      </c>
      <c r="K63" s="188" t="inlineStr">
        <is>
          <t>https://lovdata.no/dokument/SF/forskrift/2022-11-07-1929</t>
        </is>
      </c>
      <c r="L63" s="188" t="inlineStr">
        <is>
          <t>https://lovdata.no/dokument/SF/forskrift/2022-11-07-1929</t>
        </is>
      </c>
      <c r="M63" t="inlineStr">
        <is>
          <t>HIGH</t>
        </is>
      </c>
      <c r="N63" t="inlineStr">
        <is>
          <t>MEDIUM</t>
        </is>
      </c>
      <c r="O63" t="inlineStr">
        <is>
          <t>HIGH</t>
        </is>
      </c>
      <c r="P63" t="inlineStr">
        <is>
          <t>HIGH</t>
        </is>
      </c>
      <c r="Q63" t="inlineStr">
        <is>
          <t>HIGH</t>
        </is>
      </c>
      <c r="R63" t="inlineStr">
        <is>
          <t>PENDING</t>
        </is>
      </c>
      <c r="T63" t="inlineStr">
        <is>
          <t>CURRENT</t>
        </is>
      </c>
      <c r="V63" t="inlineStr">
        <is>
          <t>Official expansion from Fiskeridirektoratet's aquaculture regulation index; conditional on species and permit type.</t>
        </is>
      </c>
      <c r="X63" t="inlineStr">
        <is>
          <t>A_Public_Authority</t>
        </is>
      </c>
      <c r="Y63" t="inlineStr">
        <is>
          <t>Norwegian Ministry of Trade, Industry and Fisheries</t>
        </is>
      </c>
      <c r="Z63" t="inlineStr">
        <is>
          <t>Norway</t>
        </is>
      </c>
      <c r="AA63" t="inlineStr">
        <is>
          <t>Regulation</t>
        </is>
      </c>
      <c r="AB63" t="inlineStr">
        <is>
          <t>Public authority</t>
        </is>
      </c>
      <c r="AC63" t="inlineStr">
        <is>
          <t>Primary normative</t>
        </is>
      </c>
      <c r="AD63" t="inlineStr">
        <is>
          <t>Norwegian</t>
        </is>
      </c>
      <c r="AE63" t="inlineStr">
        <is>
          <t>html</t>
        </is>
      </c>
      <c r="AH63" t="inlineStr">
        <is>
          <t>Official regulation issued by Norwegian Ministry of Trade, Industry and Fisheries; included because it may impose binding requirements on an in-scope aquaculture asset, activity, permit or certification.</t>
        </is>
      </c>
      <c r="AI63" t="inlineStr">
        <is>
          <t>HIGH</t>
        </is>
      </c>
      <c r="AJ63" t="inlineStr">
        <is>
          <t>OFFICIAL_WEBSITE</t>
        </is>
      </c>
      <c r="AK63" t="inlineStr">
        <is>
          <t>OFFICIAL_ORIGINAL</t>
        </is>
      </c>
      <c r="AL63" t="inlineStr">
        <is>
          <t>ROLLING</t>
        </is>
      </c>
      <c r="AN63" t="inlineStr">
        <is>
          <t>REV-ef2dc79be44bccaa</t>
        </is>
      </c>
      <c r="AQ63" s="198" t="n">
        <v>46266.41396990741</v>
      </c>
      <c r="AR63" t="inlineStr">
        <is>
          <t>{"action": "APPLY_FIELD_UPDATES", "issue_codes": ["SELECTION_PENDING"], "retry_after_apply": false, "review_fingerprint": "6db0fe9372e89942", "source_fingerprint": "e7ea7c2cca720ae19f62", "source_id": "PA021", "updates": {}}</t>
        </is>
      </c>
    </row>
    <row r="64" ht="30" customHeight="1" s="41">
      <c r="A64" s="192" t="inlineStr">
        <is>
          <t>PA022</t>
        </is>
      </c>
      <c r="B64" s="192" t="inlineStr">
        <is>
          <t>Regulation on technical standards for land-based aquaculture facilities for fish</t>
        </is>
      </c>
      <c r="C64" s="192" t="inlineStr">
        <is>
          <t>SELECTION_REVIEW</t>
        </is>
      </c>
      <c r="D64" s="192" t="inlineStr">
        <is>
          <t>SELECTION_PENDING</t>
        </is>
      </c>
      <c r="E64" s="192" t="inlineStr">
        <is>
          <t>Review the human-governed source fields and choose INCLUDE, PENDING or EXCLUDE in Human Operation Desktop.</t>
        </is>
      </c>
      <c r="F64" s="194" t="inlineStr">
        <is>
          <t>PENDING</t>
        </is>
      </c>
      <c r="G64" s="195" t="n"/>
      <c r="H64" s="209" t="n"/>
      <c r="I64" s="210" t="inlineStr">
        <is>
          <t>PENDING</t>
        </is>
      </c>
      <c r="J64" s="192" t="inlineStr">
        <is>
          <t>operator_selection_decision is PENDING; mandatory assessment is not HIGH: scope_relevance.</t>
        </is>
      </c>
      <c r="K64" s="192" t="inlineStr">
        <is>
          <t>https://lovdata.no/dokument/SF/forskrift/2017-06-19-941</t>
        </is>
      </c>
      <c r="L64" s="192" t="inlineStr">
        <is>
          <t>https://lovdata.no/dokument/SF/forskrift/2017-06-19-941</t>
        </is>
      </c>
      <c r="M64" t="inlineStr">
        <is>
          <t>HIGH</t>
        </is>
      </c>
      <c r="N64" t="inlineStr">
        <is>
          <t>MEDIUM</t>
        </is>
      </c>
      <c r="O64" t="inlineStr">
        <is>
          <t>HIGH</t>
        </is>
      </c>
      <c r="P64" t="inlineStr">
        <is>
          <t>HIGH</t>
        </is>
      </c>
      <c r="Q64" t="inlineStr">
        <is>
          <t>HIGH</t>
        </is>
      </c>
      <c r="R64" t="inlineStr">
        <is>
          <t>PENDING</t>
        </is>
      </c>
      <c r="T64" t="inlineStr">
        <is>
          <t>CURRENT</t>
        </is>
      </c>
      <c r="V64" t="inlineStr">
        <is>
          <t>Official expansion. Include only for land-based facilities.</t>
        </is>
      </c>
      <c r="X64" t="inlineStr">
        <is>
          <t>A_Public_Authority</t>
        </is>
      </c>
      <c r="Y64" t="inlineStr">
        <is>
          <t>Norwegian Ministry of Trade, Industry and Fisheries</t>
        </is>
      </c>
      <c r="Z64" t="inlineStr">
        <is>
          <t>Norway</t>
        </is>
      </c>
      <c r="AA64" t="inlineStr">
        <is>
          <t>Regulation</t>
        </is>
      </c>
      <c r="AB64" t="inlineStr">
        <is>
          <t>Public authority</t>
        </is>
      </c>
      <c r="AC64" t="inlineStr">
        <is>
          <t>Primary normative</t>
        </is>
      </c>
      <c r="AD64" t="inlineStr">
        <is>
          <t>Norwegian</t>
        </is>
      </c>
      <c r="AE64" t="inlineStr">
        <is>
          <t>html</t>
        </is>
      </c>
      <c r="AH64" t="inlineStr">
        <is>
          <t>Official regulation issued by Norwegian Ministry of Trade, Industry and Fisheries; included because it may impose binding requirements on an in-scope aquaculture asset, activity, permit or certification.</t>
        </is>
      </c>
      <c r="AI64" t="inlineStr">
        <is>
          <t>HIGH</t>
        </is>
      </c>
      <c r="AJ64" t="inlineStr">
        <is>
          <t>OFFICIAL_WEBSITE</t>
        </is>
      </c>
      <c r="AK64" t="inlineStr">
        <is>
          <t>OFFICIAL_ORIGINAL</t>
        </is>
      </c>
      <c r="AL64" t="inlineStr">
        <is>
          <t>ROLLING</t>
        </is>
      </c>
      <c r="AN64" t="inlineStr">
        <is>
          <t>REV-2ce535f4e6712122</t>
        </is>
      </c>
      <c r="AQ64" s="198" t="n">
        <v>46266.41396990741</v>
      </c>
      <c r="AR64" t="inlineStr">
        <is>
          <t>{"action": "APPLY_FIELD_UPDATES", "issue_codes": ["SELECTION_PENDING"], "retry_after_apply": false, "review_fingerprint": "3b2aaffd2543fda8", "source_fingerprint": "00fd018ac8e880688a41", "source_id": "PA022", "updates": {}}</t>
        </is>
      </c>
    </row>
    <row r="65" ht="30" customHeight="1" s="41">
      <c r="A65" s="188" t="inlineStr">
        <is>
          <t>PA028</t>
        </is>
      </c>
      <c r="B65" s="188" t="inlineStr">
        <is>
          <t>Norwegian Aquaculture Register</t>
        </is>
      </c>
      <c r="C65" s="188" t="inlineStr">
        <is>
          <t>SELECTION_REVIEW</t>
        </is>
      </c>
      <c r="D65" s="188" t="inlineStr">
        <is>
          <t>SELECTION_PENDING</t>
        </is>
      </c>
      <c r="E65" s="188" t="inlineStr">
        <is>
          <t>Review the human-governed source fields and choose INCLUDE, PENDING or EXCLUDE in Human Operation Desktop.</t>
        </is>
      </c>
      <c r="F65" s="194" t="inlineStr">
        <is>
          <t>PENDING</t>
        </is>
      </c>
      <c r="G65" s="195" t="n"/>
      <c r="H65" s="209" t="n"/>
      <c r="I65" s="210" t="inlineStr">
        <is>
          <t>PENDING</t>
        </is>
      </c>
      <c r="J65" s="188" t="inlineStr">
        <is>
          <t>operator_selection_decision is PENDING; mandatory assessment is not HIGH: scope_relevance.</t>
        </is>
      </c>
      <c r="K65" s="188" t="inlineStr">
        <is>
          <t>https://www.fiskeridir.no/registre/akvakulturregisteret</t>
        </is>
      </c>
      <c r="L65" s="188" t="inlineStr">
        <is>
          <t>https://www.fiskeridir.no/registre/akvakulturregisteret</t>
        </is>
      </c>
      <c r="M65" t="inlineStr">
        <is>
          <t>HIGH</t>
        </is>
      </c>
      <c r="N65" t="inlineStr">
        <is>
          <t>MEDIUM</t>
        </is>
      </c>
      <c r="O65" t="inlineStr">
        <is>
          <t>HIGH</t>
        </is>
      </c>
      <c r="P65" t="inlineStr">
        <is>
          <t>HIGH</t>
        </is>
      </c>
      <c r="Q65" t="inlineStr">
        <is>
          <t>HIGH</t>
        </is>
      </c>
      <c r="R65" t="inlineStr">
        <is>
          <t>PENDING</t>
        </is>
      </c>
      <c r="T65" t="inlineStr">
        <is>
          <t>CURRENT</t>
        </is>
      </c>
      <c r="U65" t="inlineStr">
        <is>
          <t>PA032</t>
        </is>
      </c>
      <c r="V65" t="inlineStr">
        <is>
          <t>Official expansion. Applicability and site identity source, not a primary source of normative text.</t>
        </is>
      </c>
      <c r="X65" t="inlineStr">
        <is>
          <t>A_Public_Authority</t>
        </is>
      </c>
      <c r="Y65" t="inlineStr">
        <is>
          <t>Norwegian Directorate of Fisheries</t>
        </is>
      </c>
      <c r="Z65" t="inlineStr">
        <is>
          <t>Norway</t>
        </is>
      </c>
      <c r="AA65" t="inlineStr">
        <is>
          <t>Other</t>
        </is>
      </c>
      <c r="AB65" t="inlineStr">
        <is>
          <t>Public authority</t>
        </is>
      </c>
      <c r="AC65" t="inlineStr">
        <is>
          <t>Context / evidence</t>
        </is>
      </c>
      <c r="AD65" t="inlineStr">
        <is>
          <t>Norwegian</t>
        </is>
      </c>
      <c r="AE65" t="inlineStr">
        <is>
          <t>html</t>
        </is>
      </c>
      <c r="AH65" t="inlineStr">
        <is>
          <t>Official context source from Norwegian Directorate of Fisheries; included for applicability, site identity or source discovery, not for generating standalone requirements.</t>
        </is>
      </c>
      <c r="AI65" t="inlineStr">
        <is>
          <t>HIGH</t>
        </is>
      </c>
      <c r="AJ65" t="inlineStr">
        <is>
          <t>OFFICIAL_WEBSITE</t>
        </is>
      </c>
      <c r="AK65" t="inlineStr">
        <is>
          <t>OFFICIAL_ORIGINAL</t>
        </is>
      </c>
      <c r="AL65" t="inlineStr">
        <is>
          <t>ROLLING</t>
        </is>
      </c>
      <c r="AN65" t="inlineStr">
        <is>
          <t>REV-742a16ab41f0f292</t>
        </is>
      </c>
      <c r="AQ65" s="198" t="n">
        <v>46266.41396990741</v>
      </c>
      <c r="AR65" t="inlineStr">
        <is>
          <t>{"action": "APPLY_FIELD_UPDATES", "issue_codes": ["SELECTION_PENDING"], "retry_after_apply": false, "review_fingerprint": "f83da9ad99ded9d5", "source_fingerprint": "22fc09ccd876b9a8644e", "source_id": "PA028", "updates": {}}</t>
        </is>
      </c>
    </row>
    <row r="66" ht="30" customHeight="1" s="41">
      <c r="A66" s="192" t="inlineStr">
        <is>
          <t>PA030</t>
        </is>
      </c>
      <c r="B66" s="192" t="inlineStr">
        <is>
          <t>Regulation on special requirements for aquaculture-related activities in or near national salmon rivers and fjords</t>
        </is>
      </c>
      <c r="C66" s="192" t="inlineStr">
        <is>
          <t>SELECTION_REVIEW</t>
        </is>
      </c>
      <c r="D66" s="192" t="inlineStr">
        <is>
          <t>SELECTION_PENDING</t>
        </is>
      </c>
      <c r="E66" s="192" t="inlineStr">
        <is>
          <t>Review the human-governed source fields and choose INCLUDE, PENDING or EXCLUDE in Human Operation Desktop.</t>
        </is>
      </c>
      <c r="F66" s="194" t="inlineStr">
        <is>
          <t>PENDING</t>
        </is>
      </c>
      <c r="G66" s="195" t="n"/>
      <c r="H66" s="209" t="n"/>
      <c r="I66" s="210" t="inlineStr">
        <is>
          <t>PENDING</t>
        </is>
      </c>
      <c r="J66" s="192" t="inlineStr">
        <is>
          <t>operator_selection_decision is PENDING; mandatory assessment is not HIGH: scope_relevance.</t>
        </is>
      </c>
      <c r="K66" s="192" t="inlineStr">
        <is>
          <t>https://lovdata.no/dokument/SF/forskrift/2009-06-22-961</t>
        </is>
      </c>
      <c r="L66" s="192" t="inlineStr">
        <is>
          <t>https://lovdata.no/dokument/SF/forskrift/2009-06-22-961</t>
        </is>
      </c>
      <c r="M66" t="inlineStr">
        <is>
          <t>HIGH</t>
        </is>
      </c>
      <c r="N66" t="inlineStr">
        <is>
          <t>MEDIUM</t>
        </is>
      </c>
      <c r="O66" t="inlineStr">
        <is>
          <t>HIGH</t>
        </is>
      </c>
      <c r="P66" t="inlineStr">
        <is>
          <t>HIGH</t>
        </is>
      </c>
      <c r="Q66" t="inlineStr">
        <is>
          <t>HIGH</t>
        </is>
      </c>
      <c r="R66" t="inlineStr">
        <is>
          <t>PENDING</t>
        </is>
      </c>
      <c r="T66" t="inlineStr">
        <is>
          <t>CURRENT</t>
        </is>
      </c>
      <c r="V66" t="inlineStr">
        <is>
          <t>Official expansion from the aquaculture regulation index. Site-specific applicability must be established.</t>
        </is>
      </c>
      <c r="X66" t="inlineStr">
        <is>
          <t>A_Public_Authority</t>
        </is>
      </c>
      <c r="Y66" t="inlineStr">
        <is>
          <t>Norwegian Ministry of Trade, Industry and Fisheries</t>
        </is>
      </c>
      <c r="Z66" t="inlineStr">
        <is>
          <t>Norway</t>
        </is>
      </c>
      <c r="AA66" t="inlineStr">
        <is>
          <t>Regulation</t>
        </is>
      </c>
      <c r="AB66" t="inlineStr">
        <is>
          <t>Public authority</t>
        </is>
      </c>
      <c r="AC66" t="inlineStr">
        <is>
          <t>Primary normative</t>
        </is>
      </c>
      <c r="AD66" t="inlineStr">
        <is>
          <t>Norwegian</t>
        </is>
      </c>
      <c r="AE66" t="inlineStr">
        <is>
          <t>html</t>
        </is>
      </c>
      <c r="AH66" t="inlineStr">
        <is>
          <t>Official regulation issued by Norwegian Ministry of Trade, Industry and Fisheries; included because it may impose binding requirements on an in-scope aquaculture asset, activity, permit or certification.</t>
        </is>
      </c>
      <c r="AI66" t="inlineStr">
        <is>
          <t>HIGH</t>
        </is>
      </c>
      <c r="AJ66" t="inlineStr">
        <is>
          <t>OFFICIAL_WEBSITE</t>
        </is>
      </c>
      <c r="AK66" t="inlineStr">
        <is>
          <t>OFFICIAL_ORIGINAL</t>
        </is>
      </c>
      <c r="AL66" t="inlineStr">
        <is>
          <t>ROLLING</t>
        </is>
      </c>
      <c r="AN66" t="inlineStr">
        <is>
          <t>REV-5174de308c700a1a</t>
        </is>
      </c>
      <c r="AQ66" s="198" t="n">
        <v>46266.41396990741</v>
      </c>
      <c r="AR66" t="inlineStr">
        <is>
          <t>{"action": "APPLY_FIELD_UPDATES", "issue_codes": ["SELECTION_PENDING"], "retry_after_apply": false, "review_fingerprint": "9ef1698aea4dc199", "source_fingerprint": "f8e5308311861676e1b6", "source_id": "PA030", "updates": {}}</t>
        </is>
      </c>
    </row>
    <row r="67" ht="30" customHeight="1" s="41">
      <c r="A67" s="188" t="inlineStr">
        <is>
          <t>PA033</t>
        </is>
      </c>
      <c r="B67" s="188" t="inlineStr">
        <is>
          <t>Regulation on catch-based aquaculture</t>
        </is>
      </c>
      <c r="C67" s="188" t="inlineStr">
        <is>
          <t>SELECTION_REVIEW</t>
        </is>
      </c>
      <c r="D67" s="188" t="inlineStr">
        <is>
          <t>SELECTION_PENDING</t>
        </is>
      </c>
      <c r="E67" s="188" t="inlineStr">
        <is>
          <t>Review the human-governed source fields and choose INCLUDE, PENDING or EXCLUDE in Human Operation Desktop.</t>
        </is>
      </c>
      <c r="F67" s="194" t="inlineStr">
        <is>
          <t>PENDING</t>
        </is>
      </c>
      <c r="G67" s="195" t="n"/>
      <c r="H67" s="209" t="n"/>
      <c r="I67" s="210" t="inlineStr">
        <is>
          <t>PENDING</t>
        </is>
      </c>
      <c r="J67" s="188" t="inlineStr">
        <is>
          <t>operator_selection_decision is PENDING; mandatory assessment is not HIGH: scope_relevance.</t>
        </is>
      </c>
      <c r="K67" s="188" t="inlineStr">
        <is>
          <t>https://lovdata.no/dokument/SF/forskrift/2014-12-15-1831</t>
        </is>
      </c>
      <c r="L67" s="188" t="inlineStr">
        <is>
          <t>https://lovdata.no/dokument/SF/forskrift/2014-12-15-1831</t>
        </is>
      </c>
      <c r="M67" t="inlineStr">
        <is>
          <t>HIGH</t>
        </is>
      </c>
      <c r="N67" t="inlineStr">
        <is>
          <t>MEDIUM</t>
        </is>
      </c>
      <c r="O67" t="inlineStr">
        <is>
          <t>HIGH</t>
        </is>
      </c>
      <c r="P67" t="inlineStr">
        <is>
          <t>HIGH</t>
        </is>
      </c>
      <c r="Q67" t="inlineStr">
        <is>
          <t>HIGH</t>
        </is>
      </c>
      <c r="R67" t="inlineStr">
        <is>
          <t>PENDING</t>
        </is>
      </c>
      <c r="T67" t="inlineStr">
        <is>
          <t>CURRENT</t>
        </is>
      </c>
      <c r="V67" t="inlineStr">
        <is>
          <t>Official coverage expansion from the aquaculture regulation index. Include only for catch-based aquaculture activities.</t>
        </is>
      </c>
      <c r="X67" t="inlineStr">
        <is>
          <t>A_Public_Authority</t>
        </is>
      </c>
      <c r="Y67" t="inlineStr">
        <is>
          <t>Norwegian Ministry of Trade, Industry and Fisheries</t>
        </is>
      </c>
      <c r="Z67" t="inlineStr">
        <is>
          <t>Norway</t>
        </is>
      </c>
      <c r="AA67" t="inlineStr">
        <is>
          <t>Regulation</t>
        </is>
      </c>
      <c r="AB67" t="inlineStr">
        <is>
          <t>Public authority</t>
        </is>
      </c>
      <c r="AC67" t="inlineStr">
        <is>
          <t>Primary normative</t>
        </is>
      </c>
      <c r="AD67" t="inlineStr">
        <is>
          <t>Norwegian</t>
        </is>
      </c>
      <c r="AE67" t="inlineStr">
        <is>
          <t>html</t>
        </is>
      </c>
      <c r="AH67" t="inlineStr">
        <is>
          <t>Official regulation issued by Norwegian Ministry of Trade, Industry and Fisheries; included because it may impose binding requirements on an in-scope aquaculture asset, activity, permit or certification.</t>
        </is>
      </c>
      <c r="AI67" t="inlineStr">
        <is>
          <t>HIGH</t>
        </is>
      </c>
      <c r="AJ67" t="inlineStr">
        <is>
          <t>OFFICIAL_WEBSITE</t>
        </is>
      </c>
      <c r="AK67" t="inlineStr">
        <is>
          <t>OFFICIAL_ORIGINAL</t>
        </is>
      </c>
      <c r="AL67" t="inlineStr">
        <is>
          <t>ROLLING</t>
        </is>
      </c>
      <c r="AN67" t="inlineStr">
        <is>
          <t>REV-0e36f742486c7c06</t>
        </is>
      </c>
      <c r="AQ67" s="198" t="n">
        <v>46266.41396990741</v>
      </c>
      <c r="AR67" t="inlineStr">
        <is>
          <t>{"action": "APPLY_FIELD_UPDATES", "issue_codes": ["SELECTION_PENDING"], "retry_after_apply": false, "review_fingerprint": "961116de0bfc1b22", "source_fingerprint": "3738582123bed3d7ecdb", "source_id": "PA033", "updates": {}}</t>
        </is>
      </c>
    </row>
    <row r="68" ht="30" customHeight="1" s="41">
      <c r="A68" s="192" t="inlineStr">
        <is>
          <t>PA034</t>
        </is>
      </c>
      <c r="B68" s="192" t="inlineStr">
        <is>
          <t>Regulation on coordination and time limits for processing aquaculture applications</t>
        </is>
      </c>
      <c r="C68" s="192" t="inlineStr">
        <is>
          <t>SELECTION_REVIEW</t>
        </is>
      </c>
      <c r="D68" s="192" t="inlineStr">
        <is>
          <t>SELECTION_PENDING</t>
        </is>
      </c>
      <c r="E68" s="192" t="inlineStr">
        <is>
          <t>Review the human-governed source fields and choose INCLUDE, PENDING or EXCLUDE in Human Operation Desktop.</t>
        </is>
      </c>
      <c r="F68" s="194" t="inlineStr">
        <is>
          <t>PENDING</t>
        </is>
      </c>
      <c r="G68" s="195" t="n"/>
      <c r="H68" s="209" t="n"/>
      <c r="I68" s="210" t="inlineStr">
        <is>
          <t>PENDING</t>
        </is>
      </c>
      <c r="J68" s="192" t="inlineStr">
        <is>
          <t>operator_selection_decision is PENDING; mandatory assessment is not HIGH: scope_relevance.</t>
        </is>
      </c>
      <c r="K68" s="192" t="inlineStr">
        <is>
          <t>https://lovdata.no/dokument/SF/forskrift/2010-05-18-708</t>
        </is>
      </c>
      <c r="L68" s="192" t="inlineStr">
        <is>
          <t>https://lovdata.no/dokument/SF/forskrift/2010-05-18-708</t>
        </is>
      </c>
      <c r="M68" t="inlineStr">
        <is>
          <t>HIGH</t>
        </is>
      </c>
      <c r="N68" t="inlineStr">
        <is>
          <t>MEDIUM</t>
        </is>
      </c>
      <c r="O68" t="inlineStr">
        <is>
          <t>HIGH</t>
        </is>
      </c>
      <c r="P68" t="inlineStr">
        <is>
          <t>HIGH</t>
        </is>
      </c>
      <c r="Q68" t="inlineStr">
        <is>
          <t>HIGH</t>
        </is>
      </c>
      <c r="R68" t="inlineStr">
        <is>
          <t>PENDING</t>
        </is>
      </c>
      <c r="T68" t="inlineStr">
        <is>
          <t>CURRENT</t>
        </is>
      </c>
      <c r="V68" t="inlineStr">
        <is>
          <t>Official coverage expansion. Relevant to permitting workflow rather than routine operational controls.</t>
        </is>
      </c>
      <c r="X68" t="inlineStr">
        <is>
          <t>A_Public_Authority</t>
        </is>
      </c>
      <c r="Y68" t="inlineStr">
        <is>
          <t>Norwegian Ministry of Trade, Industry and Fisheries</t>
        </is>
      </c>
      <c r="Z68" t="inlineStr">
        <is>
          <t>Norway</t>
        </is>
      </c>
      <c r="AA68" t="inlineStr">
        <is>
          <t>Regulation</t>
        </is>
      </c>
      <c r="AB68" t="inlineStr">
        <is>
          <t>Public authority</t>
        </is>
      </c>
      <c r="AC68" t="inlineStr">
        <is>
          <t>Referenced normative</t>
        </is>
      </c>
      <c r="AD68" t="inlineStr">
        <is>
          <t>Norwegian</t>
        </is>
      </c>
      <c r="AE68" t="inlineStr">
        <is>
          <t>html</t>
        </is>
      </c>
      <c r="AH68" t="inlineStr">
        <is>
          <t>Official referenced source from Norwegian Ministry of Trade, Industry and Fisheries; included because an applicable law, permit or certification scheme may make its provisions binding within the approved scope.</t>
        </is>
      </c>
      <c r="AI68" t="inlineStr">
        <is>
          <t>HIGH</t>
        </is>
      </c>
      <c r="AJ68" t="inlineStr">
        <is>
          <t>OFFICIAL_WEBSITE</t>
        </is>
      </c>
      <c r="AK68" t="inlineStr">
        <is>
          <t>OFFICIAL_ORIGINAL</t>
        </is>
      </c>
      <c r="AL68" t="inlineStr">
        <is>
          <t>ROLLING</t>
        </is>
      </c>
      <c r="AN68" t="inlineStr">
        <is>
          <t>REV-452219cc3d1e0fc4</t>
        </is>
      </c>
      <c r="AQ68" s="198" t="n">
        <v>46266.41396990741</v>
      </c>
      <c r="AR68" t="inlineStr">
        <is>
          <t>{"action": "APPLY_FIELD_UPDATES", "issue_codes": ["SELECTION_PENDING"], "retry_after_apply": false, "review_fingerprint": "a5bb098f53ca6e6e", "source_fingerprint": "896ae3f3720272896809", "source_id": "PA034", "updates": {}}</t>
        </is>
      </c>
    </row>
    <row r="69" ht="30" customHeight="1" s="41">
      <c r="A69" s="188" t="inlineStr">
        <is>
          <t>PA035</t>
        </is>
      </c>
      <c r="B69" s="188" t="inlineStr">
        <is>
          <t>Regulation on reactions for violations of the Aquaculture Act</t>
        </is>
      </c>
      <c r="C69" s="188" t="inlineStr">
        <is>
          <t>SELECTION_REVIEW</t>
        </is>
      </c>
      <c r="D69" s="188" t="inlineStr">
        <is>
          <t>SELECTION_PENDING</t>
        </is>
      </c>
      <c r="E69" s="188" t="inlineStr">
        <is>
          <t>Review the human-governed source fields and choose INCLUDE, PENDING or EXCLUDE in Human Operation Desktop.</t>
        </is>
      </c>
      <c r="F69" s="194" t="inlineStr">
        <is>
          <t>PENDING</t>
        </is>
      </c>
      <c r="G69" s="195" t="n"/>
      <c r="H69" s="209" t="n"/>
      <c r="I69" s="210" t="inlineStr">
        <is>
          <t>PENDING</t>
        </is>
      </c>
      <c r="J69" s="188" t="inlineStr">
        <is>
          <t>operator_selection_decision is PENDING; mandatory assessment is not HIGH: scope_relevance.</t>
        </is>
      </c>
      <c r="K69" s="188" t="inlineStr">
        <is>
          <t>https://lovdata.no/dokument/SF/forskrift/2013-12-20-1675</t>
        </is>
      </c>
      <c r="L69" s="188" t="inlineStr">
        <is>
          <t>https://lovdata.no/dokument/SF/forskrift/2013-12-20-1675</t>
        </is>
      </c>
      <c r="M69" t="inlineStr">
        <is>
          <t>HIGH</t>
        </is>
      </c>
      <c r="N69" t="inlineStr">
        <is>
          <t>MEDIUM</t>
        </is>
      </c>
      <c r="O69" t="inlineStr">
        <is>
          <t>HIGH</t>
        </is>
      </c>
      <c r="P69" t="inlineStr">
        <is>
          <t>HIGH</t>
        </is>
      </c>
      <c r="Q69" t="inlineStr">
        <is>
          <t>HIGH</t>
        </is>
      </c>
      <c r="R69" t="inlineStr">
        <is>
          <t>PENDING</t>
        </is>
      </c>
      <c r="T69" t="inlineStr">
        <is>
          <t>CURRENT</t>
        </is>
      </c>
      <c r="V69" t="inlineStr">
        <is>
          <t>Official coverage expansion. Supports enforcement and consequence mapping; it is not normally the source of the underlying operational duty.</t>
        </is>
      </c>
      <c r="X69" t="inlineStr">
        <is>
          <t>A_Public_Authority</t>
        </is>
      </c>
      <c r="Y69" t="inlineStr">
        <is>
          <t>Norwegian Ministry of Trade, Industry and Fisheries</t>
        </is>
      </c>
      <c r="Z69" t="inlineStr">
        <is>
          <t>Norway</t>
        </is>
      </c>
      <c r="AA69" t="inlineStr">
        <is>
          <t>Regulation</t>
        </is>
      </c>
      <c r="AB69" t="inlineStr">
        <is>
          <t>Public authority</t>
        </is>
      </c>
      <c r="AC69" t="inlineStr">
        <is>
          <t>Referenced normative</t>
        </is>
      </c>
      <c r="AD69" t="inlineStr">
        <is>
          <t>Norwegian</t>
        </is>
      </c>
      <c r="AE69" t="inlineStr">
        <is>
          <t>html</t>
        </is>
      </c>
      <c r="AH69" t="inlineStr">
        <is>
          <t>Official referenced source from Norwegian Ministry of Trade, Industry and Fisheries; included because an applicable law, permit or certification scheme may make its provisions binding within the approved scope.</t>
        </is>
      </c>
      <c r="AI69" t="inlineStr">
        <is>
          <t>HIGH</t>
        </is>
      </c>
      <c r="AJ69" t="inlineStr">
        <is>
          <t>OFFICIAL_WEBSITE</t>
        </is>
      </c>
      <c r="AK69" t="inlineStr">
        <is>
          <t>OFFICIAL_ORIGINAL</t>
        </is>
      </c>
      <c r="AL69" t="inlineStr">
        <is>
          <t>ROLLING</t>
        </is>
      </c>
      <c r="AN69" t="inlineStr">
        <is>
          <t>REV-1de43c57fd4623e1</t>
        </is>
      </c>
      <c r="AQ69" s="198" t="n">
        <v>46266.41396990741</v>
      </c>
      <c r="AR69" t="inlineStr">
        <is>
          <t>{"action": "APPLY_FIELD_UPDATES", "issue_codes": ["SELECTION_PENDING"], "retry_after_apply": false, "review_fingerprint": "4705ef1400f3e530", "source_fingerprint": "e8afd00bec99d1053812", "source_id": "PA035", "updates": {}}</t>
        </is>
      </c>
    </row>
    <row r="70" ht="30" customHeight="1" s="41">
      <c r="A70" s="192" t="inlineStr">
        <is>
          <t>PA036</t>
        </is>
      </c>
      <c r="B70" s="192" t="inlineStr">
        <is>
          <t>Regulation on permits for aquaculture of species other than salmon, trout and rainbow trout</t>
        </is>
      </c>
      <c r="C70" s="192" t="inlineStr">
        <is>
          <t>SELECTION_REVIEW</t>
        </is>
      </c>
      <c r="D70" s="192" t="inlineStr">
        <is>
          <t>SELECTION_PENDING</t>
        </is>
      </c>
      <c r="E70" s="192" t="inlineStr">
        <is>
          <t>Review the human-governed source fields and choose INCLUDE, PENDING or EXCLUDE in Human Operation Desktop.</t>
        </is>
      </c>
      <c r="F70" s="194" t="inlineStr">
        <is>
          <t>PENDING</t>
        </is>
      </c>
      <c r="G70" s="195" t="n"/>
      <c r="H70" s="209" t="n"/>
      <c r="I70" s="210" t="inlineStr">
        <is>
          <t>PENDING</t>
        </is>
      </c>
      <c r="J70" s="192" t="inlineStr">
        <is>
          <t>operator_selection_decision is PENDING; mandatory assessment is not HIGH: scope_relevance.</t>
        </is>
      </c>
      <c r="K70" s="192" t="inlineStr">
        <is>
          <t>https://lovdata.no/dokument/SF/forskrift/2004-12-22-1799</t>
        </is>
      </c>
      <c r="L70" s="192" t="inlineStr">
        <is>
          <t>https://lovdata.no/dokument/SF/forskrift/2004-12-22-1799</t>
        </is>
      </c>
      <c r="M70" t="inlineStr">
        <is>
          <t>HIGH</t>
        </is>
      </c>
      <c r="N70" t="inlineStr">
        <is>
          <t>MEDIUM</t>
        </is>
      </c>
      <c r="O70" t="inlineStr">
        <is>
          <t>HIGH</t>
        </is>
      </c>
      <c r="P70" t="inlineStr">
        <is>
          <t>HIGH</t>
        </is>
      </c>
      <c r="Q70" t="inlineStr">
        <is>
          <t>HIGH</t>
        </is>
      </c>
      <c r="R70" t="inlineStr">
        <is>
          <t>PENDING</t>
        </is>
      </c>
      <c r="T70" t="inlineStr">
        <is>
          <t>CURRENT</t>
        </is>
      </c>
      <c r="V70" t="inlineStr">
        <is>
          <t>Official coverage expansion. Include only when other species are within the approved scope.</t>
        </is>
      </c>
      <c r="X70" t="inlineStr">
        <is>
          <t>A_Public_Authority</t>
        </is>
      </c>
      <c r="Y70" t="inlineStr">
        <is>
          <t>Norwegian Ministry of Trade, Industry and Fisheries</t>
        </is>
      </c>
      <c r="Z70" t="inlineStr">
        <is>
          <t>Norway</t>
        </is>
      </c>
      <c r="AA70" t="inlineStr">
        <is>
          <t>Regulation</t>
        </is>
      </c>
      <c r="AB70" t="inlineStr">
        <is>
          <t>Public authority</t>
        </is>
      </c>
      <c r="AC70" t="inlineStr">
        <is>
          <t>Primary normative</t>
        </is>
      </c>
      <c r="AD70" t="inlineStr">
        <is>
          <t>Norwegian</t>
        </is>
      </c>
      <c r="AE70" t="inlineStr">
        <is>
          <t>html</t>
        </is>
      </c>
      <c r="AH70" t="inlineStr">
        <is>
          <t>Official regulation issued by Norwegian Ministry of Trade, Industry and Fisheries; included because it may impose binding requirements on an in-scope aquaculture asset, activity, permit or certification.</t>
        </is>
      </c>
      <c r="AI70" t="inlineStr">
        <is>
          <t>HIGH</t>
        </is>
      </c>
      <c r="AJ70" t="inlineStr">
        <is>
          <t>OFFICIAL_WEBSITE</t>
        </is>
      </c>
      <c r="AK70" t="inlineStr">
        <is>
          <t>OFFICIAL_ORIGINAL</t>
        </is>
      </c>
      <c r="AL70" t="inlineStr">
        <is>
          <t>ROLLING</t>
        </is>
      </c>
      <c r="AN70" t="inlineStr">
        <is>
          <t>REV-7dd1d206338c10bf</t>
        </is>
      </c>
      <c r="AQ70" s="198" t="n">
        <v>46266.41396990741</v>
      </c>
      <c r="AR70" t="inlineStr">
        <is>
          <t>{"action": "APPLY_FIELD_UPDATES", "issue_codes": ["SELECTION_PENDING"], "retry_after_apply": false, "review_fingerprint": "6bb89bf0a049d4e3", "source_fingerprint": "55086e07ededd38cbf63", "source_id": "PA036", "updates": {}}</t>
        </is>
      </c>
    </row>
    <row r="71" ht="30" customHeight="1" s="41">
      <c r="A71" s="188" t="inlineStr">
        <is>
          <t>PA037</t>
        </is>
      </c>
      <c r="B71" s="188" t="inlineStr">
        <is>
          <t>Regulation on fees and charges relating to aquaculture activities</t>
        </is>
      </c>
      <c r="C71" s="188" t="inlineStr">
        <is>
          <t>SELECTION_REVIEW</t>
        </is>
      </c>
      <c r="D71" s="188" t="inlineStr">
        <is>
          <t>SELECTION_PENDING</t>
        </is>
      </c>
      <c r="E71" s="188" t="inlineStr">
        <is>
          <t>Review the human-governed source fields and choose INCLUDE, PENDING or EXCLUDE in Human Operation Desktop.</t>
        </is>
      </c>
      <c r="F71" s="194" t="inlineStr">
        <is>
          <t>PENDING</t>
        </is>
      </c>
      <c r="G71" s="195" t="n"/>
      <c r="H71" s="209" t="n"/>
      <c r="I71" s="210" t="inlineStr">
        <is>
          <t>PENDING</t>
        </is>
      </c>
      <c r="J71" s="188" t="inlineStr">
        <is>
          <t>operator_selection_decision is PENDING; mandatory assessment is not HIGH: scope_relevance.</t>
        </is>
      </c>
      <c r="K71" s="188" t="inlineStr">
        <is>
          <t>https://lovdata.no/dokument/SF/forskrift/2001-12-21-1597</t>
        </is>
      </c>
      <c r="L71" s="188" t="inlineStr">
        <is>
          <t>https://lovdata.no/dokument/SF/forskrift/2001-12-21-1597</t>
        </is>
      </c>
      <c r="M71" t="inlineStr">
        <is>
          <t>HIGH</t>
        </is>
      </c>
      <c r="N71" t="inlineStr">
        <is>
          <t>MEDIUM</t>
        </is>
      </c>
      <c r="O71" t="inlineStr">
        <is>
          <t>HIGH</t>
        </is>
      </c>
      <c r="P71" t="inlineStr">
        <is>
          <t>HIGH</t>
        </is>
      </c>
      <c r="Q71" t="inlineStr">
        <is>
          <t>HIGH</t>
        </is>
      </c>
      <c r="R71" t="inlineStr">
        <is>
          <t>PENDING</t>
        </is>
      </c>
      <c r="T71" t="inlineStr">
        <is>
          <t>CURRENT</t>
        </is>
      </c>
      <c r="V71" t="inlineStr">
        <is>
          <t>Official coverage expansion. Administrative and financial relevance depends on the permit or application process.</t>
        </is>
      </c>
      <c r="X71" t="inlineStr">
        <is>
          <t>A_Public_Authority</t>
        </is>
      </c>
      <c r="Y71" t="inlineStr">
        <is>
          <t>Norwegian Ministry of Trade, Industry and Fisheries</t>
        </is>
      </c>
      <c r="Z71" t="inlineStr">
        <is>
          <t>Norway</t>
        </is>
      </c>
      <c r="AA71" t="inlineStr">
        <is>
          <t>Regulation</t>
        </is>
      </c>
      <c r="AB71" t="inlineStr">
        <is>
          <t>Public authority</t>
        </is>
      </c>
      <c r="AC71" t="inlineStr">
        <is>
          <t>Referenced normative</t>
        </is>
      </c>
      <c r="AD71" t="inlineStr">
        <is>
          <t>Norwegian</t>
        </is>
      </c>
      <c r="AE71" t="inlineStr">
        <is>
          <t>html</t>
        </is>
      </c>
      <c r="AH71" t="inlineStr">
        <is>
          <t>Official referenced source from Norwegian Ministry of Trade, Industry and Fisheries; included because an applicable law, permit or certification scheme may make its provisions binding within the approved scope.</t>
        </is>
      </c>
      <c r="AI71" t="inlineStr">
        <is>
          <t>HIGH</t>
        </is>
      </c>
      <c r="AJ71" t="inlineStr">
        <is>
          <t>OFFICIAL_WEBSITE</t>
        </is>
      </c>
      <c r="AK71" t="inlineStr">
        <is>
          <t>OFFICIAL_ORIGINAL</t>
        </is>
      </c>
      <c r="AL71" t="inlineStr">
        <is>
          <t>ROLLING</t>
        </is>
      </c>
      <c r="AN71" t="inlineStr">
        <is>
          <t>REV-3ae4ac9abb967fd5</t>
        </is>
      </c>
      <c r="AQ71" s="198" t="n">
        <v>46266.41396990741</v>
      </c>
      <c r="AR71" t="inlineStr">
        <is>
          <t>{"action": "APPLY_FIELD_UPDATES", "issue_codes": ["SELECTION_PENDING"], "retry_after_apply": false, "review_fingerprint": "7e95d61fc6189d7e", "source_fingerprint": "baba6ea809c6be64cba6", "source_id": "PA037", "updates": {}}</t>
        </is>
      </c>
    </row>
    <row r="72" ht="30" customHeight="1" s="41">
      <c r="A72" s="192" t="inlineStr">
        <is>
          <t>PA038</t>
        </is>
      </c>
      <c r="B72" s="192" t="inlineStr">
        <is>
          <t>Regulation on sea ranching</t>
        </is>
      </c>
      <c r="C72" s="192" t="inlineStr">
        <is>
          <t>SELECTION_REVIEW</t>
        </is>
      </c>
      <c r="D72" s="192" t="inlineStr">
        <is>
          <t>SELECTION_PENDING</t>
        </is>
      </c>
      <c r="E72" s="192" t="inlineStr">
        <is>
          <t>Review the human-governed source fields and choose INCLUDE, PENDING or EXCLUDE in Human Operation Desktop.</t>
        </is>
      </c>
      <c r="F72" s="194" t="inlineStr">
        <is>
          <t>PENDING</t>
        </is>
      </c>
      <c r="G72" s="195" t="n"/>
      <c r="H72" s="209" t="n"/>
      <c r="I72" s="210" t="inlineStr">
        <is>
          <t>PENDING</t>
        </is>
      </c>
      <c r="J72" s="192" t="inlineStr">
        <is>
          <t>operator_selection_decision is PENDING; mandatory assessment is not HIGH: scope_relevance.</t>
        </is>
      </c>
      <c r="K72" s="192" t="inlineStr">
        <is>
          <t>https://lovdata.no/dokument/SF/forskrift/2003-08-28-1110</t>
        </is>
      </c>
      <c r="L72" s="192" t="inlineStr">
        <is>
          <t>https://lovdata.no/dokument/SF/forskrift/2003-08-28-1110</t>
        </is>
      </c>
      <c r="M72" t="inlineStr">
        <is>
          <t>HIGH</t>
        </is>
      </c>
      <c r="N72" t="inlineStr">
        <is>
          <t>MEDIUM</t>
        </is>
      </c>
      <c r="O72" t="inlineStr">
        <is>
          <t>HIGH</t>
        </is>
      </c>
      <c r="P72" t="inlineStr">
        <is>
          <t>HIGH</t>
        </is>
      </c>
      <c r="Q72" t="inlineStr">
        <is>
          <t>HIGH</t>
        </is>
      </c>
      <c r="R72" t="inlineStr">
        <is>
          <t>PENDING</t>
        </is>
      </c>
      <c r="T72" t="inlineStr">
        <is>
          <t>CURRENT</t>
        </is>
      </c>
      <c r="V72" t="inlineStr">
        <is>
          <t>Official coverage expansion. Include only for sea-ranching operations.</t>
        </is>
      </c>
      <c r="X72" t="inlineStr">
        <is>
          <t>A_Public_Authority</t>
        </is>
      </c>
      <c r="Y72" t="inlineStr">
        <is>
          <t>Norwegian Ministry of Trade, Industry and Fisheries</t>
        </is>
      </c>
      <c r="Z72" t="inlineStr">
        <is>
          <t>Norway</t>
        </is>
      </c>
      <c r="AA72" t="inlineStr">
        <is>
          <t>Regulation</t>
        </is>
      </c>
      <c r="AB72" t="inlineStr">
        <is>
          <t>Public authority</t>
        </is>
      </c>
      <c r="AC72" t="inlineStr">
        <is>
          <t>Primary normative</t>
        </is>
      </c>
      <c r="AD72" t="inlineStr">
        <is>
          <t>Norwegian</t>
        </is>
      </c>
      <c r="AE72" t="inlineStr">
        <is>
          <t>html</t>
        </is>
      </c>
      <c r="AH72" t="inlineStr">
        <is>
          <t>Official regulation issued by Norwegian Ministry of Trade, Industry and Fisheries; included because it may impose binding requirements on an in-scope aquaculture asset, activity, permit or certification.</t>
        </is>
      </c>
      <c r="AI72" t="inlineStr">
        <is>
          <t>HIGH</t>
        </is>
      </c>
      <c r="AJ72" t="inlineStr">
        <is>
          <t>OFFICIAL_WEBSITE</t>
        </is>
      </c>
      <c r="AK72" t="inlineStr">
        <is>
          <t>OFFICIAL_ORIGINAL</t>
        </is>
      </c>
      <c r="AL72" t="inlineStr">
        <is>
          <t>ROLLING</t>
        </is>
      </c>
      <c r="AN72" t="inlineStr">
        <is>
          <t>REV-4117313456561af0</t>
        </is>
      </c>
      <c r="AQ72" s="198" t="n">
        <v>46266.41396990741</v>
      </c>
      <c r="AR72" t="inlineStr">
        <is>
          <t>{"action": "APPLY_FIELD_UPDATES", "issue_codes": ["SELECTION_PENDING"], "retry_after_apply": false, "review_fingerprint": "4ebf9779fd95fe42", "source_fingerprint": "b092eb13f773c2f57e52", "source_id": "PA038", "updates": {}}</t>
        </is>
      </c>
    </row>
    <row r="73" ht="30" customHeight="1" s="41">
      <c r="A73" s="188" t="inlineStr">
        <is>
          <t>PA049</t>
        </is>
      </c>
      <c r="B73" s="188" t="inlineStr">
        <is>
          <t>Regulation on working environment, safety and health for persons working on board ships</t>
        </is>
      </c>
      <c r="C73" s="188" t="inlineStr">
        <is>
          <t>SELECTION_REVIEW</t>
        </is>
      </c>
      <c r="D73" s="188" t="inlineStr">
        <is>
          <t>SELECTION_PENDING</t>
        </is>
      </c>
      <c r="E73" s="188" t="inlineStr">
        <is>
          <t>Review the human-governed source fields and choose INCLUDE, PENDING or EXCLUDE in Human Operation Desktop.</t>
        </is>
      </c>
      <c r="F73" s="194" t="inlineStr">
        <is>
          <t>PENDING</t>
        </is>
      </c>
      <c r="G73" s="195" t="n"/>
      <c r="H73" s="209" t="n"/>
      <c r="I73" s="210" t="inlineStr">
        <is>
          <t>PENDING</t>
        </is>
      </c>
      <c r="J73" s="188" t="inlineStr">
        <is>
          <t>operator_selection_decision is PENDING; mandatory assessment is not HIGH: scope_relevance.</t>
        </is>
      </c>
      <c r="K73" s="188" t="inlineStr">
        <is>
          <t>https://lovdata.no/dokument/SF/forskrift/2005-01-01-8</t>
        </is>
      </c>
      <c r="L73" s="188" t="inlineStr">
        <is>
          <t>https://lovdata.no/dokument/SF/forskrift/2005-01-01-8</t>
        </is>
      </c>
      <c r="M73" t="inlineStr">
        <is>
          <t>HIGH</t>
        </is>
      </c>
      <c r="N73" t="inlineStr">
        <is>
          <t>MEDIUM</t>
        </is>
      </c>
      <c r="O73" t="inlineStr">
        <is>
          <t>HIGH</t>
        </is>
      </c>
      <c r="P73" t="inlineStr">
        <is>
          <t>HIGH</t>
        </is>
      </c>
      <c r="Q73" t="inlineStr">
        <is>
          <t>HIGH</t>
        </is>
      </c>
      <c r="R73" t="inlineStr">
        <is>
          <t>PENDING</t>
        </is>
      </c>
      <c r="T73" t="inlineStr">
        <is>
          <t>CURRENT</t>
        </is>
      </c>
      <c r="U73" t="inlineStr">
        <is>
          <t>PA018</t>
        </is>
      </c>
      <c r="V73" t="inlineStr">
        <is>
          <t>Official maritime HSE expansion. Include only for personnel and vessels falling within maritime scope.</t>
        </is>
      </c>
      <c r="X73" t="inlineStr">
        <is>
          <t>A_Public_Authority</t>
        </is>
      </c>
      <c r="Y73" t="inlineStr">
        <is>
          <t>Norwegian Ministry of Trade, Industry and Fisheries</t>
        </is>
      </c>
      <c r="Z73" t="inlineStr">
        <is>
          <t>Norway</t>
        </is>
      </c>
      <c r="AA73" t="inlineStr">
        <is>
          <t>Regulation</t>
        </is>
      </c>
      <c r="AB73" t="inlineStr">
        <is>
          <t>Public authority</t>
        </is>
      </c>
      <c r="AC73" t="inlineStr">
        <is>
          <t>Primary normative</t>
        </is>
      </c>
      <c r="AD73" t="inlineStr">
        <is>
          <t>Norwegian</t>
        </is>
      </c>
      <c r="AE73" t="inlineStr">
        <is>
          <t>html</t>
        </is>
      </c>
      <c r="AH73" t="inlineStr">
        <is>
          <t>Official regulation issued by Norwegian Ministry of Trade, Industry and Fisheries; included because it may impose binding requirements on an in-scope aquaculture asset, activity, permit or certification.</t>
        </is>
      </c>
      <c r="AI73" t="inlineStr">
        <is>
          <t>HIGH</t>
        </is>
      </c>
      <c r="AJ73" t="inlineStr">
        <is>
          <t>OFFICIAL_WEBSITE</t>
        </is>
      </c>
      <c r="AK73" t="inlineStr">
        <is>
          <t>OFFICIAL_ORIGINAL</t>
        </is>
      </c>
      <c r="AL73" t="inlineStr">
        <is>
          <t>ROLLING</t>
        </is>
      </c>
      <c r="AN73" t="inlineStr">
        <is>
          <t>REV-d736ed663fc1cd86</t>
        </is>
      </c>
      <c r="AQ73" s="198" t="n">
        <v>46266.41396990741</v>
      </c>
      <c r="AR73" t="inlineStr">
        <is>
          <t>{"action": "APPLY_FIELD_UPDATES", "issue_codes": ["SELECTION_PENDING"], "retry_after_apply": false, "review_fingerprint": "28ef53b178a4c87a", "source_fingerprint": "f91987a5cba443c5f3f5", "source_id": "PA049", "updates": {}}</t>
        </is>
      </c>
    </row>
    <row r="74" ht="30" customHeight="1" s="41">
      <c r="A74" s="192" t="inlineStr">
        <is>
          <t>PA051</t>
        </is>
      </c>
      <c r="B74" s="192" t="inlineStr">
        <is>
          <t>Planning and Building Act</t>
        </is>
      </c>
      <c r="C74" s="192" t="inlineStr">
        <is>
          <t>SELECTION_REVIEW</t>
        </is>
      </c>
      <c r="D74" s="192" t="inlineStr">
        <is>
          <t>SELECTION_PENDING</t>
        </is>
      </c>
      <c r="E74" s="192" t="inlineStr">
        <is>
          <t>Review the human-governed source fields and choose INCLUDE, PENDING or EXCLUDE in Human Operation Desktop.</t>
        </is>
      </c>
      <c r="F74" s="194" t="inlineStr">
        <is>
          <t>PENDING</t>
        </is>
      </c>
      <c r="G74" s="195" t="n"/>
      <c r="H74" s="209" t="n"/>
      <c r="I74" s="210" t="inlineStr">
        <is>
          <t>PENDING</t>
        </is>
      </c>
      <c r="J74" s="192" t="inlineStr">
        <is>
          <t>operator_selection_decision is PENDING; mandatory assessment is not HIGH: scope_relevance.</t>
        </is>
      </c>
      <c r="K74" s="192" t="inlineStr">
        <is>
          <t>https://lovdata.no/dokument/NL/lov/2008-06-27-71</t>
        </is>
      </c>
      <c r="L74" s="192" t="inlineStr">
        <is>
          <t>https://lovdata.no/dokument/NL/lov/2008-06-27-71</t>
        </is>
      </c>
      <c r="M74" t="inlineStr">
        <is>
          <t>HIGH</t>
        </is>
      </c>
      <c r="N74" t="inlineStr">
        <is>
          <t>MEDIUM</t>
        </is>
      </c>
      <c r="O74" t="inlineStr">
        <is>
          <t>HIGH</t>
        </is>
      </c>
      <c r="P74" t="inlineStr">
        <is>
          <t>HIGH</t>
        </is>
      </c>
      <c r="Q74" t="inlineStr">
        <is>
          <t>HIGH</t>
        </is>
      </c>
      <c r="R74" t="inlineStr">
        <is>
          <t>PENDING</t>
        </is>
      </c>
      <c r="T74" t="inlineStr">
        <is>
          <t>CURRENT</t>
        </is>
      </c>
      <c r="V74" t="inlineStr">
        <is>
          <t>Official permitting expansion. Relevance depends on municipal plans, land-based works and the specific application.</t>
        </is>
      </c>
      <c r="X74" t="inlineStr">
        <is>
          <t>A_Public_Authority</t>
        </is>
      </c>
      <c r="Y74" t="inlineStr">
        <is>
          <t>Norwegian Ministry of Local Government and Regional Development</t>
        </is>
      </c>
      <c r="Z74" t="inlineStr">
        <is>
          <t>Norway</t>
        </is>
      </c>
      <c r="AA74" t="inlineStr">
        <is>
          <t>Law</t>
        </is>
      </c>
      <c r="AB74" t="inlineStr">
        <is>
          <t>Public authority</t>
        </is>
      </c>
      <c r="AC74" t="inlineStr">
        <is>
          <t>Referenced normative</t>
        </is>
      </c>
      <c r="AD74" t="inlineStr">
        <is>
          <t>Norwegian</t>
        </is>
      </c>
      <c r="AE74" t="inlineStr">
        <is>
          <t>html</t>
        </is>
      </c>
      <c r="AH74" t="inlineStr">
        <is>
          <t>Official referenced source from Norwegian Ministry of Local Government and Regional Development; included because an applicable law, permit or certification scheme may make its provisions binding within the approved scope.</t>
        </is>
      </c>
      <c r="AI74" t="inlineStr">
        <is>
          <t>HIGH</t>
        </is>
      </c>
      <c r="AJ74" t="inlineStr">
        <is>
          <t>OFFICIAL_WEBSITE</t>
        </is>
      </c>
      <c r="AK74" t="inlineStr">
        <is>
          <t>OFFICIAL_ORIGINAL</t>
        </is>
      </c>
      <c r="AL74" t="inlineStr">
        <is>
          <t>ROLLING</t>
        </is>
      </c>
      <c r="AN74" t="inlineStr">
        <is>
          <t>REV-50137bac5ddb581c</t>
        </is>
      </c>
      <c r="AQ74" s="198" t="n">
        <v>46266.41396990741</v>
      </c>
      <c r="AR74" t="inlineStr">
        <is>
          <t>{"action": "APPLY_FIELD_UPDATES", "issue_codes": ["SELECTION_PENDING"], "retry_after_apply": false, "review_fingerprint": "4c4ed3328fea548a", "source_fingerprint": "0fb4a0f2cbb380c4e9eb", "source_id": "PA051", "updates": {}}</t>
        </is>
      </c>
    </row>
    <row r="75" ht="30" customHeight="1" s="41">
      <c r="A75" s="188" t="inlineStr">
        <is>
          <t>PA052</t>
        </is>
      </c>
      <c r="B75" s="188" t="inlineStr">
        <is>
          <t>Cultural Heritage Act</t>
        </is>
      </c>
      <c r="C75" s="188" t="inlineStr">
        <is>
          <t>SELECTION_REVIEW</t>
        </is>
      </c>
      <c r="D75" s="188" t="inlineStr">
        <is>
          <t>SELECTION_PENDING</t>
        </is>
      </c>
      <c r="E75" s="188" t="inlineStr">
        <is>
          <t>Review the human-governed source fields and choose INCLUDE, PENDING or EXCLUDE in Human Operation Desktop.</t>
        </is>
      </c>
      <c r="F75" s="194" t="inlineStr">
        <is>
          <t>PENDING</t>
        </is>
      </c>
      <c r="G75" s="195" t="n"/>
      <c r="H75" s="209" t="n"/>
      <c r="I75" s="210" t="inlineStr">
        <is>
          <t>PENDING</t>
        </is>
      </c>
      <c r="J75" s="188" t="inlineStr">
        <is>
          <t>operator_selection_decision is PENDING; mandatory assessment is not HIGH: scope_relevance.</t>
        </is>
      </c>
      <c r="K75" s="188" t="inlineStr">
        <is>
          <t>https://lovdata.no/dokument/NL/lov/1978-06-09-50</t>
        </is>
      </c>
      <c r="L75" s="188" t="inlineStr">
        <is>
          <t>https://lovdata.no/dokument/NL/lov/1978-06-09-50</t>
        </is>
      </c>
      <c r="M75" t="inlineStr">
        <is>
          <t>HIGH</t>
        </is>
      </c>
      <c r="N75" t="inlineStr">
        <is>
          <t>MEDIUM</t>
        </is>
      </c>
      <c r="O75" t="inlineStr">
        <is>
          <t>HIGH</t>
        </is>
      </c>
      <c r="P75" t="inlineStr">
        <is>
          <t>HIGH</t>
        </is>
      </c>
      <c r="Q75" t="inlineStr">
        <is>
          <t>HIGH</t>
        </is>
      </c>
      <c r="R75" t="inlineStr">
        <is>
          <t>PENDING</t>
        </is>
      </c>
      <c r="T75" t="inlineStr">
        <is>
          <t>CURRENT</t>
        </is>
      </c>
      <c r="V75" t="inlineStr">
        <is>
          <t>Official permitting expansion. Site-specific relevance depends on registered or discovered cultural heritage.</t>
        </is>
      </c>
      <c r="X75" t="inlineStr">
        <is>
          <t>A_Public_Authority</t>
        </is>
      </c>
      <c r="Y75" t="inlineStr">
        <is>
          <t>Norwegian Ministry of Climate and Environment</t>
        </is>
      </c>
      <c r="Z75" t="inlineStr">
        <is>
          <t>Norway</t>
        </is>
      </c>
      <c r="AA75" t="inlineStr">
        <is>
          <t>Law</t>
        </is>
      </c>
      <c r="AB75" t="inlineStr">
        <is>
          <t>Public authority</t>
        </is>
      </c>
      <c r="AC75" t="inlineStr">
        <is>
          <t>Referenced normative</t>
        </is>
      </c>
      <c r="AD75" t="inlineStr">
        <is>
          <t>Norwegian</t>
        </is>
      </c>
      <c r="AE75" t="inlineStr">
        <is>
          <t>html</t>
        </is>
      </c>
      <c r="AH75" t="inlineStr">
        <is>
          <t>Official referenced source from Norwegian Ministry of Climate and Environment; included because an applicable law, permit or certification scheme may make its provisions binding within the approved scope.</t>
        </is>
      </c>
      <c r="AI75" t="inlineStr">
        <is>
          <t>HIGH</t>
        </is>
      </c>
      <c r="AJ75" t="inlineStr">
        <is>
          <t>OFFICIAL_WEBSITE</t>
        </is>
      </c>
      <c r="AK75" t="inlineStr">
        <is>
          <t>OFFICIAL_ORIGINAL</t>
        </is>
      </c>
      <c r="AL75" t="inlineStr">
        <is>
          <t>ROLLING</t>
        </is>
      </c>
      <c r="AN75" t="inlineStr">
        <is>
          <t>REV-8d839ea813eaadd4</t>
        </is>
      </c>
      <c r="AQ75" s="198" t="n">
        <v>46266.41396990741</v>
      </c>
      <c r="AR75" t="inlineStr">
        <is>
          <t>{"action": "APPLY_FIELD_UPDATES", "issue_codes": ["SELECTION_PENDING"], "retry_after_apply": false, "review_fingerprint": "b37bd0a993151977", "source_fingerprint": "331705cb37e029717721", "source_id": "PA052", "updates": {}}</t>
        </is>
      </c>
    </row>
    <row r="76" ht="30" customHeight="1" s="41">
      <c r="A76" s="192" t="inlineStr">
        <is>
          <t>PA053</t>
        </is>
      </c>
      <c r="B76" s="192" t="inlineStr">
        <is>
          <t>Water Resources Act</t>
        </is>
      </c>
      <c r="C76" s="192" t="inlineStr">
        <is>
          <t>SELECTION_REVIEW</t>
        </is>
      </c>
      <c r="D76" s="192" t="inlineStr">
        <is>
          <t>SELECTION_PENDING</t>
        </is>
      </c>
      <c r="E76" s="192" t="inlineStr">
        <is>
          <t>Review the human-governed source fields and choose INCLUDE, PENDING or EXCLUDE in Human Operation Desktop.</t>
        </is>
      </c>
      <c r="F76" s="194" t="inlineStr">
        <is>
          <t>PENDING</t>
        </is>
      </c>
      <c r="G76" s="195" t="n"/>
      <c r="H76" s="209" t="n"/>
      <c r="I76" s="210" t="inlineStr">
        <is>
          <t>PENDING</t>
        </is>
      </c>
      <c r="J76" s="192" t="inlineStr">
        <is>
          <t>operator_selection_decision is PENDING; mandatory assessment is not HIGH: scope_relevance.</t>
        </is>
      </c>
      <c r="K76" s="192" t="inlineStr">
        <is>
          <t>https://lovdata.no/dokument/NL/lov/2000-11-24-82</t>
        </is>
      </c>
      <c r="L76" s="192" t="inlineStr">
        <is>
          <t>https://lovdata.no/dokument/NL/lov/2000-11-24-82</t>
        </is>
      </c>
      <c r="M76" t="inlineStr">
        <is>
          <t>HIGH</t>
        </is>
      </c>
      <c r="N76" t="inlineStr">
        <is>
          <t>MEDIUM</t>
        </is>
      </c>
      <c r="O76" t="inlineStr">
        <is>
          <t>HIGH</t>
        </is>
      </c>
      <c r="P76" t="inlineStr">
        <is>
          <t>HIGH</t>
        </is>
      </c>
      <c r="Q76" t="inlineStr">
        <is>
          <t>HIGH</t>
        </is>
      </c>
      <c r="R76" t="inlineStr">
        <is>
          <t>PENDING</t>
        </is>
      </c>
      <c r="T76" t="inlineStr">
        <is>
          <t>CURRENT</t>
        </is>
      </c>
      <c r="V76" t="inlineStr">
        <is>
          <t>Official permitting expansion. Particularly relevant to freshwater or water-abstraction and discharge arrangements.</t>
        </is>
      </c>
      <c r="X76" t="inlineStr">
        <is>
          <t>A_Public_Authority</t>
        </is>
      </c>
      <c r="Y76" t="inlineStr">
        <is>
          <t>Norwegian Ministry of Energy</t>
        </is>
      </c>
      <c r="Z76" t="inlineStr">
        <is>
          <t>Norway</t>
        </is>
      </c>
      <c r="AA76" t="inlineStr">
        <is>
          <t>Law</t>
        </is>
      </c>
      <c r="AB76" t="inlineStr">
        <is>
          <t>Public authority</t>
        </is>
      </c>
      <c r="AC76" t="inlineStr">
        <is>
          <t>Referenced normative</t>
        </is>
      </c>
      <c r="AD76" t="inlineStr">
        <is>
          <t>Norwegian</t>
        </is>
      </c>
      <c r="AE76" t="inlineStr">
        <is>
          <t>html</t>
        </is>
      </c>
      <c r="AH76" t="inlineStr">
        <is>
          <t>Official referenced source from Norwegian Ministry of Energy; included because an applicable law, permit or certification scheme may make its provisions binding within the approved scope.</t>
        </is>
      </c>
      <c r="AI76" t="inlineStr">
        <is>
          <t>HIGH</t>
        </is>
      </c>
      <c r="AJ76" t="inlineStr">
        <is>
          <t>OFFICIAL_WEBSITE</t>
        </is>
      </c>
      <c r="AK76" t="inlineStr">
        <is>
          <t>OFFICIAL_ORIGINAL</t>
        </is>
      </c>
      <c r="AL76" t="inlineStr">
        <is>
          <t>ROLLING</t>
        </is>
      </c>
      <c r="AN76" t="inlineStr">
        <is>
          <t>REV-8c9dbb8843623574</t>
        </is>
      </c>
      <c r="AQ76" s="198" t="n">
        <v>46266.41396990741</v>
      </c>
      <c r="AR76" t="inlineStr">
        <is>
          <t>{"action": "APPLY_FIELD_UPDATES", "issue_codes": ["SELECTION_PENDING"], "retry_after_apply": false, "review_fingerprint": "9614b995a94f1c52", "source_fingerprint": "0abf23e4e51bdb982f12", "source_id": "PA053", "updates": {}}</t>
        </is>
      </c>
    </row>
    <row r="77" ht="30" customHeight="1" s="41">
      <c r="A77" s="188" t="inlineStr">
        <is>
          <t>PA054</t>
        </is>
      </c>
      <c r="B77" s="188" t="inlineStr">
        <is>
          <t>Marine Nature Protection Act</t>
        </is>
      </c>
      <c r="C77" s="188" t="inlineStr">
        <is>
          <t>SELECTION_REVIEW</t>
        </is>
      </c>
      <c r="D77" s="188" t="inlineStr">
        <is>
          <t>SELECTION_PENDING</t>
        </is>
      </c>
      <c r="E77" s="188" t="inlineStr">
        <is>
          <t>Review the human-governed source fields and choose INCLUDE, PENDING or EXCLUDE in Human Operation Desktop.</t>
        </is>
      </c>
      <c r="F77" s="194" t="inlineStr">
        <is>
          <t>PENDING</t>
        </is>
      </c>
      <c r="G77" s="195" t="n"/>
      <c r="H77" s="209" t="n"/>
      <c r="I77" s="210" t="inlineStr">
        <is>
          <t>PENDING</t>
        </is>
      </c>
      <c r="J77" s="188" t="inlineStr">
        <is>
          <t>operator_selection_decision is PENDING; mandatory assessment is not HIGH: scope_relevance.</t>
        </is>
      </c>
      <c r="K77" s="188" t="inlineStr">
        <is>
          <t>https://lovdata.no/dokument/NL/lov/2025-06-10-33</t>
        </is>
      </c>
      <c r="L77" s="188" t="inlineStr">
        <is>
          <t>https://lovdata.no/dokument/NL/lov/2025-06-10-33</t>
        </is>
      </c>
      <c r="M77" t="inlineStr">
        <is>
          <t>HIGH</t>
        </is>
      </c>
      <c r="N77" t="inlineStr">
        <is>
          <t>MEDIUM</t>
        </is>
      </c>
      <c r="O77" t="inlineStr">
        <is>
          <t>HIGH</t>
        </is>
      </c>
      <c r="P77" t="inlineStr">
        <is>
          <t>HIGH</t>
        </is>
      </c>
      <c r="Q77" t="inlineStr">
        <is>
          <t>HIGH</t>
        </is>
      </c>
      <c r="R77" t="inlineStr">
        <is>
          <t>PENDING</t>
        </is>
      </c>
      <c r="T77" t="inlineStr">
        <is>
          <t>CURRENT</t>
        </is>
      </c>
      <c r="V77" t="inlineStr">
        <is>
          <t>Official future-facing coverage expansion. Offshore and site-specific applicability must be confirmed before use.</t>
        </is>
      </c>
      <c r="X77" t="inlineStr">
        <is>
          <t>A_Public_Authority</t>
        </is>
      </c>
      <c r="Y77" t="inlineStr">
        <is>
          <t>Norwegian Ministry of Climate and Environment</t>
        </is>
      </c>
      <c r="Z77" t="inlineStr">
        <is>
          <t>Norway</t>
        </is>
      </c>
      <c r="AA77" t="inlineStr">
        <is>
          <t>Law</t>
        </is>
      </c>
      <c r="AB77" t="inlineStr">
        <is>
          <t>Public authority</t>
        </is>
      </c>
      <c r="AC77" t="inlineStr">
        <is>
          <t>Referenced normative</t>
        </is>
      </c>
      <c r="AD77" t="inlineStr">
        <is>
          <t>Norwegian</t>
        </is>
      </c>
      <c r="AE77" t="inlineStr">
        <is>
          <t>html</t>
        </is>
      </c>
      <c r="AG77" t="n">
        <v>46023</v>
      </c>
      <c r="AH77" t="inlineStr">
        <is>
          <t>Official referenced source from Norwegian Ministry of Climate and Environment; included because an applicable law, permit or certification scheme may make its provisions binding within the approved scope.</t>
        </is>
      </c>
      <c r="AI77" t="inlineStr">
        <is>
          <t>HIGH</t>
        </is>
      </c>
      <c r="AJ77" t="inlineStr">
        <is>
          <t>OFFICIAL_WEBSITE</t>
        </is>
      </c>
      <c r="AK77" t="inlineStr">
        <is>
          <t>OFFICIAL_ORIGINAL</t>
        </is>
      </c>
      <c r="AL77" t="inlineStr">
        <is>
          <t>ROLLING</t>
        </is>
      </c>
      <c r="AN77" t="inlineStr">
        <is>
          <t>REV-e2829ee24c1ac8f8</t>
        </is>
      </c>
      <c r="AQ77" s="198" t="n">
        <v>46266.41396990741</v>
      </c>
      <c r="AR77" t="inlineStr">
        <is>
          <t>{"action": "APPLY_FIELD_UPDATES", "issue_codes": ["SELECTION_PENDING"], "retry_after_apply": false, "review_fingerprint": "a6e948b1b71c84b9", "source_fingerprint": "e4ffcdfce505d629d3ef", "source_id": "PA054", "updates": {}}</t>
        </is>
      </c>
    </row>
    <row r="78" ht="30" customHeight="1" s="41">
      <c r="A78" s="192" t="inlineStr">
        <is>
          <t>PA056</t>
        </is>
      </c>
      <c r="B78" s="192" t="inlineStr">
        <is>
          <t>Fiskeridirektoratet guidance for land-based aquaculture facilities</t>
        </is>
      </c>
      <c r="C78" s="192" t="inlineStr">
        <is>
          <t>SELECTION_REVIEW</t>
        </is>
      </c>
      <c r="D78" s="192" t="inlineStr">
        <is>
          <t>SELECTION_PENDING</t>
        </is>
      </c>
      <c r="E78" s="192" t="inlineStr">
        <is>
          <t>Review the human-governed source fields and choose INCLUDE, PENDING or EXCLUDE in Human Operation Desktop.</t>
        </is>
      </c>
      <c r="F78" s="194" t="inlineStr">
        <is>
          <t>PENDING</t>
        </is>
      </c>
      <c r="G78" s="195" t="n"/>
      <c r="H78" s="209" t="n"/>
      <c r="I78" s="210" t="inlineStr">
        <is>
          <t>PENDING</t>
        </is>
      </c>
      <c r="J78" s="192" t="inlineStr">
        <is>
          <t>operator_selection_decision is PENDING; mandatory assessment is not HIGH: scope_relevance.</t>
        </is>
      </c>
      <c r="K78" s="192" t="inlineStr">
        <is>
          <t>https://www.fiskeridir.no/akvakultur/landbaserte-anlegg</t>
        </is>
      </c>
      <c r="L78" s="192" t="inlineStr">
        <is>
          <t>https://www.fiskeridir.no/akvakultur/landbaserte-anlegg</t>
        </is>
      </c>
      <c r="M78" t="inlineStr">
        <is>
          <t>HIGH</t>
        </is>
      </c>
      <c r="N78" t="inlineStr">
        <is>
          <t>MEDIUM</t>
        </is>
      </c>
      <c r="O78" t="inlineStr">
        <is>
          <t>HIGH</t>
        </is>
      </c>
      <c r="P78" t="inlineStr">
        <is>
          <t>HIGH</t>
        </is>
      </c>
      <c r="Q78" t="inlineStr">
        <is>
          <t>HIGH</t>
        </is>
      </c>
      <c r="R78" t="inlineStr">
        <is>
          <t>PENDING</t>
        </is>
      </c>
      <c r="T78" t="inlineStr">
        <is>
          <t>CURRENT</t>
        </is>
      </c>
      <c r="U78" t="inlineStr">
        <is>
          <t>PA022</t>
        </is>
      </c>
      <c r="V78" t="inlineStr">
        <is>
          <t>Official land-based facility guidance. Include only when land-based facilities are within scope.</t>
        </is>
      </c>
      <c r="X78" t="inlineStr">
        <is>
          <t>A_Public_Authority</t>
        </is>
      </c>
      <c r="Y78" t="inlineStr">
        <is>
          <t>Norwegian Directorate of Fisheries</t>
        </is>
      </c>
      <c r="Z78" t="inlineStr">
        <is>
          <t>Norway</t>
        </is>
      </c>
      <c r="AA78" t="inlineStr">
        <is>
          <t>Interpretation document</t>
        </is>
      </c>
      <c r="AB78" t="inlineStr">
        <is>
          <t>Public authority</t>
        </is>
      </c>
      <c r="AC78" t="inlineStr">
        <is>
          <t>Guidance / interpretation</t>
        </is>
      </c>
      <c r="AD78" t="inlineStr">
        <is>
          <t>Norwegian</t>
        </is>
      </c>
      <c r="AE78" t="inlineStr">
        <is>
          <t>html</t>
        </is>
      </c>
      <c r="AH78" t="inlineStr">
        <is>
          <t>Official guidance from Norwegian Directorate of Fisheries; included to interpret and operationalise linked normative requirements, not as independent legal or certification authority.</t>
        </is>
      </c>
      <c r="AI78" t="inlineStr">
        <is>
          <t>HIGH</t>
        </is>
      </c>
      <c r="AJ78" t="inlineStr">
        <is>
          <t>OFFICIAL_WEBSITE</t>
        </is>
      </c>
      <c r="AK78" t="inlineStr">
        <is>
          <t>OFFICIAL_ORIGINAL</t>
        </is>
      </c>
      <c r="AL78" t="inlineStr">
        <is>
          <t>ROLLING</t>
        </is>
      </c>
      <c r="AN78" t="inlineStr">
        <is>
          <t>REV-a94c080d6f764c55</t>
        </is>
      </c>
      <c r="AQ78" s="198" t="n">
        <v>46266.41396990741</v>
      </c>
      <c r="AR78" t="inlineStr">
        <is>
          <t>{"action": "APPLY_FIELD_UPDATES", "issue_codes": ["SELECTION_PENDING"], "retry_after_apply": false, "review_fingerprint": "bbfc453cefa22e55", "source_fingerprint": "748ccee9aec960a5cf52", "source_id": "PA056", "updates": {}}</t>
        </is>
      </c>
    </row>
    <row r="79" ht="30" customHeight="1" s="41">
      <c r="A79" s="188" t="inlineStr">
        <is>
          <t>PA057</t>
        </is>
      </c>
      <c r="B79" s="188" t="inlineStr">
        <is>
          <t>Guidance for condition assessment of land-based aquaculture facilities</t>
        </is>
      </c>
      <c r="C79" s="188" t="inlineStr">
        <is>
          <t>SELECTION_REVIEW</t>
        </is>
      </c>
      <c r="D79" s="188" t="inlineStr">
        <is>
          <t>SELECTION_PENDING</t>
        </is>
      </c>
      <c r="E79" s="188" t="inlineStr">
        <is>
          <t>Review the human-governed source fields and choose INCLUDE, PENDING or EXCLUDE in Human Operation Desktop.</t>
        </is>
      </c>
      <c r="F79" s="194" t="inlineStr">
        <is>
          <t>PENDING</t>
        </is>
      </c>
      <c r="G79" s="195" t="n"/>
      <c r="H79" s="209" t="n"/>
      <c r="I79" s="210" t="inlineStr">
        <is>
          <t>PENDING</t>
        </is>
      </c>
      <c r="J79" s="188" t="inlineStr">
        <is>
          <t>operator_selection_decision is PENDING; mandatory assessment is not HIGH: scope_relevance.</t>
        </is>
      </c>
      <c r="K79" s="188" t="inlineStr">
        <is>
          <t>https://www.fiskeridir.no/Akvakultur/Dokumenter/Veiledere/Tilstandsanalyse-av-landbaserte-anlegg</t>
        </is>
      </c>
      <c r="L79" s="188" t="inlineStr">
        <is>
          <t>https://www.fiskeridir.no/Akvakultur/Dokumenter/Veiledere/Tilstandsanalyse-av-landbaserte-anlegg/_/attachment/download/df2fc451-04b7-4984-8628-770e2cf13ac9%3Ad6ae5a53d45201b6bb2458a1e3506f3f9cd7e3fe/Veileder_tilstandsanalyse_20241011.pdf</t>
        </is>
      </c>
      <c r="M79" t="inlineStr">
        <is>
          <t>HIGH</t>
        </is>
      </c>
      <c r="N79" t="inlineStr">
        <is>
          <t>MEDIUM</t>
        </is>
      </c>
      <c r="O79" t="inlineStr">
        <is>
          <t>HIGH</t>
        </is>
      </c>
      <c r="P79" t="inlineStr">
        <is>
          <t>HIGH</t>
        </is>
      </c>
      <c r="Q79" t="inlineStr">
        <is>
          <t>HIGH</t>
        </is>
      </c>
      <c r="R79" t="inlineStr">
        <is>
          <t>PENDING</t>
        </is>
      </c>
      <c r="T79" t="inlineStr">
        <is>
          <t>CURRENT</t>
        </is>
      </c>
      <c r="U79" t="inlineStr">
        <is>
          <t>PA022</t>
        </is>
      </c>
      <c r="V79" t="inlineStr">
        <is>
          <t>Official technical guidance linked to land-based facility regulation and NS 3424. Conditional on land-based scope.</t>
        </is>
      </c>
      <c r="X79" t="inlineStr">
        <is>
          <t>A_Public_Authority</t>
        </is>
      </c>
      <c r="Y79" t="inlineStr">
        <is>
          <t>Norwegian Directorate of Fisheries</t>
        </is>
      </c>
      <c r="Z79" t="inlineStr">
        <is>
          <t>Norway</t>
        </is>
      </c>
      <c r="AA79" t="inlineStr">
        <is>
          <t>Interpretation document</t>
        </is>
      </c>
      <c r="AB79" t="inlineStr">
        <is>
          <t>Public authority</t>
        </is>
      </c>
      <c r="AC79" t="inlineStr">
        <is>
          <t>Guidance / interpretation</t>
        </is>
      </c>
      <c r="AD79" t="inlineStr">
        <is>
          <t>Norwegian</t>
        </is>
      </c>
      <c r="AE79" t="inlineStr">
        <is>
          <t>pdf</t>
        </is>
      </c>
      <c r="AF79" t="inlineStr">
        <is>
          <t>2024-10-11</t>
        </is>
      </c>
      <c r="AH79" t="inlineStr">
        <is>
          <t>Official guidance from Norwegian Directorate of Fisheries; included to interpret and operationalise linked normative requirements, not as independent legal or certification authority.</t>
        </is>
      </c>
      <c r="AI79" t="inlineStr">
        <is>
          <t>HIGH</t>
        </is>
      </c>
      <c r="AJ79" t="inlineStr">
        <is>
          <t>OFFICIAL_WEBSITE</t>
        </is>
      </c>
      <c r="AK79" t="inlineStr">
        <is>
          <t>OFFICIAL_ORIGINAL</t>
        </is>
      </c>
      <c r="AL79" t="inlineStr">
        <is>
          <t>VERSIONED</t>
        </is>
      </c>
      <c r="AN79" t="inlineStr">
        <is>
          <t>REV-9efc49061509a02b</t>
        </is>
      </c>
      <c r="AQ79" s="198" t="n">
        <v>46266.41396990741</v>
      </c>
      <c r="AR79" t="inlineStr">
        <is>
          <t>{"action": "APPLY_FIELD_UPDATES", "issue_codes": ["SELECTION_PENDING"], "retry_after_apply": false, "review_fingerprint": "cb54028299e2c786", "source_fingerprint": "55b4c48205e5bb4bbcf4", "source_id": "PA057", "updates": {}}</t>
        </is>
      </c>
    </row>
    <row r="80" ht="30" customHeight="1" s="41">
      <c r="A80" s="192" t="inlineStr">
        <is>
          <t>PA010</t>
        </is>
      </c>
      <c r="B80" s="192" t="inlineStr">
        <is>
          <t>Regulation (EU) 2016/429 on transmissible animal diseases (Animal Health Law)</t>
        </is>
      </c>
      <c r="C80" s="192" t="inlineStr">
        <is>
          <t>SELECTION_REVIEW</t>
        </is>
      </c>
      <c r="D80" s="192" t="inlineStr">
        <is>
          <t>SELECTION_PENDING</t>
        </is>
      </c>
      <c r="E80" s="192" t="inlineStr">
        <is>
          <t>Review the human-governed source fields and choose INCLUDE, PENDING or EXCLUDE in Human Operation Desktop.</t>
        </is>
      </c>
      <c r="F80" s="194" t="inlineStr">
        <is>
          <t>PENDING</t>
        </is>
      </c>
      <c r="G80" s="195" t="n"/>
      <c r="H80" s="209" t="n"/>
      <c r="I80" s="210" t="inlineStr">
        <is>
          <t>PENDING</t>
        </is>
      </c>
      <c r="J80" s="192" t="inlineStr">
        <is>
          <t>operator_selection_decision is PENDING; mandatory assessment is not HIGH: scope_relevance.</t>
        </is>
      </c>
      <c r="K80" s="192" t="inlineStr">
        <is>
          <t>https://eur-lex.europa.eu/legal-content/EN/TXT/?uri=CELEX:32016R0429</t>
        </is>
      </c>
      <c r="L80" s="192" t="inlineStr">
        <is>
          <t>https://publications.europa.eu/resource/oj/JOL_2016_084_R_0001.ENG</t>
        </is>
      </c>
      <c r="M80" t="inlineStr">
        <is>
          <t>HIGH</t>
        </is>
      </c>
      <c r="N80" t="inlineStr">
        <is>
          <t>MEDIUM</t>
        </is>
      </c>
      <c r="O80" t="inlineStr">
        <is>
          <t>HIGH</t>
        </is>
      </c>
      <c r="P80" t="inlineStr">
        <is>
          <t>HIGH</t>
        </is>
      </c>
      <c r="Q80" t="inlineStr">
        <is>
          <t>HIGH</t>
        </is>
      </c>
      <c r="R80" t="inlineStr">
        <is>
          <t>PENDING</t>
        </is>
      </c>
      <c r="T80" t="inlineStr">
        <is>
          <t>CURRENT</t>
        </is>
      </c>
      <c r="V80"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80" t="inlineStr">
        <is>
          <t>A_Public_Authority</t>
        </is>
      </c>
      <c r="Y80" t="inlineStr">
        <is>
          <t>European Parliament and Council of the European Union</t>
        </is>
      </c>
      <c r="Z80" t="inlineStr">
        <is>
          <t>EU / EEA</t>
        </is>
      </c>
      <c r="AA80" t="inlineStr">
        <is>
          <t>Regulation</t>
        </is>
      </c>
      <c r="AB80" t="inlineStr">
        <is>
          <t>Public authority</t>
        </is>
      </c>
      <c r="AC80" t="inlineStr">
        <is>
          <t>Referenced normative</t>
        </is>
      </c>
      <c r="AD80" t="inlineStr">
        <is>
          <t>English</t>
        </is>
      </c>
      <c r="AE80" t="inlineStr">
        <is>
          <t>html</t>
        </is>
      </c>
      <c r="AH80" t="inlineStr">
        <is>
          <t>Official referenced source from European Parliament and Council of the European Union; included because an applicable law, permit or certification scheme may make its provisions binding within the approved scope.</t>
        </is>
      </c>
      <c r="AI80" t="inlineStr">
        <is>
          <t>HIGH</t>
        </is>
      </c>
      <c r="AJ80" t="inlineStr">
        <is>
          <t>OFFICIAL_WEBSITE</t>
        </is>
      </c>
      <c r="AK80" t="inlineStr">
        <is>
          <t>OFFICIAL_ORIGINAL</t>
        </is>
      </c>
      <c r="AL80" t="inlineStr">
        <is>
          <t>ROLLING</t>
        </is>
      </c>
      <c r="AN80" t="inlineStr">
        <is>
          <t>REV-8ec86d47e03cb317</t>
        </is>
      </c>
      <c r="AQ80" s="198" t="n">
        <v>46266.41396990741</v>
      </c>
      <c r="AR80" t="inlineStr">
        <is>
          <t>{"action": "APPLY_FIELD_UPDATES", "issue_codes": ["SELECTION_PENDING"], "retry_after_apply": false, "review_fingerprint": "324b9f8d0c033311", "source_fingerprint": "b3a6960da22375609577", "source_id": "PA010", "updates": {}}</t>
        </is>
      </c>
    </row>
    <row r="81" ht="30" customHeight="1" s="41">
      <c r="A81" s="188" t="inlineStr">
        <is>
          <t>CS003</t>
        </is>
      </c>
      <c r="B81" s="188" t="inlineStr">
        <is>
          <t>ASC Salmon Audit Manual</t>
        </is>
      </c>
      <c r="C81" s="188" t="inlineStr">
        <is>
          <t>SOURCE_REVIEW</t>
        </is>
      </c>
      <c r="D81" s="188" t="inlineStr">
        <is>
          <t>DUPLICATE_OFFICIAL_URL</t>
        </is>
      </c>
      <c r="E81" s="188" t="inlineStr">
        <is>
          <t>Confirm whether this record is a distinct source, correct its identity, or exclude it.</t>
        </is>
      </c>
      <c r="F81" s="194" t="inlineStr">
        <is>
          <t>PENDING</t>
        </is>
      </c>
      <c r="G81" s="195" t="n"/>
      <c r="H81" s="209" t="n"/>
      <c r="I81" s="210" t="inlineStr">
        <is>
          <t>PENDING</t>
        </is>
      </c>
      <c r="J81" s="188" t="inlineStr">
        <is>
          <t>The official URL is shared by 2 current source records.</t>
        </is>
      </c>
      <c r="K81" s="188" t="inlineStr">
        <is>
          <t>https://asc-aqua.org/producers/asc-standards/species-standards/salmon-cod/</t>
        </is>
      </c>
      <c r="L81" s="188" t="inlineStr">
        <is>
          <t>https://asc-aqua.org/wp-content/uploads/2023/04/ASC-Salmon-Audit-Manual_v1.4.pdf</t>
        </is>
      </c>
      <c r="M81" t="inlineStr">
        <is>
          <t>HIGH</t>
        </is>
      </c>
      <c r="N81" t="inlineStr">
        <is>
          <t>HIGH</t>
        </is>
      </c>
      <c r="O81" t="inlineStr">
        <is>
          <t>HIGH</t>
        </is>
      </c>
      <c r="P81" t="inlineStr">
        <is>
          <t>HIGH</t>
        </is>
      </c>
      <c r="Q81" t="inlineStr">
        <is>
          <t>HIGH</t>
        </is>
      </c>
      <c r="R81" t="inlineStr">
        <is>
          <t>INCLUDE</t>
        </is>
      </c>
      <c r="T81" t="inlineStr">
        <is>
          <t>CURRENT</t>
        </is>
      </c>
      <c r="U81" t="inlineStr">
        <is>
          <t>CS004</t>
        </is>
      </c>
      <c r="V81" t="inlineStr">
        <is>
          <t>Repository-held assessment tool. Trace extracted requirements to the applicable normative ASC standard.</t>
        </is>
      </c>
      <c r="X81" t="inlineStr">
        <is>
          <t>C_Certification_Scheme</t>
        </is>
      </c>
      <c r="Y81" t="inlineStr">
        <is>
          <t>Aquaculture Stewardship Council</t>
        </is>
      </c>
      <c r="Z81" t="inlineStr">
        <is>
          <t>International</t>
        </is>
      </c>
      <c r="AA81" t="inlineStr">
        <is>
          <t>Audit / assessment document</t>
        </is>
      </c>
      <c r="AB81" t="inlineStr">
        <is>
          <t>Certification scheme</t>
        </is>
      </c>
      <c r="AC81" t="inlineStr">
        <is>
          <t>Audit / assessment tool</t>
        </is>
      </c>
      <c r="AD81" t="inlineStr">
        <is>
          <t>English</t>
        </is>
      </c>
      <c r="AE81" t="inlineStr">
        <is>
          <t>pdf</t>
        </is>
      </c>
      <c r="AF81" t="inlineStr">
        <is>
          <t>1.4</t>
        </is>
      </c>
      <c r="AH81" t="inlineStr">
        <is>
          <t>Official assessment tool from Aquaculture Stewardship Council; included to structure compliance checks and trace evidence back to its linked normative source.</t>
        </is>
      </c>
      <c r="AI81" t="inlineStr">
        <is>
          <t>HIGH</t>
        </is>
      </c>
      <c r="AJ81" t="inlineStr">
        <is>
          <t>OFFICIAL_WEBSITE</t>
        </is>
      </c>
      <c r="AK81" t="inlineStr">
        <is>
          <t>OFFICIAL_ORIGINAL</t>
        </is>
      </c>
      <c r="AL81" t="inlineStr">
        <is>
          <t>VERSIONED</t>
        </is>
      </c>
      <c r="AN81" t="inlineStr">
        <is>
          <t>REV-791c48e9a13995ee</t>
        </is>
      </c>
      <c r="AQ81" s="198" t="n">
        <v>46266.41396990741</v>
      </c>
      <c r="AR81" t="inlineStr">
        <is>
          <t>{"action": "APPLY_FIELD_UPDATES", "issue_codes": ["DUPLICATE_OFFICIAL_URL"], "retry_after_apply": false, "review_fingerprint": "8e2d0c61b0acc423", "source_fingerprint": "ef45bb9f7155edc827f3", "source_id": "CS003", "updates": {}}</t>
        </is>
      </c>
    </row>
    <row r="82" ht="30" customHeight="1" s="41">
      <c r="A82" s="192" t="inlineStr">
        <is>
          <t>CS004</t>
        </is>
      </c>
      <c r="B82" s="192" t="inlineStr">
        <is>
          <t>ASC Salmon and Cod Standard</t>
        </is>
      </c>
      <c r="C82" s="192" t="inlineStr">
        <is>
          <t>SOURCE_REVIEW</t>
        </is>
      </c>
      <c r="D82" s="192" t="inlineStr">
        <is>
          <t>DUPLICATE_OFFICIAL_URL</t>
        </is>
      </c>
      <c r="E82" s="192" t="inlineStr">
        <is>
          <t>Confirm whether this record is a distinct source, correct its identity, or exclude it.</t>
        </is>
      </c>
      <c r="F82" s="194" t="inlineStr">
        <is>
          <t>PENDING</t>
        </is>
      </c>
      <c r="G82" s="195" t="n"/>
      <c r="H82" s="209" t="n"/>
      <c r="I82" s="210" t="inlineStr">
        <is>
          <t>PENDING</t>
        </is>
      </c>
      <c r="J82" s="192" t="inlineStr">
        <is>
          <t>The official URL is shared by 2 current source records.</t>
        </is>
      </c>
      <c r="K82" s="192" t="inlineStr">
        <is>
          <t>https://asc-aqua.org/producers/asc-standards/species-standards/salmon-cod/</t>
        </is>
      </c>
      <c r="L82" s="192" t="inlineStr">
        <is>
          <t>https://asc-aqua.org/wp-content/uploads/2025/10/ASC-STD-010-ASC-Salmon-and-Cod-Standard-V1.5-Oct-2025-1.pdf</t>
        </is>
      </c>
      <c r="M82" t="inlineStr">
        <is>
          <t>HIGH</t>
        </is>
      </c>
      <c r="N82" t="inlineStr">
        <is>
          <t>HIGH</t>
        </is>
      </c>
      <c r="O82" t="inlineStr">
        <is>
          <t>HIGH</t>
        </is>
      </c>
      <c r="P82" t="inlineStr">
        <is>
          <t>HIGH</t>
        </is>
      </c>
      <c r="Q82" t="inlineStr">
        <is>
          <t>HIGH</t>
        </is>
      </c>
      <c r="R82" t="inlineStr">
        <is>
          <t>INCLUDE</t>
        </is>
      </c>
      <c r="T82" t="inlineStr">
        <is>
          <t>CURRENT</t>
        </is>
      </c>
      <c r="V82" t="inlineStr">
        <is>
          <t>Project-mentioned candidate. Include while the species standard remains applicable during ASC transition.</t>
        </is>
      </c>
      <c r="X82" t="inlineStr">
        <is>
          <t>C_Certification_Scheme</t>
        </is>
      </c>
      <c r="Y82" t="inlineStr">
        <is>
          <t>Aquaculture Stewardship Council</t>
        </is>
      </c>
      <c r="Z82" t="inlineStr">
        <is>
          <t>International</t>
        </is>
      </c>
      <c r="AA82" t="inlineStr">
        <is>
          <t>Scheme standard</t>
        </is>
      </c>
      <c r="AB82" t="inlineStr">
        <is>
          <t>Certification scheme</t>
        </is>
      </c>
      <c r="AC82" t="inlineStr">
        <is>
          <t>Primary normative</t>
        </is>
      </c>
      <c r="AD82" t="inlineStr">
        <is>
          <t>English</t>
        </is>
      </c>
      <c r="AE82" t="inlineStr">
        <is>
          <t>pdf</t>
        </is>
      </c>
      <c r="AF82" t="inlineStr">
        <is>
          <t>1.5</t>
        </is>
      </c>
      <c r="AG82" t="n">
        <v>45943</v>
      </c>
      <c r="AH82" t="inlineStr">
        <is>
          <t>Official scheme standard issued by Aquaculture Stewardship Council; included because it may impose binding requirements on an in-scope aquaculture asset, activity, permit or certification.</t>
        </is>
      </c>
      <c r="AI82" t="inlineStr">
        <is>
          <t>HIGH</t>
        </is>
      </c>
      <c r="AJ82" t="inlineStr">
        <is>
          <t>OFFICIAL_WEBSITE</t>
        </is>
      </c>
      <c r="AK82" t="inlineStr">
        <is>
          <t>OFFICIAL_ORIGINAL</t>
        </is>
      </c>
      <c r="AL82" t="inlineStr">
        <is>
          <t>VERSIONED</t>
        </is>
      </c>
      <c r="AN82" t="inlineStr">
        <is>
          <t>REV-f25716047df6d4d2</t>
        </is>
      </c>
      <c r="AQ82" s="198" t="n">
        <v>46266.41396990741</v>
      </c>
      <c r="AR82" t="inlineStr">
        <is>
          <t>{"action": "APPLY_FIELD_UPDATES", "issue_codes": ["DUPLICATE_OFFICIAL_URL"], "retry_after_apply": false, "review_fingerprint": "8e2d0c61b0acc423", "source_fingerprint": "a7a56653614f3dbc9706", "source_id": "CS004", "updates": {}}</t>
        </is>
      </c>
    </row>
    <row r="83" ht="30" customHeight="1" s="41">
      <c r="A83" s="188" t="inlineStr">
        <is>
          <t>CS005</t>
        </is>
      </c>
      <c r="B83" s="188" t="inlineStr">
        <is>
          <t>ASC Farm and Feed Certification and Accreditation Requirements</t>
        </is>
      </c>
      <c r="C83" s="188" t="inlineStr">
        <is>
          <t>SOURCE_REVIEW</t>
        </is>
      </c>
      <c r="D83" s="188" t="inlineStr">
        <is>
          <t>DUPLICATE_OFFICIAL_URL</t>
        </is>
      </c>
      <c r="E83" s="188" t="inlineStr">
        <is>
          <t>Confirm whether this record is a distinct source, correct its identity, or exclude it.</t>
        </is>
      </c>
      <c r="F83" s="194" t="inlineStr">
        <is>
          <t>PENDING</t>
        </is>
      </c>
      <c r="G83" s="195" t="n"/>
      <c r="H83" s="209" t="n"/>
      <c r="I83" s="210" t="inlineStr">
        <is>
          <t>PENDING</t>
        </is>
      </c>
      <c r="J83" s="188" t="inlineStr">
        <is>
          <t>The official URL is shared by 5 current source records.</t>
        </is>
      </c>
      <c r="K83" s="188" t="inlineStr">
        <is>
          <t>https://programme-centre.asc-aqua.org/resource-hub/?filter=farm</t>
        </is>
      </c>
      <c r="L83" s="188" t="inlineStr">
        <is>
          <t>https://programme-centre.asc-aqua.org/app/uploads/2025/04/ASC-CAR-001-ASC-Farm-and-Feed-CAR-V1.0-May-2025.pdf</t>
        </is>
      </c>
      <c r="M83" t="inlineStr">
        <is>
          <t>HIGH</t>
        </is>
      </c>
      <c r="N83" t="inlineStr">
        <is>
          <t>HIGH</t>
        </is>
      </c>
      <c r="O83" t="inlineStr">
        <is>
          <t>HIGH</t>
        </is>
      </c>
      <c r="P83" t="inlineStr">
        <is>
          <t>HIGH</t>
        </is>
      </c>
      <c r="Q83" t="inlineStr">
        <is>
          <t>HIGH</t>
        </is>
      </c>
      <c r="R83" t="inlineStr">
        <is>
          <t>INCLUDE</t>
        </is>
      </c>
      <c r="T83" t="inlineStr">
        <is>
          <t>CURRENT</t>
        </is>
      </c>
      <c r="U83" t="inlineStr">
        <is>
          <t>CS001</t>
        </is>
      </c>
      <c r="V83" t="inlineStr">
        <is>
          <t>Official expansion. The ASC Farm Standard identifies this CAR as normative.</t>
        </is>
      </c>
      <c r="X83" t="inlineStr">
        <is>
          <t>C_Certification_Scheme</t>
        </is>
      </c>
      <c r="Y83" t="inlineStr">
        <is>
          <t>Aquaculture Stewardship Council</t>
        </is>
      </c>
      <c r="Z83" t="inlineStr">
        <is>
          <t>International</t>
        </is>
      </c>
      <c r="AA83" t="inlineStr">
        <is>
          <t>Scheme standard</t>
        </is>
      </c>
      <c r="AB83" t="inlineStr">
        <is>
          <t>Certification scheme</t>
        </is>
      </c>
      <c r="AC83" t="inlineStr">
        <is>
          <t>Referenced normative</t>
        </is>
      </c>
      <c r="AD83" t="inlineStr">
        <is>
          <t>English</t>
        </is>
      </c>
      <c r="AE83" t="inlineStr">
        <is>
          <t>pdf</t>
        </is>
      </c>
      <c r="AF83" t="inlineStr">
        <is>
          <t>1.0</t>
        </is>
      </c>
      <c r="AH83" t="inlineStr">
        <is>
          <t>Official referenced source from Aquaculture Stewardship Council; included because an applicable law, permit or certification scheme may make its provisions binding within the approved scope.</t>
        </is>
      </c>
      <c r="AI83" t="inlineStr">
        <is>
          <t>HIGH</t>
        </is>
      </c>
      <c r="AJ83" t="inlineStr">
        <is>
          <t>OFFICIAL_WEBSITE</t>
        </is>
      </c>
      <c r="AK83" t="inlineStr">
        <is>
          <t>OFFICIAL_ORIGINAL</t>
        </is>
      </c>
      <c r="AL83" t="inlineStr">
        <is>
          <t>VERSIONED</t>
        </is>
      </c>
      <c r="AN83" t="inlineStr">
        <is>
          <t>REV-e57f7b7eba9c879d</t>
        </is>
      </c>
      <c r="AQ83" s="198" t="n">
        <v>46266.41396990741</v>
      </c>
      <c r="AR83" t="inlineStr">
        <is>
          <t>{"action": "APPLY_FIELD_UPDATES", "issue_codes": ["DUPLICATE_OFFICIAL_URL"], "retry_after_apply": false, "review_fingerprint": "8e2d0c61b0acc423", "source_fingerprint": "bb7df6bf2e0cba15c192", "source_id": "CS005", "updates": {}}</t>
        </is>
      </c>
    </row>
    <row r="84" ht="30" customHeight="1" s="41">
      <c r="A84" s="192" t="inlineStr">
        <is>
          <t>CS006</t>
        </is>
      </c>
      <c r="B84" s="192" t="inlineStr">
        <is>
          <t>ASC Group Requirements for Farms</t>
        </is>
      </c>
      <c r="C84" s="192" t="inlineStr">
        <is>
          <t>SOURCE_REVIEW</t>
        </is>
      </c>
      <c r="D84" s="192" t="inlineStr">
        <is>
          <t>DUPLICATE_OFFICIAL_URL; MISSING_RETRIEVAL_URL; SELECTION_PENDING</t>
        </is>
      </c>
      <c r="E84" s="1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4" s="194" t="inlineStr">
        <is>
          <t>PENDING</t>
        </is>
      </c>
      <c r="G84" s="195" t="n"/>
      <c r="H84" s="209" t="n"/>
      <c r="I84" s="210" t="inlineStr">
        <is>
          <t>PENDING</t>
        </is>
      </c>
      <c r="J84" s="192" t="inlineStr">
        <is>
          <t>The official URL is shared by 5 current source records. | The source has no exact retrieval target. | operator_selection_decision is PENDING; mandatory assessment is not HIGH: scope_relevance, version_currency, traceability.</t>
        </is>
      </c>
      <c r="K84" s="192" t="inlineStr">
        <is>
          <t>https://programme-centre.asc-aqua.org/resource-hub/?filter=farm</t>
        </is>
      </c>
      <c r="M84" t="inlineStr">
        <is>
          <t>HIGH</t>
        </is>
      </c>
      <c r="N84" t="inlineStr">
        <is>
          <t>MEDIUM</t>
        </is>
      </c>
      <c r="O84" t="inlineStr">
        <is>
          <t>MEDIUM</t>
        </is>
      </c>
      <c r="P84" t="inlineStr">
        <is>
          <t>MEDIUM</t>
        </is>
      </c>
      <c r="Q84" t="inlineStr">
        <is>
          <t>HIGH</t>
        </is>
      </c>
      <c r="R84" t="inlineStr">
        <is>
          <t>PENDING</t>
        </is>
      </c>
      <c r="T84" t="inlineStr">
        <is>
          <t>CURRENT</t>
        </is>
      </c>
      <c r="U84" t="inlineStr">
        <is>
          <t>CS001</t>
        </is>
      </c>
      <c r="V84" t="inlineStr">
        <is>
          <t>Official expansion. Conditional on group certification structure.</t>
        </is>
      </c>
      <c r="X84" t="inlineStr">
        <is>
          <t>C_Certification_Scheme</t>
        </is>
      </c>
      <c r="Y84" t="inlineStr">
        <is>
          <t>Aquaculture Stewardship Council</t>
        </is>
      </c>
      <c r="Z84" t="inlineStr">
        <is>
          <t>International</t>
        </is>
      </c>
      <c r="AA84" t="inlineStr">
        <is>
          <t>Scheme standard</t>
        </is>
      </c>
      <c r="AB84" t="inlineStr">
        <is>
          <t>Certification scheme</t>
        </is>
      </c>
      <c r="AC84" t="inlineStr">
        <is>
          <t>Referenced normative</t>
        </is>
      </c>
      <c r="AD84" t="inlineStr">
        <is>
          <t>English</t>
        </is>
      </c>
      <c r="AE84" t="inlineStr">
        <is>
          <t>pdf</t>
        </is>
      </c>
      <c r="AF84" t="inlineStr">
        <is>
          <t>1.0</t>
        </is>
      </c>
      <c r="AH84" t="inlineStr">
        <is>
          <t>Official referenced source from Aquaculture Stewardship Council; included because an applicable law, permit or certification scheme may make its provisions binding within the approved scope.</t>
        </is>
      </c>
      <c r="AI84" t="inlineStr">
        <is>
          <t>LOW</t>
        </is>
      </c>
      <c r="AJ84" t="inlineStr">
        <is>
          <t>OFFICIAL_WEBSITE</t>
        </is>
      </c>
      <c r="AK84" t="inlineStr">
        <is>
          <t>OFFICIAL_ORIGINAL</t>
        </is>
      </c>
      <c r="AL84" t="inlineStr">
        <is>
          <t>VERSIONED</t>
        </is>
      </c>
      <c r="AN84" t="inlineStr">
        <is>
          <t>REV-b134394d8814e274</t>
        </is>
      </c>
      <c r="AQ84" s="198" t="n">
        <v>46266.41396990741</v>
      </c>
      <c r="AR84" t="inlineStr">
        <is>
          <t>{"action": "APPLY_FIELD_UPDATES", "issue_codes": ["DUPLICATE_OFFICIAL_URL", "MISSING_RETRIEVAL_URL", "SELECTION_PENDING"], "retry_after_apply": false, "review_fingerprint": "a8fb8727ba3cf175", "source_fingerprint": "06f2c6186305eef8c346", "source_id": "CS006", "updates": {}}</t>
        </is>
      </c>
    </row>
    <row r="85" ht="30" customHeight="1" s="41">
      <c r="A85" s="188" t="inlineStr">
        <is>
          <t>CS007</t>
        </is>
      </c>
      <c r="B85" s="188" t="inlineStr">
        <is>
          <t>ASC Data Submission Procedure</t>
        </is>
      </c>
      <c r="C85" s="188" t="inlineStr">
        <is>
          <t>SOURCE_REVIEW</t>
        </is>
      </c>
      <c r="D85" s="188" t="inlineStr">
        <is>
          <t>DUPLICATE_OFFICIAL_URL; MISSING_RETRIEVAL_URL; SELECTION_PENDING</t>
        </is>
      </c>
      <c r="E85" s="1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5" s="194" t="inlineStr">
        <is>
          <t>PENDING</t>
        </is>
      </c>
      <c r="G85" s="195" t="n"/>
      <c r="H85" s="209" t="n"/>
      <c r="I85" s="210" t="inlineStr">
        <is>
          <t>PENDING</t>
        </is>
      </c>
      <c r="J85" s="188" t="inlineStr">
        <is>
          <t>The official URL is shared by 5 current source records. | The source has no exact retrieval target. | operator_selection_decision is PENDING; mandatory assessment is not HIGH: version_currency, traceability.</t>
        </is>
      </c>
      <c r="K85" s="188" t="inlineStr">
        <is>
          <t>https://programme-centre.asc-aqua.org/resource-hub/?filter=farm</t>
        </is>
      </c>
      <c r="M85" t="inlineStr">
        <is>
          <t>HIGH</t>
        </is>
      </c>
      <c r="N85" t="inlineStr">
        <is>
          <t>HIGH</t>
        </is>
      </c>
      <c r="O85" t="inlineStr">
        <is>
          <t>MEDIUM</t>
        </is>
      </c>
      <c r="P85" t="inlineStr">
        <is>
          <t>MEDIUM</t>
        </is>
      </c>
      <c r="Q85" t="inlineStr">
        <is>
          <t>HIGH</t>
        </is>
      </c>
      <c r="R85" t="inlineStr">
        <is>
          <t>PENDING</t>
        </is>
      </c>
      <c r="T85" t="inlineStr">
        <is>
          <t>CURRENT</t>
        </is>
      </c>
      <c r="U85" t="inlineStr">
        <is>
          <t>CS001</t>
        </is>
      </c>
      <c r="V85" t="inlineStr">
        <is>
          <t>Official expansion. The ASC Farm Standard lists this procedure among normative references.</t>
        </is>
      </c>
      <c r="X85" t="inlineStr">
        <is>
          <t>C_Certification_Scheme</t>
        </is>
      </c>
      <c r="Y85" t="inlineStr">
        <is>
          <t>Aquaculture Stewardship Council</t>
        </is>
      </c>
      <c r="Z85" t="inlineStr">
        <is>
          <t>International</t>
        </is>
      </c>
      <c r="AA85" t="inlineStr">
        <is>
          <t>Scheme standard</t>
        </is>
      </c>
      <c r="AB85" t="inlineStr">
        <is>
          <t>Certification scheme</t>
        </is>
      </c>
      <c r="AC85" t="inlineStr">
        <is>
          <t>Referenced normative</t>
        </is>
      </c>
      <c r="AD85" t="inlineStr">
        <is>
          <t>English</t>
        </is>
      </c>
      <c r="AE85" t="inlineStr">
        <is>
          <t>pdf</t>
        </is>
      </c>
      <c r="AF85" t="inlineStr">
        <is>
          <t>1.0</t>
        </is>
      </c>
      <c r="AH85" t="inlineStr">
        <is>
          <t>Official referenced source from Aquaculture Stewardship Council; included because an applicable law, permit or certification scheme may make its provisions binding within the approved scope.</t>
        </is>
      </c>
      <c r="AI85" t="inlineStr">
        <is>
          <t>LOW</t>
        </is>
      </c>
      <c r="AJ85" t="inlineStr">
        <is>
          <t>OFFICIAL_WEBSITE</t>
        </is>
      </c>
      <c r="AK85" t="inlineStr">
        <is>
          <t>OFFICIAL_ORIGINAL</t>
        </is>
      </c>
      <c r="AL85" t="inlineStr">
        <is>
          <t>VERSIONED</t>
        </is>
      </c>
      <c r="AN85" t="inlineStr">
        <is>
          <t>REV-65cc9b72f82a1517</t>
        </is>
      </c>
      <c r="AQ85" s="198" t="n">
        <v>46266.41396990741</v>
      </c>
      <c r="AR85" t="inlineStr">
        <is>
          <t>{"action": "APPLY_FIELD_UPDATES", "issue_codes": ["DUPLICATE_OFFICIAL_URL", "MISSING_RETRIEVAL_URL", "SELECTION_PENDING"], "retry_after_apply": false, "review_fingerprint": "722143290d029054", "source_fingerprint": "c23c11db5a7bea053a09", "source_id": "CS007", "updates": {}}</t>
        </is>
      </c>
    </row>
    <row r="86" ht="30" customHeight="1" s="41">
      <c r="A86" s="192" t="inlineStr">
        <is>
          <t>CS008</t>
        </is>
      </c>
      <c r="B86" s="192" t="inlineStr">
        <is>
          <t>GLOBALG.A.P. IFA v6 Smart for aquaculture - Principles and criteria</t>
        </is>
      </c>
      <c r="C86" s="192" t="inlineStr">
        <is>
          <t>SOURCE_REVIEW</t>
        </is>
      </c>
      <c r="D86" s="192" t="inlineStr">
        <is>
          <t>DUPLICATE_OFFICIAL_URL; MISSING_RETRIEVAL_URL; SELECTION_PENDING</t>
        </is>
      </c>
      <c r="E86" s="1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6" s="194" t="inlineStr">
        <is>
          <t>PENDING</t>
        </is>
      </c>
      <c r="G86" s="195" t="n"/>
      <c r="H86" s="209" t="n"/>
      <c r="I86" s="210" t="inlineStr">
        <is>
          <t>PENDING</t>
        </is>
      </c>
      <c r="J86" s="192" t="inlineStr">
        <is>
          <t>The official URL is shared by 6 current source records. | The source has no exact retrieval target. | operator_selection_decision is PENDING; mandatory assessment is not HIGH: version_currency, traceability.</t>
        </is>
      </c>
      <c r="K86" s="192" t="inlineStr">
        <is>
          <t>https://globalgap.org/what-we-offer/solutions/ifa-aquaculture/</t>
        </is>
      </c>
      <c r="M86" t="inlineStr">
        <is>
          <t>HIGH</t>
        </is>
      </c>
      <c r="N86" t="inlineStr">
        <is>
          <t>HIGH</t>
        </is>
      </c>
      <c r="O86" t="inlineStr">
        <is>
          <t>MEDIUM</t>
        </is>
      </c>
      <c r="P86" t="inlineStr">
        <is>
          <t>MEDIUM</t>
        </is>
      </c>
      <c r="Q86" t="inlineStr">
        <is>
          <t>HIGH</t>
        </is>
      </c>
      <c r="R86" t="inlineStr">
        <is>
          <t>PENDING</t>
        </is>
      </c>
      <c r="T86" t="inlineStr">
        <is>
          <t>CURRENT</t>
        </is>
      </c>
      <c r="V86" t="inlineStr">
        <is>
          <t>Project-mentioned scheme source. The repository contains the checklist, but the P&amp;C document is the primary normative source.</t>
        </is>
      </c>
      <c r="X86" t="inlineStr">
        <is>
          <t>C_Certification_Scheme</t>
        </is>
      </c>
      <c r="Y86" t="inlineStr">
        <is>
          <t>GLOBALG.A.P.</t>
        </is>
      </c>
      <c r="Z86" t="inlineStr">
        <is>
          <t>International</t>
        </is>
      </c>
      <c r="AA86" t="inlineStr">
        <is>
          <t>Scheme standard</t>
        </is>
      </c>
      <c r="AB86" t="inlineStr">
        <is>
          <t>Certification scheme</t>
        </is>
      </c>
      <c r="AC86" t="inlineStr">
        <is>
          <t>Primary normative</t>
        </is>
      </c>
      <c r="AD86" t="inlineStr">
        <is>
          <t>English</t>
        </is>
      </c>
      <c r="AE86" t="inlineStr">
        <is>
          <t>pdf</t>
        </is>
      </c>
      <c r="AF86" t="inlineStr">
        <is>
          <t>V6</t>
        </is>
      </c>
      <c r="AH86" t="inlineStr">
        <is>
          <t>Official scheme standard issued by GLOBALG.A.P.; included because it may impose binding requirements on an in-scope aquaculture asset, activity, permit or certification.</t>
        </is>
      </c>
      <c r="AI86" t="inlineStr">
        <is>
          <t>LOW</t>
        </is>
      </c>
      <c r="AJ86" t="inlineStr">
        <is>
          <t>OFFICIAL_WEBSITE</t>
        </is>
      </c>
      <c r="AK86" t="inlineStr">
        <is>
          <t>OFFICIAL_ORIGINAL</t>
        </is>
      </c>
      <c r="AL86" t="inlineStr">
        <is>
          <t>VERSIONED</t>
        </is>
      </c>
      <c r="AN86" t="inlineStr">
        <is>
          <t>REV-2b21e65c125764ca</t>
        </is>
      </c>
      <c r="AQ86" s="198" t="n">
        <v>46266.41396990741</v>
      </c>
      <c r="AR86" t="inlineStr">
        <is>
          <t>{"action": "APPLY_FIELD_UPDATES", "issue_codes": ["DUPLICATE_OFFICIAL_URL", "MISSING_RETRIEVAL_URL", "SELECTION_PENDING"], "retry_after_apply": false, "review_fingerprint": "e34d05e249d96eab", "source_fingerprint": "21e7c3350d68128954b9", "source_id": "CS008", "updates": {}}</t>
        </is>
      </c>
    </row>
    <row r="87" ht="30" customHeight="1" s="41">
      <c r="A87" s="188" t="inlineStr">
        <is>
          <t>CS009</t>
        </is>
      </c>
      <c r="B87" s="188" t="inlineStr">
        <is>
          <t>GLOBALG.A.P. IFA v6 Smart for aquaculture - Checklist</t>
        </is>
      </c>
      <c r="C87" s="188" t="inlineStr">
        <is>
          <t>SOURCE_REVIEW</t>
        </is>
      </c>
      <c r="D87" s="188" t="inlineStr">
        <is>
          <t>DUPLICATE_OFFICIAL_URL; MISSING_RETRIEVAL_URL; SELECTION_PENDING</t>
        </is>
      </c>
      <c r="E87" s="1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7" s="194" t="inlineStr">
        <is>
          <t>PENDING</t>
        </is>
      </c>
      <c r="G87" s="195" t="n"/>
      <c r="H87" s="209" t="n"/>
      <c r="I87" s="210" t="inlineStr">
        <is>
          <t>PENDING</t>
        </is>
      </c>
      <c r="J87" s="188" t="inlineStr">
        <is>
          <t>The official URL is shared by 6 current source records. | The source has no exact retrieval target. | operator_selection_decision is PENDING; mandatory assessment is not HIGH: version_currency, traceability.</t>
        </is>
      </c>
      <c r="K87" s="188" t="inlineStr">
        <is>
          <t>https://globalgap.org/what-we-offer/solutions/ifa-aquaculture/</t>
        </is>
      </c>
      <c r="M87" t="inlineStr">
        <is>
          <t>HIGH</t>
        </is>
      </c>
      <c r="N87" t="inlineStr">
        <is>
          <t>HIGH</t>
        </is>
      </c>
      <c r="O87" t="inlineStr">
        <is>
          <t>MEDIUM</t>
        </is>
      </c>
      <c r="P87" t="inlineStr">
        <is>
          <t>MEDIUM</t>
        </is>
      </c>
      <c r="Q87" t="inlineStr">
        <is>
          <t>HIGH</t>
        </is>
      </c>
      <c r="R87" t="inlineStr">
        <is>
          <t>PENDING</t>
        </is>
      </c>
      <c r="T87" t="inlineStr">
        <is>
          <t>CURRENT</t>
        </is>
      </c>
      <c r="U87" t="inlineStr">
        <is>
          <t>CS008</t>
        </is>
      </c>
      <c r="V87" t="inlineStr">
        <is>
          <t>Repository-held assessment artifact. Official distribution may be ZIP/XLSX; trace requirements to CS008.</t>
        </is>
      </c>
      <c r="X87" t="inlineStr">
        <is>
          <t>C_Certification_Scheme</t>
        </is>
      </c>
      <c r="Y87" t="inlineStr">
        <is>
          <t>GLOBALG.A.P.</t>
        </is>
      </c>
      <c r="Z87" t="inlineStr">
        <is>
          <t>International</t>
        </is>
      </c>
      <c r="AA87" t="inlineStr">
        <is>
          <t>Audit / assessment document</t>
        </is>
      </c>
      <c r="AB87" t="inlineStr">
        <is>
          <t>Certification scheme</t>
        </is>
      </c>
      <c r="AC87" t="inlineStr">
        <is>
          <t>Audit / assessment tool</t>
        </is>
      </c>
      <c r="AD87" t="inlineStr">
        <is>
          <t>English</t>
        </is>
      </c>
      <c r="AE87" t="inlineStr">
        <is>
          <t>xlsx</t>
        </is>
      </c>
      <c r="AF87" t="inlineStr">
        <is>
          <t>V6</t>
        </is>
      </c>
      <c r="AH87" t="inlineStr">
        <is>
          <t>Official assessment tool from GLOBALG.A.P.; included to structure compliance checks and trace evidence back to its linked normative source.</t>
        </is>
      </c>
      <c r="AI87" t="inlineStr">
        <is>
          <t>LOW</t>
        </is>
      </c>
      <c r="AJ87" t="inlineStr">
        <is>
          <t>OFFICIAL_WEBSITE</t>
        </is>
      </c>
      <c r="AK87" t="inlineStr">
        <is>
          <t>OFFICIAL_ORIGINAL</t>
        </is>
      </c>
      <c r="AL87" t="inlineStr">
        <is>
          <t>VERSIONED</t>
        </is>
      </c>
      <c r="AN87" t="inlineStr">
        <is>
          <t>REV-7ab45ddf03d04bba</t>
        </is>
      </c>
      <c r="AQ87" s="198" t="n">
        <v>46266.41396990741</v>
      </c>
      <c r="AR87" t="inlineStr">
        <is>
          <t>{"action": "APPLY_FIELD_UPDATES", "issue_codes": ["DUPLICATE_OFFICIAL_URL", "MISSING_RETRIEVAL_URL", "SELECTION_PENDING"], "retry_after_apply": false, "review_fingerprint": "5c340da7c8cb07d3", "source_fingerprint": "03883cc7e0a5487eb0f1", "source_id": "CS009", "updates": {}}</t>
        </is>
      </c>
    </row>
    <row r="88" ht="30" customHeight="1" s="41">
      <c r="A88" s="192" t="inlineStr">
        <is>
          <t>CS010</t>
        </is>
      </c>
      <c r="B88" s="192" t="inlineStr">
        <is>
          <t>GLOBALG.A.P. General Regulations - Rules for aquaculture scope</t>
        </is>
      </c>
      <c r="C88" s="192" t="inlineStr">
        <is>
          <t>SOURCE_REVIEW</t>
        </is>
      </c>
      <c r="D88" s="192" t="inlineStr">
        <is>
          <t>DUPLICATE_OFFICIAL_URL</t>
        </is>
      </c>
      <c r="E88" s="192" t="inlineStr">
        <is>
          <t>Confirm whether this record is a distinct source, correct its identity, or exclude it.</t>
        </is>
      </c>
      <c r="F88" s="194" t="inlineStr">
        <is>
          <t>PENDING</t>
        </is>
      </c>
      <c r="G88" s="195" t="n"/>
      <c r="H88" s="209" t="n"/>
      <c r="I88" s="210" t="inlineStr">
        <is>
          <t>PENDING</t>
        </is>
      </c>
      <c r="J88" s="192" t="inlineStr">
        <is>
          <t>The official URL is shared by 6 current source records.</t>
        </is>
      </c>
      <c r="K88" s="192" t="inlineStr">
        <is>
          <t>https://globalgap.org/what-we-offer/solutions/ifa-aquaculture/</t>
        </is>
      </c>
      <c r="L88" s="192" t="inlineStr">
        <is>
          <t>https://documents.globalgap.org/documents/220929_GG_GR_Rules_for_aquaculture_v6_0_Sep22_en.pdf</t>
        </is>
      </c>
      <c r="M88" t="inlineStr">
        <is>
          <t>HIGH</t>
        </is>
      </c>
      <c r="N88" t="inlineStr">
        <is>
          <t>HIGH</t>
        </is>
      </c>
      <c r="O88" t="inlineStr">
        <is>
          <t>HIGH</t>
        </is>
      </c>
      <c r="P88" t="inlineStr">
        <is>
          <t>HIGH</t>
        </is>
      </c>
      <c r="Q88" t="inlineStr">
        <is>
          <t>HIGH</t>
        </is>
      </c>
      <c r="R88" t="inlineStr">
        <is>
          <t>INCLUDE</t>
        </is>
      </c>
      <c r="T88" t="inlineStr">
        <is>
          <t>CURRENT</t>
        </is>
      </c>
      <c r="U88" t="inlineStr">
        <is>
          <t>CS008</t>
        </is>
      </c>
      <c r="V88" t="inlineStr">
        <is>
          <t>Official expansion. GLOBALG.A.P. identifies the general regulations as required for certification.</t>
        </is>
      </c>
      <c r="X88" t="inlineStr">
        <is>
          <t>C_Certification_Scheme</t>
        </is>
      </c>
      <c r="Y88" t="inlineStr">
        <is>
          <t>GLOBALG.A.P.</t>
        </is>
      </c>
      <c r="Z88" t="inlineStr">
        <is>
          <t>International</t>
        </is>
      </c>
      <c r="AA88" t="inlineStr">
        <is>
          <t>Scheme standard</t>
        </is>
      </c>
      <c r="AB88" t="inlineStr">
        <is>
          <t>Certification scheme</t>
        </is>
      </c>
      <c r="AC88" t="inlineStr">
        <is>
          <t>Referenced normative</t>
        </is>
      </c>
      <c r="AD88" t="inlineStr">
        <is>
          <t>English</t>
        </is>
      </c>
      <c r="AE88" t="inlineStr">
        <is>
          <t>pdf</t>
        </is>
      </c>
      <c r="AF88" t="inlineStr">
        <is>
          <t>6.0</t>
        </is>
      </c>
      <c r="AH88" t="inlineStr">
        <is>
          <t>Official referenced source from GLOBALG.A.P.; included because an applicable law, permit or certification scheme may make its provisions binding within the approved scope.</t>
        </is>
      </c>
      <c r="AI88" t="inlineStr">
        <is>
          <t>HIGH</t>
        </is>
      </c>
      <c r="AJ88" t="inlineStr">
        <is>
          <t>OFFICIAL_WEBSITE</t>
        </is>
      </c>
      <c r="AK88" t="inlineStr">
        <is>
          <t>OFFICIAL_ORIGINAL</t>
        </is>
      </c>
      <c r="AL88" t="inlineStr">
        <is>
          <t>VERSIONED</t>
        </is>
      </c>
      <c r="AN88" t="inlineStr">
        <is>
          <t>REV-a83853ec70568bf6</t>
        </is>
      </c>
      <c r="AQ88" s="198" t="n">
        <v>46266.41396990741</v>
      </c>
      <c r="AR88" t="inlineStr">
        <is>
          <t>{"action": "APPLY_FIELD_UPDATES", "issue_codes": ["DUPLICATE_OFFICIAL_URL"], "retry_after_apply": false, "review_fingerprint": "8e2d0c61b0acc423", "source_fingerprint": "17f1541f0a581abbb0a9", "source_id": "CS010", "updates": {}}</t>
        </is>
      </c>
    </row>
    <row r="89" ht="30" customHeight="1" s="41">
      <c r="A89" s="188" t="inlineStr">
        <is>
          <t>CS011</t>
        </is>
      </c>
      <c r="B89" s="188" t="inlineStr">
        <is>
          <t>GLOBALG.A.P. GRASP v2 - Principles and criteria</t>
        </is>
      </c>
      <c r="C89" s="188" t="inlineStr">
        <is>
          <t>SOURCE_REVIEW</t>
        </is>
      </c>
      <c r="D89" s="188" t="inlineStr">
        <is>
          <t>DUPLICATE_OFFICIAL_URL</t>
        </is>
      </c>
      <c r="E89" s="188" t="inlineStr">
        <is>
          <t>Confirm whether this record is a distinct source, correct its identity, or exclude it.</t>
        </is>
      </c>
      <c r="F89" s="194" t="inlineStr">
        <is>
          <t>PENDING</t>
        </is>
      </c>
      <c r="G89" s="195" t="n"/>
      <c r="H89" s="209" t="n"/>
      <c r="I89" s="210" t="inlineStr">
        <is>
          <t>PENDING</t>
        </is>
      </c>
      <c r="J89" s="188" t="inlineStr">
        <is>
          <t>The official URL is shared by 4 current source records.</t>
        </is>
      </c>
      <c r="K89" s="188" t="inlineStr">
        <is>
          <t>https://globalgap.org/what-we-offer/solutions/grasp/</t>
        </is>
      </c>
      <c r="L89" s="188" t="inlineStr">
        <is>
          <t>https://documents.globalgap.org/documents/220929_GRASP_PCs_v2_0_Sep22_en.pdf</t>
        </is>
      </c>
      <c r="M89" t="inlineStr">
        <is>
          <t>HIGH</t>
        </is>
      </c>
      <c r="N89" t="inlineStr">
        <is>
          <t>HIGH</t>
        </is>
      </c>
      <c r="O89" t="inlineStr">
        <is>
          <t>HIGH</t>
        </is>
      </c>
      <c r="P89" t="inlineStr">
        <is>
          <t>HIGH</t>
        </is>
      </c>
      <c r="Q89" t="inlineStr">
        <is>
          <t>HIGH</t>
        </is>
      </c>
      <c r="R89" t="inlineStr">
        <is>
          <t>INCLUDE</t>
        </is>
      </c>
      <c r="T89" t="inlineStr">
        <is>
          <t>CURRENT</t>
        </is>
      </c>
      <c r="U89" t="inlineStr">
        <is>
          <t>CS008</t>
        </is>
      </c>
      <c r="V89" t="inlineStr">
        <is>
          <t>Official expansion. GLOBALG.A.P. states GRASP is mandatory for IFA aquaculture audits.</t>
        </is>
      </c>
      <c r="X89" t="inlineStr">
        <is>
          <t>C_Certification_Scheme</t>
        </is>
      </c>
      <c r="Y89" t="inlineStr">
        <is>
          <t>GLOBALG.A.P.</t>
        </is>
      </c>
      <c r="Z89" t="inlineStr">
        <is>
          <t>International</t>
        </is>
      </c>
      <c r="AA89" t="inlineStr">
        <is>
          <t>Scheme standard</t>
        </is>
      </c>
      <c r="AB89" t="inlineStr">
        <is>
          <t>Certification scheme</t>
        </is>
      </c>
      <c r="AC89" t="inlineStr">
        <is>
          <t>Referenced normative</t>
        </is>
      </c>
      <c r="AD89" t="inlineStr">
        <is>
          <t>English</t>
        </is>
      </c>
      <c r="AE89" t="inlineStr">
        <is>
          <t>pdf</t>
        </is>
      </c>
      <c r="AF89" t="inlineStr">
        <is>
          <t>2.0_Sep22</t>
        </is>
      </c>
      <c r="AH89" t="inlineStr">
        <is>
          <t>Official referenced source from GLOBALG.A.P.; included because an applicable law, permit or certification scheme may make its provisions binding within the approved scope.</t>
        </is>
      </c>
      <c r="AI89" t="inlineStr">
        <is>
          <t>HIGH</t>
        </is>
      </c>
      <c r="AJ89" t="inlineStr">
        <is>
          <t>OFFICIAL_WEBSITE</t>
        </is>
      </c>
      <c r="AK89" t="inlineStr">
        <is>
          <t>OFFICIAL_ORIGINAL</t>
        </is>
      </c>
      <c r="AL89" t="inlineStr">
        <is>
          <t>VERSIONED</t>
        </is>
      </c>
      <c r="AN89" t="inlineStr">
        <is>
          <t>REV-9dd82554e7f744c9</t>
        </is>
      </c>
      <c r="AQ89" s="198" t="n">
        <v>46266.41396990741</v>
      </c>
      <c r="AR89" t="inlineStr">
        <is>
          <t>{"action": "APPLY_FIELD_UPDATES", "issue_codes": ["DUPLICATE_OFFICIAL_URL"], "retry_after_apply": false, "review_fingerprint": "8e2d0c61b0acc423", "source_fingerprint": "99d5698ee7deccd81c6e", "source_id": "CS011", "updates": {}}</t>
        </is>
      </c>
    </row>
    <row r="90" ht="30" customHeight="1" s="41">
      <c r="A90" s="192" t="inlineStr">
        <is>
          <t>CS012</t>
        </is>
      </c>
      <c r="B90" s="192" t="inlineStr">
        <is>
          <t>GLOBALG.A.P. Compound Feed Manufacturing Standard</t>
        </is>
      </c>
      <c r="C90" s="192" t="inlineStr">
        <is>
          <t>SOURCE_REVIEW</t>
        </is>
      </c>
      <c r="D90" s="192" t="inlineStr">
        <is>
          <t>MISSING_RETRIEVAL_URL; SELECTION_PENDING</t>
        </is>
      </c>
      <c r="E90" s="192" t="inlineStr">
        <is>
          <t>Provide the complete official HTML target when available, otherwise the original official file URL. | Review the human-governed source fields and choose INCLUDE, PENDING or EXCLUDE in Human Operation Desktop.</t>
        </is>
      </c>
      <c r="F90" s="194" t="inlineStr">
        <is>
          <t>PENDING</t>
        </is>
      </c>
      <c r="G90" s="195" t="n"/>
      <c r="H90" s="209" t="n"/>
      <c r="I90" s="210" t="inlineStr">
        <is>
          <t>PENDING</t>
        </is>
      </c>
      <c r="J90" s="192" t="inlineStr">
        <is>
          <t>The source has no exact retrieval target. | operator_selection_decision is PENDING; mandatory assessment is not HIGH: version_currency, traceability.</t>
        </is>
      </c>
      <c r="K90" s="192" t="inlineStr">
        <is>
          <t>https://globalgap.org/what-we-offer/solutions/compound-feed-manufacturing/</t>
        </is>
      </c>
      <c r="M90" t="inlineStr">
        <is>
          <t>HIGH</t>
        </is>
      </c>
      <c r="N90" t="inlineStr">
        <is>
          <t>HIGH</t>
        </is>
      </c>
      <c r="O90" t="inlineStr">
        <is>
          <t>MEDIUM</t>
        </is>
      </c>
      <c r="P90" t="inlineStr">
        <is>
          <t>MEDIUM</t>
        </is>
      </c>
      <c r="Q90" t="inlineStr">
        <is>
          <t>HIGH</t>
        </is>
      </c>
      <c r="R90" t="inlineStr">
        <is>
          <t>PENDING</t>
        </is>
      </c>
      <c r="T90" t="inlineStr">
        <is>
          <t>CURRENT</t>
        </is>
      </c>
      <c r="U90" t="inlineStr">
        <is>
          <t>CS008</t>
        </is>
      </c>
      <c r="V90" t="inlineStr">
        <is>
          <t>Official expansion. Relevant to feed-sourcing requirements under IFA aquaculture.</t>
        </is>
      </c>
      <c r="X90" t="inlineStr">
        <is>
          <t>C_Certification_Scheme</t>
        </is>
      </c>
      <c r="Y90" t="inlineStr">
        <is>
          <t>GLOBALG.A.P.</t>
        </is>
      </c>
      <c r="Z90" t="inlineStr">
        <is>
          <t>International</t>
        </is>
      </c>
      <c r="AA90" t="inlineStr">
        <is>
          <t>Scheme standard</t>
        </is>
      </c>
      <c r="AB90" t="inlineStr">
        <is>
          <t>Certification scheme</t>
        </is>
      </c>
      <c r="AC90" t="inlineStr">
        <is>
          <t>Referenced normative</t>
        </is>
      </c>
      <c r="AD90" t="inlineStr">
        <is>
          <t>English</t>
        </is>
      </c>
      <c r="AE90" t="inlineStr">
        <is>
          <t>pdf</t>
        </is>
      </c>
      <c r="AH90" t="inlineStr">
        <is>
          <t>Official referenced source from GLOBALG.A.P.; included because an applicable law, permit or certification scheme may make its provisions binding within the approved scope.</t>
        </is>
      </c>
      <c r="AI90" t="inlineStr">
        <is>
          <t>LOW</t>
        </is>
      </c>
      <c r="AJ90" t="inlineStr">
        <is>
          <t>OFFICIAL_WEBSITE</t>
        </is>
      </c>
      <c r="AK90" t="inlineStr">
        <is>
          <t>OFFICIAL_ORIGINAL</t>
        </is>
      </c>
      <c r="AL90" t="inlineStr">
        <is>
          <t>VERSIONED</t>
        </is>
      </c>
      <c r="AN90" t="inlineStr">
        <is>
          <t>REV-43f9c213d0832d6c</t>
        </is>
      </c>
      <c r="AQ90" s="198" t="n">
        <v>46266.41396990741</v>
      </c>
      <c r="AR90" t="inlineStr">
        <is>
          <t>{"action": "APPLY_FIELD_UPDATES", "issue_codes": ["MISSING_RETRIEVAL_URL", "SELECTION_PENDING"], "retry_after_apply": false, "review_fingerprint": "4d68edbca4cba1c8", "source_fingerprint": "cc5526b4cb976ae724eb", "source_id": "CS012", "updates": {}}</t>
        </is>
      </c>
    </row>
    <row r="91" ht="30" customHeight="1" s="41">
      <c r="A91" s="188" t="inlineStr">
        <is>
          <t>CS015</t>
        </is>
      </c>
      <c r="B91" s="188" t="inlineStr">
        <is>
          <t>GLOBALG.A.P. trademarks use: Policy and guidelines</t>
        </is>
      </c>
      <c r="C91" s="188" t="inlineStr">
        <is>
          <t>SOURCE_REVIEW</t>
        </is>
      </c>
      <c r="D91" s="188" t="inlineStr">
        <is>
          <t>DUPLICATE_OFFICIAL_URL</t>
        </is>
      </c>
      <c r="E91" s="188" t="inlineStr">
        <is>
          <t>Confirm whether this record is a distinct source, correct its identity, or exclude it.</t>
        </is>
      </c>
      <c r="F91" s="194" t="inlineStr">
        <is>
          <t>PENDING</t>
        </is>
      </c>
      <c r="G91" s="195" t="n"/>
      <c r="H91" s="209" t="n"/>
      <c r="I91" s="210" t="inlineStr">
        <is>
          <t>PENDING</t>
        </is>
      </c>
      <c r="J91" s="188" t="inlineStr">
        <is>
          <t>The official URL is shared by 6 current source records.</t>
        </is>
      </c>
      <c r="K91" s="188" t="inlineStr">
        <is>
          <t>https://globalgap.org/what-we-offer/solutions/ifa-aquaculture/</t>
        </is>
      </c>
      <c r="L91" s="188" t="inlineStr">
        <is>
          <t>https://documents.globalgap.org/documents/230523_GG_Trademarks_policy_v1_0-1_en.pdf</t>
        </is>
      </c>
      <c r="M91" t="inlineStr">
        <is>
          <t>HIGH</t>
        </is>
      </c>
      <c r="N91" t="inlineStr">
        <is>
          <t>HIGH</t>
        </is>
      </c>
      <c r="O91" t="inlineStr">
        <is>
          <t>HIGH</t>
        </is>
      </c>
      <c r="P91" t="inlineStr">
        <is>
          <t>HIGH</t>
        </is>
      </c>
      <c r="Q91" t="inlineStr">
        <is>
          <t>HIGH</t>
        </is>
      </c>
      <c r="R91" t="inlineStr">
        <is>
          <t>INCLUDE</t>
        </is>
      </c>
      <c r="T91" t="inlineStr">
        <is>
          <t>CURRENT</t>
        </is>
      </c>
      <c r="U91" t="inlineStr">
        <is>
          <t>CS008</t>
        </is>
      </c>
      <c r="V91" t="inlineStr">
        <is>
          <t>Coverage-audit expansion. The project checklist cites this policy for certification claims, marks and identification numbers.</t>
        </is>
      </c>
      <c r="X91" t="inlineStr">
        <is>
          <t>C_Certification_Scheme</t>
        </is>
      </c>
      <c r="Y91" t="inlineStr">
        <is>
          <t>GLOBALG.A.P.</t>
        </is>
      </c>
      <c r="Z91" t="inlineStr">
        <is>
          <t>International</t>
        </is>
      </c>
      <c r="AA91" t="inlineStr">
        <is>
          <t>Scheme standard</t>
        </is>
      </c>
      <c r="AB91" t="inlineStr">
        <is>
          <t>Certification scheme</t>
        </is>
      </c>
      <c r="AC91" t="inlineStr">
        <is>
          <t>Referenced normative</t>
        </is>
      </c>
      <c r="AD91" t="inlineStr">
        <is>
          <t>English</t>
        </is>
      </c>
      <c r="AE91" t="inlineStr">
        <is>
          <t>pdf</t>
        </is>
      </c>
      <c r="AF91" t="inlineStr">
        <is>
          <t>1.0-1</t>
        </is>
      </c>
      <c r="AH91" t="inlineStr">
        <is>
          <t>Official referenced source from GLOBALG.A.P.; included because an applicable law, permit or certification scheme may make its provisions binding within the approved scope.</t>
        </is>
      </c>
      <c r="AI91" t="inlineStr">
        <is>
          <t>HIGH</t>
        </is>
      </c>
      <c r="AJ91" t="inlineStr">
        <is>
          <t>OFFICIAL_WEBSITE</t>
        </is>
      </c>
      <c r="AK91" t="inlineStr">
        <is>
          <t>OFFICIAL_ORIGINAL</t>
        </is>
      </c>
      <c r="AL91" t="inlineStr">
        <is>
          <t>VERSIONED</t>
        </is>
      </c>
      <c r="AN91" t="inlineStr">
        <is>
          <t>REV-b1c5771ca3049926</t>
        </is>
      </c>
      <c r="AQ91" s="198" t="n">
        <v>46266.41396990741</v>
      </c>
      <c r="AR91" t="inlineStr">
        <is>
          <t>{"action": "APPLY_FIELD_UPDATES", "issue_codes": ["DUPLICATE_OFFICIAL_URL"], "retry_after_apply": false, "review_fingerprint": "8e2d0c61b0acc423", "source_fingerprint": "f64b01c7e13f83b56b2e", "source_id": "CS015", "updates": {}}</t>
        </is>
      </c>
    </row>
    <row r="92" ht="30" customHeight="1" s="41">
      <c r="A92" s="192" t="inlineStr">
        <is>
          <t>CS016</t>
        </is>
      </c>
      <c r="B92" s="192" t="inlineStr">
        <is>
          <t>GLOBALG.A.P. GRASP - General Rules</t>
        </is>
      </c>
      <c r="C92" s="192" t="inlineStr">
        <is>
          <t>SOURCE_REVIEW</t>
        </is>
      </c>
      <c r="D92" s="192" t="inlineStr">
        <is>
          <t>DUPLICATE_OFFICIAL_URL</t>
        </is>
      </c>
      <c r="E92" s="192" t="inlineStr">
        <is>
          <t>Confirm whether this record is a distinct source, correct its identity, or exclude it.</t>
        </is>
      </c>
      <c r="F92" s="194" t="inlineStr">
        <is>
          <t>PENDING</t>
        </is>
      </c>
      <c r="G92" s="195" t="n"/>
      <c r="H92" s="209" t="n"/>
      <c r="I92" s="210" t="inlineStr">
        <is>
          <t>PENDING</t>
        </is>
      </c>
      <c r="J92" s="192" t="inlineStr">
        <is>
          <t>The official URL is shared by 4 current source records.</t>
        </is>
      </c>
      <c r="K92" s="192" t="inlineStr">
        <is>
          <t>https://globalgap.org/what-we-offer/solutions/grasp/</t>
        </is>
      </c>
      <c r="L92" s="192" t="inlineStr">
        <is>
          <t>https://documents.globalgap.org/documents/220929_GRASP_general_rules_v2_0_Sep22_en.pdf</t>
        </is>
      </c>
      <c r="M92" t="inlineStr">
        <is>
          <t>HIGH</t>
        </is>
      </c>
      <c r="N92" t="inlineStr">
        <is>
          <t>HIGH</t>
        </is>
      </c>
      <c r="O92" t="inlineStr">
        <is>
          <t>HIGH</t>
        </is>
      </c>
      <c r="P92" t="inlineStr">
        <is>
          <t>HIGH</t>
        </is>
      </c>
      <c r="Q92" t="inlineStr">
        <is>
          <t>HIGH</t>
        </is>
      </c>
      <c r="R92" t="inlineStr">
        <is>
          <t>INCLUDE</t>
        </is>
      </c>
      <c r="T92" t="inlineStr">
        <is>
          <t>CURRENT</t>
        </is>
      </c>
      <c r="U92" t="inlineStr">
        <is>
          <t>CS011</t>
        </is>
      </c>
      <c r="V92" t="inlineStr">
        <is>
          <t>Coverage-audit expansion. GRASP is mandatory for IFA v6 aquaculture and these rules define its application and assessment process.</t>
        </is>
      </c>
      <c r="X92" t="inlineStr">
        <is>
          <t>C_Certification_Scheme</t>
        </is>
      </c>
      <c r="Y92" t="inlineStr">
        <is>
          <t>GLOBALG.A.P.</t>
        </is>
      </c>
      <c r="Z92" t="inlineStr">
        <is>
          <t>International</t>
        </is>
      </c>
      <c r="AA92" t="inlineStr">
        <is>
          <t>Scheme standard</t>
        </is>
      </c>
      <c r="AB92" t="inlineStr">
        <is>
          <t>Certification scheme</t>
        </is>
      </c>
      <c r="AC92" t="inlineStr">
        <is>
          <t>Referenced normative</t>
        </is>
      </c>
      <c r="AD92" t="inlineStr">
        <is>
          <t>English</t>
        </is>
      </c>
      <c r="AE92" t="inlineStr">
        <is>
          <t>pdf</t>
        </is>
      </c>
      <c r="AF92" t="inlineStr">
        <is>
          <t>2.0_Sep22</t>
        </is>
      </c>
      <c r="AG92" t="n">
        <v>45292</v>
      </c>
      <c r="AH92" t="inlineStr">
        <is>
          <t>Official referenced source from GLOBALG.A.P.; included because an applicable law, permit or certification scheme may make its provisions binding within the approved scope.</t>
        </is>
      </c>
      <c r="AI92" t="inlineStr">
        <is>
          <t>HIGH</t>
        </is>
      </c>
      <c r="AJ92" t="inlineStr">
        <is>
          <t>OFFICIAL_WEBSITE</t>
        </is>
      </c>
      <c r="AK92" t="inlineStr">
        <is>
          <t>OFFICIAL_ORIGINAL</t>
        </is>
      </c>
      <c r="AL92" t="inlineStr">
        <is>
          <t>VERSIONED</t>
        </is>
      </c>
      <c r="AN92" t="inlineStr">
        <is>
          <t>REV-f4df9771110ecfba</t>
        </is>
      </c>
      <c r="AQ92" s="198" t="n">
        <v>46266.41396990741</v>
      </c>
      <c r="AR92" t="inlineStr">
        <is>
          <t>{"action": "APPLY_FIELD_UPDATES", "issue_codes": ["DUPLICATE_OFFICIAL_URL"], "retry_after_apply": false, "review_fingerprint": "8e2d0c61b0acc423", "source_fingerprint": "563812618def5c061030", "source_id": "CS016", "updates": {}}</t>
        </is>
      </c>
    </row>
    <row r="93" ht="30" customHeight="1" s="41">
      <c r="A93" s="188" t="inlineStr">
        <is>
          <t>CS017</t>
        </is>
      </c>
      <c r="B93" s="188" t="inlineStr">
        <is>
          <t>GLOBALG.A.P. GRASP v2 National Interpretation Guideline for Norway</t>
        </is>
      </c>
      <c r="C93" s="188" t="inlineStr">
        <is>
          <t>SOURCE_REVIEW</t>
        </is>
      </c>
      <c r="D93" s="188" t="inlineStr">
        <is>
          <t>DUPLICATE_OFFICIAL_URL; MISSING_RETRIEVAL_URL; SELECTION_PENDING</t>
        </is>
      </c>
      <c r="E93" s="1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3" s="194" t="inlineStr">
        <is>
          <t>PENDING</t>
        </is>
      </c>
      <c r="G93" s="195" t="n"/>
      <c r="H93" s="209" t="n"/>
      <c r="I93" s="210" t="inlineStr">
        <is>
          <t>PENDING</t>
        </is>
      </c>
      <c r="J93" s="188" t="inlineStr">
        <is>
          <t>The official URL is shared by 4 current source records. | The source has no exact retrieval target. | operator_selection_decision is PENDING; mandatory assessment is not HIGH: version_currency, traceability.</t>
        </is>
      </c>
      <c r="K93" s="188" t="inlineStr">
        <is>
          <t>https://globalgap.org/what-we-offer/solutions/grasp/</t>
        </is>
      </c>
      <c r="M93" t="inlineStr">
        <is>
          <t>HIGH</t>
        </is>
      </c>
      <c r="N93" t="inlineStr">
        <is>
          <t>HIGH</t>
        </is>
      </c>
      <c r="O93" t="inlineStr">
        <is>
          <t>MEDIUM</t>
        </is>
      </c>
      <c r="P93" t="inlineStr">
        <is>
          <t>MEDIUM</t>
        </is>
      </c>
      <c r="Q93" t="inlineStr">
        <is>
          <t>HIGH</t>
        </is>
      </c>
      <c r="R93" t="inlineStr">
        <is>
          <t>PENDING</t>
        </is>
      </c>
      <c r="T93" t="inlineStr">
        <is>
          <t>CURRENT</t>
        </is>
      </c>
      <c r="U93" t="inlineStr">
        <is>
          <t>CS011</t>
        </is>
      </c>
      <c r="V93" t="inlineStr">
        <is>
          <t>Coverage-audit expansion. An existing country NIG must be applied; confirm the current Norway document and direct download in the GLOBALG.A.P. document center.</t>
        </is>
      </c>
      <c r="X93" t="inlineStr">
        <is>
          <t>C_Certification_Scheme</t>
        </is>
      </c>
      <c r="Y93" t="inlineStr">
        <is>
          <t>GLOBALG.A.P.</t>
        </is>
      </c>
      <c r="Z93" t="inlineStr">
        <is>
          <t>Norway</t>
        </is>
      </c>
      <c r="AA93" t="inlineStr">
        <is>
          <t>Interpretation document</t>
        </is>
      </c>
      <c r="AB93" t="inlineStr">
        <is>
          <t>Certification scheme</t>
        </is>
      </c>
      <c r="AC93" t="inlineStr">
        <is>
          <t>Referenced normative</t>
        </is>
      </c>
      <c r="AD93" t="inlineStr">
        <is>
          <t>Norwegian</t>
        </is>
      </c>
      <c r="AE93" t="inlineStr">
        <is>
          <t>pdf</t>
        </is>
      </c>
      <c r="AF93" t="inlineStr">
        <is>
          <t>V2</t>
        </is>
      </c>
      <c r="AH93" t="inlineStr">
        <is>
          <t>Official referenced source from GLOBALG.A.P.; included because an applicable law, permit or certification scheme may make its provisions binding within the approved scope.</t>
        </is>
      </c>
      <c r="AI93" t="inlineStr">
        <is>
          <t>LOW</t>
        </is>
      </c>
      <c r="AJ93" t="inlineStr">
        <is>
          <t>OFFICIAL_WEBSITE</t>
        </is>
      </c>
      <c r="AK93" t="inlineStr">
        <is>
          <t>OFFICIAL_ORIGINAL</t>
        </is>
      </c>
      <c r="AL93" t="inlineStr">
        <is>
          <t>VERSIONED</t>
        </is>
      </c>
      <c r="AN93" t="inlineStr">
        <is>
          <t>REV-6ee15032c5ad4135</t>
        </is>
      </c>
      <c r="AQ93" s="198" t="n">
        <v>46266.41396990741</v>
      </c>
      <c r="AR93" t="inlineStr">
        <is>
          <t>{"action": "APPLY_FIELD_UPDATES", "issue_codes": ["DUPLICATE_OFFICIAL_URL", "MISSING_RETRIEVAL_URL", "SELECTION_PENDING"], "retry_after_apply": false, "review_fingerprint": "47937a715a6d7d5c", "source_fingerprint": "5f90ce8ff5fef6de42e1", "source_id": "CS017", "updates": {}}</t>
        </is>
      </c>
    </row>
    <row r="94" ht="30" customHeight="1" s="41">
      <c r="A94" s="192" t="inlineStr">
        <is>
          <t>CS018</t>
        </is>
      </c>
      <c r="B94" s="192" t="inlineStr">
        <is>
          <t>ASC Vocabulary</t>
        </is>
      </c>
      <c r="C94" s="192" t="inlineStr">
        <is>
          <t>SOURCE_REVIEW</t>
        </is>
      </c>
      <c r="D94" s="192" t="inlineStr">
        <is>
          <t>DUPLICATE_OFFICIAL_URL; MISSING_RETRIEVAL_URL; SELECTION_PENDING</t>
        </is>
      </c>
      <c r="E94" s="1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4" s="194" t="inlineStr">
        <is>
          <t>PENDING</t>
        </is>
      </c>
      <c r="G94" s="195" t="n"/>
      <c r="H94" s="209" t="n"/>
      <c r="I94" s="210" t="inlineStr">
        <is>
          <t>PENDING</t>
        </is>
      </c>
      <c r="J94" s="192" t="inlineStr">
        <is>
          <t>The official URL is shared by 5 current source records. | The source has no exact retrieval target. | operator_selection_decision is PENDING; mandatory assessment is not HIGH: version_currency, traceability.</t>
        </is>
      </c>
      <c r="K94" s="192" t="inlineStr">
        <is>
          <t>https://programme-centre.asc-aqua.org/resource-hub/?filter=farm</t>
        </is>
      </c>
      <c r="M94" t="inlineStr">
        <is>
          <t>HIGH</t>
        </is>
      </c>
      <c r="N94" t="inlineStr">
        <is>
          <t>HIGH</t>
        </is>
      </c>
      <c r="O94" t="inlineStr">
        <is>
          <t>MEDIUM</t>
        </is>
      </c>
      <c r="P94" t="inlineStr">
        <is>
          <t>MEDIUM</t>
        </is>
      </c>
      <c r="Q94" t="inlineStr">
        <is>
          <t>HIGH</t>
        </is>
      </c>
      <c r="R94" t="inlineStr">
        <is>
          <t>PENDING</t>
        </is>
      </c>
      <c r="T94" t="inlineStr">
        <is>
          <t>CURRENT</t>
        </is>
      </c>
      <c r="U94" t="inlineStr">
        <is>
          <t>CS001</t>
        </is>
      </c>
      <c r="V94" t="inlineStr">
        <is>
          <t>Official coverage expansion. The current ASC Farm Standard lists the vocabulary as a normative reference; direct-file traceability still requires confirmation.</t>
        </is>
      </c>
      <c r="X94" t="inlineStr">
        <is>
          <t>C_Certification_Scheme</t>
        </is>
      </c>
      <c r="Y94" t="inlineStr">
        <is>
          <t>Aquaculture Stewardship Council</t>
        </is>
      </c>
      <c r="Z94" t="inlineStr">
        <is>
          <t>International</t>
        </is>
      </c>
      <c r="AA94" t="inlineStr">
        <is>
          <t>Scheme standard</t>
        </is>
      </c>
      <c r="AB94" t="inlineStr">
        <is>
          <t>Certification scheme</t>
        </is>
      </c>
      <c r="AC94" t="inlineStr">
        <is>
          <t>Referenced normative</t>
        </is>
      </c>
      <c r="AD94" t="inlineStr">
        <is>
          <t>English</t>
        </is>
      </c>
      <c r="AE94" t="inlineStr">
        <is>
          <t>pdf</t>
        </is>
      </c>
      <c r="AH94" t="inlineStr">
        <is>
          <t>Official referenced source from Aquaculture Stewardship Council; included because an applicable law, permit or certification scheme may make its provisions binding within the approved scope.</t>
        </is>
      </c>
      <c r="AI94" t="inlineStr">
        <is>
          <t>LOW</t>
        </is>
      </c>
      <c r="AJ94" t="inlineStr">
        <is>
          <t>OFFICIAL_WEBSITE</t>
        </is>
      </c>
      <c r="AK94" t="inlineStr">
        <is>
          <t>OFFICIAL_ORIGINAL</t>
        </is>
      </c>
      <c r="AL94" t="inlineStr">
        <is>
          <t>VERSIONED</t>
        </is>
      </c>
      <c r="AN94" t="inlineStr">
        <is>
          <t>REV-51be56a6003d6701</t>
        </is>
      </c>
      <c r="AQ94" s="198" t="n">
        <v>46266.41396990741</v>
      </c>
      <c r="AR94" t="inlineStr">
        <is>
          <t>{"action": "APPLY_FIELD_UPDATES", "issue_codes": ["DUPLICATE_OFFICIAL_URL", "MISSING_RETRIEVAL_URL", "SELECTION_PENDING"], "retry_after_apply": false, "review_fingerprint": "722143290d029054", "source_fingerprint": "671cb13781fdedcb8822", "source_id": "CS018", "updates": {}}</t>
        </is>
      </c>
    </row>
    <row r="95" ht="30" customHeight="1" s="41">
      <c r="A95" s="188" t="inlineStr">
        <is>
          <t>CS019</t>
        </is>
      </c>
      <c r="B95" s="188" t="inlineStr">
        <is>
          <t>ASC Data Submission Requirements</t>
        </is>
      </c>
      <c r="C95" s="188" t="inlineStr">
        <is>
          <t>SOURCE_REVIEW</t>
        </is>
      </c>
      <c r="D95" s="188" t="inlineStr">
        <is>
          <t>DUPLICATE_OFFICIAL_URL; MISSING_RETRIEVAL_URL; SELECTION_PENDING</t>
        </is>
      </c>
      <c r="E95" s="1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5" s="194" t="inlineStr">
        <is>
          <t>PENDING</t>
        </is>
      </c>
      <c r="G95" s="195" t="n"/>
      <c r="H95" s="209" t="n"/>
      <c r="I95" s="210" t="inlineStr">
        <is>
          <t>PENDING</t>
        </is>
      </c>
      <c r="J95" s="188" t="inlineStr">
        <is>
          <t>The official URL is shared by 5 current source records. | The source has no exact retrieval target. | operator_selection_decision is PENDING; mandatory assessment is not HIGH: version_currency, traceability.</t>
        </is>
      </c>
      <c r="K95" s="188" t="inlineStr">
        <is>
          <t>https://programme-centre.asc-aqua.org/resource-hub/?filter=farm</t>
        </is>
      </c>
      <c r="M95" t="inlineStr">
        <is>
          <t>HIGH</t>
        </is>
      </c>
      <c r="N95" t="inlineStr">
        <is>
          <t>HIGH</t>
        </is>
      </c>
      <c r="O95" t="inlineStr">
        <is>
          <t>MEDIUM</t>
        </is>
      </c>
      <c r="P95" t="inlineStr">
        <is>
          <t>MEDIUM</t>
        </is>
      </c>
      <c r="Q95" t="inlineStr">
        <is>
          <t>HIGH</t>
        </is>
      </c>
      <c r="R95" t="inlineStr">
        <is>
          <t>PENDING</t>
        </is>
      </c>
      <c r="T95" t="inlineStr">
        <is>
          <t>CURRENT</t>
        </is>
      </c>
      <c r="U95" t="inlineStr">
        <is>
          <t>CS001</t>
        </is>
      </c>
      <c r="V95" t="inlineStr">
        <is>
          <t>Official coverage expansion. The current ASC Farm Standard lists data submission requirements as a normative reference; direct-file traceability still requires confirmation.</t>
        </is>
      </c>
      <c r="X95" t="inlineStr">
        <is>
          <t>C_Certification_Scheme</t>
        </is>
      </c>
      <c r="Y95" t="inlineStr">
        <is>
          <t>Aquaculture Stewardship Council</t>
        </is>
      </c>
      <c r="Z95" t="inlineStr">
        <is>
          <t>International</t>
        </is>
      </c>
      <c r="AA95" t="inlineStr">
        <is>
          <t>Scheme standard</t>
        </is>
      </c>
      <c r="AB95" t="inlineStr">
        <is>
          <t>Certification scheme</t>
        </is>
      </c>
      <c r="AC95" t="inlineStr">
        <is>
          <t>Referenced normative</t>
        </is>
      </c>
      <c r="AD95" t="inlineStr">
        <is>
          <t>English</t>
        </is>
      </c>
      <c r="AE95" t="inlineStr">
        <is>
          <t>pdf</t>
        </is>
      </c>
      <c r="AH95" t="inlineStr">
        <is>
          <t>Official referenced source from Aquaculture Stewardship Council; included because an applicable law, permit or certification scheme may make its provisions binding within the approved scope.</t>
        </is>
      </c>
      <c r="AI95" t="inlineStr">
        <is>
          <t>LOW</t>
        </is>
      </c>
      <c r="AJ95" t="inlineStr">
        <is>
          <t>OFFICIAL_WEBSITE</t>
        </is>
      </c>
      <c r="AK95" t="inlineStr">
        <is>
          <t>OFFICIAL_ORIGINAL</t>
        </is>
      </c>
      <c r="AL95" t="inlineStr">
        <is>
          <t>VERSIONED</t>
        </is>
      </c>
      <c r="AN95" t="inlineStr">
        <is>
          <t>REV-d2b5e769e970f685</t>
        </is>
      </c>
      <c r="AQ95" s="198" t="n">
        <v>46266.41396990741</v>
      </c>
      <c r="AR95" t="inlineStr">
        <is>
          <t>{"action": "APPLY_FIELD_UPDATES", "issue_codes": ["DUPLICATE_OFFICIAL_URL", "MISSING_RETRIEVAL_URL", "SELECTION_PENDING"], "retry_after_apply": false, "review_fingerprint": "722143290d029054", "source_fingerprint": "4ffc2cc9753f4df684d6", "source_id": "CS019", "updates": {}}</t>
        </is>
      </c>
    </row>
    <row r="96" ht="30" customHeight="1" s="41">
      <c r="A96" s="192" t="inlineStr">
        <is>
          <t>CS020</t>
        </is>
      </c>
      <c r="B96" s="192" t="inlineStr">
        <is>
          <t>GLOBALG.A.P. GRASP v2 - Checklist</t>
        </is>
      </c>
      <c r="C96" s="192" t="inlineStr">
        <is>
          <t>SOURCE_REVIEW</t>
        </is>
      </c>
      <c r="D96" s="192" t="inlineStr">
        <is>
          <t>DUPLICATE_OFFICIAL_URL; MISSING_RETRIEVAL_URL; SELECTION_PENDING</t>
        </is>
      </c>
      <c r="E96" s="192"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6" s="194" t="inlineStr">
        <is>
          <t>PENDING</t>
        </is>
      </c>
      <c r="G96" s="195" t="n"/>
      <c r="H96" s="209" t="n"/>
      <c r="I96" s="210" t="inlineStr">
        <is>
          <t>PENDING</t>
        </is>
      </c>
      <c r="J96" s="192" t="inlineStr">
        <is>
          <t>The official URL is shared by 4 current source records. | The source has no exact retrieval target. | operator_selection_decision is PENDING; mandatory assessment is not HIGH: traceability.</t>
        </is>
      </c>
      <c r="K96" s="192" t="inlineStr">
        <is>
          <t>https://globalgap.org/what-we-offer/solutions/grasp/</t>
        </is>
      </c>
      <c r="M96" t="inlineStr">
        <is>
          <t>HIGH</t>
        </is>
      </c>
      <c r="N96" t="inlineStr">
        <is>
          <t>HIGH</t>
        </is>
      </c>
      <c r="O96" t="inlineStr">
        <is>
          <t>HIGH</t>
        </is>
      </c>
      <c r="P96" t="inlineStr">
        <is>
          <t>MEDIUM</t>
        </is>
      </c>
      <c r="Q96" t="inlineStr">
        <is>
          <t>HIGH</t>
        </is>
      </c>
      <c r="R96" t="inlineStr">
        <is>
          <t>PENDING</t>
        </is>
      </c>
      <c r="T96" t="inlineStr">
        <is>
          <t>CURRENT</t>
        </is>
      </c>
      <c r="U96" t="inlineStr">
        <is>
          <t>CS011</t>
        </is>
      </c>
      <c r="V96" t="inlineStr">
        <is>
          <t>Official coverage expansion. Assessment tool linked to CS011 and CS016; direct-file URL must be confirmed before automated retrieval.</t>
        </is>
      </c>
      <c r="X96" t="inlineStr">
        <is>
          <t>C_Certification_Scheme</t>
        </is>
      </c>
      <c r="Y96" t="inlineStr">
        <is>
          <t>GLOBALG.A.P.</t>
        </is>
      </c>
      <c r="Z96" t="inlineStr">
        <is>
          <t>International</t>
        </is>
      </c>
      <c r="AA96" t="inlineStr">
        <is>
          <t>Audit / assessment document</t>
        </is>
      </c>
      <c r="AB96" t="inlineStr">
        <is>
          <t>Certification scheme</t>
        </is>
      </c>
      <c r="AC96" t="inlineStr">
        <is>
          <t>Audit / assessment tool</t>
        </is>
      </c>
      <c r="AD96" t="inlineStr">
        <is>
          <t>English</t>
        </is>
      </c>
      <c r="AE96" t="inlineStr">
        <is>
          <t>xlsx</t>
        </is>
      </c>
      <c r="AF96" t="inlineStr">
        <is>
          <t>V2</t>
        </is>
      </c>
      <c r="AH96" t="inlineStr">
        <is>
          <t>Official assessment tool from GLOBALG.A.P.; included to structure compliance checks and trace evidence back to its linked normative source.</t>
        </is>
      </c>
      <c r="AI96" t="inlineStr">
        <is>
          <t>LOW</t>
        </is>
      </c>
      <c r="AJ96" t="inlineStr">
        <is>
          <t>OFFICIAL_WEBSITE</t>
        </is>
      </c>
      <c r="AK96" t="inlineStr">
        <is>
          <t>OFFICIAL_ORIGINAL</t>
        </is>
      </c>
      <c r="AL96" t="inlineStr">
        <is>
          <t>VERSIONED</t>
        </is>
      </c>
      <c r="AN96" t="inlineStr">
        <is>
          <t>REV-4f593eeaa739e38e</t>
        </is>
      </c>
      <c r="AQ96" s="198" t="n">
        <v>46266.41396990741</v>
      </c>
      <c r="AR96" t="inlineStr">
        <is>
          <t>{"action": "APPLY_FIELD_UPDATES", "issue_codes": ["DUPLICATE_OFFICIAL_URL", "MISSING_RETRIEVAL_URL", "SELECTION_PENDING"], "retry_after_apply": false, "review_fingerprint": "70a786f917c19d10", "source_fingerprint": "d8b7bd7cc8a883410e16", "source_id": "CS020", "updates": {}}</t>
        </is>
      </c>
    </row>
    <row r="97" ht="30" customHeight="1" s="41">
      <c r="A97" s="188" t="inlineStr">
        <is>
          <t>SB001</t>
        </is>
      </c>
      <c r="B97" s="188" t="inlineStr">
        <is>
          <t>NS 9415:2021+AC:2024 Floating aquaculture farms - Site survey, design, execution and use</t>
        </is>
      </c>
      <c r="C97" s="188" t="inlineStr">
        <is>
          <t>SOURCE_REVIEW</t>
        </is>
      </c>
      <c r="D97" s="188" t="inlineStr">
        <is>
          <t>PAYWALL_BLOCKED; SELECTION_PENDING</t>
        </is>
      </c>
      <c r="E97" s="188" t="inlineStr">
        <is>
          <t>Place an authorised copy in Data/00_Human_Intake or record an authorised retrieval route. | Review the human-governed source fields and choose INCLUDE, PENDING or EXCLUDE in Human Operation Desktop.</t>
        </is>
      </c>
      <c r="F97" s="194" t="inlineStr">
        <is>
          <t>PENDING</t>
        </is>
      </c>
      <c r="G97" s="195" t="n"/>
      <c r="H97" s="209" t="n"/>
      <c r="I97" s="210" t="inlineStr">
        <is>
          <t>PENDING</t>
        </is>
      </c>
      <c r="J97" s="188" t="inlineStr">
        <is>
          <t>Official access is restricted by a paywall or licence; provide an authorised copy or retrieval route. | operator_selection_decision is PENDING; mandatory assessment is not HIGH: access_permission.</t>
        </is>
      </c>
      <c r="K97" s="188" t="inlineStr">
        <is>
          <t>https://online.standard.no/nb/ns-9415-2021</t>
        </is>
      </c>
      <c r="M97" t="inlineStr">
        <is>
          <t>HIGH</t>
        </is>
      </c>
      <c r="N97" t="inlineStr">
        <is>
          <t>HIGH</t>
        </is>
      </c>
      <c r="O97" t="inlineStr">
        <is>
          <t>HIGH</t>
        </is>
      </c>
      <c r="P97" t="inlineStr">
        <is>
          <t>HIGH</t>
        </is>
      </c>
      <c r="Q97" t="inlineStr">
        <is>
          <t>MEDIUM</t>
        </is>
      </c>
      <c r="R97" t="inlineStr">
        <is>
          <t>PENDING</t>
        </is>
      </c>
      <c r="T97" t="inlineStr">
        <is>
          <t>CURRENT</t>
        </is>
      </c>
      <c r="U97" t="inlineStr">
        <is>
          <t>PA004</t>
        </is>
      </c>
      <c r="V97" t="inlineStr">
        <is>
          <t>Project-mentioned standard referenced by NYTEK23. Licensed access is required before automated retrieval.</t>
        </is>
      </c>
      <c r="X97" t="inlineStr">
        <is>
          <t>B_Standards_Body</t>
        </is>
      </c>
      <c r="Y97" t="inlineStr">
        <is>
          <t>Standards Norway</t>
        </is>
      </c>
      <c r="Z97" t="inlineStr">
        <is>
          <t>Norway</t>
        </is>
      </c>
      <c r="AA97" t="inlineStr">
        <is>
          <t>Technical standard</t>
        </is>
      </c>
      <c r="AB97" t="inlineStr">
        <is>
          <t>Standards body</t>
        </is>
      </c>
      <c r="AC97" t="inlineStr">
        <is>
          <t>Referenced normative</t>
        </is>
      </c>
      <c r="AD97" t="inlineStr">
        <is>
          <t>Norwegian</t>
        </is>
      </c>
      <c r="AE97" t="inlineStr">
        <is>
          <t>pdf</t>
        </is>
      </c>
      <c r="AF97" t="inlineStr">
        <is>
          <t>2021+AC:2024</t>
        </is>
      </c>
      <c r="AH97" t="inlineStr">
        <is>
          <t>Official referenced source from Standards Norway; included because an applicable law, permit or certification scheme may make its provisions binding within the approved scope.</t>
        </is>
      </c>
      <c r="AI97" t="inlineStr">
        <is>
          <t>LOW</t>
        </is>
      </c>
      <c r="AJ97" t="inlineStr">
        <is>
          <t>OFFICIAL_WEBSITE</t>
        </is>
      </c>
      <c r="AK97" t="inlineStr">
        <is>
          <t>OFFICIAL_ORIGINAL</t>
        </is>
      </c>
      <c r="AL97" t="inlineStr">
        <is>
          <t>VERSIONED</t>
        </is>
      </c>
      <c r="AN97" t="inlineStr">
        <is>
          <t>REV-ac2ac15a78aa26c7</t>
        </is>
      </c>
      <c r="AQ97" s="198" t="n">
        <v>46266.41396990741</v>
      </c>
      <c r="AR97" t="inlineStr">
        <is>
          <t>{"action": "APPLY_FIELD_UPDATES", "issue_codes": ["PAYWALL_BLOCKED", "SELECTION_PENDING"], "retry_after_apply": false, "review_fingerprint": "fc67d7e2c66ec775", "source_fingerprint": "99158f3e59ce137f03ac", "source_id": "SB001", "updates": {}}</t>
        </is>
      </c>
    </row>
    <row r="98" ht="30" customHeight="1" s="41">
      <c r="A98" s="192" t="inlineStr">
        <is>
          <t>SB002</t>
        </is>
      </c>
      <c r="B98" s="192" t="inlineStr">
        <is>
          <t>NS 9410:2016 Environmental monitoring of benthic impact from marine fish farms</t>
        </is>
      </c>
      <c r="C98" s="192" t="inlineStr">
        <is>
          <t>SOURCE_REVIEW</t>
        </is>
      </c>
      <c r="D98" s="192" t="inlineStr">
        <is>
          <t>PAYWALL_BLOCKED; SELECTION_PENDING</t>
        </is>
      </c>
      <c r="E98" s="192" t="inlineStr">
        <is>
          <t>Place an authorised copy in Data/00_Human_Intake or record an authorised retrieval route. | Review the human-governed source fields and choose INCLUDE, PENDING or EXCLUDE in Human Operation Desktop.</t>
        </is>
      </c>
      <c r="F98" s="194" t="inlineStr">
        <is>
          <t>PENDING</t>
        </is>
      </c>
      <c r="G98" s="195" t="n"/>
      <c r="H98" s="209" t="n"/>
      <c r="I98" s="210" t="inlineStr">
        <is>
          <t>PENDING</t>
        </is>
      </c>
      <c r="J98" s="192" t="inlineStr">
        <is>
          <t>Official access is restricted by a paywall or licence; provide an authorised copy or retrieval route. | operator_selection_decision is PENDING; mandatory assessment is not HIGH: version_currency, access_permission.</t>
        </is>
      </c>
      <c r="K98" s="192" t="inlineStr">
        <is>
          <t>https://online.standard.no/ns-9410-2016</t>
        </is>
      </c>
      <c r="M98" t="inlineStr">
        <is>
          <t>HIGH</t>
        </is>
      </c>
      <c r="N98" t="inlineStr">
        <is>
          <t>HIGH</t>
        </is>
      </c>
      <c r="O98" t="inlineStr">
        <is>
          <t>MEDIUM</t>
        </is>
      </c>
      <c r="P98" t="inlineStr">
        <is>
          <t>HIGH</t>
        </is>
      </c>
      <c r="Q98" t="inlineStr">
        <is>
          <t>MEDIUM</t>
        </is>
      </c>
      <c r="R98" t="inlineStr">
        <is>
          <t>PENDING</t>
        </is>
      </c>
      <c r="T98" t="inlineStr">
        <is>
          <t>CURRENT</t>
        </is>
      </c>
      <c r="U98" t="inlineStr">
        <is>
          <t>PA044</t>
        </is>
      </c>
      <c r="V98" t="inlineStr">
        <is>
          <t>Official expansion from environmental authority guidance. Licensed access is required.</t>
        </is>
      </c>
      <c r="X98" t="inlineStr">
        <is>
          <t>B_Standards_Body</t>
        </is>
      </c>
      <c r="Y98" t="inlineStr">
        <is>
          <t>Standards Norway</t>
        </is>
      </c>
      <c r="Z98" t="inlineStr">
        <is>
          <t>Norway</t>
        </is>
      </c>
      <c r="AA98" t="inlineStr">
        <is>
          <t>Technical standard</t>
        </is>
      </c>
      <c r="AB98" t="inlineStr">
        <is>
          <t>Standards body</t>
        </is>
      </c>
      <c r="AC98" t="inlineStr">
        <is>
          <t>Referenced normative</t>
        </is>
      </c>
      <c r="AD98" t="inlineStr">
        <is>
          <t>Norwegian</t>
        </is>
      </c>
      <c r="AE98" t="inlineStr">
        <is>
          <t>pdf</t>
        </is>
      </c>
      <c r="AF98" t="inlineStr">
        <is>
          <t>2016</t>
        </is>
      </c>
      <c r="AH98" t="inlineStr">
        <is>
          <t>Official referenced source from Standards Norway; included because an applicable law, permit or certification scheme may make its provisions binding within the approved scope.</t>
        </is>
      </c>
      <c r="AI98" t="inlineStr">
        <is>
          <t>LOW</t>
        </is>
      </c>
      <c r="AJ98" t="inlineStr">
        <is>
          <t>OFFICIAL_WEBSITE</t>
        </is>
      </c>
      <c r="AK98" t="inlineStr">
        <is>
          <t>OFFICIAL_ORIGINAL</t>
        </is>
      </c>
      <c r="AL98" t="inlineStr">
        <is>
          <t>VERSIONED</t>
        </is>
      </c>
      <c r="AN98" t="inlineStr">
        <is>
          <t>REV-c2b9895af289d87d</t>
        </is>
      </c>
      <c r="AQ98" s="198" t="n">
        <v>46266.41396990741</v>
      </c>
      <c r="AR98" t="inlineStr">
        <is>
          <t>{"action": "APPLY_FIELD_UPDATES", "issue_codes": ["PAYWALL_BLOCKED", "SELECTION_PENDING"], "retry_after_apply": false, "review_fingerprint": "286f98bc643f8b4c", "source_fingerprint": "b1c973f16f25f73a2162", "source_id": "SB002", "updates": {}}</t>
        </is>
      </c>
    </row>
    <row r="99" ht="30" customHeight="1" s="41">
      <c r="A99" s="188" t="inlineStr">
        <is>
          <t>SB003</t>
        </is>
      </c>
      <c r="B99" s="188" t="inlineStr">
        <is>
          <t>NS 9416:2013 Land-based aquaculture facilities for fish</t>
        </is>
      </c>
      <c r="C99" s="188" t="inlineStr">
        <is>
          <t>SOURCE_REVIEW</t>
        </is>
      </c>
      <c r="D99" s="188" t="inlineStr">
        <is>
          <t>PAYWALL_BLOCKED; SELECTION_PENDING</t>
        </is>
      </c>
      <c r="E99" s="188" t="inlineStr">
        <is>
          <t>Place an authorised copy in Data/00_Human_Intake or record an authorised retrieval route. | Review the human-governed source fields and choose INCLUDE, PENDING or EXCLUDE in Human Operation Desktop.</t>
        </is>
      </c>
      <c r="F99" s="194" t="inlineStr">
        <is>
          <t>PENDING</t>
        </is>
      </c>
      <c r="G99" s="195" t="n"/>
      <c r="H99" s="209" t="n"/>
      <c r="I99" s="210" t="inlineStr">
        <is>
          <t>PENDING</t>
        </is>
      </c>
      <c r="J99" s="188" t="inlineStr">
        <is>
          <t>Official access is restricted by a paywall or licence; provide an authorised copy or retrieval route. | operator_selection_decision is PENDING; mandatory assessment is not HIGH: scope_relevance, version_currency, access_permission.</t>
        </is>
      </c>
      <c r="K99" s="188" t="inlineStr">
        <is>
          <t>https://online.standard.no/nb/ns-9416-2013</t>
        </is>
      </c>
      <c r="M99" t="inlineStr">
        <is>
          <t>HIGH</t>
        </is>
      </c>
      <c r="N99" t="inlineStr">
        <is>
          <t>MEDIUM</t>
        </is>
      </c>
      <c r="O99" t="inlineStr">
        <is>
          <t>MEDIUM</t>
        </is>
      </c>
      <c r="P99" t="inlineStr">
        <is>
          <t>HIGH</t>
        </is>
      </c>
      <c r="Q99" t="inlineStr">
        <is>
          <t>MEDIUM</t>
        </is>
      </c>
      <c r="R99" t="inlineStr">
        <is>
          <t>PENDING</t>
        </is>
      </c>
      <c r="T99" t="inlineStr">
        <is>
          <t>CURRENT</t>
        </is>
      </c>
      <c r="U99" t="inlineStr">
        <is>
          <t>PA022</t>
        </is>
      </c>
      <c r="V99" t="inlineStr">
        <is>
          <t>Referenced by PA022. A revision project is active, so currency requires explicit monitoring.</t>
        </is>
      </c>
      <c r="X99" t="inlineStr">
        <is>
          <t>B_Standards_Body</t>
        </is>
      </c>
      <c r="Y99" t="inlineStr">
        <is>
          <t>Standards Norway</t>
        </is>
      </c>
      <c r="Z99" t="inlineStr">
        <is>
          <t>Norway</t>
        </is>
      </c>
      <c r="AA99" t="inlineStr">
        <is>
          <t>Technical standard</t>
        </is>
      </c>
      <c r="AB99" t="inlineStr">
        <is>
          <t>Standards body</t>
        </is>
      </c>
      <c r="AC99" t="inlineStr">
        <is>
          <t>Referenced normative</t>
        </is>
      </c>
      <c r="AD99" t="inlineStr">
        <is>
          <t>Norwegian</t>
        </is>
      </c>
      <c r="AE99" t="inlineStr">
        <is>
          <t>pdf</t>
        </is>
      </c>
      <c r="AF99" t="inlineStr">
        <is>
          <t>2013</t>
        </is>
      </c>
      <c r="AH99" t="inlineStr">
        <is>
          <t>Official referenced source from Standards Norway; included because an applicable law, permit or certification scheme may make its provisions binding within the approved scope.</t>
        </is>
      </c>
      <c r="AI99" t="inlineStr">
        <is>
          <t>LOW</t>
        </is>
      </c>
      <c r="AJ99" t="inlineStr">
        <is>
          <t>OFFICIAL_WEBSITE</t>
        </is>
      </c>
      <c r="AK99" t="inlineStr">
        <is>
          <t>OFFICIAL_ORIGINAL</t>
        </is>
      </c>
      <c r="AL99" t="inlineStr">
        <is>
          <t>VERSIONED</t>
        </is>
      </c>
      <c r="AN99" t="inlineStr">
        <is>
          <t>REV-df99c61a8298cf6c</t>
        </is>
      </c>
      <c r="AQ99" s="198" t="n">
        <v>46266.41396990741</v>
      </c>
      <c r="AR99" t="inlineStr">
        <is>
          <t>{"action": "APPLY_FIELD_UPDATES", "issue_codes": ["PAYWALL_BLOCKED", "SELECTION_PENDING"], "retry_after_apply": false, "review_fingerprint": "a4e6dc82dd52d67f", "source_fingerprint": "bad0e3f5cea0a2294729", "source_id": "SB003", "updates": {}}</t>
        </is>
      </c>
    </row>
    <row r="100" ht="30" customHeight="1" s="41">
      <c r="A100" s="192" t="inlineStr">
        <is>
          <t>SB004</t>
        </is>
      </c>
      <c r="B100" s="192" t="inlineStr">
        <is>
          <t>NS 5814:2021+AC:2023 Requirements for risk assessments</t>
        </is>
      </c>
      <c r="C100" s="192" t="inlineStr">
        <is>
          <t>SOURCE_REVIEW</t>
        </is>
      </c>
      <c r="D100" s="192" t="inlineStr">
        <is>
          <t>PAYWALL_BLOCKED; SELECTION_PENDING</t>
        </is>
      </c>
      <c r="E100" s="192" t="inlineStr">
        <is>
          <t>Place an authorised copy in Data/00_Human_Intake or record an authorised retrieval route. | Review the human-governed source fields and choose INCLUDE, PENDING or EXCLUDE in Human Operation Desktop.</t>
        </is>
      </c>
      <c r="F100" s="194" t="inlineStr">
        <is>
          <t>PENDING</t>
        </is>
      </c>
      <c r="G100" s="195" t="n"/>
      <c r="H100" s="209" t="n"/>
      <c r="I100" s="210" t="inlineStr">
        <is>
          <t>PENDING</t>
        </is>
      </c>
      <c r="J100" s="192" t="inlineStr">
        <is>
          <t>Official access is restricted by a paywall or licence; provide an authorised copy or retrieval route. | operator_selection_decision is PENDING; mandatory assessment is not HIGH: scope_relevance, access_permission.</t>
        </is>
      </c>
      <c r="K100" s="192" t="inlineStr">
        <is>
          <t>https://standard.no/fagomrader/risikostyring/ns-5814-krav-til-risikovurderinger/</t>
        </is>
      </c>
      <c r="M100" t="inlineStr">
        <is>
          <t>HIGH</t>
        </is>
      </c>
      <c r="N100" t="inlineStr">
        <is>
          <t>MEDIUM</t>
        </is>
      </c>
      <c r="O100" t="inlineStr">
        <is>
          <t>HIGH</t>
        </is>
      </c>
      <c r="P100" t="inlineStr">
        <is>
          <t>HIGH</t>
        </is>
      </c>
      <c r="Q100" t="inlineStr">
        <is>
          <t>MEDIUM</t>
        </is>
      </c>
      <c r="R100" t="inlineStr">
        <is>
          <t>PENDING</t>
        </is>
      </c>
      <c r="T100" t="inlineStr">
        <is>
          <t>CURRENT</t>
        </is>
      </c>
      <c r="V100" t="inlineStr">
        <is>
          <t>Official expansion from Fiskeridirektoratet risk-management guidance. Include only if adopted by contract, policy or method.</t>
        </is>
      </c>
      <c r="X100" t="inlineStr">
        <is>
          <t>B_Standards_Body</t>
        </is>
      </c>
      <c r="Y100" t="inlineStr">
        <is>
          <t>Standards Norway</t>
        </is>
      </c>
      <c r="Z100" t="inlineStr">
        <is>
          <t>Norway</t>
        </is>
      </c>
      <c r="AA100" t="inlineStr">
        <is>
          <t>Technical standard</t>
        </is>
      </c>
      <c r="AB100" t="inlineStr">
        <is>
          <t>Standards body</t>
        </is>
      </c>
      <c r="AC100" t="inlineStr">
        <is>
          <t>Guidance / interpretation</t>
        </is>
      </c>
      <c r="AD100" t="inlineStr">
        <is>
          <t>Norwegian</t>
        </is>
      </c>
      <c r="AE100" t="inlineStr">
        <is>
          <t>pdf</t>
        </is>
      </c>
      <c r="AF100" t="inlineStr">
        <is>
          <t>2021+AC:2023</t>
        </is>
      </c>
      <c r="AH100" t="inlineStr">
        <is>
          <t>Official guidance from Standards Norway; included to interpret and operationalise linked normative requirements, not as independent legal or certification authority.</t>
        </is>
      </c>
      <c r="AI100" t="inlineStr">
        <is>
          <t>LOW</t>
        </is>
      </c>
      <c r="AJ100" t="inlineStr">
        <is>
          <t>OFFICIAL_WEBSITE</t>
        </is>
      </c>
      <c r="AK100" t="inlineStr">
        <is>
          <t>OFFICIAL_ORIGINAL</t>
        </is>
      </c>
      <c r="AL100" t="inlineStr">
        <is>
          <t>VERSIONED</t>
        </is>
      </c>
      <c r="AN100" t="inlineStr">
        <is>
          <t>REV-f07646805e606465</t>
        </is>
      </c>
      <c r="AQ100" s="198" t="n">
        <v>46266.41396990741</v>
      </c>
      <c r="AR100" t="inlineStr">
        <is>
          <t>{"action": "APPLY_FIELD_UPDATES", "issue_codes": ["PAYWALL_BLOCKED", "SELECTION_PENDING"], "retry_after_apply": false, "review_fingerprint": "34adc8837c637011", "source_fingerprint": "093058dd8229d13f4eb0", "source_id": "SB004", "updates": {}}</t>
        </is>
      </c>
    </row>
    <row r="101" ht="30" customHeight="1" s="41">
      <c r="A101" s="188" t="inlineStr">
        <is>
          <t>SB005</t>
        </is>
      </c>
      <c r="B101" s="188" t="inlineStr">
        <is>
          <t>NS-ISO 31000:2018 Risk management - Guidelines</t>
        </is>
      </c>
      <c r="C101" s="188" t="inlineStr">
        <is>
          <t>SOURCE_REVIEW</t>
        </is>
      </c>
      <c r="D101" s="188" t="inlineStr">
        <is>
          <t>PAYWALL_BLOCKED; SELECTION_PENDING</t>
        </is>
      </c>
      <c r="E101" s="188" t="inlineStr">
        <is>
          <t>Place an authorised copy in Data/00_Human_Intake or record an authorised retrieval route. | Review the human-governed source fields and choose INCLUDE, PENDING or EXCLUDE in Human Operation Desktop.</t>
        </is>
      </c>
      <c r="F101" s="194" t="inlineStr">
        <is>
          <t>PENDING</t>
        </is>
      </c>
      <c r="G101" s="195" t="n"/>
      <c r="H101" s="209" t="n"/>
      <c r="I101" s="210" t="inlineStr">
        <is>
          <t>PENDING</t>
        </is>
      </c>
      <c r="J101" s="188" t="inlineStr">
        <is>
          <t>Official access is restricted by a paywall or licence; provide an authorised copy or retrieval route. | operator_selection_decision is PENDING; mandatory assessment is not HIGH: scope_relevance, access_permission.</t>
        </is>
      </c>
      <c r="K101" s="188" t="inlineStr">
        <is>
          <t>https://standard.no/fagomrader/risikostyring/iso-31000-risikostyring--retningslinjer/</t>
        </is>
      </c>
      <c r="M101" t="inlineStr">
        <is>
          <t>HIGH</t>
        </is>
      </c>
      <c r="N101" t="inlineStr">
        <is>
          <t>MEDIUM</t>
        </is>
      </c>
      <c r="O101" t="inlineStr">
        <is>
          <t>HIGH</t>
        </is>
      </c>
      <c r="P101" t="inlineStr">
        <is>
          <t>HIGH</t>
        </is>
      </c>
      <c r="Q101" t="inlineStr">
        <is>
          <t>MEDIUM</t>
        </is>
      </c>
      <c r="R101" t="inlineStr">
        <is>
          <t>PENDING</t>
        </is>
      </c>
      <c r="T101" t="inlineStr">
        <is>
          <t>CURRENT</t>
        </is>
      </c>
      <c r="V101" t="inlineStr">
        <is>
          <t>Official expansion. Provides guidance rather than certifiable requirements unless contractually adopted.</t>
        </is>
      </c>
      <c r="X101" t="inlineStr">
        <is>
          <t>B_Standards_Body</t>
        </is>
      </c>
      <c r="Y101" t="inlineStr">
        <is>
          <t>Standards Norway / ISO</t>
        </is>
      </c>
      <c r="Z101" t="inlineStr">
        <is>
          <t>International</t>
        </is>
      </c>
      <c r="AA101" t="inlineStr">
        <is>
          <t>Technical standard</t>
        </is>
      </c>
      <c r="AB101" t="inlineStr">
        <is>
          <t>Standards body</t>
        </is>
      </c>
      <c r="AC101" t="inlineStr">
        <is>
          <t>Guidance / interpretation</t>
        </is>
      </c>
      <c r="AD101" t="inlineStr">
        <is>
          <t>Norwegian</t>
        </is>
      </c>
      <c r="AE101" t="inlineStr">
        <is>
          <t>pdf</t>
        </is>
      </c>
      <c r="AF101" t="inlineStr">
        <is>
          <t>2018</t>
        </is>
      </c>
      <c r="AH101" t="inlineStr">
        <is>
          <t>Official guidance from Standards Norway / ISO; included to interpret and operationalise linked normative requirements, not as independent legal or certification authority.</t>
        </is>
      </c>
      <c r="AI101" t="inlineStr">
        <is>
          <t>LOW</t>
        </is>
      </c>
      <c r="AJ101" t="inlineStr">
        <is>
          <t>OFFICIAL_WEBSITE</t>
        </is>
      </c>
      <c r="AK101" t="inlineStr">
        <is>
          <t>OFFICIAL_ORIGINAL</t>
        </is>
      </c>
      <c r="AL101" t="inlineStr">
        <is>
          <t>VERSIONED</t>
        </is>
      </c>
      <c r="AN101" t="inlineStr">
        <is>
          <t>REV-c76834380fc94fb3</t>
        </is>
      </c>
      <c r="AQ101" s="198" t="n">
        <v>46266.41396990741</v>
      </c>
      <c r="AR101" t="inlineStr">
        <is>
          <t>{"action": "APPLY_FIELD_UPDATES", "issue_codes": ["PAYWALL_BLOCKED", "SELECTION_PENDING"], "retry_after_apply": false, "review_fingerprint": "548147995b1a1620", "source_fingerprint": "675c555b75e3d334c176", "source_id": "SB005", "updates": {}}</t>
        </is>
      </c>
    </row>
    <row r="102" ht="30" customHeight="1" s="41">
      <c r="A102" s="192" t="inlineStr">
        <is>
          <t>SB006</t>
        </is>
      </c>
      <c r="B102" s="192" t="inlineStr">
        <is>
          <t>NS-EN ISO 9001:2015 Quality management systems - Requirements</t>
        </is>
      </c>
      <c r="C102" s="192" t="inlineStr">
        <is>
          <t>SOURCE_REVIEW</t>
        </is>
      </c>
      <c r="D102" s="192" t="inlineStr">
        <is>
          <t>PAYWALL_BLOCKED; SELECTION_PENDING</t>
        </is>
      </c>
      <c r="E102" s="192" t="inlineStr">
        <is>
          <t>Place an authorised copy in Data/00_Human_Intake or record an authorised retrieval route. | Review the human-governed source fields and choose INCLUDE, PENDING or EXCLUDE in Human Operation Desktop.</t>
        </is>
      </c>
      <c r="F102" s="194" t="inlineStr">
        <is>
          <t>PENDING</t>
        </is>
      </c>
      <c r="G102" s="195" t="n"/>
      <c r="H102" s="209" t="n"/>
      <c r="I102" s="210" t="inlineStr">
        <is>
          <t>PENDING</t>
        </is>
      </c>
      <c r="J102" s="192" t="inlineStr">
        <is>
          <t>Official access is restricted by a paywall or licence; provide an authorised copy or retrieval route. | operator_selection_decision is PENDING; mandatory assessment is not HIGH: scope_relevance, access_permission.</t>
        </is>
      </c>
      <c r="K102" s="192" t="inlineStr">
        <is>
          <t>https://standard.no/fagomrader/kvalitetsstyring---iso-9000/ledelsessystemer-for-kvalitet--iso-9001/</t>
        </is>
      </c>
      <c r="M102" t="inlineStr">
        <is>
          <t>HIGH</t>
        </is>
      </c>
      <c r="N102" t="inlineStr">
        <is>
          <t>MEDIUM</t>
        </is>
      </c>
      <c r="O102" t="inlineStr">
        <is>
          <t>HIGH</t>
        </is>
      </c>
      <c r="P102" t="inlineStr">
        <is>
          <t>HIGH</t>
        </is>
      </c>
      <c r="Q102" t="inlineStr">
        <is>
          <t>MEDIUM</t>
        </is>
      </c>
      <c r="R102" t="inlineStr">
        <is>
          <t>PENDING</t>
        </is>
      </c>
      <c r="T102" t="inlineStr">
        <is>
          <t>CURRENT</t>
        </is>
      </c>
      <c r="V102" t="inlineStr">
        <is>
          <t>Official expansion from Fiskeridirektoratet risk-management guidance. Include only if client certification or contract makes it applicable.</t>
        </is>
      </c>
      <c r="X102" t="inlineStr">
        <is>
          <t>B_Standards_Body</t>
        </is>
      </c>
      <c r="Y102" t="inlineStr">
        <is>
          <t>Standards Norway / ISO</t>
        </is>
      </c>
      <c r="Z102" t="inlineStr">
        <is>
          <t>International</t>
        </is>
      </c>
      <c r="AA102" t="inlineStr">
        <is>
          <t>Technical standard</t>
        </is>
      </c>
      <c r="AB102" t="inlineStr">
        <is>
          <t>Standards body</t>
        </is>
      </c>
      <c r="AC102" t="inlineStr">
        <is>
          <t>Referenced normative</t>
        </is>
      </c>
      <c r="AD102" t="inlineStr">
        <is>
          <t>Norwegian</t>
        </is>
      </c>
      <c r="AE102" t="inlineStr">
        <is>
          <t>pdf</t>
        </is>
      </c>
      <c r="AF102" t="inlineStr">
        <is>
          <t>2015</t>
        </is>
      </c>
      <c r="AH102" t="inlineStr">
        <is>
          <t>Official referenced source from Standards Norway / ISO; included because an applicable law, permit or certification scheme may make its provisions binding within the approved scope.</t>
        </is>
      </c>
      <c r="AI102" t="inlineStr">
        <is>
          <t>LOW</t>
        </is>
      </c>
      <c r="AJ102" t="inlineStr">
        <is>
          <t>OFFICIAL_WEBSITE</t>
        </is>
      </c>
      <c r="AK102" t="inlineStr">
        <is>
          <t>OFFICIAL_ORIGINAL</t>
        </is>
      </c>
      <c r="AL102" t="inlineStr">
        <is>
          <t>VERSIONED</t>
        </is>
      </c>
      <c r="AN102" t="inlineStr">
        <is>
          <t>REV-148b67a05bb9041a</t>
        </is>
      </c>
      <c r="AQ102" s="198" t="n">
        <v>46266.41396990741</v>
      </c>
      <c r="AR102" t="inlineStr">
        <is>
          <t>{"action": "APPLY_FIELD_UPDATES", "issue_codes": ["PAYWALL_BLOCKED", "SELECTION_PENDING"], "retry_after_apply": false, "review_fingerprint": "63c31a202fe3bc5c", "source_fingerprint": "f73ea70ddfc88234fba9", "source_id": "SB006", "updates": {}}</t>
        </is>
      </c>
    </row>
    <row r="103" ht="30" customHeight="1" s="41">
      <c r="A103" s="188" t="inlineStr">
        <is>
          <t>SB007</t>
        </is>
      </c>
      <c r="B103" s="188" t="inlineStr">
        <is>
          <t>NS 3424:2012 Condition survey of construction works - Content and execution</t>
        </is>
      </c>
      <c r="C103" s="188" t="inlineStr">
        <is>
          <t>SOURCE_REVIEW</t>
        </is>
      </c>
      <c r="D103" s="188" t="inlineStr">
        <is>
          <t>PAYWALL_BLOCKED; SELECTION_PENDING</t>
        </is>
      </c>
      <c r="E103" s="188" t="inlineStr">
        <is>
          <t>Place an authorised copy in Data/00_Human_Intake or record an authorised retrieval route. | Review the human-governed source fields and choose INCLUDE, PENDING or EXCLUDE in Human Operation Desktop.</t>
        </is>
      </c>
      <c r="F103" s="194" t="inlineStr">
        <is>
          <t>PENDING</t>
        </is>
      </c>
      <c r="G103" s="195" t="n"/>
      <c r="H103" s="209" t="n"/>
      <c r="I103" s="210" t="inlineStr">
        <is>
          <t>PENDING</t>
        </is>
      </c>
      <c r="J103" s="188" t="inlineStr">
        <is>
          <t>Official access is restricted by a paywall or licence; provide an authorised copy or retrieval route. | operator_selection_decision is PENDING; mandatory assessment is not HIGH: scope_relevance, access_permission.</t>
        </is>
      </c>
      <c r="K103" s="188" t="inlineStr">
        <is>
          <t>https://online.standard.no/nb/ns-3424-2012</t>
        </is>
      </c>
      <c r="M103" t="inlineStr">
        <is>
          <t>HIGH</t>
        </is>
      </c>
      <c r="N103" t="inlineStr">
        <is>
          <t>MEDIUM</t>
        </is>
      </c>
      <c r="O103" t="inlineStr">
        <is>
          <t>HIGH</t>
        </is>
      </c>
      <c r="P103" t="inlineStr">
        <is>
          <t>HIGH</t>
        </is>
      </c>
      <c r="Q103" t="inlineStr">
        <is>
          <t>MEDIUM</t>
        </is>
      </c>
      <c r="R103" t="inlineStr">
        <is>
          <t>PENDING</t>
        </is>
      </c>
      <c r="T103" t="inlineStr">
        <is>
          <t>CURRENT</t>
        </is>
      </c>
      <c r="U103" t="inlineStr">
        <is>
          <t>PA022</t>
        </is>
      </c>
      <c r="V103" t="inlineStr">
        <is>
          <t>Directly referenced by PA057 for condition assessment of land-based facilities. Licensed access is required.</t>
        </is>
      </c>
      <c r="X103" t="inlineStr">
        <is>
          <t>B_Standards_Body</t>
        </is>
      </c>
      <c r="Y103" t="inlineStr">
        <is>
          <t>Standards Norway</t>
        </is>
      </c>
      <c r="Z103" t="inlineStr">
        <is>
          <t>Norway</t>
        </is>
      </c>
      <c r="AA103" t="inlineStr">
        <is>
          <t>Technical standard</t>
        </is>
      </c>
      <c r="AB103" t="inlineStr">
        <is>
          <t>Standards body</t>
        </is>
      </c>
      <c r="AC103" t="inlineStr">
        <is>
          <t>Referenced normative</t>
        </is>
      </c>
      <c r="AD103" t="inlineStr">
        <is>
          <t>Norwegian</t>
        </is>
      </c>
      <c r="AE103" t="inlineStr">
        <is>
          <t>pdf</t>
        </is>
      </c>
      <c r="AF103" t="inlineStr">
        <is>
          <t>2012</t>
        </is>
      </c>
      <c r="AH103" t="inlineStr">
        <is>
          <t>Official referenced source from Standards Norway; included because an applicable law, permit or certification scheme may make its provisions binding within the approved scope.</t>
        </is>
      </c>
      <c r="AI103" t="inlineStr">
        <is>
          <t>LOW</t>
        </is>
      </c>
      <c r="AJ103" t="inlineStr">
        <is>
          <t>OFFICIAL_WEBSITE</t>
        </is>
      </c>
      <c r="AK103" t="inlineStr">
        <is>
          <t>OFFICIAL_ORIGINAL</t>
        </is>
      </c>
      <c r="AL103" t="inlineStr">
        <is>
          <t>VERSIONED</t>
        </is>
      </c>
      <c r="AN103" t="inlineStr">
        <is>
          <t>REV-2947de6406780777</t>
        </is>
      </c>
      <c r="AQ103" s="198" t="n">
        <v>46266.41396990741</v>
      </c>
      <c r="AR103" t="inlineStr">
        <is>
          <t>{"action": "APPLY_FIELD_UPDATES", "issue_codes": ["PAYWALL_BLOCKED", "SELECTION_PENDING"], "retry_after_apply": false, "review_fingerprint": "9aba8c319a136f6d", "source_fingerprint": "6b3e76451403fe581889", "source_id": "SB007", "updates": {}}</t>
        </is>
      </c>
    </row>
    <row r="104" ht="30" customHeight="1" s="41"/>
    <row r="105" ht="30" customHeight="1" s="41"/>
    <row r="106" ht="30" customHeight="1" s="41"/>
    <row r="107" ht="30" customHeight="1" s="41"/>
    <row r="108" ht="30" customHeight="1" s="41"/>
    <row r="109" ht="30" customHeight="1" s="41"/>
    <row r="110" ht="30" customHeight="1" s="41"/>
    <row r="111" ht="30" customHeight="1" s="41"/>
    <row r="112" ht="30" customHeight="1" s="41"/>
    <row r="113" ht="30" customHeight="1" s="41"/>
    <row r="114" ht="30" customHeight="1" s="41"/>
    <row r="115" ht="30" customHeight="1" s="41"/>
    <row r="116" ht="30" customHeight="1" s="41"/>
    <row r="117" ht="30" customHeight="1" s="41"/>
    <row r="118" ht="30" customHeight="1" s="41"/>
    <row r="119" ht="30" customHeight="1" s="41"/>
    <row r="120" ht="30" customHeight="1" s="41"/>
    <row r="121" ht="30" customHeight="1" s="41"/>
    <row r="122" ht="30" customHeight="1" s="41"/>
    <row r="123" ht="30" customHeight="1" s="41"/>
    <row r="124" ht="30" customHeight="1" s="41"/>
    <row r="125" ht="30" customHeight="1" s="41"/>
    <row r="126" ht="30" customHeight="1" s="41"/>
    <row r="127" ht="30" customHeight="1" s="41"/>
    <row r="128" ht="30" customHeight="1" s="41"/>
    <row r="129" ht="30" customHeight="1" s="41"/>
    <row r="130" ht="30" customHeight="1" s="41"/>
    <row r="131" ht="30" customHeight="1" s="41"/>
    <row r="132" ht="30" customHeight="1" s="41"/>
    <row r="133" ht="30" customHeight="1" s="41"/>
    <row r="134" ht="30" customHeight="1" s="41"/>
    <row r="135" ht="30" customHeight="1" s="41"/>
    <row r="136" ht="30" customHeight="1" s="41"/>
    <row r="137" ht="30" customHeight="1" s="41"/>
    <row r="138" ht="30" customHeight="1" s="41"/>
    <row r="139" ht="30" customHeight="1" s="41"/>
    <row r="140" ht="30" customHeight="1" s="41"/>
    <row r="141" ht="30" customHeight="1" s="41"/>
    <row r="142" ht="30" customHeight="1" s="41"/>
    <row r="143" ht="30" customHeight="1" s="41"/>
    <row r="144" ht="30" customHeight="1" s="41"/>
    <row r="145" ht="30" customHeight="1" s="41"/>
    <row r="146" ht="30" customHeight="1" s="41"/>
    <row r="147" ht="30" customHeight="1" s="41"/>
    <row r="148" ht="30" customHeight="1" s="41"/>
    <row r="149" ht="30" customHeight="1" s="41"/>
    <row r="150" ht="30" customHeight="1" s="41"/>
    <row r="151" ht="30" customHeight="1" s="41"/>
    <row r="152" ht="30" customHeight="1" s="41"/>
    <row r="153" ht="30" customHeight="1" s="41"/>
    <row r="154" ht="30" customHeight="1" s="41"/>
    <row r="155" ht="30" customHeight="1" s="41"/>
    <row r="156" ht="30" customHeight="1" s="41"/>
    <row r="157" ht="30" customHeight="1" s="41"/>
    <row r="158" ht="30" customHeight="1" s="41"/>
    <row r="159" ht="30" customHeight="1" s="41"/>
    <row r="160" ht="30" customHeight="1" s="41"/>
    <row r="161" ht="30" customHeight="1" s="41"/>
    <row r="162" ht="30" customHeight="1" s="41"/>
    <row r="163" ht="30" customHeight="1" s="41"/>
    <row r="164" ht="30" customHeight="1" s="41"/>
    <row r="165" ht="30" customHeight="1" s="41"/>
    <row r="166" ht="30" customHeight="1" s="41"/>
    <row r="167" ht="30" customHeight="1" s="41"/>
    <row r="168" ht="30" customHeight="1" s="41"/>
    <row r="169" ht="30" customHeight="1" s="41"/>
    <row r="170" ht="30" customHeight="1" s="41"/>
    <row r="171" ht="30" customHeight="1" s="41"/>
    <row r="172" ht="30" customHeight="1" s="41"/>
    <row r="173" ht="30" customHeight="1" s="41"/>
    <row r="174" ht="30" customHeight="1" s="41"/>
    <row r="175" ht="30" customHeight="1" s="41"/>
    <row r="176" ht="30" customHeight="1" s="41"/>
    <row r="177" ht="30" customHeight="1" s="41"/>
    <row r="178" ht="30" customHeight="1" s="41"/>
    <row r="179" ht="30" customHeight="1" s="41"/>
    <row r="180" ht="30" customHeight="1" s="41"/>
    <row r="181" ht="30" customHeight="1" s="41"/>
    <row r="182" ht="30" customHeight="1" s="41"/>
    <row r="183" ht="30" customHeight="1" s="41"/>
    <row r="184" ht="30" customHeight="1" s="41"/>
    <row r="185" ht="30" customHeight="1" s="41"/>
    <row r="186" ht="30" customHeight="1" s="41"/>
    <row r="187" ht="30" customHeight="1" s="41"/>
    <row r="188" ht="30" customHeight="1" s="41"/>
    <row r="189" ht="30" customHeight="1" s="41"/>
    <row r="190" ht="30" customHeight="1" s="41"/>
    <row r="191" ht="30" customHeight="1" s="41"/>
    <row r="192" ht="30" customHeight="1" s="41"/>
    <row r="193" ht="30" customHeight="1" s="41"/>
    <row r="194" ht="30" customHeight="1" s="41"/>
    <row r="195" ht="30" customHeight="1" s="41"/>
    <row r="196" ht="30" customHeight="1" s="41"/>
    <row r="197" ht="30" customHeight="1" s="41"/>
    <row r="198" ht="30" customHeight="1" s="41"/>
    <row r="199" ht="30" customHeight="1" s="41"/>
    <row r="200" ht="30" customHeight="1" s="41"/>
    <row r="201" ht="30" customHeight="1" s="41"/>
    <row r="202" ht="30" customHeight="1" s="41"/>
    <row r="203" ht="30" customHeight="1" s="41"/>
    <row r="204" ht="30" customHeight="1" s="41"/>
    <row r="205" ht="30" customHeight="1" s="41"/>
    <row r="206" ht="30" customHeight="1" s="41"/>
    <row r="207" ht="30" customHeight="1" s="41"/>
    <row r="208" ht="30" customHeight="1" s="41"/>
    <row r="209" ht="30" customHeight="1" s="41"/>
    <row r="210" ht="30" customHeight="1" s="41"/>
    <row r="211" ht="30" customHeight="1" s="41"/>
    <row r="212" ht="30" customHeight="1" s="41"/>
    <row r="213" ht="30" customHeight="1" s="41"/>
    <row r="214" ht="30" customHeight="1" s="41"/>
    <row r="215" ht="30" customHeight="1" s="41"/>
    <row r="216" ht="30" customHeight="1" s="41"/>
    <row r="217" ht="30" customHeight="1" s="41"/>
    <row r="218" ht="30" customHeight="1" s="41"/>
    <row r="219" ht="30" customHeight="1" s="41"/>
    <row r="220" ht="30" customHeight="1" s="41"/>
    <row r="221" ht="30" customHeight="1" s="41"/>
    <row r="222" ht="30" customHeight="1" s="41"/>
    <row r="223" ht="30" customHeight="1" s="41"/>
    <row r="224" ht="30" customHeight="1" s="41"/>
    <row r="225" ht="30" customHeight="1" s="41"/>
    <row r="226" ht="30" customHeight="1" s="41"/>
    <row r="227" ht="30" customHeight="1" s="41"/>
    <row r="228" ht="30" customHeight="1" s="41"/>
    <row r="229" ht="30" customHeight="1" s="41"/>
    <row r="230" ht="30" customHeight="1" s="41"/>
    <row r="231" ht="30" customHeight="1" s="41"/>
    <row r="232" ht="30" customHeight="1" s="41"/>
    <row r="233" ht="30" customHeight="1" s="41"/>
    <row r="234" ht="30" customHeight="1" s="41"/>
    <row r="235" ht="30" customHeight="1" s="41"/>
    <row r="236" ht="30" customHeight="1" s="41"/>
    <row r="237" ht="30" customHeight="1" s="41"/>
    <row r="238" ht="30" customHeight="1" s="41"/>
    <row r="239" ht="30" customHeight="1" s="41"/>
    <row r="240" ht="30" customHeight="1" s="41"/>
    <row r="241" ht="30" customHeight="1" s="41"/>
    <row r="242" ht="30" customHeight="1" s="41"/>
    <row r="243" ht="30" customHeight="1" s="41"/>
    <row r="244" ht="30" customHeight="1" s="41"/>
    <row r="245" ht="30" customHeight="1" s="41"/>
    <row r="246" ht="30" customHeight="1" s="41"/>
    <row r="247" ht="30" customHeight="1" s="41"/>
    <row r="248" ht="30" customHeight="1" s="41"/>
    <row r="249" ht="30" customHeight="1" s="41"/>
    <row r="250" ht="30" customHeight="1" s="41"/>
    <row r="251" ht="30" customHeight="1" s="41"/>
    <row r="252" ht="30" customHeight="1" s="41"/>
    <row r="253" ht="30" customHeight="1" s="41"/>
    <row r="254" ht="30" customHeight="1" s="41"/>
    <row r="255" ht="30" customHeight="1" s="41"/>
    <row r="256" ht="30" customHeight="1" s="41"/>
    <row r="257" ht="30" customHeight="1" s="41"/>
    <row r="258" ht="30" customHeight="1" s="41"/>
    <row r="259" ht="30" customHeight="1" s="41"/>
    <row r="260" ht="30" customHeight="1" s="41"/>
    <row r="261" ht="30" customHeight="1" s="41"/>
    <row r="262" ht="30" customHeight="1" s="41"/>
    <row r="263" ht="30" customHeight="1" s="41"/>
    <row r="264" ht="30" customHeight="1" s="41"/>
    <row r="265" ht="30" customHeight="1" s="41"/>
    <row r="266" ht="30" customHeight="1" s="41"/>
    <row r="267" ht="30" customHeight="1" s="41"/>
    <row r="268" ht="30" customHeight="1" s="41"/>
    <row r="269" ht="30" customHeight="1" s="41"/>
    <row r="270" ht="30" customHeight="1" s="41"/>
    <row r="271" ht="30" customHeight="1" s="41"/>
    <row r="272" ht="30" customHeight="1" s="41"/>
    <row r="273" ht="30" customHeight="1" s="41"/>
    <row r="274" ht="30" customHeight="1" s="41"/>
    <row r="275" ht="30" customHeight="1" s="41"/>
    <row r="276" ht="30" customHeight="1" s="41"/>
    <row r="277" ht="30" customHeight="1" s="41"/>
    <row r="278" ht="30" customHeight="1" s="41"/>
    <row r="279" ht="30" customHeight="1" s="41"/>
    <row r="280" ht="30" customHeight="1" s="41"/>
    <row r="281" ht="30" customHeight="1" s="41"/>
    <row r="282" ht="30" customHeight="1" s="41"/>
    <row r="283" ht="30" customHeight="1" s="41"/>
    <row r="284" ht="30" customHeight="1" s="41"/>
    <row r="285" ht="30" customHeight="1" s="41"/>
    <row r="286" ht="30" customHeight="1" s="41"/>
    <row r="287" ht="30" customHeight="1" s="41"/>
    <row r="288" ht="30" customHeight="1" s="41"/>
    <row r="289" ht="30" customHeight="1" s="41"/>
    <row r="290" ht="30" customHeight="1" s="41"/>
    <row r="291" ht="30" customHeight="1" s="41"/>
    <row r="292" ht="30" customHeight="1" s="41"/>
    <row r="293" ht="30" customHeight="1" s="41"/>
    <row r="294" ht="30" customHeight="1" s="41"/>
    <row r="295" ht="30" customHeight="1" s="41"/>
    <row r="296" ht="30" customHeight="1" s="41"/>
    <row r="297" ht="30" customHeight="1" s="41"/>
    <row r="298" ht="30" customHeight="1" s="41"/>
    <row r="299" ht="30" customHeight="1" s="41"/>
    <row r="300" ht="30" customHeight="1" s="41"/>
    <row r="301" ht="30" customHeight="1" s="41"/>
    <row r="302" ht="30" customHeight="1" s="41"/>
    <row r="303" ht="30" customHeight="1" s="41"/>
    <row r="304" ht="30" customHeight="1" s="41"/>
    <row r="305" ht="30" customHeight="1" s="41"/>
    <row r="306" ht="30" customHeight="1" s="41"/>
    <row r="307" ht="30" customHeight="1" s="41"/>
    <row r="308" ht="30" customHeight="1" s="41"/>
    <row r="309" ht="30" customHeight="1" s="41"/>
    <row r="310" ht="30" customHeight="1" s="41"/>
    <row r="311" ht="30" customHeight="1" s="41"/>
    <row r="312" ht="30" customHeight="1" s="41"/>
    <row r="313" ht="30" customHeight="1" s="41"/>
    <row r="314" ht="30" customHeight="1" s="41"/>
    <row r="315" ht="30" customHeight="1" s="41"/>
    <row r="316" ht="30" customHeight="1" s="41"/>
    <row r="317" ht="30" customHeight="1" s="41"/>
    <row r="318" ht="30" customHeight="1" s="41"/>
    <row r="319" ht="30" customHeight="1" s="41"/>
    <row r="320" ht="30" customHeight="1" s="41"/>
    <row r="321" ht="30" customHeight="1" s="41"/>
    <row r="322" ht="30" customHeight="1" s="41"/>
    <row r="323" ht="30" customHeight="1" s="41"/>
    <row r="324" ht="30" customHeight="1" s="41"/>
    <row r="325" ht="30" customHeight="1" s="41"/>
    <row r="326" ht="30" customHeight="1" s="41"/>
    <row r="327" ht="30" customHeight="1" s="41"/>
    <row r="328" ht="30" customHeight="1" s="41"/>
    <row r="329" ht="30" customHeight="1" s="41"/>
    <row r="330" ht="30" customHeight="1" s="41"/>
    <row r="331" ht="30" customHeight="1" s="41"/>
    <row r="332" ht="30" customHeight="1" s="41"/>
    <row r="333" ht="30" customHeight="1" s="41"/>
    <row r="334" ht="30" customHeight="1" s="41"/>
    <row r="335" ht="30" customHeight="1" s="41"/>
    <row r="336" ht="30" customHeight="1" s="41"/>
    <row r="337" ht="30" customHeight="1" s="41"/>
    <row r="338" ht="30" customHeight="1" s="41"/>
    <row r="339" ht="30" customHeight="1" s="41"/>
    <row r="340" ht="30" customHeight="1" s="41"/>
    <row r="341" ht="30" customHeight="1" s="41"/>
    <row r="342" ht="30" customHeight="1" s="41"/>
    <row r="343" ht="30" customHeight="1" s="41"/>
    <row r="344" ht="30" customHeight="1" s="41"/>
    <row r="345" ht="30" customHeight="1" s="41"/>
    <row r="346" ht="30" customHeight="1" s="41"/>
    <row r="347" ht="30" customHeight="1" s="41"/>
    <row r="348" ht="30" customHeight="1" s="41"/>
    <row r="349" ht="30" customHeight="1" s="41"/>
    <row r="350" ht="30" customHeight="1" s="41"/>
    <row r="351" ht="30" customHeight="1" s="41"/>
    <row r="352" ht="30" customHeight="1" s="41"/>
    <row r="353" ht="30" customHeight="1" s="41"/>
    <row r="354" ht="30" customHeight="1" s="41"/>
    <row r="355" ht="30" customHeight="1" s="41"/>
    <row r="356" ht="30" customHeight="1" s="41"/>
    <row r="357" ht="30" customHeight="1" s="41"/>
    <row r="358" ht="30" customHeight="1" s="41"/>
    <row r="359" ht="30" customHeight="1" s="41"/>
    <row r="360" ht="30" customHeight="1" s="41"/>
    <row r="361" ht="30" customHeight="1" s="41"/>
    <row r="362" ht="30" customHeight="1" s="41"/>
    <row r="363" ht="30" customHeight="1" s="41"/>
    <row r="364" ht="30" customHeight="1" s="41"/>
    <row r="365" ht="30" customHeight="1" s="41"/>
    <row r="366" ht="30" customHeight="1" s="41"/>
    <row r="367" ht="30" customHeight="1" s="41"/>
    <row r="368" ht="30" customHeight="1" s="41"/>
    <row r="369" ht="30" customHeight="1" s="41"/>
    <row r="370" ht="30" customHeight="1" s="41"/>
    <row r="371" ht="30" customHeight="1" s="41"/>
    <row r="372" ht="30" customHeight="1" s="41"/>
    <row r="373" ht="30" customHeight="1" s="41"/>
    <row r="374" ht="30" customHeight="1" s="41"/>
    <row r="375" ht="30" customHeight="1" s="41"/>
    <row r="376" ht="30" customHeight="1" s="41"/>
    <row r="377" ht="30" customHeight="1" s="41"/>
    <row r="378" ht="30" customHeight="1" s="41"/>
    <row r="379" ht="30" customHeight="1" s="41"/>
    <row r="380" ht="30" customHeight="1" s="41"/>
    <row r="381" ht="30" customHeight="1" s="41"/>
    <row r="382" ht="30" customHeight="1" s="41"/>
    <row r="383" ht="30" customHeight="1" s="41"/>
    <row r="384" ht="30" customHeight="1" s="41"/>
    <row r="385" ht="30" customHeight="1" s="41"/>
    <row r="386" ht="30" customHeight="1" s="41"/>
    <row r="387" ht="30" customHeight="1" s="41"/>
    <row r="388" ht="30" customHeight="1" s="41"/>
    <row r="389" ht="30" customHeight="1" s="41"/>
    <row r="390" ht="30" customHeight="1" s="41"/>
    <row r="391" ht="30" customHeight="1" s="41"/>
    <row r="392" ht="30" customHeight="1" s="41"/>
    <row r="393" ht="30" customHeight="1" s="41"/>
    <row r="394" ht="30" customHeight="1" s="41"/>
    <row r="395" ht="30" customHeight="1" s="41"/>
    <row r="396" ht="30" customHeight="1" s="41"/>
    <row r="397" ht="30" customHeight="1" s="41"/>
    <row r="398" ht="30" customHeight="1" s="41"/>
    <row r="399" ht="30" customHeight="1" s="41"/>
    <row r="400" ht="30" customHeight="1" s="41"/>
    <row r="401" ht="30" customHeight="1" s="41"/>
    <row r="402" ht="30" customHeight="1" s="41"/>
    <row r="403" ht="30" customHeight="1" s="41"/>
    <row r="404" ht="30" customHeight="1" s="41"/>
    <row r="405" ht="30" customHeight="1" s="41"/>
    <row r="406" ht="30" customHeight="1" s="41"/>
    <row r="407" ht="30" customHeight="1" s="41"/>
    <row r="408" ht="30" customHeight="1" s="41"/>
    <row r="409" ht="30" customHeight="1" s="41"/>
    <row r="410" ht="30" customHeight="1" s="41"/>
    <row r="411" ht="30" customHeight="1" s="41"/>
    <row r="412" ht="30" customHeight="1" s="41"/>
    <row r="413" ht="30" customHeight="1" s="41"/>
    <row r="414" ht="30" customHeight="1" s="41"/>
    <row r="415" ht="30" customHeight="1" s="41"/>
    <row r="416" ht="30" customHeight="1" s="41"/>
    <row r="417" ht="30" customHeight="1" s="41"/>
    <row r="418" ht="30" customHeight="1" s="41"/>
    <row r="419" ht="30" customHeight="1" s="41"/>
    <row r="420" ht="30" customHeight="1" s="41"/>
    <row r="421" ht="30" customHeight="1" s="41"/>
    <row r="422" ht="30" customHeight="1" s="41"/>
    <row r="423" ht="30" customHeight="1" s="41"/>
    <row r="424" ht="30" customHeight="1" s="41"/>
    <row r="425" ht="30" customHeight="1" s="41"/>
    <row r="426" ht="30" customHeight="1" s="41"/>
    <row r="427" ht="30" customHeight="1" s="41"/>
    <row r="428" ht="30" customHeight="1" s="41"/>
    <row r="429" ht="30" customHeight="1" s="41"/>
    <row r="430" ht="30" customHeight="1" s="41"/>
    <row r="431" ht="30" customHeight="1" s="41"/>
    <row r="432" ht="30" customHeight="1" s="41"/>
    <row r="433" ht="30" customHeight="1" s="41"/>
    <row r="434" ht="30" customHeight="1" s="41"/>
    <row r="435" ht="30" customHeight="1" s="41"/>
    <row r="436" ht="30" customHeight="1" s="41"/>
    <row r="437" ht="30" customHeight="1" s="41"/>
    <row r="438" ht="30" customHeight="1" s="41"/>
    <row r="439" ht="30" customHeight="1" s="41"/>
    <row r="440" ht="30" customHeight="1" s="41"/>
    <row r="441" ht="30" customHeight="1" s="41"/>
    <row r="442" ht="30" customHeight="1" s="41"/>
    <row r="443" ht="30" customHeight="1" s="41"/>
    <row r="444" ht="30" customHeight="1" s="41"/>
    <row r="445" ht="30" customHeight="1" s="41"/>
    <row r="446" ht="30" customHeight="1" s="41"/>
    <row r="447" ht="30" customHeight="1" s="41"/>
    <row r="448" ht="30" customHeight="1" s="41"/>
    <row r="449" ht="30" customHeight="1" s="41"/>
    <row r="450" ht="30" customHeight="1" s="41"/>
    <row r="451" ht="30" customHeight="1" s="41"/>
    <row r="452" ht="30" customHeight="1" s="41"/>
    <row r="453" ht="30" customHeight="1" s="41"/>
    <row r="454" ht="30" customHeight="1" s="41"/>
    <row r="455" ht="30" customHeight="1" s="41"/>
    <row r="456" ht="30" customHeight="1" s="41"/>
    <row r="457" ht="30" customHeight="1" s="41"/>
    <row r="458" ht="30" customHeight="1" s="41"/>
    <row r="459" ht="30" customHeight="1" s="41"/>
    <row r="460" ht="30" customHeight="1" s="41"/>
    <row r="461" ht="30" customHeight="1" s="41"/>
    <row r="462" ht="30" customHeight="1" s="41"/>
    <row r="463" ht="30" customHeight="1" s="41"/>
    <row r="464" ht="30" customHeight="1" s="41"/>
    <row r="465" ht="30" customHeight="1" s="41"/>
    <row r="466" ht="30" customHeight="1" s="41"/>
    <row r="467" ht="30" customHeight="1" s="41"/>
    <row r="468" ht="30" customHeight="1" s="41"/>
    <row r="469" ht="30" customHeight="1" s="41"/>
    <row r="470" ht="30" customHeight="1" s="41"/>
    <row r="471" ht="30" customHeight="1" s="41"/>
    <row r="472" ht="30" customHeight="1" s="41"/>
    <row r="473" ht="30" customHeight="1" s="41"/>
    <row r="474" ht="30" customHeight="1" s="41"/>
    <row r="475" ht="30" customHeight="1" s="41"/>
    <row r="476" ht="30" customHeight="1" s="41"/>
    <row r="477" ht="30" customHeight="1" s="41"/>
    <row r="478" ht="30" customHeight="1" s="41"/>
    <row r="479" ht="30" customHeight="1" s="41"/>
    <row r="480" ht="30" customHeight="1" s="41"/>
    <row r="481" ht="30" customHeight="1" s="41"/>
    <row r="482" ht="30" customHeight="1" s="41"/>
    <row r="483" ht="30" customHeight="1" s="41"/>
    <row r="484" ht="30" customHeight="1" s="41"/>
    <row r="485" ht="30" customHeight="1" s="41"/>
    <row r="486" ht="30" customHeight="1" s="41"/>
    <row r="487" ht="30" customHeight="1" s="41"/>
    <row r="488" ht="30" customHeight="1" s="41"/>
    <row r="489" ht="30" customHeight="1" s="41"/>
    <row r="490" ht="30" customHeight="1" s="41"/>
    <row r="491" ht="30" customHeight="1" s="41"/>
    <row r="492" ht="30" customHeight="1" s="41"/>
    <row r="493" ht="30" customHeight="1" s="41"/>
    <row r="494" ht="30" customHeight="1" s="41"/>
    <row r="495" ht="30" customHeight="1" s="41"/>
    <row r="496" ht="30" customHeight="1" s="41"/>
    <row r="497" ht="30" customHeight="1" s="41"/>
    <row r="498" ht="30" customHeight="1" s="41"/>
    <row r="499" ht="30" customHeight="1" s="41"/>
    <row r="500" ht="30" customHeight="1" s="41"/>
    <row r="501" ht="30" customHeight="1" s="41"/>
    <row r="502" ht="30" customHeight="1" s="41"/>
  </sheetData>
  <mergeCells count="4">
    <mergeCell ref="A1:J1"/>
    <mergeCell ref="AN1:AR1"/>
    <mergeCell ref="K1:V1"/>
    <mergeCell ref="W1:AM1"/>
  </mergeCells>
  <conditionalFormatting sqref="E3:E502">
    <cfRule type="containsText" priority="18" operator="containsText" dxfId="9" text="ACCEPT"/>
    <cfRule type="containsText" priority="19" operator="containsText" dxfId="8" text="REJECT"/>
    <cfRule type="containsText" priority="20" operator="containsText" dxfId="7" text="PENDING"/>
  </conditionalFormatting>
  <conditionalFormatting sqref="F3:F54">
    <cfRule type="containsText" priority="51" operator="containsText" dxfId="18" text="PENDING"/>
    <cfRule type="containsText" priority="52" operator="containsText" dxfId="17" text="APPLY"/>
    <cfRule type="containsText" priority="55" operator="containsText" dxfId="5" text="RETURN"/>
  </conditionalFormatting>
  <conditionalFormatting sqref="G3:G502">
    <cfRule type="containsText" priority="1" operator="containsText" dxfId="2" text="PENDING"/>
    <cfRule type="containsText" priority="2" operator="containsText" dxfId="4" text="ACCEPT"/>
    <cfRule type="containsText" priority="4" operator="containsText" dxfId="1" text="REJECT"/>
    <cfRule type="containsText" priority="12" operator="containsText" dxfId="9" text="ACCEPT"/>
    <cfRule type="containsText" priority="13" operator="containsText" dxfId="8" text="REJECT"/>
    <cfRule type="containsText" priority="14" operator="containsText" dxfId="7" text="PENDING"/>
    <cfRule type="containsText" priority="15" operator="containsText" dxfId="9" text="ACCEPT"/>
    <cfRule type="containsText" priority="16" operator="containsText" dxfId="8" text="REJECT"/>
    <cfRule type="containsText" priority="17" operator="containsText" dxfId="7" text="PENDING"/>
  </conditionalFormatting>
  <conditionalFormatting sqref="I3:I54">
    <cfRule type="containsText" priority="58" operator="containsText" dxfId="6" text="PENDING"/>
    <cfRule type="containsText" priority="59" operator="containsText" dxfId="5" text="WAITING"/>
  </conditionalFormatting>
  <conditionalFormatting sqref="K3:K502">
    <cfRule type="containsText" priority="6" operator="containsText" dxfId="4" text="APPLIED"/>
    <cfRule type="containsText" priority="7" operator="containsText" dxfId="3" text="REJECTED"/>
    <cfRule type="containsText" priority="8" operator="containsText" dxfId="2" text="PENDING"/>
    <cfRule type="containsText" priority="10" operator="containsText" dxfId="1" text="NEEDS_REPLAN"/>
    <cfRule type="containsText" priority="11" operator="containsText" dxfId="0" text="QUEUED"/>
  </conditionalFormatting>
  <dataValidations count="16">
    <dataValidation sqref="E3:E502 G3:G502" showDropDown="0" showInputMessage="0" showErrorMessage="0" allowBlank="0" type="list">
      <formula1>"PENDING,ACCEPT,REJECT,CORRECT,INCORRECT"</formula1>
    </dataValidation>
    <dataValidation sqref="T3:T502" showDropDown="0" showInputMessage="0" showErrorMessage="0" allowBlank="0" type="list">
      <formula1>"CURRENT,SUPERSEDED,WITHDRAWN"</formula1>
    </dataValidation>
    <dataValidation sqref="U3:U502 AE3:AE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V3:V502 AF3:AF502" showDropDown="0" showInputMessage="0" showErrorMessage="0" allowBlank="0" type="list">
      <formula1>"Public authority,Standards body,Certification scheme,Manufacturer / supplier,Project / engineering,Client / internal,Pending classification"</formula1>
    </dataValidation>
    <dataValidation sqref="W3:W502 AG3:AG502" showDropDown="0" showInputMessage="0" showErrorMessage="0" allowBlank="0" type="list">
      <formula1>"Primary normative,Referenced normative,Asset-specific normative,Guidance / interpretation,Audit / assessment tool,Context / evidence,Draft working material"</formula1>
    </dataValidation>
    <dataValidation sqref="X3:X502 AH3:AH502" showDropDown="0" showInputMessage="0" showErrorMessage="0" allowBlank="0" type="list">
      <formula1>"English,Norwegian,Other"</formula1>
    </dataValidation>
    <dataValidation sqref="Y3:Y502 AI3:AI502" showDropDown="0" showInputMessage="0" showErrorMessage="0" allowBlank="0" type="list">
      <formula1>"html,pdf,xlsx,zip"</formula1>
    </dataValidation>
    <dataValidation sqref="M3:Q502 AC3:AH502" showDropDown="0" showInputMessage="0" showErrorMessage="0" allowBlank="0" type="list">
      <formula1>"LOW,MEDIUM,HIGH"</formula1>
    </dataValidation>
    <dataValidation sqref="AJ3:AJ502 AN3:AN502" showDropDown="0" showInputMessage="0" showErrorMessage="0" allowBlank="0" type="list">
      <formula1>"OFFICIAL_WEBSITE,CLIENT_OR_SITE,SUPPLIER_OR_INTEGRATOR,INTERNAL_REPOSITORY,OTHER"</formula1>
    </dataValidation>
    <dataValidation sqref="AK3:AK502 AO3:AO502" showDropDown="0" showInputMessage="0" showErrorMessage="0" allowBlank="0" type="list">
      <formula1>"OFFICIAL_ORIGINAL,AUTHORISED_COPY,CLIENT_PROVIDED_COPY,UNVERIFIED"</formula1>
    </dataValidation>
    <dataValidation sqref="AL3:AL502 AP3:AP502" showDropDown="0" showInputMessage="0" showErrorMessage="0" allowBlank="0" type="list">
      <formula1>"VERSIONED,ROLLING,UNKNOWN"</formula1>
    </dataValidation>
    <dataValidation sqref="R3:R502" showDropDown="0" showInputMessage="0" showErrorMessage="0" allowBlank="0" type="list">
      <formula1>"INCLUDE,PENDING,EXCLUDE"</formula1>
    </dataValidation>
    <dataValidation sqref="AD3:AD502" showDropDown="0" showInputMessage="0" showErrorMessage="0" allowBlank="0" type="list">
      <formula1>"Norway,EU / EEA,International,Multi-jurisdiction,Site-specific,Other"</formula1>
    </dataValidation>
    <dataValidation sqref="F3:F51" showDropDown="0" showInputMessage="0" showErrorMessage="0" allowBlank="0" type="list">
      <formula1>"PENDING,APPLY,RETURN"</formula1>
    </dataValidation>
    <dataValidation sqref="F55:F56 F81:F103"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57:F80"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2026-09-04T07:54:30Z</dcterms:created>
  <dcterms:modified xsi:type="dcterms:W3CDTF">2026-09-04T08:09:37Z</dcterms:modified>
  <cp:lastModifiedBy>(Student) Tang, Weijie</cp:lastModifiedBy>
</cp:coreProperties>
</file>